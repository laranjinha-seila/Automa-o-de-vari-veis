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showPivotChartFilter="1"/>
  <mc:AlternateContent xmlns:mc="http://schemas.openxmlformats.org/markup-compatibility/2006">
    <mc:Choice Requires="x15">
      <x15ac:absPath xmlns:x15ac="http://schemas.microsoft.com/office/spreadsheetml/2010/11/ac" url="https://sesirs.sharepoint.com/sites/uee/Documentos Compartilhados/Informe Econômico/Suporte_Novo_IE/"/>
    </mc:Choice>
  </mc:AlternateContent>
  <xr:revisionPtr revIDLastSave="4808" documentId="11_93143C67689B437B1EE170BA51A1F14994DD70FA" xr6:coauthVersionLast="46" xr6:coauthVersionMax="47" xr10:uidLastSave="{9D95CA4F-D51F-4219-95BB-E63B683011C9}"/>
  <bookViews>
    <workbookView xWindow="-120" yWindow="-120" windowWidth="29040" windowHeight="15720" tabRatio="840" firstSheet="2" activeTab="3" xr2:uid="{00000000-000D-0000-FFFF-FFFF00000000}"/>
  </bookViews>
  <sheets>
    <sheet name="G 4.1 - G 4.2 (set)" sheetId="244" state="hidden" r:id="rId1"/>
    <sheet name="G 4.3 - G 4.4 (set)" sheetId="277" state="hidden" r:id="rId2"/>
    <sheet name="LINK escrita " sheetId="296" r:id="rId3"/>
    <sheet name="Emprego" sheetId="291" r:id="rId4"/>
    <sheet name="Renda" sheetId="290" r:id="rId5"/>
    <sheet name="População" sheetId="278" r:id="rId6"/>
    <sheet name="Planilha1" sheetId="299" r:id="rId7"/>
    <sheet name="Pessoas de 14 anos ou mais d..." sheetId="297" r:id="rId8"/>
    <sheet name="Tabela" sheetId="298" r:id="rId9"/>
    <sheet name="G 4.5 - G 4.6 (set)" sheetId="267" state="hidden" r:id="rId10"/>
    <sheet name="G 4.7 - T 4.1 (set)" sheetId="268" state="hidden" r:id="rId11"/>
    <sheet name="T 4.2 (set)" sheetId="269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\a" localSheetId="3">#REF!</definedName>
    <definedName name="\a" localSheetId="1">#REF!</definedName>
    <definedName name="\a" localSheetId="9">#REF!</definedName>
    <definedName name="\a" localSheetId="5">#REF!</definedName>
    <definedName name="\a" localSheetId="4">#REF!</definedName>
    <definedName name="\a">#REF!</definedName>
    <definedName name="\d" localSheetId="3">[1]PYRAMID!#REF!</definedName>
    <definedName name="\d" localSheetId="1">[1]PYRAMID!#REF!</definedName>
    <definedName name="\d" localSheetId="9">[1]PYRAMID!#REF!</definedName>
    <definedName name="\d" localSheetId="5">[1]PYRAMID!#REF!</definedName>
    <definedName name="\d" localSheetId="4">[1]PYRAMID!#REF!</definedName>
    <definedName name="\d">[1]PYRAMID!#REF!</definedName>
    <definedName name="\g" localSheetId="3">[1]PYRAMID!#REF!</definedName>
    <definedName name="\g" localSheetId="1">[1]PYRAMID!#REF!</definedName>
    <definedName name="\g" localSheetId="9">[1]PYRAMID!#REF!</definedName>
    <definedName name="\g" localSheetId="5">[1]PYRAMID!#REF!</definedName>
    <definedName name="\g">[1]PYRAMID!#REF!</definedName>
    <definedName name="\h" localSheetId="3">[1]PYRAMID!#REF!</definedName>
    <definedName name="\h" localSheetId="1">[1]PYRAMID!#REF!</definedName>
    <definedName name="\h" localSheetId="5">[1]PYRAMID!#REF!</definedName>
    <definedName name="\h">[1]PYRAMID!#REF!</definedName>
    <definedName name="\m" localSheetId="3">[1]PYRAMID!#REF!</definedName>
    <definedName name="\m" localSheetId="1">[1]PYRAMID!#REF!</definedName>
    <definedName name="\m" localSheetId="5">[1]PYRAMID!#REF!</definedName>
    <definedName name="\m">[1]PYRAMID!#REF!</definedName>
    <definedName name="\n" localSheetId="1">'[2]%PIB'!#REF!</definedName>
    <definedName name="\n" localSheetId="5">'[2]%PIB'!#REF!</definedName>
    <definedName name="\n">'[2]%PIB'!#REF!</definedName>
    <definedName name="\s" localSheetId="3">[1]PYRAMID!#REF!</definedName>
    <definedName name="\s" localSheetId="1">[1]PYRAMID!#REF!</definedName>
    <definedName name="\s" localSheetId="5">[1]PYRAMID!#REF!</definedName>
    <definedName name="\s">[1]PYRAMID!#REF!</definedName>
    <definedName name="_" localSheetId="3">#REF!</definedName>
    <definedName name="_" localSheetId="1">#REF!</definedName>
    <definedName name="_" localSheetId="5">#REF!</definedName>
    <definedName name="_" localSheetId="4">#REF!</definedName>
    <definedName name="_">#REF!</definedName>
    <definedName name="__" localSheetId="3">#REF!</definedName>
    <definedName name="__" localSheetId="1">#REF!</definedName>
    <definedName name="__" localSheetId="5">#REF!</definedName>
    <definedName name="__">#REF!</definedName>
    <definedName name="___TAB2" localSheetId="3">#REF!</definedName>
    <definedName name="___TAB2" localSheetId="1">#REF!</definedName>
    <definedName name="___TAB2" localSheetId="5">#REF!</definedName>
    <definedName name="___TAB2">#REF!</definedName>
    <definedName name="__123Graph_A" hidden="1">[1]PYRAMID!$A$184:$A$263</definedName>
    <definedName name="__123Graph_ABRA" localSheetId="3" hidden="1">[3]EVAREBR!#REF!</definedName>
    <definedName name="__123Graph_ABRA" localSheetId="1" hidden="1">[3]EVAREBR!#REF!</definedName>
    <definedName name="__123Graph_ABRA" localSheetId="5" hidden="1">[3]EVAREBR!#REF!</definedName>
    <definedName name="__123Graph_ABRA" localSheetId="4" hidden="1">[3]EVAREBR!#REF!</definedName>
    <definedName name="__123Graph_ABRA" hidden="1">[3]EVAREBR!#REF!</definedName>
    <definedName name="__123Graph_AEMPREG" localSheetId="3" hidden="1">'[4]RAIS e CAGED'!#REF!</definedName>
    <definedName name="__123Graph_AEMPREG" localSheetId="1" hidden="1">'[5]RAIS e CAGED'!#REF!</definedName>
    <definedName name="__123Graph_AEMPREG" localSheetId="5" hidden="1">'[5]RAIS e CAGED'!#REF!</definedName>
    <definedName name="__123Graph_AEMPREG" localSheetId="4" hidden="1">'[5]RAIS e CAGED'!#REF!</definedName>
    <definedName name="__123Graph_AEMPREG" hidden="1">'[5]RAIS e CAGED'!#REF!</definedName>
    <definedName name="__123Graph_AGRAF1" localSheetId="3" hidden="1">'[4]RAIS e CAGED'!#REF!</definedName>
    <definedName name="__123Graph_AGRAF1" localSheetId="1" hidden="1">'[5]RAIS e CAGED'!#REF!</definedName>
    <definedName name="__123Graph_AGRAF1" localSheetId="5" hidden="1">'[5]RAIS e CAGED'!#REF!</definedName>
    <definedName name="__123Graph_AGRAF1" hidden="1">'[5]RAIS e CAGED'!#REF!</definedName>
    <definedName name="__123Graph_AGRAF2" localSheetId="3" hidden="1">'[4]RAIS e CAGED'!#REF!</definedName>
    <definedName name="__123Graph_AGRAF2" localSheetId="1" hidden="1">'[5]RAIS e CAGED'!#REF!</definedName>
    <definedName name="__123Graph_AGRAF2" localSheetId="5" hidden="1">'[5]RAIS e CAGED'!#REF!</definedName>
    <definedName name="__123Graph_AGRAF2" hidden="1">'[5]RAIS e CAGED'!#REF!</definedName>
    <definedName name="__123Graph_AGRAF3" localSheetId="3" hidden="1">'[4]RAIS e CAGED'!#REF!</definedName>
    <definedName name="__123Graph_AGRAF3" localSheetId="1" hidden="1">'[5]RAIS e CAGED'!#REF!</definedName>
    <definedName name="__123Graph_AGRAF3" localSheetId="5" hidden="1">'[5]RAIS e CAGED'!#REF!</definedName>
    <definedName name="__123Graph_AGRAF3" hidden="1">'[5]RAIS e CAGED'!#REF!</definedName>
    <definedName name="__123Graph_AGRAPH1" hidden="1">[1]PYRAMID!$A$184:$A$263</definedName>
    <definedName name="__123Graph_AGRAPH2" hidden="1">[1]PYRAMID!$A$184:$A$263</definedName>
    <definedName name="__123Graph_AGRAPH3" hidden="1">[1]PYRAMID!$A$184:$A$263</definedName>
    <definedName name="__123Graph_B" hidden="1">[6]LTFEM96!$G$351:$G$372</definedName>
    <definedName name="__123Graph_BGRAPH1" hidden="1">[6]LTFEM96!$F$351:$F$372</definedName>
    <definedName name="__123Graph_BGRAPH2" hidden="1">[6]LTFEM96!$G$351:$G$372</definedName>
    <definedName name="__123Graph_LBL_A" hidden="1">[6]LTFEM96!$H$351:$H$372</definedName>
    <definedName name="__123Graph_LBL_AGRAPH1" hidden="1">[6]LTFEM96!$H$351:$H$372</definedName>
    <definedName name="__123Graph_LBL_AGRAPH2" hidden="1">[6]LTFEM96!$H$351:$H$372</definedName>
    <definedName name="__123Graph_X" hidden="1">[1]PYRAMID!$D$184:$D$263</definedName>
    <definedName name="__123Graph_XBRA" localSheetId="3" hidden="1">#REF!</definedName>
    <definedName name="__123Graph_XBRA" localSheetId="1" hidden="1">#REF!</definedName>
    <definedName name="__123Graph_XBRA" localSheetId="5" hidden="1">#REF!</definedName>
    <definedName name="__123Graph_XBRA" localSheetId="4" hidden="1">#REF!</definedName>
    <definedName name="__123Graph_XBRA" hidden="1">#REF!</definedName>
    <definedName name="__123Graph_XEMPREG" localSheetId="3" hidden="1">'[4]RAIS e CAGED'!#REF!</definedName>
    <definedName name="__123Graph_XEMPREG" localSheetId="1" hidden="1">'[5]RAIS e CAGED'!#REF!</definedName>
    <definedName name="__123Graph_XEMPREG" localSheetId="5" hidden="1">'[5]RAIS e CAGED'!#REF!</definedName>
    <definedName name="__123Graph_XEMPREG" localSheetId="4" hidden="1">'[5]RAIS e CAGED'!#REF!</definedName>
    <definedName name="__123Graph_XEMPREG" hidden="1">'[5]RAIS e CAGED'!#REF!</definedName>
    <definedName name="__123Graph_XGRAF1" localSheetId="3" hidden="1">'[4]RAIS e CAGED'!#REF!</definedName>
    <definedName name="__123Graph_XGRAF1" localSheetId="4" hidden="1">'[5]RAIS e CAGED'!#REF!</definedName>
    <definedName name="__123Graph_XGRAF1" hidden="1">'[5]RAIS e CAGED'!#REF!</definedName>
    <definedName name="__123Graph_XGRAF2" localSheetId="3" hidden="1">'[4]RAIS e CAGED'!#REF!</definedName>
    <definedName name="__123Graph_XGRAF2" hidden="1">'[5]RAIS e CAGED'!#REF!</definedName>
    <definedName name="__123Graph_XGRAF3" localSheetId="3" hidden="1">'[4]RAIS e CAGED'!#REF!</definedName>
    <definedName name="__123Graph_XGRAF3" hidden="1">'[5]RAIS e CAGED'!#REF!</definedName>
    <definedName name="__123Graph_XGRAPH1" hidden="1">[1]PYRAMID!$B$184:$B$263</definedName>
    <definedName name="__123Graph_XGRAPH2" hidden="1">[1]PYRAMID!$C$184:$C$263</definedName>
    <definedName name="__123Graph_XGRAPH3" hidden="1">[1]PYRAMID!$D$184:$D$263</definedName>
    <definedName name="__Jan2004" localSheetId="3">#REF!</definedName>
    <definedName name="__Jan2004" localSheetId="1">#REF!</definedName>
    <definedName name="__Jan2004" localSheetId="5">#REF!</definedName>
    <definedName name="__Jan2004" localSheetId="4">#REF!</definedName>
    <definedName name="__Jan2004">#REF!</definedName>
    <definedName name="__pm201" localSheetId="3">#REF!</definedName>
    <definedName name="__pm201" localSheetId="1">#REF!</definedName>
    <definedName name="__pm201" localSheetId="5">#REF!</definedName>
    <definedName name="__pm201">#REF!</definedName>
    <definedName name="__pm202" localSheetId="3">#REF!</definedName>
    <definedName name="__pm202" localSheetId="1">#REF!</definedName>
    <definedName name="__pm202" localSheetId="5">#REF!</definedName>
    <definedName name="__pm202">#REF!</definedName>
    <definedName name="__pm203" localSheetId="3">#REF!</definedName>
    <definedName name="__pm203" localSheetId="1">#REF!</definedName>
    <definedName name="__pm203" localSheetId="5">#REF!</definedName>
    <definedName name="__pm203">#REF!</definedName>
    <definedName name="__pm204" localSheetId="3">#REF!</definedName>
    <definedName name="__pm204" localSheetId="1">#REF!</definedName>
    <definedName name="__pm204" localSheetId="5">#REF!</definedName>
    <definedName name="__pm204">#REF!</definedName>
    <definedName name="__pm205" localSheetId="3">#REF!</definedName>
    <definedName name="__pm205" localSheetId="1">#REF!</definedName>
    <definedName name="__pm205" localSheetId="5">#REF!</definedName>
    <definedName name="__pm205">#REF!</definedName>
    <definedName name="__pm206" localSheetId="3">#REF!</definedName>
    <definedName name="__pm206" localSheetId="1">#REF!</definedName>
    <definedName name="__pm206" localSheetId="5">#REF!</definedName>
    <definedName name="__pm206">#REF!</definedName>
    <definedName name="__pm207" localSheetId="3">#REF!</definedName>
    <definedName name="__pm207" localSheetId="1">#REF!</definedName>
    <definedName name="__pm207" localSheetId="5">#REF!</definedName>
    <definedName name="__pm207">#REF!</definedName>
    <definedName name="__pm208" localSheetId="3">#REF!</definedName>
    <definedName name="__pm208" localSheetId="1">#REF!</definedName>
    <definedName name="__pm208" localSheetId="5">#REF!</definedName>
    <definedName name="__pm208">#REF!</definedName>
    <definedName name="__pm209" localSheetId="3">#REF!</definedName>
    <definedName name="__pm209" localSheetId="1">#REF!</definedName>
    <definedName name="__pm209" localSheetId="5">#REF!</definedName>
    <definedName name="__pm209">#REF!</definedName>
    <definedName name="__pm210" localSheetId="3">#REF!</definedName>
    <definedName name="__pm210" localSheetId="1">#REF!</definedName>
    <definedName name="__pm210" localSheetId="5">#REF!</definedName>
    <definedName name="__pm210">#REF!</definedName>
    <definedName name="__pm211" localSheetId="3">#REF!</definedName>
    <definedName name="__pm211" localSheetId="1">#REF!</definedName>
    <definedName name="__pm211" localSheetId="5">#REF!</definedName>
    <definedName name="__pm211">#REF!</definedName>
    <definedName name="__pm212" localSheetId="3">#REF!</definedName>
    <definedName name="__pm212" localSheetId="1">#REF!</definedName>
    <definedName name="__pm212" localSheetId="5">#REF!</definedName>
    <definedName name="__pm212">#REF!</definedName>
    <definedName name="__pm213" localSheetId="3">#REF!</definedName>
    <definedName name="__pm213" localSheetId="1">#REF!</definedName>
    <definedName name="__pm213" localSheetId="5">#REF!</definedName>
    <definedName name="__pm213">#REF!</definedName>
    <definedName name="__pm214" localSheetId="3">#REF!</definedName>
    <definedName name="__pm214" localSheetId="1">#REF!</definedName>
    <definedName name="__pm214" localSheetId="5">#REF!</definedName>
    <definedName name="__pm214">#REF!</definedName>
    <definedName name="__pm215" localSheetId="3">#REF!</definedName>
    <definedName name="__pm215" localSheetId="1">#REF!</definedName>
    <definedName name="__pm215" localSheetId="5">#REF!</definedName>
    <definedName name="__pm215">#REF!</definedName>
    <definedName name="__pm216" localSheetId="3">#REF!</definedName>
    <definedName name="__pm216" localSheetId="1">#REF!</definedName>
    <definedName name="__pm216" localSheetId="5">#REF!</definedName>
    <definedName name="__pm216">#REF!</definedName>
    <definedName name="__pm217" localSheetId="3">#REF!</definedName>
    <definedName name="__pm217" localSheetId="1">#REF!</definedName>
    <definedName name="__pm217" localSheetId="5">#REF!</definedName>
    <definedName name="__pm217">#REF!</definedName>
    <definedName name="__pm218" localSheetId="3">#REF!</definedName>
    <definedName name="__pm218" localSheetId="1">#REF!</definedName>
    <definedName name="__pm218" localSheetId="5">#REF!</definedName>
    <definedName name="__pm218">#REF!</definedName>
    <definedName name="__pm219" localSheetId="3">#REF!</definedName>
    <definedName name="__pm219" localSheetId="1">#REF!</definedName>
    <definedName name="__pm219" localSheetId="5">#REF!</definedName>
    <definedName name="__pm219">#REF!</definedName>
    <definedName name="__pm220" localSheetId="3">#REF!</definedName>
    <definedName name="__pm220" localSheetId="1">#REF!</definedName>
    <definedName name="__pm220" localSheetId="5">#REF!</definedName>
    <definedName name="__pm220">#REF!</definedName>
    <definedName name="__pm221" localSheetId="3">#REF!</definedName>
    <definedName name="__pm221" localSheetId="1">#REF!</definedName>
    <definedName name="__pm221" localSheetId="5">#REF!</definedName>
    <definedName name="__pm221">#REF!</definedName>
    <definedName name="__pm222" localSheetId="3">#REF!</definedName>
    <definedName name="__pm222" localSheetId="1">#REF!</definedName>
    <definedName name="__pm222" localSheetId="5">#REF!</definedName>
    <definedName name="__pm222">#REF!</definedName>
    <definedName name="__pm223" localSheetId="3">#REF!</definedName>
    <definedName name="__pm223" localSheetId="1">#REF!</definedName>
    <definedName name="__pm223" localSheetId="5">#REF!</definedName>
    <definedName name="__pm223">#REF!</definedName>
    <definedName name="__pm224" localSheetId="3">#REF!</definedName>
    <definedName name="__pm224" localSheetId="1">#REF!</definedName>
    <definedName name="__pm224" localSheetId="5">#REF!</definedName>
    <definedName name="__pm224">#REF!</definedName>
    <definedName name="__pm225" localSheetId="3">#REF!</definedName>
    <definedName name="__pm225" localSheetId="1">#REF!</definedName>
    <definedName name="__pm225" localSheetId="5">#REF!</definedName>
    <definedName name="__pm225">#REF!</definedName>
    <definedName name="__pm226" localSheetId="3">#REF!</definedName>
    <definedName name="__pm226" localSheetId="1">#REF!</definedName>
    <definedName name="__pm226" localSheetId="5">#REF!</definedName>
    <definedName name="__pm226">#REF!</definedName>
    <definedName name="__Tab2" localSheetId="3">#REF!</definedName>
    <definedName name="__Tab2" localSheetId="1">#REF!</definedName>
    <definedName name="__Tab2" localSheetId="5">#REF!</definedName>
    <definedName name="__Tab2">#REF!</definedName>
    <definedName name="_01_04_04" localSheetId="3">#REF!</definedName>
    <definedName name="_01_04_04" localSheetId="1">#REF!</definedName>
    <definedName name="_01_04_04" localSheetId="5">#REF!</definedName>
    <definedName name="_01_04_04">#REF!</definedName>
    <definedName name="_01_07_04" localSheetId="3">#REF!</definedName>
    <definedName name="_01_07_04" localSheetId="1">#REF!</definedName>
    <definedName name="_01_07_04" localSheetId="5">#REF!</definedName>
    <definedName name="_01_07_04">#REF!</definedName>
    <definedName name="_01_10_03" localSheetId="3">OFFSET(#REF!,0,0,COUNTA(#REF!)-1)</definedName>
    <definedName name="_01_10_03" localSheetId="1">OFFSET(#REF!,0,0,COUNTA(#REF!)-1)</definedName>
    <definedName name="_01_10_03" localSheetId="5">OFFSET(#REF!,0,0,COUNTA(#REF!)-1)</definedName>
    <definedName name="_01_10_03">OFFSET(#REF!,0,0,COUNTA(#REF!)-1)</definedName>
    <definedName name="_01_10_04" localSheetId="3">#REF!</definedName>
    <definedName name="_01_10_04" localSheetId="1">#REF!</definedName>
    <definedName name="_01_10_04" localSheetId="5">#REF!</definedName>
    <definedName name="_01_10_04" localSheetId="4">#REF!</definedName>
    <definedName name="_01_10_04">#REF!</definedName>
    <definedName name="_01_Abr" localSheetId="3">#REF!</definedName>
    <definedName name="_01_Abr" localSheetId="1">#REF!</definedName>
    <definedName name="_01_Abr" localSheetId="5">#REF!</definedName>
    <definedName name="_01_Abr">#REF!</definedName>
    <definedName name="_01_Set" localSheetId="3">#REF!</definedName>
    <definedName name="_01_Set" localSheetId="1">#REF!</definedName>
    <definedName name="_01_Set" localSheetId="5">#REF!</definedName>
    <definedName name="_01_Set">#REF!</definedName>
    <definedName name="_02_Jan2004" localSheetId="3">#REF!</definedName>
    <definedName name="_02_Jan2004" localSheetId="1">#REF!</definedName>
    <definedName name="_02_Jan2004" localSheetId="5">#REF!</definedName>
    <definedName name="_02_Jan2004">#REF!</definedName>
    <definedName name="_07_01_04" localSheetId="3">#REF!</definedName>
    <definedName name="_07_01_04" localSheetId="1">#REF!</definedName>
    <definedName name="_07_01_04" localSheetId="5">#REF!</definedName>
    <definedName name="_07_01_04">#REF!</definedName>
    <definedName name="_1_1_2009" localSheetId="3">#REF!</definedName>
    <definedName name="_1_1_2009">#REF!</definedName>
    <definedName name="_1Excel_BuiltIn__FilterDatabase_2_1_1" localSheetId="3">#REF!</definedName>
    <definedName name="_1Excel_BuiltIn__FilterDatabase_2_1_1" localSheetId="1">#REF!</definedName>
    <definedName name="_1Excel_BuiltIn__FilterDatabase_2_1_1" localSheetId="5">#REF!</definedName>
    <definedName name="_1Excel_BuiltIn__FilterDatabase_2_1_1">#REF!</definedName>
    <definedName name="_22" localSheetId="3">#REF!</definedName>
    <definedName name="_22" localSheetId="1">#REF!</definedName>
    <definedName name="_22" localSheetId="5">#REF!</definedName>
    <definedName name="_22">#REF!</definedName>
    <definedName name="_26" localSheetId="3">#REF!</definedName>
    <definedName name="_26" localSheetId="1">#REF!</definedName>
    <definedName name="_26" localSheetId="5">#REF!</definedName>
    <definedName name="_26">#REF!</definedName>
    <definedName name="_a" localSheetId="3">#REF!</definedName>
    <definedName name="_a" localSheetId="1">#REF!</definedName>
    <definedName name="_a" localSheetId="5">#REF!</definedName>
    <definedName name="_a">#REF!</definedName>
    <definedName name="_Ano1997" localSheetId="3">[7]Tab1!#REF!</definedName>
    <definedName name="_Ano1997" localSheetId="1">[7]Tab1!#REF!</definedName>
    <definedName name="_Ano1997" localSheetId="5">[7]Tab1!#REF!</definedName>
    <definedName name="_Ano1997" localSheetId="4">[7]Tab1!#REF!</definedName>
    <definedName name="_Ano1997">[7]Tab1!#REF!</definedName>
    <definedName name="_Ano1998" localSheetId="3">[7]Tab1!#REF!</definedName>
    <definedName name="_Ano1998" localSheetId="1">[7]Tab1!#REF!</definedName>
    <definedName name="_Ano1998" localSheetId="5">[7]Tab1!#REF!</definedName>
    <definedName name="_Ano1998" localSheetId="4">[7]Tab1!#REF!</definedName>
    <definedName name="_Ano1998">[7]Tab1!#REF!</definedName>
    <definedName name="_Ano1999" localSheetId="3">[7]Tab1!#REF!</definedName>
    <definedName name="_Ano1999" localSheetId="4">[7]Tab1!#REF!</definedName>
    <definedName name="_Ano1999">[7]Tab1!#REF!</definedName>
    <definedName name="_Ano2000">[7]Tab1!#REF!</definedName>
    <definedName name="_Ano2001">[7]Tab1!#REF!</definedName>
    <definedName name="_Ano2002">[7]Tab1!#REF!</definedName>
    <definedName name="_Ano2003">[7]Tab1!#REF!</definedName>
    <definedName name="_Ano2004">[7]Tab1!#REF!</definedName>
    <definedName name="_Ano2005">[7]Tab1!#REF!</definedName>
    <definedName name="_Ano2006">[7]Tab1!#REF!</definedName>
    <definedName name="_DLX1.USE" localSheetId="3">#REF!</definedName>
    <definedName name="_DLX1.USE" localSheetId="1">#REF!</definedName>
    <definedName name="_DLX1.USE" localSheetId="5">#REF!</definedName>
    <definedName name="_DLX1.USE" localSheetId="4">#REF!</definedName>
    <definedName name="_DLX1.USE">#REF!</definedName>
    <definedName name="_Fill" localSheetId="3" hidden="1">'[8]T2.53'!#REF!</definedName>
    <definedName name="_Fill" localSheetId="4" hidden="1">'[8]T2.53'!#REF!</definedName>
    <definedName name="_Fill" hidden="1">'[8]T2.53'!#REF!</definedName>
    <definedName name="_xlnm._FilterDatabase" localSheetId="3" hidden="1">Emprego!$A$1:$H$161</definedName>
    <definedName name="_xlnm._FilterDatabase" localSheetId="0" hidden="1">'G 4.1 - G 4.2 (set)'!$A$3:$L$117</definedName>
    <definedName name="_xlnm._FilterDatabase" localSheetId="9" hidden="1">'G 4.5 - G 4.6 (set)'!$A$1:$H$147</definedName>
    <definedName name="_xlnm._FilterDatabase" localSheetId="10" hidden="1">'G 4.7 - T 4.1 (set)'!$A$1:$Y$193</definedName>
    <definedName name="_xlnm._FilterDatabase" localSheetId="4" hidden="1">Renda!$A$4:$L$118</definedName>
    <definedName name="_xlnm._FilterDatabase" localSheetId="11" hidden="1">'T 4.2 (set)'!$A$1:$Z$193</definedName>
    <definedName name="_i" localSheetId="3">#REF!</definedName>
    <definedName name="_i" localSheetId="1">#REF!</definedName>
    <definedName name="_i" localSheetId="9">#REF!</definedName>
    <definedName name="_i" localSheetId="5">#REF!</definedName>
    <definedName name="_i" localSheetId="4">#REF!</definedName>
    <definedName name="_i">#REF!</definedName>
    <definedName name="_ID">"II.19 BACEN balancete passivo(5)"</definedName>
    <definedName name="_IMP1111" localSheetId="3">#REF!</definedName>
    <definedName name="_IMP1111" localSheetId="1">#REF!</definedName>
    <definedName name="_IMP1111" localSheetId="5">#REF!</definedName>
    <definedName name="_IMP1111" localSheetId="4">#REF!</definedName>
    <definedName name="_IMP1111">#REF!</definedName>
    <definedName name="_IMP1112" localSheetId="3">#REF!</definedName>
    <definedName name="_IMP1112" localSheetId="1">#REF!</definedName>
    <definedName name="_IMP1112" localSheetId="5">#REF!</definedName>
    <definedName name="_IMP1112">#REF!</definedName>
    <definedName name="_IMP1113" localSheetId="3">#REF!</definedName>
    <definedName name="_IMP1113" localSheetId="1">#REF!</definedName>
    <definedName name="_IMP1113" localSheetId="5">#REF!</definedName>
    <definedName name="_IMP1113">#REF!</definedName>
    <definedName name="_IMP1114" localSheetId="3">#REF!</definedName>
    <definedName name="_IMP1114" localSheetId="1">#REF!</definedName>
    <definedName name="_IMP1114" localSheetId="5">#REF!</definedName>
    <definedName name="_IMP1114">#REF!</definedName>
    <definedName name="_IMP1115" localSheetId="3">#REF!</definedName>
    <definedName name="_IMP1115" localSheetId="1">#REF!</definedName>
    <definedName name="_IMP1115" localSheetId="5">#REF!</definedName>
    <definedName name="_IMP1115">#REF!</definedName>
    <definedName name="_IMP1116" localSheetId="3">#REF!</definedName>
    <definedName name="_IMP1116" localSheetId="1">#REF!</definedName>
    <definedName name="_IMP1116" localSheetId="5">#REF!</definedName>
    <definedName name="_IMP1116">#REF!</definedName>
    <definedName name="_IMP1132" localSheetId="3">#REF!</definedName>
    <definedName name="_IMP1132" localSheetId="1">#REF!</definedName>
    <definedName name="_IMP1132" localSheetId="5">#REF!</definedName>
    <definedName name="_IMP1132">#REF!</definedName>
    <definedName name="_IMP1133" localSheetId="3">#REF!</definedName>
    <definedName name="_IMP1133" localSheetId="1">#REF!</definedName>
    <definedName name="_IMP1133" localSheetId="5">#REF!</definedName>
    <definedName name="_IMP1133">#REF!</definedName>
    <definedName name="_Jan2004" localSheetId="3">#REF!</definedName>
    <definedName name="_Jan2004" localSheetId="1">#REF!</definedName>
    <definedName name="_Jan2004" localSheetId="5">#REF!</definedName>
    <definedName name="_Jan2004">#REF!</definedName>
    <definedName name="_k" localSheetId="3">#REF!</definedName>
    <definedName name="_k" localSheetId="1">#REF!</definedName>
    <definedName name="_k" localSheetId="5">#REF!</definedName>
    <definedName name="_k">#REF!</definedName>
    <definedName name="_Key1" localSheetId="3" hidden="1">#REF!</definedName>
    <definedName name="_Key1" localSheetId="1" hidden="1">#REF!</definedName>
    <definedName name="_Key1" localSheetId="5" hidden="1">#REF!</definedName>
    <definedName name="_Key1" hidden="1">#REF!</definedName>
    <definedName name="_Key2" localSheetId="3" hidden="1">#REF!</definedName>
    <definedName name="_Key2" localSheetId="1" hidden="1">#REF!</definedName>
    <definedName name="_Key2" localSheetId="5" hidden="1">#REF!</definedName>
    <definedName name="_Key2" hidden="1">#REF!</definedName>
    <definedName name="_lei11941">[9]fluxo!$7:$7</definedName>
    <definedName name="_Lin1">8</definedName>
    <definedName name="_Lin2">12</definedName>
    <definedName name="_Lin3">42</definedName>
    <definedName name="_listaanual">[10]parametros!$B$6:$B$10</definedName>
    <definedName name="_listamensal">[10]parametros!$B$6:$B$9</definedName>
    <definedName name="_listames">[10]parametros!$F$6:$F$427</definedName>
    <definedName name="_listastat">[10]parametros!$E$6:$E$10</definedName>
    <definedName name="_NCol">7</definedName>
    <definedName name="_occ1">[11]Occupation!$A$17</definedName>
    <definedName name="_occ2">[11]Occupation!$A$33</definedName>
    <definedName name="_Order1" hidden="1">255</definedName>
    <definedName name="_p" localSheetId="3">#REF!</definedName>
    <definedName name="_p" localSheetId="1">#REF!</definedName>
    <definedName name="_p" localSheetId="9">#REF!</definedName>
    <definedName name="_p" localSheetId="5">#REF!</definedName>
    <definedName name="_p" localSheetId="4">#REF!</definedName>
    <definedName name="_p">#REF!</definedName>
    <definedName name="_pag1" localSheetId="3">#REF!</definedName>
    <definedName name="_pag1" localSheetId="1">#REF!</definedName>
    <definedName name="_pag1" localSheetId="5">#REF!</definedName>
    <definedName name="_pag1">#REF!</definedName>
    <definedName name="_pag2" localSheetId="3">#REF!</definedName>
    <definedName name="_pag2" localSheetId="1">#REF!</definedName>
    <definedName name="_pag2" localSheetId="5">#REF!</definedName>
    <definedName name="_pag2">#REF!</definedName>
    <definedName name="_pm201" localSheetId="3">#REF!</definedName>
    <definedName name="_pm201" localSheetId="1">#REF!</definedName>
    <definedName name="_pm201" localSheetId="9">#REF!</definedName>
    <definedName name="_pm201" localSheetId="5">#REF!</definedName>
    <definedName name="_pm201">#REF!</definedName>
    <definedName name="_pm202" localSheetId="3">#REF!</definedName>
    <definedName name="_pm202" localSheetId="1">#REF!</definedName>
    <definedName name="_pm202" localSheetId="9">#REF!</definedName>
    <definedName name="_pm202" localSheetId="5">#REF!</definedName>
    <definedName name="_pm202">#REF!</definedName>
    <definedName name="_pm203" localSheetId="3">#REF!</definedName>
    <definedName name="_pm203" localSheetId="1">#REF!</definedName>
    <definedName name="_pm203" localSheetId="5">#REF!</definedName>
    <definedName name="_pm203">#REF!</definedName>
    <definedName name="_pm204" localSheetId="3">#REF!</definedName>
    <definedName name="_pm204" localSheetId="1">#REF!</definedName>
    <definedName name="_pm204" localSheetId="5">#REF!</definedName>
    <definedName name="_pm204">#REF!</definedName>
    <definedName name="_pm205" localSheetId="3">#REF!</definedName>
    <definedName name="_pm205" localSheetId="1">#REF!</definedName>
    <definedName name="_pm205" localSheetId="5">#REF!</definedName>
    <definedName name="_pm205">#REF!</definedName>
    <definedName name="_pm206" localSheetId="3">#REF!</definedName>
    <definedName name="_pm206" localSheetId="1">#REF!</definedName>
    <definedName name="_pm206" localSheetId="5">#REF!</definedName>
    <definedName name="_pm206">#REF!</definedName>
    <definedName name="_pm207" localSheetId="3">#REF!</definedName>
    <definedName name="_pm207" localSheetId="1">#REF!</definedName>
    <definedName name="_pm207" localSheetId="5">#REF!</definedName>
    <definedName name="_pm207">#REF!</definedName>
    <definedName name="_pm208" localSheetId="3">#REF!</definedName>
    <definedName name="_pm208" localSheetId="1">#REF!</definedName>
    <definedName name="_pm208" localSheetId="5">#REF!</definedName>
    <definedName name="_pm208">#REF!</definedName>
    <definedName name="_pm209" localSheetId="3">#REF!</definedName>
    <definedName name="_pm209" localSheetId="1">#REF!</definedName>
    <definedName name="_pm209" localSheetId="5">#REF!</definedName>
    <definedName name="_pm209">#REF!</definedName>
    <definedName name="_pm210" localSheetId="3">#REF!</definedName>
    <definedName name="_pm210" localSheetId="1">#REF!</definedName>
    <definedName name="_pm210" localSheetId="5">#REF!</definedName>
    <definedName name="_pm210">#REF!</definedName>
    <definedName name="_pm211" localSheetId="3">#REF!</definedName>
    <definedName name="_pm211" localSheetId="1">#REF!</definedName>
    <definedName name="_pm211" localSheetId="5">#REF!</definedName>
    <definedName name="_pm211">#REF!</definedName>
    <definedName name="_pm212" localSheetId="3">#REF!</definedName>
    <definedName name="_pm212" localSheetId="1">#REF!</definedName>
    <definedName name="_pm212" localSheetId="5">#REF!</definedName>
    <definedName name="_pm212">#REF!</definedName>
    <definedName name="_pm213" localSheetId="3">#REF!</definedName>
    <definedName name="_pm213" localSheetId="1">#REF!</definedName>
    <definedName name="_pm213" localSheetId="5">#REF!</definedName>
    <definedName name="_pm213">#REF!</definedName>
    <definedName name="_pm214" localSheetId="3">#REF!</definedName>
    <definedName name="_pm214" localSheetId="1">#REF!</definedName>
    <definedName name="_pm214" localSheetId="5">#REF!</definedName>
    <definedName name="_pm214">#REF!</definedName>
    <definedName name="_pm215" localSheetId="3">#REF!</definedName>
    <definedName name="_pm215" localSheetId="1">#REF!</definedName>
    <definedName name="_pm215" localSheetId="5">#REF!</definedName>
    <definedName name="_pm215">#REF!</definedName>
    <definedName name="_pm216" localSheetId="3">#REF!</definedName>
    <definedName name="_pm216" localSheetId="1">#REF!</definedName>
    <definedName name="_pm216" localSheetId="5">#REF!</definedName>
    <definedName name="_pm216">#REF!</definedName>
    <definedName name="_pm217" localSheetId="3">#REF!</definedName>
    <definedName name="_pm217" localSheetId="1">#REF!</definedName>
    <definedName name="_pm217" localSheetId="5">#REF!</definedName>
    <definedName name="_pm217">#REF!</definedName>
    <definedName name="_pm218" localSheetId="3">#REF!</definedName>
    <definedName name="_pm218" localSheetId="1">#REF!</definedName>
    <definedName name="_pm218" localSheetId="5">#REF!</definedName>
    <definedName name="_pm218">#REF!</definedName>
    <definedName name="_pm219" localSheetId="3">#REF!</definedName>
    <definedName name="_pm219" localSheetId="1">#REF!</definedName>
    <definedName name="_pm219" localSheetId="5">#REF!</definedName>
    <definedName name="_pm219">#REF!</definedName>
    <definedName name="_pm220" localSheetId="3">#REF!</definedName>
    <definedName name="_pm220" localSheetId="1">#REF!</definedName>
    <definedName name="_pm220" localSheetId="5">#REF!</definedName>
    <definedName name="_pm220">#REF!</definedName>
    <definedName name="_pm221" localSheetId="3">#REF!</definedName>
    <definedName name="_pm221" localSheetId="1">#REF!</definedName>
    <definedName name="_pm221" localSheetId="5">#REF!</definedName>
    <definedName name="_pm221">#REF!</definedName>
    <definedName name="_pm222" localSheetId="3">#REF!</definedName>
    <definedName name="_pm222" localSheetId="1">#REF!</definedName>
    <definedName name="_pm222" localSheetId="5">#REF!</definedName>
    <definedName name="_pm222">#REF!</definedName>
    <definedName name="_pm223" localSheetId="3">#REF!</definedName>
    <definedName name="_pm223" localSheetId="1">#REF!</definedName>
    <definedName name="_pm223" localSheetId="5">#REF!</definedName>
    <definedName name="_pm223">#REF!</definedName>
    <definedName name="_pm224" localSheetId="3">#REF!</definedName>
    <definedName name="_pm224" localSheetId="1">#REF!</definedName>
    <definedName name="_pm224" localSheetId="5">#REF!</definedName>
    <definedName name="_pm224">#REF!</definedName>
    <definedName name="_pm225" localSheetId="3">#REF!</definedName>
    <definedName name="_pm225" localSheetId="1">#REF!</definedName>
    <definedName name="_pm225" localSheetId="5">#REF!</definedName>
    <definedName name="_pm225">#REF!</definedName>
    <definedName name="_pm226" localSheetId="3">#REF!</definedName>
    <definedName name="_pm226" localSheetId="1">#REF!</definedName>
    <definedName name="_pm226" localSheetId="5">#REF!</definedName>
    <definedName name="_pm226">#REF!</definedName>
    <definedName name="_r" localSheetId="3">#REF!</definedName>
    <definedName name="_r" localSheetId="1">#REF!</definedName>
    <definedName name="_r" localSheetId="5">#REF!</definedName>
    <definedName name="_r">#REF!</definedName>
    <definedName name="_Regression_Int" hidden="1">1</definedName>
    <definedName name="_Sort" localSheetId="3" hidden="1">#REF!</definedName>
    <definedName name="_Sort" localSheetId="1" hidden="1">#REF!</definedName>
    <definedName name="_Sort" localSheetId="5" hidden="1">#REF!</definedName>
    <definedName name="_Sort" localSheetId="4" hidden="1">#REF!</definedName>
    <definedName name="_Sort" hidden="1">#REF!</definedName>
    <definedName name="_TAB1">#N/A</definedName>
    <definedName name="_Tab2" localSheetId="3">#REF!</definedName>
    <definedName name="_Tab2" localSheetId="1">#REF!</definedName>
    <definedName name="_Tab2" localSheetId="5">#REF!</definedName>
    <definedName name="_Tab2" localSheetId="4">#REF!</definedName>
    <definedName name="_Tab2">#REF!</definedName>
    <definedName name="_Tipo">1</definedName>
    <definedName name="a" localSheetId="3">#REF!</definedName>
    <definedName name="a" localSheetId="1">#REF!</definedName>
    <definedName name="a" localSheetId="5">#REF!</definedName>
    <definedName name="a" localSheetId="4">#REF!</definedName>
    <definedName name="a">#REF!</definedName>
    <definedName name="aaa" localSheetId="3">#REF!</definedName>
    <definedName name="aaa" localSheetId="1">#REF!</definedName>
    <definedName name="aaa" localSheetId="5">#REF!</definedName>
    <definedName name="aaa">#REF!</definedName>
    <definedName name="AAAA" localSheetId="3">#REF!</definedName>
    <definedName name="AAAA" localSheetId="1">#REF!</definedName>
    <definedName name="AAAA" localSheetId="5">#REF!</definedName>
    <definedName name="AAAA">#REF!</definedName>
    <definedName name="AAAAA" localSheetId="1" hidden="1">[12]EVAREBR!#REF!</definedName>
    <definedName name="AAAAA" localSheetId="5" hidden="1">[12]EVAREBR!#REF!</definedName>
    <definedName name="AAAAA" hidden="1">[12]EVAREBR!#REF!</definedName>
    <definedName name="abc" localSheetId="3">#REF!</definedName>
    <definedName name="abc" localSheetId="1">#REF!</definedName>
    <definedName name="abc" localSheetId="5">#REF!</definedName>
    <definedName name="abc" localSheetId="4">#REF!</definedName>
    <definedName name="abc">#REF!</definedName>
    <definedName name="abril12">[13]recprev!$150:$150</definedName>
    <definedName name="ac" localSheetId="3" hidden="1">#REF!</definedName>
    <definedName name="ac" localSheetId="1" hidden="1">#REF!</definedName>
    <definedName name="ac" localSheetId="9" hidden="1">#REF!</definedName>
    <definedName name="ac" localSheetId="5" hidden="1">#REF!</definedName>
    <definedName name="ac" localSheetId="4" hidden="1">#REF!</definedName>
    <definedName name="ac" hidden="1">#REF!</definedName>
    <definedName name="ACCOUNTS_DB" localSheetId="3">#REF!</definedName>
    <definedName name="ACCOUNTS_DB" localSheetId="1">#REF!</definedName>
    <definedName name="ACCOUNTS_DB" localSheetId="9">#REF!</definedName>
    <definedName name="ACCOUNTS_DB" localSheetId="5">#REF!</definedName>
    <definedName name="ACCOUNTS_DB">#REF!</definedName>
    <definedName name="ad" localSheetId="3" hidden="1">#REF!</definedName>
    <definedName name="ad" localSheetId="1" hidden="1">#REF!</definedName>
    <definedName name="ad" localSheetId="9" hidden="1">#REF!</definedName>
    <definedName name="ad" localSheetId="5" hidden="1">#REF!</definedName>
    <definedName name="ad" hidden="1">#REF!</definedName>
    <definedName name="ADICIONAIS" localSheetId="3">#REF!</definedName>
    <definedName name="ADICIONAIS" localSheetId="1">#REF!</definedName>
    <definedName name="ADICIONAIS" localSheetId="5">#REF!</definedName>
    <definedName name="ADICIONAIS">#REF!</definedName>
    <definedName name="adsadrr" localSheetId="3" hidden="1">#REF!</definedName>
    <definedName name="adsadrr" localSheetId="1" hidden="1">#REF!</definedName>
    <definedName name="adsadrr" localSheetId="5" hidden="1">#REF!</definedName>
    <definedName name="adsadrr" hidden="1">#REF!</definedName>
    <definedName name="afg" localSheetId="3">#REF!</definedName>
    <definedName name="afg" localSheetId="1">#REF!</definedName>
    <definedName name="afg" localSheetId="5">#REF!</definedName>
    <definedName name="afg">#REF!</definedName>
    <definedName name="alfa" localSheetId="3">#REF!</definedName>
    <definedName name="alfa">#REF!</definedName>
    <definedName name="algo" localSheetId="3" hidden="1">#REF!</definedName>
    <definedName name="algo" localSheetId="1" hidden="1">#REF!</definedName>
    <definedName name="algo" localSheetId="5" hidden="1">#REF!</definedName>
    <definedName name="algo" hidden="1">#REF!</definedName>
    <definedName name="Ano" localSheetId="3">#REF!</definedName>
    <definedName name="Ano" localSheetId="1">#REF!</definedName>
    <definedName name="Ano" localSheetId="5">#REF!</definedName>
    <definedName name="Ano">#REF!</definedName>
    <definedName name="anos" localSheetId="3">#REF!</definedName>
    <definedName name="anos" localSheetId="1">#REF!</definedName>
    <definedName name="anos" localSheetId="5">#REF!</definedName>
    <definedName name="anos">#REF!</definedName>
    <definedName name="Anual" localSheetId="3">#REF!</definedName>
    <definedName name="Anual" localSheetId="1">#REF!</definedName>
    <definedName name="Anual" localSheetId="5">#REF!</definedName>
    <definedName name="Anual">#REF!</definedName>
    <definedName name="area">[11]Population!$A$118</definedName>
    <definedName name="_xlnm.Print_Area">[6]LTFEM96!$A$3:$K$144</definedName>
    <definedName name="area_de_impressaoEST" localSheetId="3">#REF!</definedName>
    <definedName name="area_de_impressaoEST" localSheetId="1">#REF!</definedName>
    <definedName name="area_de_impressaoEST" localSheetId="9">#REF!</definedName>
    <definedName name="area_de_impressaoEST" localSheetId="5">#REF!</definedName>
    <definedName name="area_de_impressaoEST" localSheetId="4">#REF!</definedName>
    <definedName name="area_de_impressaoEST">#REF!</definedName>
    <definedName name="Área_impressão_DIR" localSheetId="3">#REF!</definedName>
    <definedName name="Área_impressão_DIR" localSheetId="1">#REF!</definedName>
    <definedName name="Área_impressão_DIR" localSheetId="9">#REF!</definedName>
    <definedName name="Área_impressão_DIR" localSheetId="5">#REF!</definedName>
    <definedName name="Área_impressão_DIR">#REF!</definedName>
    <definedName name="asdf">[14]Cosif_Completo!$A$2:$D$3181</definedName>
    <definedName name="asdrae" localSheetId="3" hidden="1">#REF!</definedName>
    <definedName name="asdrae" localSheetId="1" hidden="1">#REF!</definedName>
    <definedName name="asdrae" localSheetId="5" hidden="1">#REF!</definedName>
    <definedName name="asdrae" localSheetId="4" hidden="1">#REF!</definedName>
    <definedName name="asdrae" hidden="1">#REF!</definedName>
    <definedName name="ASFR">[11]Fertility!$A$30</definedName>
    <definedName name="b" localSheetId="3">#REF!</definedName>
    <definedName name="b" localSheetId="1">#REF!</definedName>
    <definedName name="b" localSheetId="5">#REF!</definedName>
    <definedName name="b" localSheetId="4">#REF!</definedName>
    <definedName name="b">#REF!</definedName>
    <definedName name="BA_SUL">#N/A</definedName>
    <definedName name="BANCO_CENTRAL_DO_BRASIL" localSheetId="3">#REF!</definedName>
    <definedName name="BANCO_CENTRAL_DO_BRASIL" localSheetId="1">#REF!</definedName>
    <definedName name="BANCO_CENTRAL_DO_BRASIL" localSheetId="9">#REF!</definedName>
    <definedName name="BANCO_CENTRAL_DO_BRASIL" localSheetId="5">#REF!</definedName>
    <definedName name="BANCO_CENTRAL_DO_BRASIL" localSheetId="4">#REF!</definedName>
    <definedName name="BANCO_CENTRAL_DO_BRASIL">#REF!</definedName>
    <definedName name="_xlnm.Database" localSheetId="3">#REF!</definedName>
    <definedName name="_xlnm.Database" localSheetId="1">#REF!</definedName>
    <definedName name="_xlnm.Database" localSheetId="9">#REF!</definedName>
    <definedName name="_xlnm.Database" localSheetId="5">#REF!</definedName>
    <definedName name="_xlnm.Database">#REF!</definedName>
    <definedName name="BANRORAIMA_PMBOAVISTA" localSheetId="3">#REF!</definedName>
    <definedName name="BANRORAIMA_PMBOAVISTA" localSheetId="1">#REF!</definedName>
    <definedName name="BANRORAIMA_PMBOAVISTA" localSheetId="9">#REF!</definedName>
    <definedName name="BANRORAIMA_PMBOAVISTA" localSheetId="5">#REF!</definedName>
    <definedName name="BANRORAIMA_PMBOAVISTA">#REF!</definedName>
    <definedName name="BD" localSheetId="3">#REF!</definedName>
    <definedName name="BD" localSheetId="1">#REF!</definedName>
    <definedName name="BD" localSheetId="5">#REF!</definedName>
    <definedName name="BD">#REF!</definedName>
    <definedName name="BEN_ES_RJ_SUL_CO_80" localSheetId="3">#REF!</definedName>
    <definedName name="BEN_ES_RJ_SUL_CO_80" localSheetId="1">#REF!</definedName>
    <definedName name="BEN_ES_RJ_SUL_CO_80" localSheetId="5">#REF!</definedName>
    <definedName name="BEN_ES_RJ_SUL_CO_80">#REF!</definedName>
    <definedName name="BL" localSheetId="3" hidden="1">#REF!</definedName>
    <definedName name="BL" hidden="1">#REF!</definedName>
    <definedName name="BLhj" localSheetId="3" hidden="1">#REF!</definedName>
    <definedName name="BLhj" hidden="1">#REF!</definedName>
    <definedName name="blph" hidden="1">'[15]dados gas '!#REF!</definedName>
    <definedName name="BLPH1" localSheetId="3" hidden="1">#REF!</definedName>
    <definedName name="BLPH1" localSheetId="1" hidden="1">#REF!</definedName>
    <definedName name="BLPH1" localSheetId="5" hidden="1">#REF!</definedName>
    <definedName name="BLPH1" localSheetId="4" hidden="1">#REF!</definedName>
    <definedName name="BLPH1" hidden="1">#REF!</definedName>
    <definedName name="BLPH10" localSheetId="3" hidden="1">#REF!</definedName>
    <definedName name="BLPH10" localSheetId="1" hidden="1">#REF!</definedName>
    <definedName name="BLPH10" localSheetId="5" hidden="1">#REF!</definedName>
    <definedName name="BLPH10" hidden="1">#REF!</definedName>
    <definedName name="BLPH100" localSheetId="3" hidden="1">#REF!</definedName>
    <definedName name="BLPH100" localSheetId="1" hidden="1">#REF!</definedName>
    <definedName name="BLPH100" localSheetId="5" hidden="1">#REF!</definedName>
    <definedName name="BLPH100" hidden="1">#REF!</definedName>
    <definedName name="BLPH101" localSheetId="3" hidden="1">#REF!</definedName>
    <definedName name="BLPH101" localSheetId="1" hidden="1">#REF!</definedName>
    <definedName name="BLPH101" localSheetId="5" hidden="1">#REF!</definedName>
    <definedName name="BLPH101" hidden="1">#REF!</definedName>
    <definedName name="BLPH102" localSheetId="3" hidden="1">#REF!</definedName>
    <definedName name="BLPH102" localSheetId="1" hidden="1">#REF!</definedName>
    <definedName name="BLPH102" localSheetId="5" hidden="1">#REF!</definedName>
    <definedName name="BLPH102" hidden="1">#REF!</definedName>
    <definedName name="BLPH103" localSheetId="3" hidden="1">#REF!</definedName>
    <definedName name="BLPH103" localSheetId="1" hidden="1">#REF!</definedName>
    <definedName name="BLPH103" localSheetId="5" hidden="1">#REF!</definedName>
    <definedName name="BLPH103" hidden="1">#REF!</definedName>
    <definedName name="BLPH104" localSheetId="3" hidden="1">#REF!</definedName>
    <definedName name="BLPH104" localSheetId="1" hidden="1">#REF!</definedName>
    <definedName name="BLPH104" localSheetId="5" hidden="1">#REF!</definedName>
    <definedName name="BLPH104" hidden="1">#REF!</definedName>
    <definedName name="BLPH105" localSheetId="3" hidden="1">#REF!</definedName>
    <definedName name="BLPH105" localSheetId="1" hidden="1">#REF!</definedName>
    <definedName name="BLPH105" localSheetId="5" hidden="1">#REF!</definedName>
    <definedName name="BLPH105" hidden="1">#REF!</definedName>
    <definedName name="BLPH106" localSheetId="3" hidden="1">#REF!</definedName>
    <definedName name="BLPH106" localSheetId="1" hidden="1">#REF!</definedName>
    <definedName name="BLPH106" localSheetId="5" hidden="1">#REF!</definedName>
    <definedName name="BLPH106" hidden="1">#REF!</definedName>
    <definedName name="BLPH107" localSheetId="3" hidden="1">#REF!</definedName>
    <definedName name="BLPH107" localSheetId="1" hidden="1">#REF!</definedName>
    <definedName name="BLPH107" localSheetId="5" hidden="1">#REF!</definedName>
    <definedName name="BLPH107" hidden="1">#REF!</definedName>
    <definedName name="BLPH108" localSheetId="3" hidden="1">#REF!</definedName>
    <definedName name="BLPH108" localSheetId="1" hidden="1">#REF!</definedName>
    <definedName name="BLPH108" localSheetId="5" hidden="1">#REF!</definedName>
    <definedName name="BLPH108" hidden="1">#REF!</definedName>
    <definedName name="BLPH109" localSheetId="3" hidden="1">#REF!</definedName>
    <definedName name="BLPH109" localSheetId="1" hidden="1">#REF!</definedName>
    <definedName name="BLPH109" localSheetId="5" hidden="1">#REF!</definedName>
    <definedName name="BLPH109" hidden="1">#REF!</definedName>
    <definedName name="BLPH11" localSheetId="3" hidden="1">#REF!</definedName>
    <definedName name="BLPH11" localSheetId="1" hidden="1">#REF!</definedName>
    <definedName name="BLPH11" localSheetId="5" hidden="1">#REF!</definedName>
    <definedName name="BLPH11" hidden="1">#REF!</definedName>
    <definedName name="BLPH111" localSheetId="3" hidden="1">#REF!</definedName>
    <definedName name="BLPH111" localSheetId="1" hidden="1">#REF!</definedName>
    <definedName name="BLPH111" localSheetId="5" hidden="1">#REF!</definedName>
    <definedName name="BLPH111" hidden="1">#REF!</definedName>
    <definedName name="BLPH112" localSheetId="3" hidden="1">#REF!</definedName>
    <definedName name="BLPH112" localSheetId="1" hidden="1">#REF!</definedName>
    <definedName name="BLPH112" localSheetId="5" hidden="1">#REF!</definedName>
    <definedName name="BLPH112" hidden="1">#REF!</definedName>
    <definedName name="BLPH113" localSheetId="3" hidden="1">#REF!</definedName>
    <definedName name="BLPH113" localSheetId="1" hidden="1">#REF!</definedName>
    <definedName name="BLPH113" localSheetId="5" hidden="1">#REF!</definedName>
    <definedName name="BLPH113" hidden="1">#REF!</definedName>
    <definedName name="BLPH114" localSheetId="3" hidden="1">#REF!</definedName>
    <definedName name="BLPH114" localSheetId="1" hidden="1">#REF!</definedName>
    <definedName name="BLPH114" localSheetId="5" hidden="1">#REF!</definedName>
    <definedName name="BLPH114" hidden="1">#REF!</definedName>
    <definedName name="BLPH115" localSheetId="3" hidden="1">#REF!</definedName>
    <definedName name="BLPH115" localSheetId="1" hidden="1">#REF!</definedName>
    <definedName name="BLPH115" localSheetId="5" hidden="1">#REF!</definedName>
    <definedName name="BLPH115" hidden="1">#REF!</definedName>
    <definedName name="BLPH116" localSheetId="3" hidden="1">#REF!</definedName>
    <definedName name="BLPH116" localSheetId="1" hidden="1">#REF!</definedName>
    <definedName name="BLPH116" localSheetId="5" hidden="1">#REF!</definedName>
    <definedName name="BLPH116" hidden="1">#REF!</definedName>
    <definedName name="BLPH117" localSheetId="3" hidden="1">#REF!</definedName>
    <definedName name="BLPH117" localSheetId="1" hidden="1">#REF!</definedName>
    <definedName name="BLPH117" localSheetId="5" hidden="1">#REF!</definedName>
    <definedName name="BLPH117" hidden="1">#REF!</definedName>
    <definedName name="BLPH118" localSheetId="3" hidden="1">#REF!</definedName>
    <definedName name="BLPH118" localSheetId="1" hidden="1">#REF!</definedName>
    <definedName name="BLPH118" localSheetId="5" hidden="1">#REF!</definedName>
    <definedName name="BLPH118" hidden="1">#REF!</definedName>
    <definedName name="BLPH119" localSheetId="3" hidden="1">#REF!</definedName>
    <definedName name="BLPH119" localSheetId="1" hidden="1">#REF!</definedName>
    <definedName name="BLPH119" localSheetId="5" hidden="1">#REF!</definedName>
    <definedName name="BLPH119" hidden="1">#REF!</definedName>
    <definedName name="BLPH12" localSheetId="3" hidden="1">#REF!</definedName>
    <definedName name="BLPH12" localSheetId="1" hidden="1">#REF!</definedName>
    <definedName name="BLPH12" localSheetId="5" hidden="1">#REF!</definedName>
    <definedName name="BLPH12" hidden="1">#REF!</definedName>
    <definedName name="BLPH120" localSheetId="3" hidden="1">#REF!</definedName>
    <definedName name="BLPH120" localSheetId="1" hidden="1">#REF!</definedName>
    <definedName name="BLPH120" localSheetId="5" hidden="1">#REF!</definedName>
    <definedName name="BLPH120" hidden="1">#REF!</definedName>
    <definedName name="BLPH121" localSheetId="3" hidden="1">#REF!</definedName>
    <definedName name="BLPH121" localSheetId="1" hidden="1">#REF!</definedName>
    <definedName name="BLPH121" localSheetId="5" hidden="1">#REF!</definedName>
    <definedName name="BLPH121" hidden="1">#REF!</definedName>
    <definedName name="BLPH122" localSheetId="3" hidden="1">#REF!</definedName>
    <definedName name="BLPH122" localSheetId="1" hidden="1">#REF!</definedName>
    <definedName name="BLPH122" localSheetId="5" hidden="1">#REF!</definedName>
    <definedName name="BLPH122" hidden="1">#REF!</definedName>
    <definedName name="BLPH123" localSheetId="3" hidden="1">#REF!</definedName>
    <definedName name="BLPH123" localSheetId="1" hidden="1">#REF!</definedName>
    <definedName name="BLPH123" localSheetId="5" hidden="1">#REF!</definedName>
    <definedName name="BLPH123" hidden="1">#REF!</definedName>
    <definedName name="BLPH124" localSheetId="3" hidden="1">#REF!</definedName>
    <definedName name="BLPH124" localSheetId="1" hidden="1">#REF!</definedName>
    <definedName name="BLPH124" localSheetId="5" hidden="1">#REF!</definedName>
    <definedName name="BLPH124" hidden="1">#REF!</definedName>
    <definedName name="BLPH125" localSheetId="3" hidden="1">#REF!</definedName>
    <definedName name="BLPH125" localSheetId="1" hidden="1">#REF!</definedName>
    <definedName name="BLPH125" localSheetId="5" hidden="1">#REF!</definedName>
    <definedName name="BLPH125" hidden="1">#REF!</definedName>
    <definedName name="BLPH126" localSheetId="3" hidden="1">#REF!</definedName>
    <definedName name="BLPH126" localSheetId="1" hidden="1">#REF!</definedName>
    <definedName name="BLPH126" localSheetId="5" hidden="1">#REF!</definedName>
    <definedName name="BLPH126" hidden="1">#REF!</definedName>
    <definedName name="BLPH127" localSheetId="3" hidden="1">#REF!</definedName>
    <definedName name="BLPH127" localSheetId="1" hidden="1">#REF!</definedName>
    <definedName name="BLPH127" localSheetId="5" hidden="1">#REF!</definedName>
    <definedName name="BLPH127" hidden="1">#REF!</definedName>
    <definedName name="BLPH128" localSheetId="3" hidden="1">#REF!</definedName>
    <definedName name="BLPH128" localSheetId="1" hidden="1">#REF!</definedName>
    <definedName name="BLPH128" localSheetId="5" hidden="1">#REF!</definedName>
    <definedName name="BLPH128" hidden="1">#REF!</definedName>
    <definedName name="BLPH129" localSheetId="3" hidden="1">#REF!</definedName>
    <definedName name="BLPH129" localSheetId="1" hidden="1">#REF!</definedName>
    <definedName name="BLPH129" localSheetId="5" hidden="1">#REF!</definedName>
    <definedName name="BLPH129" hidden="1">#REF!</definedName>
    <definedName name="BLPH13" localSheetId="3" hidden="1">#REF!</definedName>
    <definedName name="BLPH13" localSheetId="1" hidden="1">#REF!</definedName>
    <definedName name="BLPH13" localSheetId="5" hidden="1">#REF!</definedName>
    <definedName name="BLPH13" hidden="1">#REF!</definedName>
    <definedName name="BLPH130" localSheetId="3" hidden="1">#REF!</definedName>
    <definedName name="BLPH130" localSheetId="1" hidden="1">#REF!</definedName>
    <definedName name="BLPH130" localSheetId="5" hidden="1">#REF!</definedName>
    <definedName name="BLPH130" hidden="1">#REF!</definedName>
    <definedName name="BLPH131" localSheetId="3" hidden="1">#REF!</definedName>
    <definedName name="BLPH131" localSheetId="1" hidden="1">#REF!</definedName>
    <definedName name="BLPH131" localSheetId="5" hidden="1">#REF!</definedName>
    <definedName name="BLPH131" hidden="1">#REF!</definedName>
    <definedName name="BLPH132" localSheetId="3" hidden="1">#REF!</definedName>
    <definedName name="BLPH132" localSheetId="1" hidden="1">#REF!</definedName>
    <definedName name="BLPH132" localSheetId="5" hidden="1">#REF!</definedName>
    <definedName name="BLPH132" hidden="1">#REF!</definedName>
    <definedName name="BLPH133" localSheetId="3" hidden="1">#REF!</definedName>
    <definedName name="BLPH133" localSheetId="1" hidden="1">#REF!</definedName>
    <definedName name="BLPH133" localSheetId="5" hidden="1">#REF!</definedName>
    <definedName name="BLPH133" hidden="1">#REF!</definedName>
    <definedName name="BLPH134" localSheetId="3" hidden="1">#REF!</definedName>
    <definedName name="BLPH134" localSheetId="1" hidden="1">#REF!</definedName>
    <definedName name="BLPH134" localSheetId="5" hidden="1">#REF!</definedName>
    <definedName name="BLPH134" hidden="1">#REF!</definedName>
    <definedName name="BLPH135" localSheetId="3" hidden="1">#REF!</definedName>
    <definedName name="BLPH135" localSheetId="1" hidden="1">#REF!</definedName>
    <definedName name="BLPH135" localSheetId="5" hidden="1">#REF!</definedName>
    <definedName name="BLPH135" hidden="1">#REF!</definedName>
    <definedName name="BLPH136" localSheetId="3" hidden="1">#REF!</definedName>
    <definedName name="BLPH136" localSheetId="1" hidden="1">#REF!</definedName>
    <definedName name="BLPH136" localSheetId="5" hidden="1">#REF!</definedName>
    <definedName name="BLPH136" hidden="1">#REF!</definedName>
    <definedName name="BLPH137" localSheetId="3" hidden="1">#REF!</definedName>
    <definedName name="BLPH137" localSheetId="1" hidden="1">#REF!</definedName>
    <definedName name="BLPH137" localSheetId="5" hidden="1">#REF!</definedName>
    <definedName name="BLPH137" hidden="1">#REF!</definedName>
    <definedName name="BLPH138" localSheetId="3" hidden="1">#REF!</definedName>
    <definedName name="BLPH138" localSheetId="1" hidden="1">#REF!</definedName>
    <definedName name="BLPH138" localSheetId="5" hidden="1">#REF!</definedName>
    <definedName name="BLPH138" hidden="1">#REF!</definedName>
    <definedName name="BLPH139" localSheetId="3" hidden="1">#REF!</definedName>
    <definedName name="BLPH139" localSheetId="1" hidden="1">#REF!</definedName>
    <definedName name="BLPH139" localSheetId="5" hidden="1">#REF!</definedName>
    <definedName name="BLPH139" hidden="1">#REF!</definedName>
    <definedName name="BLPH14" localSheetId="3" hidden="1">#REF!</definedName>
    <definedName name="BLPH14" localSheetId="1" hidden="1">#REF!</definedName>
    <definedName name="BLPH14" localSheetId="5" hidden="1">#REF!</definedName>
    <definedName name="BLPH14" hidden="1">#REF!</definedName>
    <definedName name="BLPH140" localSheetId="3" hidden="1">#REF!</definedName>
    <definedName name="BLPH140" localSheetId="1" hidden="1">#REF!</definedName>
    <definedName name="BLPH140" localSheetId="5" hidden="1">#REF!</definedName>
    <definedName name="BLPH140" hidden="1">#REF!</definedName>
    <definedName name="BLPH141" localSheetId="3" hidden="1">#REF!</definedName>
    <definedName name="BLPH141" localSheetId="1" hidden="1">#REF!</definedName>
    <definedName name="BLPH141" localSheetId="5" hidden="1">#REF!</definedName>
    <definedName name="BLPH141" hidden="1">#REF!</definedName>
    <definedName name="BLPH142" localSheetId="3" hidden="1">#REF!</definedName>
    <definedName name="BLPH142" localSheetId="1" hidden="1">#REF!</definedName>
    <definedName name="BLPH142" localSheetId="5" hidden="1">#REF!</definedName>
    <definedName name="BLPH142" hidden="1">#REF!</definedName>
    <definedName name="BLPH143" localSheetId="3" hidden="1">#REF!</definedName>
    <definedName name="BLPH143" localSheetId="1" hidden="1">#REF!</definedName>
    <definedName name="BLPH143" localSheetId="5" hidden="1">#REF!</definedName>
    <definedName name="BLPH143" hidden="1">#REF!</definedName>
    <definedName name="BLPH144" localSheetId="3" hidden="1">#REF!</definedName>
    <definedName name="BLPH144" localSheetId="1" hidden="1">#REF!</definedName>
    <definedName name="BLPH144" localSheetId="5" hidden="1">#REF!</definedName>
    <definedName name="BLPH144" hidden="1">#REF!</definedName>
    <definedName name="BLPH144B" localSheetId="3" hidden="1">#REF!</definedName>
    <definedName name="BLPH144B" localSheetId="1" hidden="1">#REF!</definedName>
    <definedName name="BLPH144B" localSheetId="5" hidden="1">#REF!</definedName>
    <definedName name="BLPH144B" hidden="1">#REF!</definedName>
    <definedName name="BLPH145" localSheetId="3" hidden="1">#REF!</definedName>
    <definedName name="BLPH145" localSheetId="1" hidden="1">#REF!</definedName>
    <definedName name="BLPH145" localSheetId="5" hidden="1">#REF!</definedName>
    <definedName name="BLPH145" hidden="1">#REF!</definedName>
    <definedName name="BLPH146" localSheetId="3" hidden="1">#REF!</definedName>
    <definedName name="BLPH146" localSheetId="1" hidden="1">#REF!</definedName>
    <definedName name="BLPH146" localSheetId="5" hidden="1">#REF!</definedName>
    <definedName name="BLPH146" hidden="1">#REF!</definedName>
    <definedName name="BLPH147" localSheetId="3" hidden="1">#REF!</definedName>
    <definedName name="BLPH147" localSheetId="1" hidden="1">#REF!</definedName>
    <definedName name="BLPH147" localSheetId="5" hidden="1">#REF!</definedName>
    <definedName name="BLPH147" hidden="1">#REF!</definedName>
    <definedName name="BLPH148" localSheetId="3" hidden="1">#REF!</definedName>
    <definedName name="BLPH148" localSheetId="1" hidden="1">#REF!</definedName>
    <definedName name="BLPH148" localSheetId="5" hidden="1">#REF!</definedName>
    <definedName name="BLPH148" hidden="1">#REF!</definedName>
    <definedName name="BLPH149" localSheetId="3" hidden="1">#REF!</definedName>
    <definedName name="BLPH149" localSheetId="1" hidden="1">#REF!</definedName>
    <definedName name="BLPH149" localSheetId="5" hidden="1">#REF!</definedName>
    <definedName name="BLPH149" hidden="1">#REF!</definedName>
    <definedName name="BLPH15" localSheetId="3" hidden="1">#REF!</definedName>
    <definedName name="BLPH15" localSheetId="1" hidden="1">#REF!</definedName>
    <definedName name="BLPH15" localSheetId="5" hidden="1">#REF!</definedName>
    <definedName name="BLPH15" hidden="1">#REF!</definedName>
    <definedName name="BLPH150" localSheetId="3" hidden="1">#REF!</definedName>
    <definedName name="BLPH150" localSheetId="1" hidden="1">#REF!</definedName>
    <definedName name="BLPH150" localSheetId="5" hidden="1">#REF!</definedName>
    <definedName name="BLPH150" hidden="1">#REF!</definedName>
    <definedName name="BLPH151" localSheetId="3" hidden="1">#REF!</definedName>
    <definedName name="BLPH151" localSheetId="1" hidden="1">#REF!</definedName>
    <definedName name="BLPH151" localSheetId="5" hidden="1">#REF!</definedName>
    <definedName name="BLPH151" hidden="1">#REF!</definedName>
    <definedName name="BLPH152" localSheetId="3" hidden="1">#REF!</definedName>
    <definedName name="BLPH152" localSheetId="1" hidden="1">#REF!</definedName>
    <definedName name="BLPH152" localSheetId="5" hidden="1">#REF!</definedName>
    <definedName name="BLPH152" hidden="1">#REF!</definedName>
    <definedName name="BLPH153" localSheetId="3" hidden="1">#REF!</definedName>
    <definedName name="BLPH153" localSheetId="1" hidden="1">#REF!</definedName>
    <definedName name="BLPH153" localSheetId="5" hidden="1">#REF!</definedName>
    <definedName name="BLPH153" hidden="1">#REF!</definedName>
    <definedName name="BLPH154" localSheetId="3" hidden="1">#REF!</definedName>
    <definedName name="BLPH154" localSheetId="1" hidden="1">#REF!</definedName>
    <definedName name="BLPH154" localSheetId="5" hidden="1">#REF!</definedName>
    <definedName name="BLPH154" hidden="1">#REF!</definedName>
    <definedName name="BLPH155" localSheetId="3" hidden="1">#REF!</definedName>
    <definedName name="BLPH155" localSheetId="1" hidden="1">#REF!</definedName>
    <definedName name="BLPH155" localSheetId="5" hidden="1">#REF!</definedName>
    <definedName name="BLPH155" hidden="1">#REF!</definedName>
    <definedName name="BLPH156" localSheetId="3" hidden="1">#REF!</definedName>
    <definedName name="BLPH156" localSheetId="1" hidden="1">#REF!</definedName>
    <definedName name="BLPH156" localSheetId="5" hidden="1">#REF!</definedName>
    <definedName name="BLPH156" hidden="1">#REF!</definedName>
    <definedName name="BLPH157" localSheetId="3" hidden="1">#REF!</definedName>
    <definedName name="BLPH157" localSheetId="1" hidden="1">#REF!</definedName>
    <definedName name="BLPH157" localSheetId="5" hidden="1">#REF!</definedName>
    <definedName name="BLPH157" hidden="1">#REF!</definedName>
    <definedName name="BLPH158" localSheetId="3" hidden="1">#REF!</definedName>
    <definedName name="BLPH158" localSheetId="1" hidden="1">#REF!</definedName>
    <definedName name="BLPH158" localSheetId="5" hidden="1">#REF!</definedName>
    <definedName name="BLPH158" hidden="1">#REF!</definedName>
    <definedName name="BLPH159" localSheetId="3" hidden="1">#REF!</definedName>
    <definedName name="BLPH159" localSheetId="1" hidden="1">#REF!</definedName>
    <definedName name="BLPH159" localSheetId="5" hidden="1">#REF!</definedName>
    <definedName name="BLPH159" hidden="1">#REF!</definedName>
    <definedName name="BLPH15B" localSheetId="3" hidden="1">#REF!</definedName>
    <definedName name="BLPH15B" localSheetId="1" hidden="1">#REF!</definedName>
    <definedName name="BLPH15B" localSheetId="5" hidden="1">#REF!</definedName>
    <definedName name="BLPH15B" hidden="1">#REF!</definedName>
    <definedName name="BLPH16" localSheetId="3" hidden="1">#REF!</definedName>
    <definedName name="BLPH16" localSheetId="1" hidden="1">#REF!</definedName>
    <definedName name="BLPH16" localSheetId="5" hidden="1">#REF!</definedName>
    <definedName name="BLPH16" hidden="1">#REF!</definedName>
    <definedName name="BLPH160" localSheetId="3" hidden="1">#REF!</definedName>
    <definedName name="BLPH160" localSheetId="1" hidden="1">#REF!</definedName>
    <definedName name="BLPH160" localSheetId="5" hidden="1">#REF!</definedName>
    <definedName name="BLPH160" hidden="1">#REF!</definedName>
    <definedName name="BLPH161" localSheetId="3" hidden="1">#REF!</definedName>
    <definedName name="BLPH161" localSheetId="1" hidden="1">#REF!</definedName>
    <definedName name="BLPH161" localSheetId="5" hidden="1">#REF!</definedName>
    <definedName name="BLPH161" hidden="1">#REF!</definedName>
    <definedName name="BLPH162" localSheetId="3" hidden="1">#REF!</definedName>
    <definedName name="BLPH162" localSheetId="1" hidden="1">#REF!</definedName>
    <definedName name="BLPH162" localSheetId="5" hidden="1">#REF!</definedName>
    <definedName name="BLPH162" hidden="1">#REF!</definedName>
    <definedName name="BLPH163" localSheetId="3" hidden="1">#REF!</definedName>
    <definedName name="BLPH163" localSheetId="1" hidden="1">#REF!</definedName>
    <definedName name="BLPH163" localSheetId="5" hidden="1">#REF!</definedName>
    <definedName name="BLPH163" hidden="1">#REF!</definedName>
    <definedName name="BLPH164" localSheetId="3" hidden="1">#REF!</definedName>
    <definedName name="BLPH164" localSheetId="1" hidden="1">#REF!</definedName>
    <definedName name="BLPH164" localSheetId="5" hidden="1">#REF!</definedName>
    <definedName name="BLPH164" hidden="1">#REF!</definedName>
    <definedName name="BLPH165" localSheetId="3" hidden="1">#REF!</definedName>
    <definedName name="BLPH165" localSheetId="1" hidden="1">#REF!</definedName>
    <definedName name="BLPH165" localSheetId="5" hidden="1">#REF!</definedName>
    <definedName name="BLPH165" hidden="1">#REF!</definedName>
    <definedName name="BLPH166" localSheetId="3" hidden="1">#REF!</definedName>
    <definedName name="BLPH166" localSheetId="1" hidden="1">#REF!</definedName>
    <definedName name="BLPH166" localSheetId="5" hidden="1">#REF!</definedName>
    <definedName name="BLPH166" hidden="1">#REF!</definedName>
    <definedName name="BLPH167" localSheetId="3" hidden="1">#REF!</definedName>
    <definedName name="BLPH167" localSheetId="1" hidden="1">#REF!</definedName>
    <definedName name="BLPH167" localSheetId="5" hidden="1">#REF!</definedName>
    <definedName name="BLPH167" hidden="1">#REF!</definedName>
    <definedName name="BLPH168" localSheetId="3" hidden="1">#REF!</definedName>
    <definedName name="BLPH168" localSheetId="1" hidden="1">#REF!</definedName>
    <definedName name="BLPH168" localSheetId="5" hidden="1">#REF!</definedName>
    <definedName name="BLPH168" hidden="1">#REF!</definedName>
    <definedName name="BLPH169" localSheetId="3" hidden="1">#REF!</definedName>
    <definedName name="BLPH169" localSheetId="1" hidden="1">#REF!</definedName>
    <definedName name="BLPH169" localSheetId="5" hidden="1">#REF!</definedName>
    <definedName name="BLPH169" hidden="1">#REF!</definedName>
    <definedName name="BLPH17" localSheetId="3" hidden="1">#REF!</definedName>
    <definedName name="BLPH17" localSheetId="1" hidden="1">#REF!</definedName>
    <definedName name="BLPH17" localSheetId="5" hidden="1">#REF!</definedName>
    <definedName name="BLPH17" hidden="1">#REF!</definedName>
    <definedName name="BLPH170" localSheetId="3" hidden="1">#REF!</definedName>
    <definedName name="BLPH170" localSheetId="1" hidden="1">#REF!</definedName>
    <definedName name="BLPH170" localSheetId="5" hidden="1">#REF!</definedName>
    <definedName name="BLPH170" hidden="1">#REF!</definedName>
    <definedName name="BLPH171" localSheetId="3" hidden="1">#REF!</definedName>
    <definedName name="BLPH171" localSheetId="1" hidden="1">#REF!</definedName>
    <definedName name="BLPH171" localSheetId="5" hidden="1">#REF!</definedName>
    <definedName name="BLPH171" hidden="1">#REF!</definedName>
    <definedName name="BLPH172" localSheetId="3" hidden="1">#REF!</definedName>
    <definedName name="BLPH172" localSheetId="1" hidden="1">#REF!</definedName>
    <definedName name="BLPH172" localSheetId="5" hidden="1">#REF!</definedName>
    <definedName name="BLPH172" hidden="1">#REF!</definedName>
    <definedName name="BLPH173" localSheetId="3" hidden="1">#REF!</definedName>
    <definedName name="BLPH173" localSheetId="1" hidden="1">#REF!</definedName>
    <definedName name="BLPH173" localSheetId="5" hidden="1">#REF!</definedName>
    <definedName name="BLPH173" hidden="1">#REF!</definedName>
    <definedName name="BLPH174" localSheetId="3" hidden="1">#REF!</definedName>
    <definedName name="BLPH174" localSheetId="1" hidden="1">#REF!</definedName>
    <definedName name="BLPH174" localSheetId="5" hidden="1">#REF!</definedName>
    <definedName name="BLPH174" hidden="1">#REF!</definedName>
    <definedName name="BLPH175" localSheetId="3" hidden="1">#REF!</definedName>
    <definedName name="BLPH175" localSheetId="1" hidden="1">#REF!</definedName>
    <definedName name="BLPH175" localSheetId="5" hidden="1">#REF!</definedName>
    <definedName name="BLPH175" hidden="1">#REF!</definedName>
    <definedName name="BLPH176" localSheetId="3" hidden="1">#REF!</definedName>
    <definedName name="BLPH176" localSheetId="1" hidden="1">#REF!</definedName>
    <definedName name="BLPH176" localSheetId="5" hidden="1">#REF!</definedName>
    <definedName name="BLPH176" hidden="1">#REF!</definedName>
    <definedName name="BLPH177" localSheetId="3" hidden="1">#REF!</definedName>
    <definedName name="BLPH177" localSheetId="1" hidden="1">#REF!</definedName>
    <definedName name="BLPH177" localSheetId="5" hidden="1">#REF!</definedName>
    <definedName name="BLPH177" hidden="1">#REF!</definedName>
    <definedName name="BLPH178" localSheetId="3" hidden="1">#REF!</definedName>
    <definedName name="BLPH178" localSheetId="1" hidden="1">#REF!</definedName>
    <definedName name="BLPH178" localSheetId="5" hidden="1">#REF!</definedName>
    <definedName name="BLPH178" hidden="1">#REF!</definedName>
    <definedName name="BLPH179" localSheetId="3" hidden="1">#REF!</definedName>
    <definedName name="BLPH179" localSheetId="1" hidden="1">#REF!</definedName>
    <definedName name="BLPH179" localSheetId="5" hidden="1">#REF!</definedName>
    <definedName name="BLPH179" hidden="1">#REF!</definedName>
    <definedName name="BLPH18" localSheetId="3" hidden="1">#REF!</definedName>
    <definedName name="BLPH18" localSheetId="1" hidden="1">#REF!</definedName>
    <definedName name="BLPH18" localSheetId="5" hidden="1">#REF!</definedName>
    <definedName name="BLPH18" hidden="1">#REF!</definedName>
    <definedName name="BLPH180" localSheetId="3" hidden="1">#REF!</definedName>
    <definedName name="BLPH180" localSheetId="1" hidden="1">#REF!</definedName>
    <definedName name="BLPH180" localSheetId="5" hidden="1">#REF!</definedName>
    <definedName name="BLPH180" hidden="1">#REF!</definedName>
    <definedName name="BLPH181" localSheetId="3" hidden="1">#REF!</definedName>
    <definedName name="BLPH181" localSheetId="1" hidden="1">#REF!</definedName>
    <definedName name="BLPH181" localSheetId="5" hidden="1">#REF!</definedName>
    <definedName name="BLPH181" hidden="1">#REF!</definedName>
    <definedName name="BLPH182" localSheetId="3" hidden="1">#REF!</definedName>
    <definedName name="BLPH182" localSheetId="1" hidden="1">#REF!</definedName>
    <definedName name="BLPH182" localSheetId="5" hidden="1">#REF!</definedName>
    <definedName name="BLPH182" hidden="1">#REF!</definedName>
    <definedName name="BLPH183" localSheetId="3" hidden="1">#REF!</definedName>
    <definedName name="BLPH183" localSheetId="1" hidden="1">#REF!</definedName>
    <definedName name="BLPH183" localSheetId="5" hidden="1">#REF!</definedName>
    <definedName name="BLPH183" hidden="1">#REF!</definedName>
    <definedName name="BLPH184" localSheetId="3" hidden="1">#REF!</definedName>
    <definedName name="BLPH184" localSheetId="1" hidden="1">#REF!</definedName>
    <definedName name="BLPH184" localSheetId="5" hidden="1">#REF!</definedName>
    <definedName name="BLPH184" hidden="1">#REF!</definedName>
    <definedName name="BLPH185" localSheetId="3" hidden="1">#REF!</definedName>
    <definedName name="BLPH185" localSheetId="1" hidden="1">#REF!</definedName>
    <definedName name="BLPH185" localSheetId="5" hidden="1">#REF!</definedName>
    <definedName name="BLPH185" hidden="1">#REF!</definedName>
    <definedName name="BLPH186" localSheetId="3" hidden="1">#REF!</definedName>
    <definedName name="BLPH186" localSheetId="1" hidden="1">#REF!</definedName>
    <definedName name="BLPH186" localSheetId="5" hidden="1">#REF!</definedName>
    <definedName name="BLPH186" hidden="1">#REF!</definedName>
    <definedName name="BLPH187" localSheetId="3" hidden="1">#REF!</definedName>
    <definedName name="BLPH187" localSheetId="1" hidden="1">#REF!</definedName>
    <definedName name="BLPH187" localSheetId="5" hidden="1">#REF!</definedName>
    <definedName name="BLPH187" hidden="1">#REF!</definedName>
    <definedName name="BLPH188" localSheetId="3" hidden="1">#REF!</definedName>
    <definedName name="BLPH188" localSheetId="1" hidden="1">#REF!</definedName>
    <definedName name="BLPH188" localSheetId="5" hidden="1">#REF!</definedName>
    <definedName name="BLPH188" hidden="1">#REF!</definedName>
    <definedName name="BLPH189" localSheetId="3" hidden="1">#REF!</definedName>
    <definedName name="BLPH189" localSheetId="1" hidden="1">#REF!</definedName>
    <definedName name="BLPH189" localSheetId="5" hidden="1">#REF!</definedName>
    <definedName name="BLPH189" hidden="1">#REF!</definedName>
    <definedName name="BLPH19" localSheetId="3" hidden="1">#REF!</definedName>
    <definedName name="BLPH19" localSheetId="1" hidden="1">#REF!</definedName>
    <definedName name="BLPH19" localSheetId="5" hidden="1">#REF!</definedName>
    <definedName name="BLPH19" hidden="1">#REF!</definedName>
    <definedName name="BLPH190" localSheetId="3" hidden="1">#REF!</definedName>
    <definedName name="BLPH190" localSheetId="1" hidden="1">#REF!</definedName>
    <definedName name="BLPH190" localSheetId="5" hidden="1">#REF!</definedName>
    <definedName name="BLPH190" hidden="1">#REF!</definedName>
    <definedName name="BLPH191" localSheetId="3" hidden="1">#REF!</definedName>
    <definedName name="BLPH191" localSheetId="1" hidden="1">#REF!</definedName>
    <definedName name="BLPH191" localSheetId="5" hidden="1">#REF!</definedName>
    <definedName name="BLPH191" hidden="1">#REF!</definedName>
    <definedName name="BLPH192" localSheetId="3" hidden="1">#REF!</definedName>
    <definedName name="BLPH192" localSheetId="1" hidden="1">#REF!</definedName>
    <definedName name="BLPH192" localSheetId="5" hidden="1">#REF!</definedName>
    <definedName name="BLPH192" hidden="1">#REF!</definedName>
    <definedName name="BLPH193" localSheetId="3" hidden="1">#REF!</definedName>
    <definedName name="BLPH193" localSheetId="1" hidden="1">#REF!</definedName>
    <definedName name="BLPH193" localSheetId="5" hidden="1">#REF!</definedName>
    <definedName name="BLPH193" hidden="1">#REF!</definedName>
    <definedName name="BLPH194" localSheetId="3" hidden="1">#REF!</definedName>
    <definedName name="BLPH194" localSheetId="1" hidden="1">#REF!</definedName>
    <definedName name="BLPH194" localSheetId="5" hidden="1">#REF!</definedName>
    <definedName name="BLPH194" hidden="1">#REF!</definedName>
    <definedName name="BLPH195" localSheetId="3" hidden="1">#REF!</definedName>
    <definedName name="BLPH195" localSheetId="1" hidden="1">#REF!</definedName>
    <definedName name="BLPH195" localSheetId="5" hidden="1">#REF!</definedName>
    <definedName name="BLPH195" hidden="1">#REF!</definedName>
    <definedName name="BLPH196" localSheetId="3" hidden="1">#REF!</definedName>
    <definedName name="BLPH196" localSheetId="1" hidden="1">#REF!</definedName>
    <definedName name="BLPH196" localSheetId="5" hidden="1">#REF!</definedName>
    <definedName name="BLPH196" hidden="1">#REF!</definedName>
    <definedName name="BLPH197" localSheetId="3" hidden="1">#REF!</definedName>
    <definedName name="BLPH197" localSheetId="1" hidden="1">#REF!</definedName>
    <definedName name="BLPH197" localSheetId="5" hidden="1">#REF!</definedName>
    <definedName name="BLPH197" hidden="1">#REF!</definedName>
    <definedName name="BLPH198" localSheetId="3" hidden="1">#REF!</definedName>
    <definedName name="BLPH198" localSheetId="1" hidden="1">#REF!</definedName>
    <definedName name="BLPH198" localSheetId="5" hidden="1">#REF!</definedName>
    <definedName name="BLPH198" hidden="1">#REF!</definedName>
    <definedName name="BLPH199" localSheetId="3" hidden="1">#REF!</definedName>
    <definedName name="BLPH199" localSheetId="1" hidden="1">#REF!</definedName>
    <definedName name="BLPH199" localSheetId="5" hidden="1">#REF!</definedName>
    <definedName name="BLPH199" hidden="1">#REF!</definedName>
    <definedName name="BLPH19B" localSheetId="3" hidden="1">#REF!</definedName>
    <definedName name="BLPH19B" localSheetId="1" hidden="1">#REF!</definedName>
    <definedName name="BLPH19B" localSheetId="5" hidden="1">#REF!</definedName>
    <definedName name="BLPH19B" hidden="1">#REF!</definedName>
    <definedName name="BLPH2" localSheetId="3" hidden="1">#REF!</definedName>
    <definedName name="BLPH2" localSheetId="1" hidden="1">#REF!</definedName>
    <definedName name="BLPH2" localSheetId="5" hidden="1">#REF!</definedName>
    <definedName name="BLPH2" hidden="1">#REF!</definedName>
    <definedName name="BLPH20" localSheetId="3" hidden="1">#REF!</definedName>
    <definedName name="BLPH20" localSheetId="1" hidden="1">#REF!</definedName>
    <definedName name="BLPH20" localSheetId="5" hidden="1">#REF!</definedName>
    <definedName name="BLPH20" hidden="1">#REF!</definedName>
    <definedName name="BLPH200" localSheetId="3" hidden="1">#REF!</definedName>
    <definedName name="BLPH200" localSheetId="1" hidden="1">#REF!</definedName>
    <definedName name="BLPH200" localSheetId="5" hidden="1">#REF!</definedName>
    <definedName name="BLPH200" hidden="1">#REF!</definedName>
    <definedName name="BLPH201" localSheetId="3" hidden="1">#REF!</definedName>
    <definedName name="BLPH201" localSheetId="1" hidden="1">#REF!</definedName>
    <definedName name="BLPH201" localSheetId="5" hidden="1">#REF!</definedName>
    <definedName name="BLPH201" hidden="1">#REF!</definedName>
    <definedName name="BLPH202" localSheetId="3" hidden="1">#REF!</definedName>
    <definedName name="BLPH202" localSheetId="1" hidden="1">#REF!</definedName>
    <definedName name="BLPH202" localSheetId="5" hidden="1">#REF!</definedName>
    <definedName name="BLPH202" hidden="1">#REF!</definedName>
    <definedName name="BLPH203" localSheetId="3" hidden="1">#REF!</definedName>
    <definedName name="BLPH203" localSheetId="1" hidden="1">#REF!</definedName>
    <definedName name="BLPH203" localSheetId="5" hidden="1">#REF!</definedName>
    <definedName name="BLPH203" hidden="1">#REF!</definedName>
    <definedName name="BLPH204" localSheetId="3" hidden="1">#REF!</definedName>
    <definedName name="BLPH204" localSheetId="1" hidden="1">#REF!</definedName>
    <definedName name="BLPH204" localSheetId="5" hidden="1">#REF!</definedName>
    <definedName name="BLPH204" hidden="1">#REF!</definedName>
    <definedName name="BLPH205" localSheetId="3" hidden="1">#REF!</definedName>
    <definedName name="BLPH205" localSheetId="1" hidden="1">#REF!</definedName>
    <definedName name="BLPH205" localSheetId="5" hidden="1">#REF!</definedName>
    <definedName name="BLPH205" hidden="1">#REF!</definedName>
    <definedName name="BLPH206" localSheetId="3" hidden="1">#REF!</definedName>
    <definedName name="BLPH206" localSheetId="1" hidden="1">#REF!</definedName>
    <definedName name="BLPH206" localSheetId="5" hidden="1">#REF!</definedName>
    <definedName name="BLPH206" hidden="1">#REF!</definedName>
    <definedName name="BLPH207" localSheetId="3" hidden="1">#REF!</definedName>
    <definedName name="BLPH207" localSheetId="1" hidden="1">#REF!</definedName>
    <definedName name="BLPH207" localSheetId="5" hidden="1">#REF!</definedName>
    <definedName name="BLPH207" hidden="1">#REF!</definedName>
    <definedName name="BLPH208" localSheetId="3" hidden="1">#REF!</definedName>
    <definedName name="BLPH208" localSheetId="1" hidden="1">#REF!</definedName>
    <definedName name="BLPH208" localSheetId="5" hidden="1">#REF!</definedName>
    <definedName name="BLPH208" hidden="1">#REF!</definedName>
    <definedName name="BLPH209" localSheetId="3" hidden="1">#REF!</definedName>
    <definedName name="BLPH209" localSheetId="1" hidden="1">#REF!</definedName>
    <definedName name="BLPH209" localSheetId="5" hidden="1">#REF!</definedName>
    <definedName name="BLPH209" hidden="1">#REF!</definedName>
    <definedName name="BLPH21" localSheetId="3" hidden="1">#REF!</definedName>
    <definedName name="BLPH21" localSheetId="1" hidden="1">#REF!</definedName>
    <definedName name="BLPH21" localSheetId="5" hidden="1">#REF!</definedName>
    <definedName name="BLPH21" hidden="1">#REF!</definedName>
    <definedName name="BLPH210" localSheetId="3" hidden="1">#REF!</definedName>
    <definedName name="BLPH210" localSheetId="1" hidden="1">#REF!</definedName>
    <definedName name="BLPH210" localSheetId="5" hidden="1">#REF!</definedName>
    <definedName name="BLPH210" hidden="1">#REF!</definedName>
    <definedName name="BLPH211" localSheetId="3" hidden="1">#REF!</definedName>
    <definedName name="BLPH211" localSheetId="1" hidden="1">#REF!</definedName>
    <definedName name="BLPH211" localSheetId="5" hidden="1">#REF!</definedName>
    <definedName name="BLPH211" hidden="1">#REF!</definedName>
    <definedName name="BLPH212" localSheetId="3" hidden="1">#REF!</definedName>
    <definedName name="BLPH212" localSheetId="1" hidden="1">#REF!</definedName>
    <definedName name="BLPH212" localSheetId="5" hidden="1">#REF!</definedName>
    <definedName name="BLPH212" hidden="1">#REF!</definedName>
    <definedName name="BLPH213" localSheetId="3" hidden="1">#REF!</definedName>
    <definedName name="BLPH213" localSheetId="1" hidden="1">#REF!</definedName>
    <definedName name="BLPH213" localSheetId="5" hidden="1">#REF!</definedName>
    <definedName name="BLPH213" hidden="1">#REF!</definedName>
    <definedName name="BLPH22" localSheetId="3" hidden="1">#REF!</definedName>
    <definedName name="BLPH22" localSheetId="1" hidden="1">#REF!</definedName>
    <definedName name="BLPH22" localSheetId="5" hidden="1">#REF!</definedName>
    <definedName name="BLPH22" hidden="1">#REF!</definedName>
    <definedName name="BLPH23" localSheetId="3" hidden="1">#REF!</definedName>
    <definedName name="BLPH23" localSheetId="1" hidden="1">#REF!</definedName>
    <definedName name="BLPH23" localSheetId="5" hidden="1">#REF!</definedName>
    <definedName name="BLPH23" hidden="1">#REF!</definedName>
    <definedName name="BLPH24" localSheetId="3" hidden="1">#REF!</definedName>
    <definedName name="BLPH24" localSheetId="1" hidden="1">#REF!</definedName>
    <definedName name="BLPH24" localSheetId="5" hidden="1">#REF!</definedName>
    <definedName name="BLPH24" hidden="1">#REF!</definedName>
    <definedName name="BLPH25" localSheetId="3" hidden="1">#REF!</definedName>
    <definedName name="BLPH25" localSheetId="1" hidden="1">#REF!</definedName>
    <definedName name="BLPH25" localSheetId="5" hidden="1">#REF!</definedName>
    <definedName name="BLPH25" hidden="1">#REF!</definedName>
    <definedName name="BLPH26" localSheetId="3" hidden="1">#REF!</definedName>
    <definedName name="BLPH26" localSheetId="1" hidden="1">#REF!</definedName>
    <definedName name="BLPH26" localSheetId="5" hidden="1">#REF!</definedName>
    <definedName name="BLPH26" hidden="1">#REF!</definedName>
    <definedName name="BLPH27" localSheetId="3" hidden="1">#REF!</definedName>
    <definedName name="BLPH27" localSheetId="1" hidden="1">#REF!</definedName>
    <definedName name="BLPH27" localSheetId="5" hidden="1">#REF!</definedName>
    <definedName name="BLPH27" hidden="1">#REF!</definedName>
    <definedName name="BLPH28" localSheetId="3" hidden="1">#REF!</definedName>
    <definedName name="BLPH28" localSheetId="1" hidden="1">#REF!</definedName>
    <definedName name="BLPH28" localSheetId="5" hidden="1">#REF!</definedName>
    <definedName name="BLPH28" hidden="1">#REF!</definedName>
    <definedName name="BLPH29" localSheetId="3" hidden="1">#REF!</definedName>
    <definedName name="BLPH29" localSheetId="1" hidden="1">#REF!</definedName>
    <definedName name="BLPH29" localSheetId="5" hidden="1">#REF!</definedName>
    <definedName name="BLPH29" hidden="1">#REF!</definedName>
    <definedName name="BLPH3" localSheetId="3" hidden="1">#REF!</definedName>
    <definedName name="BLPH3" localSheetId="1" hidden="1">#REF!</definedName>
    <definedName name="BLPH3" localSheetId="5" hidden="1">#REF!</definedName>
    <definedName name="BLPH3" hidden="1">#REF!</definedName>
    <definedName name="BLPH30" localSheetId="3" hidden="1">#REF!</definedName>
    <definedName name="BLPH30" localSheetId="1" hidden="1">#REF!</definedName>
    <definedName name="BLPH30" localSheetId="5" hidden="1">#REF!</definedName>
    <definedName name="BLPH30" hidden="1">#REF!</definedName>
    <definedName name="BLPH31" localSheetId="3" hidden="1">#REF!</definedName>
    <definedName name="BLPH31" localSheetId="1" hidden="1">#REF!</definedName>
    <definedName name="BLPH31" localSheetId="5" hidden="1">#REF!</definedName>
    <definedName name="BLPH31" hidden="1">#REF!</definedName>
    <definedName name="BLPH32" localSheetId="3" hidden="1">#REF!</definedName>
    <definedName name="BLPH32" localSheetId="1" hidden="1">#REF!</definedName>
    <definedName name="BLPH32" localSheetId="5" hidden="1">#REF!</definedName>
    <definedName name="BLPH32" hidden="1">#REF!</definedName>
    <definedName name="BLPH33" localSheetId="3" hidden="1">#REF!</definedName>
    <definedName name="BLPH33" localSheetId="1" hidden="1">#REF!</definedName>
    <definedName name="BLPH33" localSheetId="5" hidden="1">#REF!</definedName>
    <definedName name="BLPH33" hidden="1">#REF!</definedName>
    <definedName name="BLPH34" localSheetId="3" hidden="1">#REF!</definedName>
    <definedName name="BLPH34" localSheetId="1" hidden="1">#REF!</definedName>
    <definedName name="BLPH34" localSheetId="5" hidden="1">#REF!</definedName>
    <definedName name="BLPH34" hidden="1">#REF!</definedName>
    <definedName name="BLPH35" localSheetId="3" hidden="1">#REF!</definedName>
    <definedName name="BLPH35" localSheetId="1" hidden="1">#REF!</definedName>
    <definedName name="BLPH35" localSheetId="5" hidden="1">#REF!</definedName>
    <definedName name="BLPH35" hidden="1">#REF!</definedName>
    <definedName name="BLPH36" localSheetId="3" hidden="1">#REF!</definedName>
    <definedName name="BLPH36" localSheetId="1" hidden="1">#REF!</definedName>
    <definedName name="BLPH36" localSheetId="5" hidden="1">#REF!</definedName>
    <definedName name="BLPH36" hidden="1">#REF!</definedName>
    <definedName name="BLPH37" localSheetId="3" hidden="1">#REF!</definedName>
    <definedName name="BLPH37" localSheetId="1" hidden="1">#REF!</definedName>
    <definedName name="BLPH37" localSheetId="5" hidden="1">#REF!</definedName>
    <definedName name="BLPH37" hidden="1">#REF!</definedName>
    <definedName name="BLPH38" localSheetId="3" hidden="1">#REF!</definedName>
    <definedName name="BLPH38" localSheetId="1" hidden="1">#REF!</definedName>
    <definedName name="BLPH38" localSheetId="5" hidden="1">#REF!</definedName>
    <definedName name="BLPH38" hidden="1">#REF!</definedName>
    <definedName name="BLPH39" localSheetId="3" hidden="1">#REF!</definedName>
    <definedName name="BLPH39" localSheetId="1" hidden="1">#REF!</definedName>
    <definedName name="BLPH39" localSheetId="5" hidden="1">#REF!</definedName>
    <definedName name="BLPH39" hidden="1">#REF!</definedName>
    <definedName name="BLPH4" localSheetId="3" hidden="1">#REF!</definedName>
    <definedName name="BLPH4" localSheetId="1" hidden="1">#REF!</definedName>
    <definedName name="BLPH4" localSheetId="5" hidden="1">#REF!</definedName>
    <definedName name="BLPH4" hidden="1">#REF!</definedName>
    <definedName name="BLPH40" localSheetId="3" hidden="1">#REF!</definedName>
    <definedName name="BLPH40" localSheetId="1" hidden="1">#REF!</definedName>
    <definedName name="BLPH40" localSheetId="5" hidden="1">#REF!</definedName>
    <definedName name="BLPH40" hidden="1">#REF!</definedName>
    <definedName name="BLPH41" localSheetId="3" hidden="1">#REF!</definedName>
    <definedName name="BLPH41" localSheetId="1" hidden="1">#REF!</definedName>
    <definedName name="BLPH41" localSheetId="5" hidden="1">#REF!</definedName>
    <definedName name="BLPH41" hidden="1">#REF!</definedName>
    <definedName name="BLPH42" localSheetId="3" hidden="1">#REF!</definedName>
    <definedName name="BLPH42" localSheetId="1" hidden="1">#REF!</definedName>
    <definedName name="BLPH42" localSheetId="5" hidden="1">#REF!</definedName>
    <definedName name="BLPH42" hidden="1">#REF!</definedName>
    <definedName name="BLPH43" localSheetId="3" hidden="1">#REF!</definedName>
    <definedName name="BLPH43" localSheetId="1" hidden="1">#REF!</definedName>
    <definedName name="BLPH43" localSheetId="5" hidden="1">#REF!</definedName>
    <definedName name="BLPH43" hidden="1">#REF!</definedName>
    <definedName name="BLPH44" localSheetId="3" hidden="1">#REF!</definedName>
    <definedName name="BLPH44" localSheetId="1" hidden="1">#REF!</definedName>
    <definedName name="BLPH44" localSheetId="5" hidden="1">#REF!</definedName>
    <definedName name="BLPH44" hidden="1">#REF!</definedName>
    <definedName name="BLPH45" localSheetId="3" hidden="1">#REF!</definedName>
    <definedName name="BLPH45" localSheetId="1" hidden="1">#REF!</definedName>
    <definedName name="BLPH45" localSheetId="5" hidden="1">#REF!</definedName>
    <definedName name="BLPH45" hidden="1">#REF!</definedName>
    <definedName name="BLPH46" localSheetId="3" hidden="1">#REF!</definedName>
    <definedName name="BLPH46" localSheetId="1" hidden="1">#REF!</definedName>
    <definedName name="BLPH46" localSheetId="5" hidden="1">#REF!</definedName>
    <definedName name="BLPH46" hidden="1">#REF!</definedName>
    <definedName name="BLPH47" localSheetId="3" hidden="1">#REF!</definedName>
    <definedName name="BLPH47" localSheetId="1" hidden="1">#REF!</definedName>
    <definedName name="BLPH47" localSheetId="5" hidden="1">#REF!</definedName>
    <definedName name="BLPH47" hidden="1">#REF!</definedName>
    <definedName name="BLPH48" localSheetId="3" hidden="1">#REF!</definedName>
    <definedName name="BLPH48" localSheetId="1" hidden="1">#REF!</definedName>
    <definedName name="BLPH48" localSheetId="5" hidden="1">#REF!</definedName>
    <definedName name="BLPH48" hidden="1">#REF!</definedName>
    <definedName name="BLPH49" localSheetId="3" hidden="1">#REF!</definedName>
    <definedName name="BLPH49" localSheetId="1" hidden="1">#REF!</definedName>
    <definedName name="BLPH49" localSheetId="5" hidden="1">#REF!</definedName>
    <definedName name="BLPH49" hidden="1">#REF!</definedName>
    <definedName name="BLPH5" localSheetId="3" hidden="1">#REF!</definedName>
    <definedName name="BLPH5" localSheetId="1" hidden="1">#REF!</definedName>
    <definedName name="BLPH5" localSheetId="5" hidden="1">#REF!</definedName>
    <definedName name="BLPH5" hidden="1">#REF!</definedName>
    <definedName name="BLPH50" localSheetId="3" hidden="1">#REF!</definedName>
    <definedName name="BLPH50" localSheetId="1" hidden="1">#REF!</definedName>
    <definedName name="BLPH50" localSheetId="5" hidden="1">#REF!</definedName>
    <definedName name="BLPH50" hidden="1">#REF!</definedName>
    <definedName name="BLPH51" localSheetId="3" hidden="1">#REF!</definedName>
    <definedName name="BLPH51" localSheetId="1" hidden="1">#REF!</definedName>
    <definedName name="BLPH51" localSheetId="5" hidden="1">#REF!</definedName>
    <definedName name="BLPH51" hidden="1">#REF!</definedName>
    <definedName name="BLPH52" localSheetId="3" hidden="1">#REF!</definedName>
    <definedName name="BLPH52" localSheetId="1" hidden="1">#REF!</definedName>
    <definedName name="BLPH52" localSheetId="5" hidden="1">#REF!</definedName>
    <definedName name="BLPH52" hidden="1">#REF!</definedName>
    <definedName name="BLPH53" localSheetId="3" hidden="1">#REF!</definedName>
    <definedName name="BLPH53" localSheetId="1" hidden="1">#REF!</definedName>
    <definedName name="BLPH53" localSheetId="5" hidden="1">#REF!</definedName>
    <definedName name="BLPH53" hidden="1">#REF!</definedName>
    <definedName name="BLPH54" localSheetId="3" hidden="1">#REF!</definedName>
    <definedName name="BLPH54" localSheetId="1" hidden="1">#REF!</definedName>
    <definedName name="BLPH54" localSheetId="5" hidden="1">#REF!</definedName>
    <definedName name="BLPH54" hidden="1">#REF!</definedName>
    <definedName name="BLPH55" localSheetId="3" hidden="1">#REF!</definedName>
    <definedName name="BLPH55" localSheetId="1" hidden="1">#REF!</definedName>
    <definedName name="BLPH55" localSheetId="5" hidden="1">#REF!</definedName>
    <definedName name="BLPH55" hidden="1">#REF!</definedName>
    <definedName name="BLPH56" localSheetId="3" hidden="1">#REF!</definedName>
    <definedName name="BLPH56" localSheetId="1" hidden="1">#REF!</definedName>
    <definedName name="BLPH56" localSheetId="5" hidden="1">#REF!</definedName>
    <definedName name="BLPH56" hidden="1">#REF!</definedName>
    <definedName name="BLPH57" localSheetId="3" hidden="1">#REF!</definedName>
    <definedName name="BLPH57" localSheetId="1" hidden="1">#REF!</definedName>
    <definedName name="BLPH57" localSheetId="5" hidden="1">#REF!</definedName>
    <definedName name="BLPH57" hidden="1">#REF!</definedName>
    <definedName name="BLPH58" localSheetId="3" hidden="1">#REF!</definedName>
    <definedName name="BLPH58" localSheetId="1" hidden="1">#REF!</definedName>
    <definedName name="BLPH58" localSheetId="5" hidden="1">#REF!</definedName>
    <definedName name="BLPH58" hidden="1">#REF!</definedName>
    <definedName name="BLPH59" localSheetId="3" hidden="1">#REF!</definedName>
    <definedName name="BLPH59" localSheetId="1" hidden="1">#REF!</definedName>
    <definedName name="BLPH59" localSheetId="5" hidden="1">#REF!</definedName>
    <definedName name="BLPH59" hidden="1">#REF!</definedName>
    <definedName name="BLPH6" localSheetId="3" hidden="1">#REF!</definedName>
    <definedName name="BLPH6" localSheetId="1" hidden="1">#REF!</definedName>
    <definedName name="BLPH6" localSheetId="5" hidden="1">#REF!</definedName>
    <definedName name="BLPH6" hidden="1">#REF!</definedName>
    <definedName name="BLPH60" localSheetId="3" hidden="1">#REF!</definedName>
    <definedName name="BLPH60" localSheetId="1" hidden="1">#REF!</definedName>
    <definedName name="BLPH60" localSheetId="5" hidden="1">#REF!</definedName>
    <definedName name="BLPH60" hidden="1">#REF!</definedName>
    <definedName name="BLPH61" localSheetId="3" hidden="1">#REF!</definedName>
    <definedName name="BLPH61" localSheetId="1" hidden="1">#REF!</definedName>
    <definedName name="BLPH61" localSheetId="5" hidden="1">#REF!</definedName>
    <definedName name="BLPH61" hidden="1">#REF!</definedName>
    <definedName name="BLPH62" localSheetId="3" hidden="1">#REF!</definedName>
    <definedName name="BLPH62" localSheetId="1" hidden="1">#REF!</definedName>
    <definedName name="BLPH62" localSheetId="5" hidden="1">#REF!</definedName>
    <definedName name="BLPH62" hidden="1">#REF!</definedName>
    <definedName name="BLPH63" localSheetId="3" hidden="1">#REF!</definedName>
    <definedName name="BLPH63" localSheetId="1" hidden="1">#REF!</definedName>
    <definedName name="BLPH63" localSheetId="5" hidden="1">#REF!</definedName>
    <definedName name="BLPH63" hidden="1">#REF!</definedName>
    <definedName name="BLPH64" localSheetId="3" hidden="1">#REF!</definedName>
    <definedName name="BLPH64" localSheetId="1" hidden="1">#REF!</definedName>
    <definedName name="BLPH64" localSheetId="5" hidden="1">#REF!</definedName>
    <definedName name="BLPH64" hidden="1">#REF!</definedName>
    <definedName name="BLPH65" localSheetId="3" hidden="1">#REF!</definedName>
    <definedName name="BLPH65" localSheetId="1" hidden="1">#REF!</definedName>
    <definedName name="BLPH65" localSheetId="5" hidden="1">#REF!</definedName>
    <definedName name="BLPH65" hidden="1">#REF!</definedName>
    <definedName name="BLPH66" localSheetId="3" hidden="1">#REF!</definedName>
    <definedName name="BLPH66" localSheetId="1" hidden="1">#REF!</definedName>
    <definedName name="BLPH66" localSheetId="5" hidden="1">#REF!</definedName>
    <definedName name="BLPH66" hidden="1">#REF!</definedName>
    <definedName name="BLPH67" localSheetId="3" hidden="1">#REF!</definedName>
    <definedName name="BLPH67" localSheetId="1" hidden="1">#REF!</definedName>
    <definedName name="BLPH67" localSheetId="5" hidden="1">#REF!</definedName>
    <definedName name="BLPH67" hidden="1">#REF!</definedName>
    <definedName name="BLPH68" localSheetId="3" hidden="1">#REF!</definedName>
    <definedName name="BLPH68" localSheetId="1" hidden="1">#REF!</definedName>
    <definedName name="BLPH68" localSheetId="5" hidden="1">#REF!</definedName>
    <definedName name="BLPH68" hidden="1">#REF!</definedName>
    <definedName name="BLPH69" localSheetId="3" hidden="1">#REF!</definedName>
    <definedName name="BLPH69" localSheetId="1" hidden="1">#REF!</definedName>
    <definedName name="BLPH69" localSheetId="5" hidden="1">#REF!</definedName>
    <definedName name="BLPH69" hidden="1">#REF!</definedName>
    <definedName name="BLPH7" localSheetId="3" hidden="1">#REF!</definedName>
    <definedName name="BLPH7" localSheetId="1" hidden="1">#REF!</definedName>
    <definedName name="BLPH7" localSheetId="5" hidden="1">#REF!</definedName>
    <definedName name="BLPH7" hidden="1">#REF!</definedName>
    <definedName name="BLPH70" localSheetId="3" hidden="1">#REF!</definedName>
    <definedName name="BLPH70" localSheetId="1" hidden="1">#REF!</definedName>
    <definedName name="BLPH70" localSheetId="5" hidden="1">#REF!</definedName>
    <definedName name="BLPH70" hidden="1">#REF!</definedName>
    <definedName name="BLPH71" localSheetId="3" hidden="1">#REF!</definedName>
    <definedName name="BLPH71" localSheetId="1" hidden="1">#REF!</definedName>
    <definedName name="BLPH71" localSheetId="5" hidden="1">#REF!</definedName>
    <definedName name="BLPH71" hidden="1">#REF!</definedName>
    <definedName name="BLPH72" localSheetId="3" hidden="1">#REF!</definedName>
    <definedName name="BLPH72" localSheetId="1" hidden="1">#REF!</definedName>
    <definedName name="BLPH72" localSheetId="5" hidden="1">#REF!</definedName>
    <definedName name="BLPH72" hidden="1">#REF!</definedName>
    <definedName name="BLPH73" localSheetId="3" hidden="1">#REF!</definedName>
    <definedName name="BLPH73" localSheetId="1" hidden="1">#REF!</definedName>
    <definedName name="BLPH73" localSheetId="5" hidden="1">#REF!</definedName>
    <definedName name="BLPH73" hidden="1">#REF!</definedName>
    <definedName name="BLPH74" localSheetId="3" hidden="1">#REF!</definedName>
    <definedName name="BLPH74" localSheetId="1" hidden="1">#REF!</definedName>
    <definedName name="BLPH74" localSheetId="5" hidden="1">#REF!</definedName>
    <definedName name="BLPH74" hidden="1">#REF!</definedName>
    <definedName name="BLPH75" localSheetId="3" hidden="1">#REF!</definedName>
    <definedName name="BLPH75" localSheetId="1" hidden="1">#REF!</definedName>
    <definedName name="BLPH75" localSheetId="5" hidden="1">#REF!</definedName>
    <definedName name="BLPH75" hidden="1">#REF!</definedName>
    <definedName name="BLPH76" localSheetId="3" hidden="1">#REF!</definedName>
    <definedName name="BLPH76" localSheetId="1" hidden="1">#REF!</definedName>
    <definedName name="BLPH76" localSheetId="5" hidden="1">#REF!</definedName>
    <definedName name="BLPH76" hidden="1">#REF!</definedName>
    <definedName name="BLPH77" localSheetId="3" hidden="1">#REF!</definedName>
    <definedName name="BLPH77" localSheetId="1" hidden="1">#REF!</definedName>
    <definedName name="BLPH77" localSheetId="5" hidden="1">#REF!</definedName>
    <definedName name="BLPH77" hidden="1">#REF!</definedName>
    <definedName name="BLPH78" localSheetId="3" hidden="1">#REF!</definedName>
    <definedName name="BLPH78" localSheetId="1" hidden="1">#REF!</definedName>
    <definedName name="BLPH78" localSheetId="5" hidden="1">#REF!</definedName>
    <definedName name="BLPH78" hidden="1">#REF!</definedName>
    <definedName name="BLPH79" localSheetId="3" hidden="1">#REF!</definedName>
    <definedName name="BLPH79" localSheetId="1" hidden="1">#REF!</definedName>
    <definedName name="BLPH79" localSheetId="5" hidden="1">#REF!</definedName>
    <definedName name="BLPH79" hidden="1">#REF!</definedName>
    <definedName name="BLPH8" localSheetId="3" hidden="1">#REF!</definedName>
    <definedName name="BLPH8" localSheetId="1" hidden="1">#REF!</definedName>
    <definedName name="BLPH8" localSheetId="5" hidden="1">#REF!</definedName>
    <definedName name="BLPH8" hidden="1">#REF!</definedName>
    <definedName name="BLPH80" localSheetId="3" hidden="1">#REF!</definedName>
    <definedName name="BLPH80" localSheetId="1" hidden="1">#REF!</definedName>
    <definedName name="BLPH80" localSheetId="5" hidden="1">#REF!</definedName>
    <definedName name="BLPH80" hidden="1">#REF!</definedName>
    <definedName name="BLPH81" localSheetId="3" hidden="1">#REF!</definedName>
    <definedName name="BLPH81" localSheetId="1" hidden="1">#REF!</definedName>
    <definedName name="BLPH81" localSheetId="5" hidden="1">#REF!</definedName>
    <definedName name="BLPH81" hidden="1">#REF!</definedName>
    <definedName name="BLPH82" localSheetId="3" hidden="1">#REF!</definedName>
    <definedName name="BLPH82" localSheetId="1" hidden="1">#REF!</definedName>
    <definedName name="BLPH82" localSheetId="5" hidden="1">#REF!</definedName>
    <definedName name="BLPH82" hidden="1">#REF!</definedName>
    <definedName name="BLPH83" localSheetId="3" hidden="1">#REF!</definedName>
    <definedName name="BLPH83" localSheetId="1" hidden="1">#REF!</definedName>
    <definedName name="BLPH83" localSheetId="5" hidden="1">#REF!</definedName>
    <definedName name="BLPH83" hidden="1">#REF!</definedName>
    <definedName name="BLPH84" localSheetId="3" hidden="1">#REF!</definedName>
    <definedName name="BLPH84" localSheetId="1" hidden="1">#REF!</definedName>
    <definedName name="BLPH84" localSheetId="5" hidden="1">#REF!</definedName>
    <definedName name="BLPH84" hidden="1">#REF!</definedName>
    <definedName name="BLPH85" localSheetId="3" hidden="1">#REF!</definedName>
    <definedName name="BLPH85" localSheetId="1" hidden="1">#REF!</definedName>
    <definedName name="BLPH85" localSheetId="5" hidden="1">#REF!</definedName>
    <definedName name="BLPH85" hidden="1">#REF!</definedName>
    <definedName name="BLPH86" localSheetId="3" hidden="1">#REF!</definedName>
    <definedName name="BLPH86" localSheetId="1" hidden="1">#REF!</definedName>
    <definedName name="BLPH86" localSheetId="5" hidden="1">#REF!</definedName>
    <definedName name="BLPH86" hidden="1">#REF!</definedName>
    <definedName name="BLPH87" localSheetId="3" hidden="1">#REF!</definedName>
    <definedName name="BLPH87" localSheetId="1" hidden="1">#REF!</definedName>
    <definedName name="BLPH87" localSheetId="5" hidden="1">#REF!</definedName>
    <definedName name="BLPH87" hidden="1">#REF!</definedName>
    <definedName name="BLPH88" localSheetId="3" hidden="1">#REF!</definedName>
    <definedName name="BLPH88" localSheetId="1" hidden="1">#REF!</definedName>
    <definedName name="BLPH88" localSheetId="5" hidden="1">#REF!</definedName>
    <definedName name="BLPH88" hidden="1">#REF!</definedName>
    <definedName name="BLPH89" localSheetId="3" hidden="1">#REF!</definedName>
    <definedName name="BLPH89" localSheetId="1" hidden="1">#REF!</definedName>
    <definedName name="BLPH89" localSheetId="5" hidden="1">#REF!</definedName>
    <definedName name="BLPH89" hidden="1">#REF!</definedName>
    <definedName name="BLPH9" localSheetId="3" hidden="1">#REF!</definedName>
    <definedName name="BLPH9" localSheetId="1" hidden="1">#REF!</definedName>
    <definedName name="BLPH9" localSheetId="5" hidden="1">#REF!</definedName>
    <definedName name="BLPH9" hidden="1">#REF!</definedName>
    <definedName name="BLPH90" localSheetId="3" hidden="1">#REF!</definedName>
    <definedName name="BLPH90" localSheetId="1" hidden="1">#REF!</definedName>
    <definedName name="BLPH90" localSheetId="5" hidden="1">#REF!</definedName>
    <definedName name="BLPH90" hidden="1">#REF!</definedName>
    <definedName name="BLPH91" localSheetId="3" hidden="1">#REF!</definedName>
    <definedName name="BLPH91" localSheetId="1" hidden="1">#REF!</definedName>
    <definedName name="BLPH91" localSheetId="5" hidden="1">#REF!</definedName>
    <definedName name="BLPH91" hidden="1">#REF!</definedName>
    <definedName name="BLPH92" localSheetId="3" hidden="1">#REF!</definedName>
    <definedName name="BLPH92" localSheetId="1" hidden="1">#REF!</definedName>
    <definedName name="BLPH92" localSheetId="5" hidden="1">#REF!</definedName>
    <definedName name="BLPH92" hidden="1">#REF!</definedName>
    <definedName name="BLPH93" localSheetId="3" hidden="1">#REF!</definedName>
    <definedName name="BLPH93" localSheetId="1" hidden="1">#REF!</definedName>
    <definedName name="BLPH93" localSheetId="5" hidden="1">#REF!</definedName>
    <definedName name="BLPH93" hidden="1">#REF!</definedName>
    <definedName name="BLPH94" localSheetId="3" hidden="1">#REF!</definedName>
    <definedName name="BLPH94" localSheetId="1" hidden="1">#REF!</definedName>
    <definedName name="BLPH94" localSheetId="5" hidden="1">#REF!</definedName>
    <definedName name="BLPH94" hidden="1">#REF!</definedName>
    <definedName name="BLPH95" localSheetId="3" hidden="1">#REF!</definedName>
    <definedName name="BLPH95" localSheetId="1" hidden="1">#REF!</definedName>
    <definedName name="BLPH95" localSheetId="5" hidden="1">#REF!</definedName>
    <definedName name="BLPH95" hidden="1">#REF!</definedName>
    <definedName name="BLPH96" localSheetId="3" hidden="1">#REF!</definedName>
    <definedName name="BLPH96" localSheetId="1" hidden="1">#REF!</definedName>
    <definedName name="BLPH96" localSheetId="5" hidden="1">#REF!</definedName>
    <definedName name="BLPH96" hidden="1">#REF!</definedName>
    <definedName name="BLPH97" localSheetId="3" hidden="1">#REF!</definedName>
    <definedName name="BLPH97" localSheetId="1" hidden="1">#REF!</definedName>
    <definedName name="BLPH97" localSheetId="5" hidden="1">#REF!</definedName>
    <definedName name="BLPH97" hidden="1">#REF!</definedName>
    <definedName name="BLPH98" localSheetId="3" hidden="1">#REF!</definedName>
    <definedName name="BLPH98" localSheetId="1" hidden="1">#REF!</definedName>
    <definedName name="BLPH98" localSheetId="5" hidden="1">#REF!</definedName>
    <definedName name="BLPH98" hidden="1">#REF!</definedName>
    <definedName name="BLPH99" localSheetId="3" hidden="1">#REF!</definedName>
    <definedName name="BLPH99" localSheetId="1" hidden="1">#REF!</definedName>
    <definedName name="BLPH99" localSheetId="5" hidden="1">#REF!</definedName>
    <definedName name="BLPH99" hidden="1">#REF!</definedName>
    <definedName name="blpj" hidden="1">'[16]dados gas '!#REF!</definedName>
    <definedName name="BNCC" localSheetId="3">#REF!</definedName>
    <definedName name="BNCC" localSheetId="1">#REF!</definedName>
    <definedName name="BNCC" localSheetId="5">#REF!</definedName>
    <definedName name="BNCC" localSheetId="4">#REF!</definedName>
    <definedName name="BNCC">#REF!</definedName>
    <definedName name="BNDESPAR" localSheetId="3">#REF!</definedName>
    <definedName name="BNDESPAR" localSheetId="1">#REF!</definedName>
    <definedName name="BNDESPAR" localSheetId="5">#REF!</definedName>
    <definedName name="BNDESPAR">#REF!</definedName>
    <definedName name="Brasil" localSheetId="3">#REF!</definedName>
    <definedName name="Brasil" localSheetId="1">#REF!</definedName>
    <definedName name="Brasil" localSheetId="5">#REF!</definedName>
    <definedName name="Brasil">#REF!</definedName>
    <definedName name="Câmbio_por" localSheetId="3">OFFSET(#REF!,0,0,COUNTA(#REF!)-1)</definedName>
    <definedName name="Câmbio_por" localSheetId="1">OFFSET(#REF!,0,0,COUNTA(#REF!)-1)</definedName>
    <definedName name="Câmbio_por" localSheetId="5">OFFSET(#REF!,0,0,COUNTA(#REF!)-1)</definedName>
    <definedName name="Câmbio_por">OFFSET(#REF!,0,0,COUNTA(#REF!)-1)</definedName>
    <definedName name="cambio2011" localSheetId="3">#REF!</definedName>
    <definedName name="cambio2011" localSheetId="4">#REF!</definedName>
    <definedName name="cambio2011">#REF!</definedName>
    <definedName name="cambio2012" localSheetId="3">#REF!</definedName>
    <definedName name="cambio2012">#REF!</definedName>
    <definedName name="cambio2013" localSheetId="3">#REF!</definedName>
    <definedName name="cambio2013">#REF!</definedName>
    <definedName name="CAPA" localSheetId="3">#REF!</definedName>
    <definedName name="CAPA" localSheetId="1">#REF!</definedName>
    <definedName name="CAPA" localSheetId="5">#REF!</definedName>
    <definedName name="CAPA">#REF!</definedName>
    <definedName name="CBR">[11]Fertility!$A$62</definedName>
    <definedName name="Cen_Mer_Ant" localSheetId="3">OFFSET(#REF!,#REF!,0,#REF!-#REF!+1,1)</definedName>
    <definedName name="Cen_Mer_Ant" localSheetId="4">OFFSET(#REF!,#REF!,0,#REF!-#REF!+1,1)</definedName>
    <definedName name="Cen_Mer_Ant">OFFSET(#REF!,#REF!,0,#REF!-#REF!+1,1)</definedName>
    <definedName name="Cen_Mer_Atual" localSheetId="3">OFFSET(#REF!,#REF!,0,#REF!-#REF!+1,1)</definedName>
    <definedName name="Cen_Mer_Atual">OFFSET(#REF!,#REF!,0,#REF!-#REF!+1,1)</definedName>
    <definedName name="Cen_Orcamento" localSheetId="3" hidden="1">'[15]dados gas '!#REF!</definedName>
    <definedName name="Cen_Orcamento" localSheetId="4" hidden="1">'[15]dados gas '!#REF!</definedName>
    <definedName name="Cen_Orcamento" hidden="1">'[15]dados gas '!#REF!</definedName>
    <definedName name="Cen_Ref_Ant" localSheetId="3">OFFSET(#REF!,#REF!,0,#REF!-#REF!+1,1)</definedName>
    <definedName name="Cen_Ref_Ant">OFFSET(#REF!,#REF!,0,#REF!-#REF!+1,1)</definedName>
    <definedName name="Cen_Ref_Atual" localSheetId="3">OFFSET(#REF!,#REF!,0,#REF!-#REF!+1,1)</definedName>
    <definedName name="Cen_Ref_Atual">OFFSET(#REF!,#REF!,0,#REF!-#REF!+1,1)</definedName>
    <definedName name="Cenário_tendência" localSheetId="3">#REF!</definedName>
    <definedName name="Cenário_tendência" localSheetId="1">#REF!</definedName>
    <definedName name="Cenário_tendência" localSheetId="9">#REF!</definedName>
    <definedName name="Cenário_tendência" localSheetId="5">#REF!</definedName>
    <definedName name="Cenário_tendência" localSheetId="4">#REF!</definedName>
    <definedName name="Cenário_tendência">#REF!</definedName>
    <definedName name="CFRSample">[17]Control!$B$5:$B$34</definedName>
    <definedName name="child_women">[11]Population!$U$1</definedName>
    <definedName name="CHKPAS" localSheetId="3">[1]PYRAMID!#REF!</definedName>
    <definedName name="CHKPAS" localSheetId="1">[1]PYRAMID!#REF!</definedName>
    <definedName name="CHKPAS" localSheetId="5">[1]PYRAMID!#REF!</definedName>
    <definedName name="CHKPAS" localSheetId="4">[1]PYRAMID!#REF!</definedName>
    <definedName name="CHKPAS">[1]PYRAMID!#REF!</definedName>
    <definedName name="CHKSAVE" localSheetId="3">[1]PYRAMID!#REF!</definedName>
    <definedName name="CHKSAVE" localSheetId="1">[1]PYRAMID!#REF!</definedName>
    <definedName name="CHKSAVE" localSheetId="5">[1]PYRAMID!#REF!</definedName>
    <definedName name="CHKSAVE">[1]PYRAMID!#REF!</definedName>
    <definedName name="CI" localSheetId="3">#REF!</definedName>
    <definedName name="CI" localSheetId="1">#REF!</definedName>
    <definedName name="CI" localSheetId="5">#REF!</definedName>
    <definedName name="CI" localSheetId="4">#REF!</definedName>
    <definedName name="CI">#REF!</definedName>
    <definedName name="cib_cab2" localSheetId="3">[18]P24!#REF!</definedName>
    <definedName name="cib_cab2" localSheetId="1">[18]P24!#REF!</definedName>
    <definedName name="cib_cab2" localSheetId="5">[18]P24!#REF!</definedName>
    <definedName name="cib_cab2" localSheetId="4">[18]P24!#REF!</definedName>
    <definedName name="cib_cab2">[18]P24!#REF!</definedName>
    <definedName name="CID_CAB" localSheetId="3">#REF!</definedName>
    <definedName name="CID_CAB" localSheetId="1">#REF!</definedName>
    <definedName name="CID_CAB" localSheetId="5">#REF!</definedName>
    <definedName name="CID_CAB" localSheetId="4">#REF!</definedName>
    <definedName name="CID_CAB">#REF!</definedName>
    <definedName name="CODTERRITORIO" localSheetId="3">#REF!</definedName>
    <definedName name="CODTERRITORIO" localSheetId="1">#REF!</definedName>
    <definedName name="CODTERRITORIO" localSheetId="5">#REF!</definedName>
    <definedName name="CODTERRITORIO">#REF!</definedName>
    <definedName name="COF">NA()</definedName>
    <definedName name="ColSubLabel" localSheetId="3">#REF!</definedName>
    <definedName name="ColSubLabel" localSheetId="1">#REF!</definedName>
    <definedName name="ColSubLabel" localSheetId="5">#REF!</definedName>
    <definedName name="ColSubLabel" localSheetId="4">#REF!</definedName>
    <definedName name="ColSubLabel">#REF!</definedName>
    <definedName name="comprev">[9]fluxo!$6:$6</definedName>
    <definedName name="comprev12">[9]fluxo!$44:$44</definedName>
    <definedName name="Conceitos" localSheetId="3">#REF!</definedName>
    <definedName name="Conceitos" localSheetId="1">#REF!</definedName>
    <definedName name="Conceitos" localSheetId="9">#REF!</definedName>
    <definedName name="Conceitos" localSheetId="5">#REF!</definedName>
    <definedName name="Conceitos" localSheetId="4">#REF!</definedName>
    <definedName name="Conceitos">#REF!</definedName>
    <definedName name="convict">[11]Crime!$A$27</definedName>
    <definedName name="Cosif_Todo">[19]Cosif_Completo!$A$2:$D$3181</definedName>
    <definedName name="CotacaoDolar">'[20]2.1.1.1'!#REF!</definedName>
    <definedName name="CreditoDirecionado">'[20]2.1.1.1'!#REF!</definedName>
    <definedName name="CreditoLivre">'[20]2.1.1.1'!#REF!</definedName>
    <definedName name="_xlnm.Criteria" localSheetId="3">#REF!</definedName>
    <definedName name="_xlnm.Criteria" localSheetId="1">#REF!</definedName>
    <definedName name="_xlnm.Criteria" localSheetId="5">#REF!</definedName>
    <definedName name="_xlnm.Criteria" localSheetId="4">#REF!</definedName>
    <definedName name="_xlnm.Criteria">#REF!</definedName>
    <definedName name="CUODE_TOTAL" localSheetId="3">#REF!</definedName>
    <definedName name="CUODE_TOTAL" localSheetId="1">#REF!</definedName>
    <definedName name="CUODE_TOTAL" localSheetId="9">#REF!</definedName>
    <definedName name="CUODE_TOTAL" localSheetId="5">#REF!</definedName>
    <definedName name="CUODE_TOTAL">#REF!</definedName>
    <definedName name="CURRENTYEAR" localSheetId="3">#REF!</definedName>
    <definedName name="CURRENTYEAR" localSheetId="1">#REF!</definedName>
    <definedName name="CURRENTYEAR" localSheetId="9">#REF!</definedName>
    <definedName name="CURRENTYEAR" localSheetId="5">#REF!</definedName>
    <definedName name="CURRENTYEAR">#REF!</definedName>
    <definedName name="D0" localSheetId="3">#REF!</definedName>
    <definedName name="D0" localSheetId="1">#REF!</definedName>
    <definedName name="D0" localSheetId="5">#REF!</definedName>
    <definedName name="D0">#REF!</definedName>
    <definedName name="D126757F_8C22_4332_AE16_6A56D0626CD4_2007_2008_2009_2010_ICE_ChartType" hidden="1">64</definedName>
    <definedName name="D126757F_8C22_4332_AE16_6A56D0626CD4_2007_2008_2009_2010_ICE_distributionSingle" hidden="1">FALSE</definedName>
    <definedName name="D126757F_8C22_4332_AE16_6A56D0626CD4_2007_2008_2009_2010_ICE_HorAxisGridlines" hidden="1">FALSE</definedName>
    <definedName name="D126757F_8C22_4332_AE16_6A56D0626CD4_2007_2008_2009_2010_ICE_VerAxisGridlines" hidden="1">FALSE</definedName>
    <definedName name="D126757F_8C22_4332_AE16_6A56D0626CD4_Days_Supply__QoMo__ChartType" hidden="1">1</definedName>
    <definedName name="D126757F_8C22_4332_AE16_6A56D0626CD4_Days_Supply__QoMo__distributionSingle" hidden="1">FALSE</definedName>
    <definedName name="D126757F_8C22_4332_AE16_6A56D0626CD4_Days_Supply__QoMo__HorAxisGridlines" hidden="1">FALSE</definedName>
    <definedName name="D126757F_8C22_4332_AE16_6A56D0626CD4_Days_Supply__QoMo__VerAxisGridlines" hidden="1">FALSE</definedName>
    <definedName name="D126757F_8C22_4332_AE16_6A56D0626CD4_Total_Stocks__QoMo__ChartType" hidden="1">1</definedName>
    <definedName name="D126757F_8C22_4332_AE16_6A56D0626CD4_Total_Stocks__QoMo__distributionSingle" hidden="1">FALSE</definedName>
    <definedName name="D126757F_8C22_4332_AE16_6A56D0626CD4_Total_Stocks__QoMo__HorAxisGridlines" hidden="1">FALSE</definedName>
    <definedName name="D126757F_8C22_4332_AE16_6A56D0626CD4_Total_Stocks__QoMo__VerAxisGridlines" hidden="1">FALSE</definedName>
    <definedName name="data" localSheetId="3">#REF!</definedName>
    <definedName name="data" localSheetId="1">#REF!</definedName>
    <definedName name="data" localSheetId="9">#REF!</definedName>
    <definedName name="data" localSheetId="5">#REF!</definedName>
    <definedName name="data">#REF!</definedName>
    <definedName name="DATA_ing" localSheetId="3">OFFSET(#REF!,0,0,COUNTA(#REF!)-1)</definedName>
    <definedName name="DATA_ing" localSheetId="1">OFFSET(#REF!,0,0,COUNTA(#REF!)-1)</definedName>
    <definedName name="DATA_ing" localSheetId="9">OFFSET(#REF!,0,0,COUNTA(#REF!)-1)</definedName>
    <definedName name="DATA_ing" localSheetId="5">OFFSET(#REF!,0,0,COUNTA(#REF!)-1)</definedName>
    <definedName name="DATA_ing">OFFSET(#REF!,0,0,COUNTA(#REF!)-1)</definedName>
    <definedName name="DATA_por" localSheetId="3">OFFSET(#REF!,0,0,COUNTA(#REF!)-1)</definedName>
    <definedName name="DATA_por" localSheetId="1">OFFSET(#REF!,0,0,COUNTA(#REF!)-1)</definedName>
    <definedName name="DATA_por" localSheetId="5">OFFSET(#REF!,0,0,COUNTA(#REF!)-1)</definedName>
    <definedName name="DATA_por">OFFSET(#REF!,0,0,COUNTA(#REF!)-1)</definedName>
    <definedName name="DataKind" localSheetId="3">#REF!</definedName>
    <definedName name="DataKind" localSheetId="1">#REF!</definedName>
    <definedName name="DataKind" localSheetId="5">#REF!</definedName>
    <definedName name="DataKind" localSheetId="4">#REF!</definedName>
    <definedName name="DataKind">#REF!</definedName>
    <definedName name="Datas" localSheetId="3">#REF!</definedName>
    <definedName name="Datas">#REF!</definedName>
    <definedName name="ddd" localSheetId="3">#REF!</definedName>
    <definedName name="ddd" localSheetId="1">#REF!</definedName>
    <definedName name="ddd" localSheetId="5">#REF!</definedName>
    <definedName name="ddd">#REF!</definedName>
    <definedName name="DF" localSheetId="3">[21]MILHO1A!#REF!</definedName>
    <definedName name="DF" localSheetId="1">[21]MILHO1A!#REF!</definedName>
    <definedName name="DF" localSheetId="5">[21]MILHO1A!#REF!</definedName>
    <definedName name="DF" localSheetId="4">[21]MILHO1A!#REF!</definedName>
    <definedName name="DF">[21]MILHO1A!#REF!</definedName>
    <definedName name="dfdf" localSheetId="3" hidden="1">'[15]dados gas '!#REF!</definedName>
    <definedName name="dfdf" localSheetId="4" hidden="1">'[15]dados gas '!#REF!</definedName>
    <definedName name="dfdf" hidden="1">'[15]dados gas '!#REF!</definedName>
    <definedName name="dfsdfdsd" localSheetId="1">[1]PYRAMID!#REF!</definedName>
    <definedName name="dfsdfdsd" localSheetId="5">[1]PYRAMID!#REF!</definedName>
    <definedName name="dfsdfdsd">[1]PYRAMID!#REF!</definedName>
    <definedName name="dgdfgf" localSheetId="3" hidden="1">#REF!</definedName>
    <definedName name="dgdfgf" localSheetId="4" hidden="1">#REF!</definedName>
    <definedName name="dgdfgf" hidden="1">#REF!</definedName>
    <definedName name="DIAATUAL" localSheetId="3">#REF!</definedName>
    <definedName name="DIAATUAL" localSheetId="1">#REF!</definedName>
    <definedName name="DIAATUAL" localSheetId="5">#REF!</definedName>
    <definedName name="DIAATUAL">#REF!</definedName>
    <definedName name="DIARIO1B" localSheetId="3">#REF!</definedName>
    <definedName name="DIARIO1B" localSheetId="1">#REF!</definedName>
    <definedName name="DIARIO1B" localSheetId="5">#REF!</definedName>
    <definedName name="DIARIO1B">#REF!</definedName>
    <definedName name="DIARIO1E" localSheetId="3">#REF!</definedName>
    <definedName name="DIARIO1E" localSheetId="1">#REF!</definedName>
    <definedName name="DIARIO1E" localSheetId="5">#REF!</definedName>
    <definedName name="DIARIO1E">#REF!</definedName>
    <definedName name="DIARIO2A" localSheetId="3">#REF!</definedName>
    <definedName name="DIARIO2A" localSheetId="1">#REF!</definedName>
    <definedName name="DIARIO2A" localSheetId="5">#REF!</definedName>
    <definedName name="DIARIO2A">#REF!</definedName>
    <definedName name="DIARIO2B" localSheetId="3">#REF!</definedName>
    <definedName name="DIARIO2B" localSheetId="1">#REF!</definedName>
    <definedName name="DIARIO2B" localSheetId="5">#REF!</definedName>
    <definedName name="DIARIO2B">#REF!</definedName>
    <definedName name="DIARIO2E" localSheetId="3">#REF!</definedName>
    <definedName name="DIARIO2E" localSheetId="1">#REF!</definedName>
    <definedName name="DIARIO2E" localSheetId="5">#REF!</definedName>
    <definedName name="DIARIO2E">#REF!</definedName>
    <definedName name="DICNOMEBL_BLC_UNIC" localSheetId="3">#REF!</definedName>
    <definedName name="DICNOMEBL_BLC_UNIC" localSheetId="1">#REF!</definedName>
    <definedName name="DICNOMEBL_BLC_UNIC" localSheetId="5">#REF!</definedName>
    <definedName name="DICNOMEBL_BLC_UNIC">#REF!</definedName>
    <definedName name="diversos" localSheetId="3">#REF!</definedName>
    <definedName name="diversos" localSheetId="1">#REF!</definedName>
    <definedName name="diversos" localSheetId="5">#REF!</definedName>
    <definedName name="diversos">#REF!</definedName>
    <definedName name="DOC">[1]PYRAMID!$A$61:$G$140</definedName>
    <definedName name="Dolar_Mercado" localSheetId="3">INDIRECT("Dados!$g$"&amp;#REF!&amp;":$g$"&amp;#REF!)</definedName>
    <definedName name="Dolar_Mercado">INDIRECT("Dados!$g$"&amp;#REF!&amp;":$g$"&amp;#REF!)</definedName>
    <definedName name="Dolar_Mercado_Copom_Anterior" localSheetId="3">INDIRECT("Dados!$ai$"&amp;#REF!&amp;":$ai$"&amp;#REF!)</definedName>
    <definedName name="Dolar_Mercado_Copom_Anterior">INDIRECT("Dados!$ai$"&amp;#REF!&amp;":$ai$"&amp;#REF!)</definedName>
    <definedName name="Dolar_Ref" localSheetId="3">INDIRECT("Dados!$q$"&amp;#REF!&amp;":$q$"&amp;#REF!)</definedName>
    <definedName name="Dolar_Ref">INDIRECT("Dados!$q$"&amp;#REF!&amp;":$q$"&amp;#REF!)</definedName>
    <definedName name="Dolar_Ref_Copom_Anterior" localSheetId="3">INDIRECT("Dados!$as$"&amp;#REF!&amp;":$as$"&amp;#REF!)</definedName>
    <definedName name="Dolar_Ref_Copom_Anterior">INDIRECT("Dados!$as$"&amp;#REF!&amp;":$as$"&amp;#REF!)</definedName>
    <definedName name="EBTU" localSheetId="3">#REF!</definedName>
    <definedName name="EBTU" localSheetId="1">#REF!</definedName>
    <definedName name="EBTU" localSheetId="5">#REF!</definedName>
    <definedName name="EBTU" localSheetId="4">#REF!</definedName>
    <definedName name="EBTU">#REF!</definedName>
    <definedName name="ecact">[11]Employ!$A$43</definedName>
    <definedName name="elect1">[11]Elected!$A$14</definedName>
    <definedName name="elect2">[11]Elected!$A$27</definedName>
    <definedName name="employees">[11]Employees!$A$18</definedName>
    <definedName name="EmprestimosIntercompanhia">'[20]2.1.1.1'!#REF!</definedName>
    <definedName name="enrol1">[11]Enrolment!$A$16</definedName>
    <definedName name="enrol2">[11]Enrolment!$A$24</definedName>
    <definedName name="enterprises">[11]Enterprises!$A$25</definedName>
    <definedName name="ERR_LOC">[1]PYRAMID!#REF!</definedName>
    <definedName name="ERR_MSG">[1]PYRAMID!#REF!</definedName>
    <definedName name="ES">[21]MILHO1A!#REF!</definedName>
    <definedName name="EVOLUÇÃO_DO_SALDO_DE_EMPREGO_FORMAL__SEGUNDO_O_CAGED_NOS_MESES_DE_DEZEMBRO___2003_A_2016" localSheetId="3">#REF!</definedName>
    <definedName name="EVOLUÇÃO_DO_SALDO_DE_EMPREGO_FORMAL__SEGUNDO_O_CAGED_NOS_MESES_DE_DEZEMBRO___2003_A_2016" localSheetId="4">#REF!</definedName>
    <definedName name="EVOLUÇÃO_DO_SALDO_DE_EMPREGO_FORMAL__SEGUNDO_O_CAGED_NOS_MESES_DE_DEZEMBRO___2003_A_2016">#REF!</definedName>
    <definedName name="evoluçãso" localSheetId="3">#REF!</definedName>
    <definedName name="evoluçãso">#REF!</definedName>
    <definedName name="ewerw" localSheetId="3" hidden="1">{"'Emissoes'!$B$1:$Q$80"}</definedName>
    <definedName name="ewerw" localSheetId="1" hidden="1">{"'Emissoes'!$B$1:$Q$80"}</definedName>
    <definedName name="ewerw" localSheetId="9" hidden="1">{"'Emissoes'!$B$1:$Q$80"}</definedName>
    <definedName name="ewerw" localSheetId="5" hidden="1">{"'Emissoes'!$B$1:$Q$80"}</definedName>
    <definedName name="ewerw" localSheetId="4" hidden="1">{"'Emissoes'!$B$1:$Q$80"}</definedName>
    <definedName name="ewerw" hidden="1">{"'Emissoes'!$B$1:$Q$80"}</definedName>
    <definedName name="Excel_BuiltIn__FilterDatabase_10" localSheetId="3">#REF!</definedName>
    <definedName name="Excel_BuiltIn__FilterDatabase_10" localSheetId="1">#REF!</definedName>
    <definedName name="Excel_BuiltIn__FilterDatabase_10" localSheetId="5">#REF!</definedName>
    <definedName name="Excel_BuiltIn__FilterDatabase_10">#REF!</definedName>
    <definedName name="Excel_BuiltIn__FilterDatabase_2" localSheetId="3">#REF!</definedName>
    <definedName name="Excel_BuiltIn__FilterDatabase_2" localSheetId="1">#REF!</definedName>
    <definedName name="Excel_BuiltIn__FilterDatabase_2" localSheetId="5">#REF!</definedName>
    <definedName name="Excel_BuiltIn__FilterDatabase_2">#REF!</definedName>
    <definedName name="Excel_BuiltIn__FilterDatabase_2_1" localSheetId="3">#REF!</definedName>
    <definedName name="Excel_BuiltIn__FilterDatabase_2_1" localSheetId="1">#REF!</definedName>
    <definedName name="Excel_BuiltIn__FilterDatabase_2_1" localSheetId="5">#REF!</definedName>
    <definedName name="Excel_BuiltIn__FilterDatabase_2_1">#REF!</definedName>
    <definedName name="Excel_BuiltIn__FilterDatabase_3" localSheetId="3">#REF!</definedName>
    <definedName name="Excel_BuiltIn__FilterDatabase_3" localSheetId="1">#REF!</definedName>
    <definedName name="Excel_BuiltIn__FilterDatabase_3" localSheetId="5">#REF!</definedName>
    <definedName name="Excel_BuiltIn__FilterDatabase_3">#REF!</definedName>
    <definedName name="Excel_BuiltIn__FilterDatabase_4" localSheetId="3">#REF!</definedName>
    <definedName name="Excel_BuiltIn__FilterDatabase_4" localSheetId="1">#REF!</definedName>
    <definedName name="Excel_BuiltIn__FilterDatabase_4" localSheetId="5">#REF!</definedName>
    <definedName name="Excel_BuiltIn__FilterDatabase_4">#REF!</definedName>
    <definedName name="Excel_BuiltIn__FilterDatabase_5" localSheetId="3">#REF!</definedName>
    <definedName name="Excel_BuiltIn__FilterDatabase_5" localSheetId="1">#REF!</definedName>
    <definedName name="Excel_BuiltIn__FilterDatabase_5" localSheetId="5">#REF!</definedName>
    <definedName name="Excel_BuiltIn__FilterDatabase_5">#REF!</definedName>
    <definedName name="Excel_BuiltIn_Database" localSheetId="3">#REF!</definedName>
    <definedName name="Excel_BuiltIn_Database" localSheetId="1">#REF!</definedName>
    <definedName name="Excel_BuiltIn_Database" localSheetId="5">#REF!</definedName>
    <definedName name="Excel_BuiltIn_Database">#REF!</definedName>
    <definedName name="Excel_BuiltIn_Print_Area" localSheetId="3">#REF!</definedName>
    <definedName name="Excel_BuiltIn_Print_Area" localSheetId="1">#REF!</definedName>
    <definedName name="Excel_BuiltIn_Print_Area" localSheetId="5">#REF!</definedName>
    <definedName name="Excel_BuiltIn_Print_Area">#REF!</definedName>
    <definedName name="Excel_BuiltIn_Print_Area_1" localSheetId="3">#REF!</definedName>
    <definedName name="Excel_BuiltIn_Print_Area_1" localSheetId="1">#REF!</definedName>
    <definedName name="Excel_BuiltIn_Print_Area_1" localSheetId="5">#REF!</definedName>
    <definedName name="Excel_BuiltIn_Print_Area_1">#REF!</definedName>
    <definedName name="Excel_BuiltIn_Print_Area_4" localSheetId="3">#REF!</definedName>
    <definedName name="Excel_BuiltIn_Print_Area_4" localSheetId="1">#REF!</definedName>
    <definedName name="Excel_BuiltIn_Print_Area_4" localSheetId="5">#REF!</definedName>
    <definedName name="Excel_BuiltIn_Print_Area_4">#REF!</definedName>
    <definedName name="Excel_BuiltIn_Print_Area_5" localSheetId="3">#REF!</definedName>
    <definedName name="Excel_BuiltIn_Print_Area_5" localSheetId="1">#REF!</definedName>
    <definedName name="Excel_BuiltIn_Print_Area_5" localSheetId="5">#REF!</definedName>
    <definedName name="Excel_BuiltIn_Print_Area_5">#REF!</definedName>
    <definedName name="Excel_BuiltIn_Print_Area_9" localSheetId="3">#REF!</definedName>
    <definedName name="Excel_BuiltIn_Print_Area_9" localSheetId="1">#REF!</definedName>
    <definedName name="Excel_BuiltIn_Print_Area_9" localSheetId="5">#REF!</definedName>
    <definedName name="Excel_BuiltIn_Print_Area_9">#REF!</definedName>
    <definedName name="ExchangeRates" localSheetId="3">#REF!</definedName>
    <definedName name="ExchangeRates" localSheetId="1">#REF!</definedName>
    <definedName name="ExchangeRates" localSheetId="5">#REF!</definedName>
    <definedName name="ExchangeRates">#REF!</definedName>
    <definedName name="Expectativas" localSheetId="3">INDIRECT("Dados!$m$"&amp;#REF!&amp;":$m$"&amp;#REF!)</definedName>
    <definedName name="Expectativas">INDIRECT("Dados!$m$"&amp;#REF!&amp;":$m$"&amp;#REF!)</definedName>
    <definedName name="Exports" localSheetId="3">#REF!</definedName>
    <definedName name="Exports" localSheetId="1">#REF!</definedName>
    <definedName name="Exports" localSheetId="5">#REF!</definedName>
    <definedName name="Exports" localSheetId="4">#REF!</definedName>
    <definedName name="Exports">#REF!</definedName>
    <definedName name="fam_plg1">'[11]Fam Planning'!$A$11</definedName>
    <definedName name="fam_plg2">'[11]Fam Planning'!$K$24</definedName>
    <definedName name="fdaf" localSheetId="3" hidden="1">#REF!</definedName>
    <definedName name="fdaf" localSheetId="4" hidden="1">#REF!</definedName>
    <definedName name="fdaf" hidden="1">#REF!</definedName>
    <definedName name="fevereiro">[9]fluxo!$C:$C</definedName>
    <definedName name="fevereiro12">[9]recprev!$148:$148</definedName>
    <definedName name="fevereiro13">[9]recprev!$160:$160</definedName>
    <definedName name="ffff" localSheetId="3" hidden="1">#REF!</definedName>
    <definedName name="ffff" localSheetId="4" hidden="1">#REF!</definedName>
    <definedName name="ffff" hidden="1">#REF!</definedName>
    <definedName name="FG" localSheetId="3">#REF!</definedName>
    <definedName name="FG" localSheetId="1">#REF!</definedName>
    <definedName name="FG" localSheetId="5">#REF!</definedName>
    <definedName name="FG">#REF!</definedName>
    <definedName name="fies">[9]fluxo!$8:$8</definedName>
    <definedName name="fies12">[9]fluxo!$46:$46</definedName>
    <definedName name="FILENAME" localSheetId="3">[1]PYRAMID!#REF!</definedName>
    <definedName name="FILENAME" localSheetId="1">[1]PYRAMID!#REF!</definedName>
    <definedName name="FILENAME" localSheetId="5">[1]PYRAMID!#REF!</definedName>
    <definedName name="FILENAME" localSheetId="4">[1]PYRAMID!#REF!</definedName>
    <definedName name="FILENAME">[1]PYRAMID!#REF!</definedName>
    <definedName name="FILTROBL_BLC_UNIC" localSheetId="3">#REF!</definedName>
    <definedName name="FILTROBL_BLC_UNIC" localSheetId="1">#REF!</definedName>
    <definedName name="FILTROBL_BLC_UNIC" localSheetId="5">#REF!</definedName>
    <definedName name="FILTROBL_BLC_UNIC" localSheetId="4">#REF!</definedName>
    <definedName name="FILTROBL_BLC_UNIC">#REF!</definedName>
    <definedName name="FLOPDIR" localSheetId="3">[1]PYRAMID!#REF!</definedName>
    <definedName name="FLOPDIR" localSheetId="1">[1]PYRAMID!#REF!</definedName>
    <definedName name="FLOPDIR" localSheetId="5">[1]PYRAMID!#REF!</definedName>
    <definedName name="FLOPDIR" localSheetId="4">[1]PYRAMID!#REF!</definedName>
    <definedName name="FLOPDIR">[1]PYRAMID!#REF!</definedName>
    <definedName name="FLOPPY" localSheetId="3">[1]PYRAMID!#REF!</definedName>
    <definedName name="FLOPPY" localSheetId="1">[1]PYRAMID!#REF!</definedName>
    <definedName name="FLOPPY" localSheetId="5">[1]PYRAMID!#REF!</definedName>
    <definedName name="FLOPPY" localSheetId="4">[1]PYRAMID!#REF!</definedName>
    <definedName name="FLOPPY">[1]PYRAMID!#REF!</definedName>
    <definedName name="Fluxo_Resumido_do_Caixa" localSheetId="3">#REF!</definedName>
    <definedName name="Fluxo_Resumido_do_Caixa" localSheetId="1">#REF!</definedName>
    <definedName name="Fluxo_Resumido_do_Caixa" localSheetId="5">#REF!</definedName>
    <definedName name="Fluxo_Resumido_do_Caixa" localSheetId="4">#REF!</definedName>
    <definedName name="Fluxo_Resumido_do_Caixa">#REF!</definedName>
    <definedName name="Fontes" localSheetId="3">#REF!</definedName>
    <definedName name="Fontes" localSheetId="1">#REF!</definedName>
    <definedName name="Fontes" localSheetId="5">#REF!</definedName>
    <definedName name="Fontes">#REF!</definedName>
    <definedName name="Formula" localSheetId="3">#REF!</definedName>
    <definedName name="Formula" localSheetId="1">#REF!</definedName>
    <definedName name="Formula" localSheetId="5">#REF!</definedName>
    <definedName name="Formula">#REF!</definedName>
    <definedName name="Fram_TIR" localSheetId="3">#REF!</definedName>
    <definedName name="Fram_TIR" localSheetId="1">#REF!</definedName>
    <definedName name="Fram_TIR" localSheetId="5">#REF!</definedName>
    <definedName name="Fram_TIR">#REF!</definedName>
    <definedName name="FUNDAF">NA()</definedName>
    <definedName name="FVDS" localSheetId="3">#REF!</definedName>
    <definedName name="FVDS" localSheetId="1">#REF!</definedName>
    <definedName name="FVDS" localSheetId="5">#REF!</definedName>
    <definedName name="FVDS" localSheetId="4">#REF!</definedName>
    <definedName name="FVDS">#REF!</definedName>
    <definedName name="g" localSheetId="3">[1]PYRAMID!#REF!</definedName>
    <definedName name="g" localSheetId="1">[1]PYRAMID!#REF!</definedName>
    <definedName name="g" localSheetId="5">[1]PYRAMID!#REF!</definedName>
    <definedName name="g" localSheetId="4">[1]PYRAMID!#REF!</definedName>
    <definedName name="g">[1]PYRAMID!#REF!</definedName>
    <definedName name="GETFILE" localSheetId="1">[1]PYRAMID!#REF!</definedName>
    <definedName name="GETFILE" localSheetId="5">[1]PYRAMID!#REF!</definedName>
    <definedName name="GETFILE">[1]PYRAMID!#REF!</definedName>
    <definedName name="getInicialDate" localSheetId="3">page '[22]1'!$A$3</definedName>
    <definedName name="getInicialDate" localSheetId="1">page '[22]1'!$A$3</definedName>
    <definedName name="getInicialDate" localSheetId="5">page '[22]1'!$A$3</definedName>
    <definedName name="getInicialDate" localSheetId="4">page '[22]1'!$A$3</definedName>
    <definedName name="getInicialDate">page '[22]1'!$A$3</definedName>
    <definedName name="getModEnt" localSheetId="3">page '[22]1'!$A$2</definedName>
    <definedName name="getModEnt" localSheetId="1">page '[22]1'!$A$2</definedName>
    <definedName name="getModEnt" localSheetId="5">page '[22]1'!$A$2</definedName>
    <definedName name="getModEnt" localSheetId="4">page '[22]1'!$A$2</definedName>
    <definedName name="getModEnt">page '[22]1'!$A$2</definedName>
    <definedName name="GO" localSheetId="3">[21]MILHO1A!#REF!</definedName>
    <definedName name="GO" localSheetId="1">[21]MILHO1A!#REF!</definedName>
    <definedName name="GO" localSheetId="5">[21]MILHO1A!#REF!</definedName>
    <definedName name="GO" localSheetId="4">[21]MILHO1A!#REF!</definedName>
    <definedName name="GO">[21]MILHO1A!#REF!</definedName>
    <definedName name="GRAF" localSheetId="3">#REF!</definedName>
    <definedName name="GRAF" localSheetId="1">#REF!</definedName>
    <definedName name="GRAF" localSheetId="5">#REF!</definedName>
    <definedName name="GRAF" localSheetId="4">#REF!</definedName>
    <definedName name="GRAF">#REF!</definedName>
    <definedName name="Graf_Lasso" localSheetId="3">#REF!</definedName>
    <definedName name="Graf_Lasso">#REF!</definedName>
    <definedName name="graf1p" localSheetId="3">#REF!</definedName>
    <definedName name="graf1p">#REF!</definedName>
    <definedName name="graf2p" localSheetId="3">#REF!</definedName>
    <definedName name="graf2p">#REF!</definedName>
    <definedName name="graf3p" localSheetId="3">#REF!</definedName>
    <definedName name="graf3p">#REF!</definedName>
    <definedName name="graf4p" localSheetId="3">#REF!</definedName>
    <definedName name="graf4p">#REF!</definedName>
    <definedName name="graf5p" localSheetId="3">#REF!</definedName>
    <definedName name="graf5p">#REF!</definedName>
    <definedName name="Grafico_em_portugues" localSheetId="3">#REF!</definedName>
    <definedName name="Grafico_em_portugues">#REF!</definedName>
    <definedName name="GraficoNovo17" localSheetId="3">#REF!</definedName>
    <definedName name="GraficoNovo17" localSheetId="1">#REF!</definedName>
    <definedName name="GraficoNovo17" localSheetId="5">#REF!</definedName>
    <definedName name="GraficoNovo17">#REF!</definedName>
    <definedName name="_xlnm.Recorder" localSheetId="3">#REF!</definedName>
    <definedName name="_xlnm.Recorder" localSheetId="1">#REF!</definedName>
    <definedName name="_xlnm.Recorder" localSheetId="5">#REF!</definedName>
    <definedName name="_xlnm.Recorder">#REF!</definedName>
    <definedName name="GRDIR" localSheetId="3">[1]PYRAMID!#REF!</definedName>
    <definedName name="GRDIR" localSheetId="1">[1]PYRAMID!#REF!</definedName>
    <definedName name="GRDIR" localSheetId="5">[1]PYRAMID!#REF!</definedName>
    <definedName name="GRDIR" localSheetId="4">[1]PYRAMID!#REF!</definedName>
    <definedName name="GRDIR">[1]PYRAMID!#REF!</definedName>
    <definedName name="H_Show_Hide" localSheetId="3">#REF!</definedName>
    <definedName name="H_Show_Hide" localSheetId="1">#REF!</definedName>
    <definedName name="H_Show_Hide" localSheetId="5">#REF!</definedName>
    <definedName name="H_Show_Hide" localSheetId="4">#REF!</definedName>
    <definedName name="H_Show_Hide">#REF!</definedName>
    <definedName name="head_size">[11]Households!$A$81</definedName>
    <definedName name="HELP">[1]PYRAMID!$A$121:$F$140</definedName>
    <definedName name="hiato" localSheetId="3" hidden="1">#REF!</definedName>
    <definedName name="hiato" localSheetId="4" hidden="1">#REF!</definedName>
    <definedName name="hiato" hidden="1">#REF!</definedName>
    <definedName name="Hiato_Mercado" localSheetId="3">INDIRECT("Dados!$F$"&amp;#REF!&amp;":$F$"&amp;#REF!)</definedName>
    <definedName name="Hiato_Mercado">INDIRECT("Dados!$F$"&amp;#REF!&amp;":$F$"&amp;#REF!)</definedName>
    <definedName name="Hiato_Ref" localSheetId="3">INDIRECT("Dados!$P$"&amp;#REF!&amp;":$P$"&amp;#REF!)</definedName>
    <definedName name="Hiato_Ref">INDIRECT("Dados!$P$"&amp;#REF!&amp;":$P$"&amp;#REF!)</definedName>
    <definedName name="HorizontalCond" localSheetId="3">#REF!</definedName>
    <definedName name="HorizontalCond" localSheetId="1">#REF!</definedName>
    <definedName name="HorizontalCond" localSheetId="5">#REF!</definedName>
    <definedName name="HorizontalCond" localSheetId="4">#REF!</definedName>
    <definedName name="HorizontalCond">#REF!</definedName>
    <definedName name="HTML_CodePage" hidden="1">1252</definedName>
    <definedName name="HTML_Control" localSheetId="3" hidden="1">{"'Emissoes'!$B$1:$Q$80"}</definedName>
    <definedName name="HTML_Control" localSheetId="1" hidden="1">{"'Emissoes'!$B$1:$Q$80"}</definedName>
    <definedName name="HTML_Control" localSheetId="9" hidden="1">{"'Emissoes'!$B$1:$Q$80"}</definedName>
    <definedName name="HTML_Control" localSheetId="5" hidden="1">{"'Emissoes'!$B$1:$Q$80"}</definedName>
    <definedName name="HTML_Control" localSheetId="4" hidden="1">{"'Emissoes'!$B$1:$Q$80"}</definedName>
    <definedName name="HTML_Control" hidden="1">{"'Emissoes'!$B$1:$Q$80"}</definedName>
    <definedName name="HTML_Description" hidden="1">""</definedName>
    <definedName name="HTML_Email" hidden="1">""</definedName>
    <definedName name="HTML_Header" hidden="1">"Emissoes"</definedName>
    <definedName name="HTML_LastUpdate" hidden="1">"13/12/2000"</definedName>
    <definedName name="HTML_LineAfter" hidden="1">FALSE</definedName>
    <definedName name="HTML_LineBefore" hidden="1">FALSE</definedName>
    <definedName name="HTML_Name" hidden="1">"lfcgomes"</definedName>
    <definedName name="HTML_OBDlg2" hidden="1">TRUE</definedName>
    <definedName name="HTML_OBDlg4" hidden="1">TRUE</definedName>
    <definedName name="HTML_OS" hidden="1">0</definedName>
    <definedName name="HTML_PathFile" hidden="1">"C:\Ext\sovtemp.htm"</definedName>
    <definedName name="HTML_Title" hidden="1">"soberanos"</definedName>
    <definedName name="IAA" localSheetId="3">#REF!</definedName>
    <definedName name="IAA" localSheetId="1">#REF!</definedName>
    <definedName name="IAA" localSheetId="5">#REF!</definedName>
    <definedName name="IAA" localSheetId="4">#REF!</definedName>
    <definedName name="IAA">#REF!</definedName>
    <definedName name="Ident">"Figura 3"</definedName>
    <definedName name="IGP_DI" localSheetId="3">#REF!</definedName>
    <definedName name="IGP_DI" localSheetId="1">#REF!</definedName>
    <definedName name="IGP_DI" localSheetId="5">#REF!</definedName>
    <definedName name="IGP_DI" localSheetId="4">#REF!</definedName>
    <definedName name="IGP_DI">#REF!</definedName>
    <definedName name="IGP_M" localSheetId="3">#REF!</definedName>
    <definedName name="IGP_M" localSheetId="1">#REF!</definedName>
    <definedName name="IGP_M" localSheetId="5">#REF!</definedName>
    <definedName name="IGP_M">#REF!</definedName>
    <definedName name="igpdic" localSheetId="3">#REF!</definedName>
    <definedName name="igpdic" localSheetId="1">#REF!</definedName>
    <definedName name="igpdic" localSheetId="5">#REF!</definedName>
    <definedName name="igpdic">#REF!</definedName>
    <definedName name="illit1">[11]Literacy!$A$24</definedName>
    <definedName name="illit2">[11]Literacy!$A$1</definedName>
    <definedName name="IMP">NA()</definedName>
    <definedName name="Imports" localSheetId="3">#REF!</definedName>
    <definedName name="Imports" localSheetId="1">#REF!</definedName>
    <definedName name="Imports" localSheetId="5">#REF!</definedName>
    <definedName name="Imports" localSheetId="4">#REF!</definedName>
    <definedName name="Imports">#REF!</definedName>
    <definedName name="IMPRESION" localSheetId="3">#REF!</definedName>
    <definedName name="IMPRESION" localSheetId="1">#REF!</definedName>
    <definedName name="IMPRESION" localSheetId="5">#REF!</definedName>
    <definedName name="IMPRESION">#REF!</definedName>
    <definedName name="IMPRESS2" localSheetId="3">#REF!</definedName>
    <definedName name="IMPRESS2" localSheetId="1">#REF!</definedName>
    <definedName name="IMPRESS2" localSheetId="5">#REF!</definedName>
    <definedName name="IMPRESS2">#REF!</definedName>
    <definedName name="imr">[11]IMR!$A$19</definedName>
    <definedName name="inact">[11]Employ!$A$77</definedName>
    <definedName name="income">[11]Income!$A$18</definedName>
    <definedName name="INDECO" localSheetId="1">'[23]di a termo ie3-05'!$A$3:$H$98</definedName>
    <definedName name="INDECO" localSheetId="5">'[23]di a termo ie3-05'!$A$3:$H$98</definedName>
    <definedName name="INDECO">'[24]di a termo ie3-05'!$A$3:$H$98</definedName>
    <definedName name="industry">[11]Industry!$U$21</definedName>
    <definedName name="informal">[11]Informal!$A$21</definedName>
    <definedName name="ing" localSheetId="3">#REF!</definedName>
    <definedName name="ing" localSheetId="1">#REF!</definedName>
    <definedName name="ing" localSheetId="9">#REF!</definedName>
    <definedName name="ing" localSheetId="5">#REF!</definedName>
    <definedName name="ing" localSheetId="4">#REF!</definedName>
    <definedName name="ing">#REF!</definedName>
    <definedName name="INICIOFILTRADO" localSheetId="3">#REF!</definedName>
    <definedName name="INICIOFILTRADO" localSheetId="1">#REF!</definedName>
    <definedName name="INICIOFILTRADO" localSheetId="9">#REF!</definedName>
    <definedName name="INICIOFILTRADO" localSheetId="5">#REF!</definedName>
    <definedName name="INICIOFILTRADO">#REF!</definedName>
    <definedName name="IOF">NA()</definedName>
    <definedName name="IPC_SGV" localSheetId="3">#REF!</definedName>
    <definedName name="IPC_SGV" localSheetId="1">#REF!</definedName>
    <definedName name="IPC_SGV" localSheetId="9">#REF!</definedName>
    <definedName name="IPC_SGV" localSheetId="5">#REF!</definedName>
    <definedName name="IPC_SGV" localSheetId="4">#REF!</definedName>
    <definedName name="IPC_SGV">#REF!</definedName>
    <definedName name="ipca">[9]recprev!$V:$V</definedName>
    <definedName name="IPIB">NA()</definedName>
    <definedName name="IPID">NA()</definedName>
    <definedName name="IPIV">NA()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42403.7843171296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RFO">NA()</definedName>
    <definedName name="itaipu423" localSheetId="3">#REF!</definedName>
    <definedName name="itaipu423" localSheetId="1">#REF!</definedName>
    <definedName name="itaipu423" localSheetId="5">#REF!</definedName>
    <definedName name="itaipu423" localSheetId="4">#REF!</definedName>
    <definedName name="itaipu423">#REF!</definedName>
    <definedName name="ITR">NA()</definedName>
    <definedName name="j" localSheetId="3" hidden="1">{#N/A,#N/A,FALSE,"IAA - Controlados pelo BB"}</definedName>
    <definedName name="j" localSheetId="1" hidden="1">{#N/A,#N/A,FALSE,"IAA - Controlados pelo BB"}</definedName>
    <definedName name="j" localSheetId="5" hidden="1">{#N/A,#N/A,FALSE,"IAA - Controlados pelo BB"}</definedName>
    <definedName name="j" localSheetId="4" hidden="1">{#N/A,#N/A,FALSE,"IAA - Controlados pelo BB"}</definedName>
    <definedName name="j" hidden="1">{#N/A,#N/A,FALSE,"IAA - Controlados pelo BB"}</definedName>
    <definedName name="ja" localSheetId="3" hidden="1">#REF!</definedName>
    <definedName name="ja" localSheetId="1" hidden="1">#REF!</definedName>
    <definedName name="ja" localSheetId="5" hidden="1">#REF!</definedName>
    <definedName name="ja" localSheetId="4" hidden="1">#REF!</definedName>
    <definedName name="ja" hidden="1">#REF!</definedName>
    <definedName name="janeiro">[9]fluxo!$B:$B</definedName>
    <definedName name="janeiro12">[13]recprev!$147:$147</definedName>
    <definedName name="janeiro13">[9]recprev!$159:$159</definedName>
    <definedName name="julho12">[13]recprev!$153:$153</definedName>
    <definedName name="junho12">[13]recprev!$152:$152</definedName>
    <definedName name="JUROS" localSheetId="3">#REF!</definedName>
    <definedName name="JUROS" localSheetId="1">#REF!</definedName>
    <definedName name="JUROS" localSheetId="9">#REF!</definedName>
    <definedName name="JUROS" localSheetId="5">#REF!</definedName>
    <definedName name="JUROS" localSheetId="4">#REF!</definedName>
    <definedName name="JUROS">#REF!</definedName>
    <definedName name="kdjfslkdjf" localSheetId="3">[1]PYRAMID!#REF!</definedName>
    <definedName name="kdjfslkdjf" localSheetId="1">[1]PYRAMID!#REF!</definedName>
    <definedName name="kdjfslkdjf" localSheetId="5">[1]PYRAMID!#REF!</definedName>
    <definedName name="kdjfslkdjf" localSheetId="4">[1]PYRAMID!#REF!</definedName>
    <definedName name="kdjfslkdjf">[1]PYRAMID!#REF!</definedName>
    <definedName name="ker_crb">[25]SériesLog!$EM$75:$EM$94</definedName>
    <definedName name="ker_e">[25]SériesLog!$EN$75:$EN$94</definedName>
    <definedName name="ker_h">[25]SériesLog!$EO$75:$EO$94</definedName>
    <definedName name="ker_hx">[25]SériesLog!$EP$75:$EP$94</definedName>
    <definedName name="kjsd" localSheetId="3">[1]PYRAMID!#REF!</definedName>
    <definedName name="kjsd" localSheetId="1">[1]PYRAMID!#REF!</definedName>
    <definedName name="kjsd" localSheetId="5">[1]PYRAMID!#REF!</definedName>
    <definedName name="kjsd" localSheetId="4">[1]PYRAMID!#REF!</definedName>
    <definedName name="kjsd">[1]PYRAMID!#REF!</definedName>
    <definedName name="KrnlXYdata">"$C$9:$D$265"</definedName>
    <definedName name="ku" localSheetId="3">#REF!</definedName>
    <definedName name="ku" localSheetId="1">#REF!</definedName>
    <definedName name="ku" localSheetId="5">#REF!</definedName>
    <definedName name="ku" localSheetId="4">#REF!</definedName>
    <definedName name="ku">#REF!</definedName>
    <definedName name="lei1194112">[9]fluxo!$45:$45</definedName>
    <definedName name="LequeInfBorda" localSheetId="3">#REF!</definedName>
    <definedName name="LequeInfBorda" localSheetId="4">#REF!</definedName>
    <definedName name="LequeInfBorda">#REF!</definedName>
    <definedName name="LequeInfGrade1" localSheetId="3">#REF!</definedName>
    <definedName name="LequeInfGrade1">#REF!</definedName>
    <definedName name="LequeInfGrade2" localSheetId="3">#REF!</definedName>
    <definedName name="LequeInfGrade2">#REF!</definedName>
    <definedName name="LequeInfGrade3" localSheetId="3">#REF!</definedName>
    <definedName name="LequeInfGrade3">#REF!</definedName>
    <definedName name="LequeInfMaximo" localSheetId="3">#REF!</definedName>
    <definedName name="LequeInfMaximo">#REF!</definedName>
    <definedName name="LequeInfMinimo" localSheetId="3">#REF!</definedName>
    <definedName name="LequeInfMinimo">#REF!</definedName>
    <definedName name="life">'[11]Life Expect'!$A$1</definedName>
    <definedName name="Lim_Sup_Meta" localSheetId="3">OFFSET(#REF!,#REF!,0,#REF!-#REF!+1,1)</definedName>
    <definedName name="Lim_Sup_Meta" localSheetId="4">OFFSET(#REF!,#REF!,0,#REF!-#REF!+1,1)</definedName>
    <definedName name="Lim_Sup_Meta">OFFSET(#REF!,#REF!,0,#REF!-#REF!+1,1)</definedName>
    <definedName name="LLOYDS" localSheetId="3">#REF!</definedName>
    <definedName name="LLOYDS" localSheetId="1">#REF!</definedName>
    <definedName name="LLOYDS" localSheetId="9">#REF!</definedName>
    <definedName name="LLOYDS" localSheetId="5">#REF!</definedName>
    <definedName name="LLOYDS" localSheetId="4">#REF!</definedName>
    <definedName name="LLOYDS">#REF!</definedName>
    <definedName name="Local">[26]!Tabela1[Semana:]</definedName>
    <definedName name="LOL" localSheetId="3">[1]PYRAMID!#REF!</definedName>
    <definedName name="LOL" localSheetId="1">[1]PYRAMID!#REF!</definedName>
    <definedName name="LOL" localSheetId="5">[1]PYRAMID!#REF!</definedName>
    <definedName name="LOL" localSheetId="4">[1]PYRAMID!#REF!</definedName>
    <definedName name="LOL">[1]PYRAMID!#REF!</definedName>
    <definedName name="LOOKUPMTH" localSheetId="3">#REF!</definedName>
    <definedName name="LOOKUPMTH" localSheetId="1">#REF!</definedName>
    <definedName name="LOOKUPMTH" localSheetId="9">#REF!</definedName>
    <definedName name="LOOKUPMTH" localSheetId="5">#REF!</definedName>
    <definedName name="LOOKUPMTH" localSheetId="4">#REF!</definedName>
    <definedName name="LOOKUPMTH">#REF!</definedName>
    <definedName name="LTFEMAM80" localSheetId="3">#REF!</definedName>
    <definedName name="LTFEMAM80" localSheetId="1">#REF!</definedName>
    <definedName name="LTFEMAM80" localSheetId="5">#REF!</definedName>
    <definedName name="LTFEMAM80">#REF!</definedName>
    <definedName name="LTMASCAM80" localSheetId="3">#REF!</definedName>
    <definedName name="LTMASCAM80" localSheetId="1">#REF!</definedName>
    <definedName name="LTMASCAM80" localSheetId="5">#REF!</definedName>
    <definedName name="LTMASCAM80">#REF!</definedName>
    <definedName name="maio12">[13]recprev!$151:$151</definedName>
    <definedName name="managers">[11]Enterprises!$A$15</definedName>
    <definedName name="MAPA1" localSheetId="3">#REF!</definedName>
    <definedName name="MAPA1" localSheetId="1">#REF!</definedName>
    <definedName name="MAPA1" localSheetId="9">#REF!</definedName>
    <definedName name="MAPA1" localSheetId="5">#REF!</definedName>
    <definedName name="MAPA1" localSheetId="4">#REF!</definedName>
    <definedName name="MAPA1">#REF!</definedName>
    <definedName name="MAPA2" localSheetId="3">#REF!</definedName>
    <definedName name="MAPA2" localSheetId="1">#REF!</definedName>
    <definedName name="MAPA2" localSheetId="9">#REF!</definedName>
    <definedName name="MAPA2" localSheetId="5">#REF!</definedName>
    <definedName name="MAPA2">#REF!</definedName>
    <definedName name="MAPA3" localSheetId="3">#REF!</definedName>
    <definedName name="MAPA3" localSheetId="1">#REF!</definedName>
    <definedName name="MAPA3" localSheetId="9">#REF!</definedName>
    <definedName name="MAPA3" localSheetId="5">#REF!</definedName>
    <definedName name="MAPA3">#REF!</definedName>
    <definedName name="MAPA4" localSheetId="3">#REF!</definedName>
    <definedName name="MAPA4" localSheetId="1">#REF!</definedName>
    <definedName name="MAPA4" localSheetId="5">#REF!</definedName>
    <definedName name="MAPA4">#REF!</definedName>
    <definedName name="MAPA5" localSheetId="3">#REF!</definedName>
    <definedName name="MAPA5" localSheetId="1">#REF!</definedName>
    <definedName name="MAPA5" localSheetId="5">#REF!</definedName>
    <definedName name="MAPA5">#REF!</definedName>
    <definedName name="MAPA6" localSheetId="3">#REF!</definedName>
    <definedName name="MAPA6" localSheetId="1">#REF!</definedName>
    <definedName name="MAPA6" localSheetId="5">#REF!</definedName>
    <definedName name="MAPA6">#REF!</definedName>
    <definedName name="MAPA7" localSheetId="3">#REF!</definedName>
    <definedName name="MAPA7" localSheetId="1">#REF!</definedName>
    <definedName name="MAPA7" localSheetId="5">#REF!</definedName>
    <definedName name="MAPA7">#REF!</definedName>
    <definedName name="marst01">'[11]Marital status'!$O$43</definedName>
    <definedName name="marst96">'[11]Marital status'!$A$43</definedName>
    <definedName name="MENSAL2" localSheetId="3">#REF!</definedName>
    <definedName name="MENSAL2" localSheetId="1">#REF!</definedName>
    <definedName name="MENSAL2" localSheetId="9">#REF!</definedName>
    <definedName name="MENSAL2" localSheetId="5">#REF!</definedName>
    <definedName name="MENSAL2" localSheetId="4">#REF!</definedName>
    <definedName name="MENSAL2">#REF!</definedName>
    <definedName name="MENSAL4" localSheetId="3">#REF!</definedName>
    <definedName name="MENSAL4" localSheetId="1">#REF!</definedName>
    <definedName name="MENSAL4" localSheetId="9">#REF!</definedName>
    <definedName name="MENSAL4" localSheetId="5">#REF!</definedName>
    <definedName name="MENSAL4">#REF!</definedName>
    <definedName name="Mes" localSheetId="3">#REF!</definedName>
    <definedName name="Mes" localSheetId="1">#REF!</definedName>
    <definedName name="Mes" localSheetId="9">#REF!</definedName>
    <definedName name="Mes" localSheetId="5">#REF!</definedName>
    <definedName name="Mes">#REF!</definedName>
    <definedName name="mês" localSheetId="3">#REF!</definedName>
    <definedName name="mês" localSheetId="1">#REF!</definedName>
    <definedName name="mês" localSheetId="5">#REF!</definedName>
    <definedName name="mês">#REF!</definedName>
    <definedName name="meses" localSheetId="3">#REF!</definedName>
    <definedName name="meses" localSheetId="1">#REF!</definedName>
    <definedName name="meses" localSheetId="5">#REF!</definedName>
    <definedName name="meses">#REF!</definedName>
    <definedName name="MESSAGE" localSheetId="1">[1]PYRAMID!#REF!</definedName>
    <definedName name="MESSAGE" localSheetId="5">[1]PYRAMID!#REF!</definedName>
    <definedName name="MESSAGE">[1]PYRAMID!#REF!</definedName>
    <definedName name="Meta_At_PM_IGP" localSheetId="3">#REF!</definedName>
    <definedName name="Meta_At_PM_IGP" localSheetId="1">#REF!</definedName>
    <definedName name="Meta_At_PM_IGP" localSheetId="5">#REF!</definedName>
    <definedName name="Meta_At_PM_IGP" localSheetId="4">#REF!</definedName>
    <definedName name="Meta_At_PM_IGP">#REF!</definedName>
    <definedName name="Meta_At_PM_Papel" localSheetId="3">#REF!</definedName>
    <definedName name="Meta_At_PM_Papel" localSheetId="1">#REF!</definedName>
    <definedName name="Meta_At_PM_Papel" localSheetId="5">#REF!</definedName>
    <definedName name="Meta_At_PM_Papel">#REF!</definedName>
    <definedName name="Metas" localSheetId="3">OFFSET(#REF!,#REF!,0,#REF!-#REF!+1,1)</definedName>
    <definedName name="Metas">OFFSET(#REF!,#REF!,0,#REF!-#REF!+1,1)</definedName>
    <definedName name="MG" localSheetId="3">[21]MILHO1A!#REF!</definedName>
    <definedName name="MG" localSheetId="1">[21]MILHO1A!#REF!</definedName>
    <definedName name="MG" localSheetId="5">[21]MILHO1A!#REF!</definedName>
    <definedName name="MG" localSheetId="4">[21]MILHO1A!#REF!</definedName>
    <definedName name="MG">[21]MILHO1A!#REF!</definedName>
    <definedName name="MILHO_2__SAFRA" localSheetId="3">#REF!</definedName>
    <definedName name="MILHO_2__SAFRA" localSheetId="1">#REF!</definedName>
    <definedName name="MILHO_2__SAFRA" localSheetId="5">#REF!</definedName>
    <definedName name="MILHO_2__SAFRA" localSheetId="4">#REF!</definedName>
    <definedName name="MILHO_2__SAFRA">#REF!</definedName>
    <definedName name="mmr">[11]Maternal!$A$13</definedName>
    <definedName name="Month" localSheetId="3">#REF!</definedName>
    <definedName name="Month" localSheetId="1">#REF!</definedName>
    <definedName name="Month" localSheetId="9">#REF!</definedName>
    <definedName name="Month" localSheetId="5">#REF!</definedName>
    <definedName name="Month" localSheetId="4">#REF!</definedName>
    <definedName name="Month">#REF!</definedName>
    <definedName name="months">[17]Bdetail!$W$99:$BW$99</definedName>
    <definedName name="months_ext">[17]B_extDetail!$W$99:$BW$99</definedName>
    <definedName name="mort1">[11]Mortality!$Q$1</definedName>
    <definedName name="mort2">[11]Mortality!$AG$1</definedName>
    <definedName name="MS" localSheetId="3">[21]MILHO1A!#REF!</definedName>
    <definedName name="MS" localSheetId="1">[21]MILHO1A!#REF!</definedName>
    <definedName name="MS" localSheetId="5">[21]MILHO1A!#REF!</definedName>
    <definedName name="MS" localSheetId="4">[21]MILHO1A!#REF!</definedName>
    <definedName name="MS">[21]MILHO1A!#REF!</definedName>
    <definedName name="MSG_CELL" localSheetId="3">[1]PYRAMID!#REF!</definedName>
    <definedName name="MSG_CELL" localSheetId="1">[1]PYRAMID!#REF!</definedName>
    <definedName name="MSG_CELL" localSheetId="5">[1]PYRAMID!#REF!</definedName>
    <definedName name="MSG_CELL" localSheetId="4">[1]PYRAMID!#REF!</definedName>
    <definedName name="MSG_CELL">[1]PYRAMID!#REF!</definedName>
    <definedName name="MT" localSheetId="3">[21]MILHO1A!#REF!</definedName>
    <definedName name="MT" localSheetId="1">[21]MILHO1A!#REF!</definedName>
    <definedName name="MT" localSheetId="5">[21]MILHO1A!#REF!</definedName>
    <definedName name="MT" localSheetId="4">[21]MILHO1A!#REF!</definedName>
    <definedName name="MT">[21]MILHO1A!#REF!</definedName>
    <definedName name="N_Boletim" localSheetId="3">#REF!</definedName>
    <definedName name="N_Boletim" localSheetId="1">#REF!</definedName>
    <definedName name="N_Boletim" localSheetId="5">#REF!</definedName>
    <definedName name="N_Boletim" localSheetId="4">#REF!</definedName>
    <definedName name="N_Boletim">#REF!</definedName>
    <definedName name="NOMEPRODUTO1" localSheetId="3">#REF!</definedName>
    <definedName name="NOMEPRODUTO1" localSheetId="1">#REF!</definedName>
    <definedName name="NOMEPRODUTO1" localSheetId="5">#REF!</definedName>
    <definedName name="NOMEPRODUTO1">#REF!</definedName>
    <definedName name="NOMEPRODUTO2" localSheetId="3">#REF!</definedName>
    <definedName name="NOMEPRODUTO2" localSheetId="1">#REF!</definedName>
    <definedName name="NOMEPRODUTO2" localSheetId="5">#REF!</definedName>
    <definedName name="NOMEPRODUTO2">#REF!</definedName>
    <definedName name="NOMEPRODUTO3" localSheetId="3">#REF!</definedName>
    <definedName name="NOMEPRODUTO3" localSheetId="1">#REF!</definedName>
    <definedName name="NOMEPRODUTO3" localSheetId="5">#REF!</definedName>
    <definedName name="NOMEPRODUTO3">#REF!</definedName>
    <definedName name="NOMEPRODUTO4" localSheetId="3">#REF!</definedName>
    <definedName name="NOMEPRODUTO4" localSheetId="1">#REF!</definedName>
    <definedName name="NOMEPRODUTO4" localSheetId="5">#REF!</definedName>
    <definedName name="NOMEPRODUTO4">#REF!</definedName>
    <definedName name="NOMETERRITORIO" localSheetId="3">#REF!</definedName>
    <definedName name="NOMETERRITORIO" localSheetId="1">#REF!</definedName>
    <definedName name="NOMETERRITORIO" localSheetId="5">#REF!</definedName>
    <definedName name="NOMETERRITORIO">#REF!</definedName>
    <definedName name="NOMETERRITORIOMAIS" localSheetId="3">#REF!</definedName>
    <definedName name="NOMETERRITORIOMAIS" localSheetId="1">#REF!</definedName>
    <definedName name="NOMETERRITORIOMAIS" localSheetId="5">#REF!</definedName>
    <definedName name="NOMETERRITORIOMAIS">#REF!</definedName>
    <definedName name="NOMETERRITORIOTIT" localSheetId="3">#REF!</definedName>
    <definedName name="NOMETERRITORIOTIT" localSheetId="1">#REF!</definedName>
    <definedName name="NOMETERRITORIOTIT" localSheetId="5">#REF!</definedName>
    <definedName name="NOMETERRITORIOTIT">#REF!</definedName>
    <definedName name="NOMETERRITORIOTITMAIS" localSheetId="3">#REF!</definedName>
    <definedName name="NOMETERRITORIOTITMAIS" localSheetId="1">#REF!</definedName>
    <definedName name="NOMETERRITORIOTITMAIS" localSheetId="5">#REF!</definedName>
    <definedName name="NOMETERRITORIOTITMAIS">#REF!</definedName>
    <definedName name="NOMEUNIDADE1" localSheetId="3">#REF!</definedName>
    <definedName name="NOMEUNIDADE1" localSheetId="1">#REF!</definedName>
    <definedName name="NOMEUNIDADE1" localSheetId="5">#REF!</definedName>
    <definedName name="NOMEUNIDADE1">#REF!</definedName>
    <definedName name="NOMEUNIDADE2" localSheetId="3">#REF!</definedName>
    <definedName name="NOMEUNIDADE2" localSheetId="1">#REF!</definedName>
    <definedName name="NOMEUNIDADE2" localSheetId="5">#REF!</definedName>
    <definedName name="NOMEUNIDADE2">#REF!</definedName>
    <definedName name="NOMEUNIDADE3" localSheetId="3">#REF!</definedName>
    <definedName name="NOMEUNIDADE3" localSheetId="1">#REF!</definedName>
    <definedName name="NOMEUNIDADE3" localSheetId="5">#REF!</definedName>
    <definedName name="NOMEUNIDADE3">#REF!</definedName>
    <definedName name="NOMEUNIDADE4" localSheetId="3">#REF!</definedName>
    <definedName name="NOMEUNIDADE4" localSheetId="1">#REF!</definedName>
    <definedName name="NOMEUNIDADE4" localSheetId="5">#REF!</definedName>
    <definedName name="NOMEUNIDADE4">#REF!</definedName>
    <definedName name="NOPAS" localSheetId="3">[1]PYRAMID!#REF!</definedName>
    <definedName name="NOPAS" localSheetId="1">[1]PYRAMID!#REF!</definedName>
    <definedName name="NOPAS" localSheetId="5">[1]PYRAMID!#REF!</definedName>
    <definedName name="NOPAS">[1]PYRAMID!#REF!</definedName>
    <definedName name="NOPAS3" localSheetId="3">[1]PYRAMID!#REF!</definedName>
    <definedName name="NOPAS3" localSheetId="1">[1]PYRAMID!#REF!</definedName>
    <definedName name="NOPAS3" localSheetId="5">[1]PYRAMID!#REF!</definedName>
    <definedName name="NOPAS3">[1]PYRAMID!#REF!</definedName>
    <definedName name="norte_ferro" localSheetId="3">#REF!</definedName>
    <definedName name="norte_ferro" localSheetId="1">#REF!</definedName>
    <definedName name="norte_ferro" localSheetId="5">#REF!</definedName>
    <definedName name="norte_ferro" localSheetId="4">#REF!</definedName>
    <definedName name="norte_ferro">#REF!</definedName>
    <definedName name="norteferro" localSheetId="3">#REF!</definedName>
    <definedName name="norteferro" localSheetId="1">#REF!</definedName>
    <definedName name="norteferro" localSheetId="5">#REF!</definedName>
    <definedName name="norteferro">#REF!</definedName>
    <definedName name="NotaImp03_04_2002_11_41_24" localSheetId="3">#REF!</definedName>
    <definedName name="NotaImp03_04_2002_11_41_24" localSheetId="1">#REF!</definedName>
    <definedName name="NotaImp03_04_2002_11_41_24" localSheetId="5">#REF!</definedName>
    <definedName name="NotaImp03_04_2002_11_41_24">#REF!</definedName>
    <definedName name="NotaImp03_07_2002_17_58_20" localSheetId="3">#REF!</definedName>
    <definedName name="NotaImp03_07_2002_17_58_20" localSheetId="1">#REF!</definedName>
    <definedName name="NotaImp03_07_2002_17_58_20" localSheetId="5">#REF!</definedName>
    <definedName name="NotaImp03_07_2002_17_58_20">#REF!</definedName>
    <definedName name="NotaImp04_09_02_08_38_23" localSheetId="3">#REF!</definedName>
    <definedName name="NotaImp04_09_02_08_38_23" localSheetId="1">#REF!</definedName>
    <definedName name="NotaImp04_09_02_08_38_23" localSheetId="5">#REF!</definedName>
    <definedName name="NotaImp04_09_02_08_38_23">#REF!</definedName>
    <definedName name="NotaImp04_10_2002_10_59_10" localSheetId="3">#REF!</definedName>
    <definedName name="NotaImp04_10_2002_10_59_10" localSheetId="1">#REF!</definedName>
    <definedName name="NotaImp04_10_2002_10_59_10" localSheetId="5">#REF!</definedName>
    <definedName name="NotaImp04_10_2002_10_59_10">#REF!</definedName>
    <definedName name="NotaImp05_02_02_11_27_35" localSheetId="3">#REF!</definedName>
    <definedName name="NotaImp05_02_02_11_27_35" localSheetId="1">#REF!</definedName>
    <definedName name="NotaImp05_02_02_11_27_35" localSheetId="5">#REF!</definedName>
    <definedName name="NotaImp05_02_02_11_27_35">#REF!</definedName>
    <definedName name="NotaImp05_02_2003_15_21_31" localSheetId="3">#REF!</definedName>
    <definedName name="NotaImp05_02_2003_15_21_31" localSheetId="1">#REF!</definedName>
    <definedName name="NotaImp05_02_2003_15_21_31" localSheetId="5">#REF!</definedName>
    <definedName name="NotaImp05_02_2003_15_21_31">#REF!</definedName>
    <definedName name="NotaImp05_03_2002_16_00_47" localSheetId="3">#REF!</definedName>
    <definedName name="NotaImp05_03_2002_16_00_47" localSheetId="1">#REF!</definedName>
    <definedName name="NotaImp05_03_2002_16_00_47" localSheetId="5">#REF!</definedName>
    <definedName name="NotaImp05_03_2002_16_00_47">#REF!</definedName>
    <definedName name="NotaImp05_12_2002_08_15_25" localSheetId="3">#REF!</definedName>
    <definedName name="NotaImp05_12_2002_08_15_25" localSheetId="1">#REF!</definedName>
    <definedName name="NotaImp05_12_2002_08_15_25" localSheetId="5">#REF!</definedName>
    <definedName name="NotaImp05_12_2002_08_15_25">#REF!</definedName>
    <definedName name="NotaImp06_08_2002_11_27_18" localSheetId="3">#REF!</definedName>
    <definedName name="NotaImp06_08_2002_11_27_18" localSheetId="1">#REF!</definedName>
    <definedName name="NotaImp06_08_2002_11_27_18" localSheetId="5">#REF!</definedName>
    <definedName name="NotaImp06_08_2002_11_27_18">#REF!</definedName>
    <definedName name="NotaImp06_11_01_16_43_31" localSheetId="3">#REF!</definedName>
    <definedName name="NotaImp06_11_01_16_43_31" localSheetId="1">#REF!</definedName>
    <definedName name="NotaImp06_11_01_16_43_31" localSheetId="5">#REF!</definedName>
    <definedName name="NotaImp06_11_01_16_43_31">#REF!</definedName>
    <definedName name="NotaImp06_11_2002_09_23_06" localSheetId="3">#REF!</definedName>
    <definedName name="NotaImp06_11_2002_09_23_06" localSheetId="1">#REF!</definedName>
    <definedName name="NotaImp06_11_2002_09_23_06" localSheetId="5">#REF!</definedName>
    <definedName name="NotaImp06_11_2002_09_23_06">#REF!</definedName>
    <definedName name="NotaImp07_11_01_14_57_44" localSheetId="3">#REF!</definedName>
    <definedName name="NotaImp07_11_01_14_57_44" localSheetId="1">#REF!</definedName>
    <definedName name="NotaImp07_11_01_14_57_44" localSheetId="5">#REF!</definedName>
    <definedName name="NotaImp07_11_01_14_57_44">#REF!</definedName>
    <definedName name="NotaImp08_01_02_11_21_23" localSheetId="3">#REF!</definedName>
    <definedName name="NotaImp08_01_02_11_21_23" localSheetId="1">#REF!</definedName>
    <definedName name="NotaImp08_01_02_11_21_23" localSheetId="5">#REF!</definedName>
    <definedName name="NotaImp08_01_02_11_21_23">#REF!</definedName>
    <definedName name="NotaImp08_01_2003_16_27_24" localSheetId="3">#REF!</definedName>
    <definedName name="NotaImp08_01_2003_16_27_24" localSheetId="1">#REF!</definedName>
    <definedName name="NotaImp08_01_2003_16_27_24" localSheetId="5">#REF!</definedName>
    <definedName name="NotaImp08_01_2003_16_27_24">#REF!</definedName>
    <definedName name="NotaImp08_05_2002_15_46_45" localSheetId="3">#REF!</definedName>
    <definedName name="NotaImp08_05_2002_15_46_45" localSheetId="1">#REF!</definedName>
    <definedName name="NotaImp08_05_2002_15_46_45" localSheetId="5">#REF!</definedName>
    <definedName name="NotaImp08_05_2002_15_46_45">#REF!</definedName>
    <definedName name="NotaImp08_08_01_14_37_48" localSheetId="3">#REF!</definedName>
    <definedName name="NotaImp08_08_01_14_37_48" localSheetId="1">#REF!</definedName>
    <definedName name="NotaImp08_08_01_14_37_48" localSheetId="5">#REF!</definedName>
    <definedName name="NotaImp08_08_01_14_37_48">#REF!</definedName>
    <definedName name="NotaImp10_03_2003_12_04_29" localSheetId="3">#REF!</definedName>
    <definedName name="NotaImp10_03_2003_12_04_29" localSheetId="1">#REF!</definedName>
    <definedName name="NotaImp10_03_2003_12_04_29" localSheetId="5">#REF!</definedName>
    <definedName name="NotaImp10_03_2003_12_04_29">#REF!</definedName>
    <definedName name="NotaImp11_06_01_14_36_34" localSheetId="3">#REF!</definedName>
    <definedName name="NotaImp11_06_01_14_36_34" localSheetId="1">#REF!</definedName>
    <definedName name="NotaImp11_06_01_14_36_34" localSheetId="5">#REF!</definedName>
    <definedName name="NotaImp11_06_01_14_36_34">#REF!</definedName>
    <definedName name="NotaImp12_03_01_11_19_12" localSheetId="3">#REF!</definedName>
    <definedName name="NotaImp12_03_01_11_19_12" localSheetId="1">#REF!</definedName>
    <definedName name="NotaImp12_03_01_11_19_12" localSheetId="5">#REF!</definedName>
    <definedName name="NotaImp12_03_01_11_19_12">#REF!</definedName>
    <definedName name="NotaImp14_06_00_20_15_30" localSheetId="3">#REF!</definedName>
    <definedName name="NotaImp14_06_00_20_15_30" localSheetId="1">#REF!</definedName>
    <definedName name="NotaImp14_06_00_20_15_30" localSheetId="5">#REF!</definedName>
    <definedName name="NotaImp14_06_00_20_15_30">#REF!</definedName>
    <definedName name="NotaImp20_05_2002_14_55_15" localSheetId="3">#REF!</definedName>
    <definedName name="NotaImp20_05_2002_14_55_15" localSheetId="1">#REF!</definedName>
    <definedName name="NotaImp20_05_2002_14_55_15" localSheetId="5">#REF!</definedName>
    <definedName name="NotaImp20_05_2002_14_55_15">#REF!</definedName>
    <definedName name="NotaImp21_06_00_15_03_50" localSheetId="3">#REF!</definedName>
    <definedName name="NotaImp21_06_00_15_03_50" localSheetId="1">#REF!</definedName>
    <definedName name="NotaImp21_06_00_15_03_50" localSheetId="5">#REF!</definedName>
    <definedName name="NotaImp21_06_00_15_03_50">#REF!</definedName>
    <definedName name="NotaImp29_06_00_19_36_22" localSheetId="3">#REF!</definedName>
    <definedName name="NotaImp29_06_00_19_36_22" localSheetId="1">#REF!</definedName>
    <definedName name="NotaImp29_06_00_19_36_22" localSheetId="5">#REF!</definedName>
    <definedName name="NotaImp29_06_00_19_36_22">#REF!</definedName>
    <definedName name="NotaImp29_06_00_20_02_04" localSheetId="3">#REF!</definedName>
    <definedName name="NotaImp29_06_00_20_02_04" localSheetId="1">#REF!</definedName>
    <definedName name="NotaImp29_06_00_20_02_04" localSheetId="5">#REF!</definedName>
    <definedName name="NotaImp29_06_00_20_02_04">#REF!</definedName>
    <definedName name="Novo" localSheetId="3" hidden="1">#REF!</definedName>
    <definedName name="Novo" localSheetId="1" hidden="1">#REF!</definedName>
    <definedName name="Novo" localSheetId="5" hidden="1">#REF!</definedName>
    <definedName name="Novo" hidden="1">#REF!</definedName>
    <definedName name="NUMERODEORDEM" localSheetId="3">#REF!</definedName>
    <definedName name="NUMERODEORDEM" localSheetId="1">#REF!</definedName>
    <definedName name="NUMERODEORDEM" localSheetId="5">#REF!</definedName>
    <definedName name="NUMERODEORDEM">#REF!</definedName>
    <definedName name="OBLPH" hidden="1">'[16]dados gas '!#REF!</definedName>
    <definedName name="OBLPH13" localSheetId="3" hidden="1">#REF!</definedName>
    <definedName name="OBLPH13" localSheetId="4" hidden="1">#REF!</definedName>
    <definedName name="OBLPH13" hidden="1">#REF!</definedName>
    <definedName name="OBLPH15" localSheetId="3" hidden="1">#REF!</definedName>
    <definedName name="OBLPH15" hidden="1">#REF!</definedName>
    <definedName name="OBLPH16" localSheetId="3" hidden="1">#REF!</definedName>
    <definedName name="OBLPH16" hidden="1">#REF!</definedName>
    <definedName name="OBLPH2" localSheetId="3" hidden="1">#REF!</definedName>
    <definedName name="OBLPH2" hidden="1">#REF!</definedName>
    <definedName name="OBLPH3" localSheetId="3" hidden="1">#REF!</definedName>
    <definedName name="OBLPH3" hidden="1">#REF!</definedName>
    <definedName name="OBLPH4" localSheetId="3" hidden="1">#REF!</definedName>
    <definedName name="OBLPH4" hidden="1">#REF!</definedName>
    <definedName name="OBLPH5" localSheetId="3" hidden="1">#REF!</definedName>
    <definedName name="OBLPH5" hidden="1">#REF!</definedName>
    <definedName name="OBLPH6" localSheetId="3" hidden="1">#REF!</definedName>
    <definedName name="OBLPH6" hidden="1">#REF!</definedName>
    <definedName name="OBLPH7" localSheetId="3" hidden="1">#REF!</definedName>
    <definedName name="OBLPH7" hidden="1">#REF!</definedName>
    <definedName name="OBLPH8" localSheetId="3" hidden="1">#REF!</definedName>
    <definedName name="OBLPH8" hidden="1">#REF!</definedName>
    <definedName name="OBLPH9" localSheetId="3" hidden="1">#REF!</definedName>
    <definedName name="OBLPH9" hidden="1">#REF!</definedName>
    <definedName name="Obs1" localSheetId="3">page '[22]1'!$A$42</definedName>
    <definedName name="Obs1" localSheetId="1">page '[22]1'!$A$42</definedName>
    <definedName name="Obs1" localSheetId="5">page '[22]1'!$A$42</definedName>
    <definedName name="Obs1" localSheetId="4">page '[22]1'!$A$42</definedName>
    <definedName name="Obs1">page '[22]1'!$A$42</definedName>
    <definedName name="Obs2" localSheetId="3">page '[22]1'!$A$42</definedName>
    <definedName name="Obs2" localSheetId="1">page '[22]1'!$A$42</definedName>
    <definedName name="Obs2" localSheetId="5">page '[22]1'!$A$42</definedName>
    <definedName name="Obs2" localSheetId="4">page '[22]1'!$A$42</definedName>
    <definedName name="Obs2">page '[22]1'!$A$42</definedName>
    <definedName name="offff" localSheetId="3" hidden="1">#REF!</definedName>
    <definedName name="offff" localSheetId="4" hidden="1">#REF!</definedName>
    <definedName name="offff" hidden="1">#REF!</definedName>
    <definedName name="officials">'[11]Gov Officials'!$A$13</definedName>
    <definedName name="OLD_MSG">[1]PYRAMID!#REF!</definedName>
    <definedName name="ORDEMTERRITORIO" localSheetId="3">#REF!</definedName>
    <definedName name="ORDEMTERRITORIO" localSheetId="1">#REF!</definedName>
    <definedName name="ORDEMTERRITORIO" localSheetId="5">#REF!</definedName>
    <definedName name="ORDEMTERRITORIO" localSheetId="4">#REF!</definedName>
    <definedName name="ORDEMTERRITORIO">#REF!</definedName>
    <definedName name="osujinho" localSheetId="3" hidden="1">#REF!</definedName>
    <definedName name="osujinho" hidden="1">#REF!</definedName>
    <definedName name="osujo" localSheetId="3" hidden="1">#REF!</definedName>
    <definedName name="osujo" hidden="1">#REF!</definedName>
    <definedName name="ot" localSheetId="3" hidden="1">#REF!</definedName>
    <definedName name="ot" hidden="1">#REF!</definedName>
    <definedName name="oty" hidden="1">'[15]dados gas '!#REF!</definedName>
    <definedName name="Outras_Informações" localSheetId="3">#REF!</definedName>
    <definedName name="Outras_Informações" localSheetId="1">#REF!</definedName>
    <definedName name="Outras_Informações" localSheetId="5">#REF!</definedName>
    <definedName name="Outras_Informações" localSheetId="4">#REF!</definedName>
    <definedName name="Outras_Informações">#REF!</definedName>
    <definedName name="OutrosSetores" localSheetId="3">'[20]2.1.1.1'!#REF!</definedName>
    <definedName name="OutrosSetores" localSheetId="1">'[20]2.1.1.1'!#REF!</definedName>
    <definedName name="OutrosSetores" localSheetId="5">'[20]2.1.1.1'!#REF!</definedName>
    <definedName name="OutrosSetores" localSheetId="4">'[20]2.1.1.1'!#REF!</definedName>
    <definedName name="OutrosSetores">'[20]2.1.1.1'!#REF!</definedName>
    <definedName name="PARAMETROS" localSheetId="3">#REF!</definedName>
    <definedName name="PARAMETROS" localSheetId="1">#REF!</definedName>
    <definedName name="PARAMETROS" localSheetId="5">#REF!</definedName>
    <definedName name="PARAMETROS" localSheetId="4">#REF!</definedName>
    <definedName name="PARAMETROS">#REF!</definedName>
    <definedName name="PAS_MSG1" localSheetId="3">[1]PYRAMID!#REF!</definedName>
    <definedName name="PAS_MSG1" localSheetId="1">[1]PYRAMID!#REF!</definedName>
    <definedName name="PAS_MSG1" localSheetId="5">[1]PYRAMID!#REF!</definedName>
    <definedName name="PAS_MSG1" localSheetId="4">[1]PYRAMID!#REF!</definedName>
    <definedName name="PAS_MSG1">[1]PYRAMID!#REF!</definedName>
    <definedName name="PAS_MSG2" localSheetId="3">[1]PYRAMID!#REF!</definedName>
    <definedName name="PAS_MSG2" localSheetId="1">[1]PYRAMID!#REF!</definedName>
    <definedName name="PAS_MSG2" localSheetId="5">[1]PYRAMID!#REF!</definedName>
    <definedName name="PAS_MSG2">[1]PYRAMID!#REF!</definedName>
    <definedName name="PAS_MSG3">[1]PYRAMID!#REF!</definedName>
    <definedName name="PAUSE">[1]PYRAMID!#REF!</definedName>
    <definedName name="Periodo" localSheetId="3">INDIRECT("Dados!$e$"&amp;#REF!&amp;":$e$"&amp;#REF!)</definedName>
    <definedName name="Periodo">INDIRECT("Dados!$e$"&amp;#REF!&amp;":$e$"&amp;#REF!)</definedName>
    <definedName name="Período" localSheetId="3">#REF!</definedName>
    <definedName name="Período" localSheetId="1">#REF!</definedName>
    <definedName name="Período" localSheetId="5">#REF!</definedName>
    <definedName name="Período" localSheetId="4">#REF!</definedName>
    <definedName name="Período">#REF!</definedName>
    <definedName name="PIB" localSheetId="3">#REF!</definedName>
    <definedName name="PIB" localSheetId="1">#REF!</definedName>
    <definedName name="PIB" localSheetId="5">#REF!</definedName>
    <definedName name="PIB">#REF!</definedName>
    <definedName name="PIB_dos_Municípios" localSheetId="3">#REF!</definedName>
    <definedName name="PIB_dos_Municípios" localSheetId="1">#REF!</definedName>
    <definedName name="PIB_dos_Municípios" localSheetId="5">#REF!</definedName>
    <definedName name="PIB_dos_Municípios">#REF!</definedName>
    <definedName name="PIBMENSAL" localSheetId="3">#REF!</definedName>
    <definedName name="PIBMENSAL" localSheetId="1">#REF!</definedName>
    <definedName name="PIBMENSAL" localSheetId="5">#REF!</definedName>
    <definedName name="PIBMENSAL">#REF!</definedName>
    <definedName name="Planilha_10ÁreaTotal" localSheetId="3">#REF!,#REF!</definedName>
    <definedName name="Planilha_10ÁreaTotal" localSheetId="1">#REF!,#REF!</definedName>
    <definedName name="Planilha_10ÁreaTotal" localSheetId="5">#REF!,#REF!</definedName>
    <definedName name="Planilha_10ÁreaTotal" localSheetId="4">#REF!,#REF!</definedName>
    <definedName name="Planilha_10ÁreaTotal">#REF!,#REF!</definedName>
    <definedName name="Planilha_10TítCols" localSheetId="3">#REF!,#REF!</definedName>
    <definedName name="Planilha_10TítCols" localSheetId="1">#REF!,#REF!</definedName>
    <definedName name="Planilha_10TítCols" localSheetId="5">#REF!,#REF!</definedName>
    <definedName name="Planilha_10TítCols">#REF!,#REF!</definedName>
    <definedName name="Planilha_11ÁreaTotal" localSheetId="3">#REF!,#REF!</definedName>
    <definedName name="Planilha_11ÁreaTotal" localSheetId="1">#REF!,#REF!</definedName>
    <definedName name="Planilha_11ÁreaTotal" localSheetId="5">#REF!,#REF!</definedName>
    <definedName name="Planilha_11ÁreaTotal">#REF!,#REF!</definedName>
    <definedName name="Planilha_11TítCols" localSheetId="3">#REF!,#REF!</definedName>
    <definedName name="Planilha_11TítCols" localSheetId="1">#REF!,#REF!</definedName>
    <definedName name="Planilha_11TítCols" localSheetId="5">#REF!,#REF!</definedName>
    <definedName name="Planilha_11TítCols">#REF!,#REF!</definedName>
    <definedName name="Planilha_1ÁreaTotal" localSheetId="3">#REF!,#REF!</definedName>
    <definedName name="Planilha_1ÁreaTotal" localSheetId="1">#REF!,#REF!</definedName>
    <definedName name="Planilha_1ÁreaTotal" localSheetId="5">#REF!,#REF!</definedName>
    <definedName name="Planilha_1ÁreaTotal">#REF!,#REF!</definedName>
    <definedName name="Planilha_1TítCols" localSheetId="3">#REF!,#REF!</definedName>
    <definedName name="Planilha_1TítCols" localSheetId="1">#REF!,#REF!</definedName>
    <definedName name="Planilha_1TítCols" localSheetId="5">#REF!,#REF!</definedName>
    <definedName name="Planilha_1TítCols">#REF!,#REF!</definedName>
    <definedName name="Planilha_2ÁreaTotal" localSheetId="3">#REF!,#REF!</definedName>
    <definedName name="Planilha_2ÁreaTotal" localSheetId="1">#REF!,#REF!</definedName>
    <definedName name="Planilha_2ÁreaTotal" localSheetId="5">#REF!,#REF!</definedName>
    <definedName name="Planilha_2ÁreaTotal">#REF!,#REF!</definedName>
    <definedName name="Planilha_2TítCols" localSheetId="3">#REF!,#REF!</definedName>
    <definedName name="Planilha_2TítCols" localSheetId="1">#REF!,#REF!</definedName>
    <definedName name="Planilha_2TítCols" localSheetId="5">#REF!,#REF!</definedName>
    <definedName name="Planilha_2TítCols">#REF!,#REF!</definedName>
    <definedName name="Planilha_3ÁreaTotal" localSheetId="3">#REF!,#REF!</definedName>
    <definedName name="Planilha_3ÁreaTotal" localSheetId="1">#REF!,#REF!</definedName>
    <definedName name="Planilha_3ÁreaTotal" localSheetId="5">#REF!,#REF!</definedName>
    <definedName name="Planilha_3ÁreaTotal">#REF!,#REF!</definedName>
    <definedName name="Planilha_3TítCols" localSheetId="3">#REF!,#REF!</definedName>
    <definedName name="Planilha_3TítCols" localSheetId="1">#REF!,#REF!</definedName>
    <definedName name="Planilha_3TítCols" localSheetId="5">#REF!,#REF!</definedName>
    <definedName name="Planilha_3TítCols">#REF!,#REF!</definedName>
    <definedName name="Planilha_4ÁreaTotal" localSheetId="3">#REF!,#REF!</definedName>
    <definedName name="Planilha_4ÁreaTotal" localSheetId="1">#REF!,#REF!</definedName>
    <definedName name="Planilha_4ÁreaTotal" localSheetId="5">#REF!,#REF!</definedName>
    <definedName name="Planilha_4ÁreaTotal">#REF!,#REF!</definedName>
    <definedName name="Planilha_4TítCols" localSheetId="3">#REF!,#REF!</definedName>
    <definedName name="Planilha_4TítCols" localSheetId="1">#REF!,#REF!</definedName>
    <definedName name="Planilha_4TítCols" localSheetId="5">#REF!,#REF!</definedName>
    <definedName name="Planilha_4TítCols">#REF!,#REF!</definedName>
    <definedName name="Planilha_5ÁreaTotal" localSheetId="3">#REF!,#REF!</definedName>
    <definedName name="Planilha_5ÁreaTotal" localSheetId="1">#REF!,#REF!</definedName>
    <definedName name="Planilha_5ÁreaTotal" localSheetId="5">#REF!,#REF!</definedName>
    <definedName name="Planilha_5ÁreaTotal">#REF!,#REF!</definedName>
    <definedName name="Planilha_5TítCols" localSheetId="3">#REF!,#REF!</definedName>
    <definedName name="Planilha_5TítCols" localSheetId="1">#REF!,#REF!</definedName>
    <definedName name="Planilha_5TítCols" localSheetId="5">#REF!,#REF!</definedName>
    <definedName name="Planilha_5TítCols">#REF!,#REF!</definedName>
    <definedName name="Planilha_6ÁreaTotal" localSheetId="3">#REF!,#REF!</definedName>
    <definedName name="Planilha_6ÁreaTotal" localSheetId="1">#REF!,#REF!</definedName>
    <definedName name="Planilha_6ÁreaTotal" localSheetId="5">#REF!,#REF!</definedName>
    <definedName name="Planilha_6ÁreaTotal">#REF!,#REF!</definedName>
    <definedName name="Planilha_6TítCols" localSheetId="3">#REF!,#REF!</definedName>
    <definedName name="Planilha_6TítCols" localSheetId="1">#REF!,#REF!</definedName>
    <definedName name="Planilha_6TítCols" localSheetId="5">#REF!,#REF!</definedName>
    <definedName name="Planilha_6TítCols">#REF!,#REF!</definedName>
    <definedName name="Planilha_7ÁreaTotal" localSheetId="3">#REF!,#REF!</definedName>
    <definedName name="Planilha_7ÁreaTotal" localSheetId="1">#REF!,#REF!</definedName>
    <definedName name="Planilha_7ÁreaTotal" localSheetId="5">#REF!,#REF!</definedName>
    <definedName name="Planilha_7ÁreaTotal">#REF!,#REF!</definedName>
    <definedName name="Planilha_7TítCols" localSheetId="3">#REF!,#REF!</definedName>
    <definedName name="Planilha_7TítCols" localSheetId="1">#REF!,#REF!</definedName>
    <definedName name="Planilha_7TítCols" localSheetId="5">#REF!,#REF!</definedName>
    <definedName name="Planilha_7TítCols">#REF!,#REF!</definedName>
    <definedName name="Planilha_8ÁreaTotal" localSheetId="3">#REF!,#REF!</definedName>
    <definedName name="Planilha_8ÁreaTotal" localSheetId="1">#REF!,#REF!</definedName>
    <definedName name="Planilha_8ÁreaTotal" localSheetId="5">#REF!,#REF!</definedName>
    <definedName name="Planilha_8ÁreaTotal">#REF!,#REF!</definedName>
    <definedName name="Planilha_8TítCols" localSheetId="3">#REF!,#REF!</definedName>
    <definedName name="Planilha_8TítCols" localSheetId="1">#REF!,#REF!</definedName>
    <definedName name="Planilha_8TítCols" localSheetId="5">#REF!,#REF!</definedName>
    <definedName name="Planilha_8TítCols">#REF!,#REF!</definedName>
    <definedName name="Planilha_9ÁreaTotal" localSheetId="3">#REF!,#REF!</definedName>
    <definedName name="Planilha_9ÁreaTotal" localSheetId="1">#REF!,#REF!</definedName>
    <definedName name="Planilha_9ÁreaTotal" localSheetId="5">#REF!,#REF!</definedName>
    <definedName name="Planilha_9ÁreaTotal">#REF!,#REF!</definedName>
    <definedName name="Planilha_9TítCols" localSheetId="3">#REF!,#REF!</definedName>
    <definedName name="Planilha_9TítCols" localSheetId="1">#REF!,#REF!</definedName>
    <definedName name="Planilha_9TítCols" localSheetId="5">#REF!,#REF!</definedName>
    <definedName name="Planilha_9TítCols">#REF!,#REF!</definedName>
    <definedName name="pm208A" localSheetId="3">#REF!</definedName>
    <definedName name="pm208A" localSheetId="1">#REF!</definedName>
    <definedName name="pm208A" localSheetId="5">#REF!</definedName>
    <definedName name="pm208A" localSheetId="4">#REF!</definedName>
    <definedName name="pm208A">#REF!</definedName>
    <definedName name="pm211A" localSheetId="3">#REF!</definedName>
    <definedName name="pm211A" localSheetId="1">#REF!</definedName>
    <definedName name="pm211A" localSheetId="5">#REF!</definedName>
    <definedName name="pm211A">#REF!</definedName>
    <definedName name="pm211B" localSheetId="3">#REF!</definedName>
    <definedName name="pm211B" localSheetId="1">#REF!</definedName>
    <definedName name="pm211B" localSheetId="5">#REF!</definedName>
    <definedName name="pm211B">#REF!</definedName>
    <definedName name="pm211C" localSheetId="3">#REF!</definedName>
    <definedName name="pm211C" localSheetId="1">#REF!</definedName>
    <definedName name="pm211C" localSheetId="5">#REF!</definedName>
    <definedName name="pm211C">#REF!</definedName>
    <definedName name="pm211D" localSheetId="3">#REF!</definedName>
    <definedName name="pm211D" localSheetId="1">#REF!</definedName>
    <definedName name="pm211D" localSheetId="5">#REF!</definedName>
    <definedName name="pm211D">#REF!</definedName>
    <definedName name="pm211E" localSheetId="3">#REF!</definedName>
    <definedName name="pm211E" localSheetId="1">#REF!</definedName>
    <definedName name="pm211E" localSheetId="5">#REF!</definedName>
    <definedName name="pm211E">#REF!</definedName>
    <definedName name="pm211F" localSheetId="3">#REF!</definedName>
    <definedName name="pm211F" localSheetId="1">#REF!</definedName>
    <definedName name="pm211F" localSheetId="5">#REF!</definedName>
    <definedName name="pm211F">#REF!</definedName>
    <definedName name="pm211G" localSheetId="3">#REF!</definedName>
    <definedName name="pm211G" localSheetId="1">#REF!</definedName>
    <definedName name="pm211G" localSheetId="5">#REF!</definedName>
    <definedName name="pm211G">#REF!</definedName>
    <definedName name="pm221A" localSheetId="3">#REF!</definedName>
    <definedName name="pm221A" localSheetId="1">#REF!</definedName>
    <definedName name="pm221A" localSheetId="5">#REF!</definedName>
    <definedName name="pm221A">#REF!</definedName>
    <definedName name="pm222A" localSheetId="3">#REF!</definedName>
    <definedName name="pm222A" localSheetId="1">#REF!</definedName>
    <definedName name="pm222A" localSheetId="5">#REF!</definedName>
    <definedName name="pm222A">#REF!</definedName>
    <definedName name="pm223A" localSheetId="3">#REF!</definedName>
    <definedName name="pm223A" localSheetId="1">#REF!</definedName>
    <definedName name="pm223A" localSheetId="5">#REF!</definedName>
    <definedName name="pm223A">#REF!</definedName>
    <definedName name="PMi">'[27]Relat Inf 0009 - graf'!$H$4:$L$16</definedName>
    <definedName name="PMp">'[27]Relat Inf 0009 - graf'!$B$4:$F$16</definedName>
    <definedName name="POPBRFILHO_H" localSheetId="3">#REF!</definedName>
    <definedName name="POPBRFILHO_H" localSheetId="1">#REF!</definedName>
    <definedName name="POPBRFILHO_H" localSheetId="5">#REF!</definedName>
    <definedName name="POPBRFILHO_H" localSheetId="4">#REF!</definedName>
    <definedName name="POPBRFILHO_H">#REF!</definedName>
    <definedName name="POPBRFILHO_M" localSheetId="3">#REF!</definedName>
    <definedName name="POPBRFILHO_M" localSheetId="1">#REF!</definedName>
    <definedName name="POPBRFILHO_M" localSheetId="5">#REF!</definedName>
    <definedName name="POPBRFILHO_M">#REF!</definedName>
    <definedName name="POPBRFREQ6" localSheetId="3">#REF!</definedName>
    <definedName name="POPBRFREQ6" localSheetId="1">#REF!</definedName>
    <definedName name="POPBRFREQ6" localSheetId="5">#REF!</definedName>
    <definedName name="POPBRFREQ6">#REF!</definedName>
    <definedName name="POPBRPEA" localSheetId="3">#REF!</definedName>
    <definedName name="POPBRPEA" localSheetId="1">#REF!</definedName>
    <definedName name="POPBRPEA" localSheetId="5">#REF!</definedName>
    <definedName name="POPBRPEA">#REF!</definedName>
    <definedName name="population">[11]Population!$A$1</definedName>
    <definedName name="PORRA" localSheetId="3" hidden="1">#REF!</definedName>
    <definedName name="PORRA" localSheetId="1" hidden="1">#REF!</definedName>
    <definedName name="PORRA" localSheetId="5" hidden="1">#REF!</definedName>
    <definedName name="PORRA" localSheetId="4" hidden="1">#REF!</definedName>
    <definedName name="PORRA" hidden="1">#REF!</definedName>
    <definedName name="port" localSheetId="3">#REF!</definedName>
    <definedName name="port" localSheetId="1">#REF!</definedName>
    <definedName name="port" localSheetId="9">#REF!</definedName>
    <definedName name="port" localSheetId="5">#REF!</definedName>
    <definedName name="port">#REF!</definedName>
    <definedName name="Port_Graf_431" localSheetId="3">#REF!</definedName>
    <definedName name="Port_Graf_431" localSheetId="1">#REF!</definedName>
    <definedName name="Port_Graf_431" localSheetId="5">#REF!</definedName>
    <definedName name="Port_Graf_431">#REF!</definedName>
    <definedName name="Port_Graf_432" localSheetId="3">#REF!</definedName>
    <definedName name="Port_Graf_432" localSheetId="1">#REF!</definedName>
    <definedName name="Port_Graf_432" localSheetId="5">#REF!</definedName>
    <definedName name="Port_Graf_432">#REF!</definedName>
    <definedName name="Port_Graf_433" localSheetId="3">#REF!</definedName>
    <definedName name="Port_Graf_433" localSheetId="1">#REF!</definedName>
    <definedName name="Port_Graf_433" localSheetId="5">#REF!</definedName>
    <definedName name="Port_Graf_433">#REF!</definedName>
    <definedName name="Port_Graf_434" localSheetId="3">#REF!</definedName>
    <definedName name="Port_Graf_434" localSheetId="1">#REF!</definedName>
    <definedName name="Port_Graf_434" localSheetId="5">#REF!</definedName>
    <definedName name="Port_Graf_434">#REF!</definedName>
    <definedName name="Port_Tab_421">'[28]Tab 4.2.1 (E)'!$B$1:$N$20</definedName>
    <definedName name="Port_Tab_422" localSheetId="3">#REF!</definedName>
    <definedName name="Port_Tab_422" localSheetId="1">#REF!</definedName>
    <definedName name="Port_Tab_422" localSheetId="5">#REF!</definedName>
    <definedName name="Port_Tab_422" localSheetId="4">#REF!</definedName>
    <definedName name="Port_Tab_422">#REF!</definedName>
    <definedName name="Port_Tab_423" localSheetId="3">#REF!</definedName>
    <definedName name="Port_Tab_423" localSheetId="1">#REF!</definedName>
    <definedName name="Port_Tab_423" localSheetId="5">#REF!</definedName>
    <definedName name="Port_Tab_423">#REF!</definedName>
    <definedName name="Port_Tab_424" localSheetId="3">#REF!</definedName>
    <definedName name="Port_Tab_424" localSheetId="1">#REF!</definedName>
    <definedName name="Port_Tab_424" localSheetId="5">#REF!</definedName>
    <definedName name="Port_Tab_424">#REF!</definedName>
    <definedName name="Port_Tab_431" localSheetId="3">#REF!</definedName>
    <definedName name="Port_Tab_431" localSheetId="1">#REF!</definedName>
    <definedName name="Port_Tab_431" localSheetId="5">#REF!</definedName>
    <definedName name="Port_Tab_431">#REF!</definedName>
    <definedName name="Port_Tab_451" localSheetId="3">#REF!</definedName>
    <definedName name="Port_Tab_451" localSheetId="1">#REF!</definedName>
    <definedName name="Port_Tab_451" localSheetId="5">#REF!</definedName>
    <definedName name="Port_Tab_451">#REF!</definedName>
    <definedName name="PR" localSheetId="1">[21]MILHO1A!#REF!</definedName>
    <definedName name="PR" localSheetId="5">[21]MILHO1A!#REF!</definedName>
    <definedName name="PR">[21]MILHO1A!#REF!</definedName>
    <definedName name="Pré_por" localSheetId="3">OFFSET(#REF!,0,0,COUNTA(#REF!)-1)</definedName>
    <definedName name="Pré_por" localSheetId="1">OFFSET(#REF!,0,0,COUNTA(#REF!)-1)</definedName>
    <definedName name="Pré_por" localSheetId="9">OFFSET(#REF!,0,0,COUNTA(#REF!)-1)</definedName>
    <definedName name="Pré_por" localSheetId="5">OFFSET(#REF!,0,0,COUNTA(#REF!)-1)</definedName>
    <definedName name="Pré_por">OFFSET(#REF!,0,0,COUNTA(#REF!)-1)</definedName>
    <definedName name="Preço_por" localSheetId="3">OFFSET(#REF!,0,0,COUNTA(#REF!)-1)</definedName>
    <definedName name="Preço_por" localSheetId="1">OFFSET(#REF!,0,0,COUNTA(#REF!)-1)</definedName>
    <definedName name="Preço_por" localSheetId="5">OFFSET(#REF!,0,0,COUNTA(#REF!)-1)</definedName>
    <definedName name="Preço_por">OFFSET(#REF!,0,0,COUNTA(#REF!)-1)</definedName>
    <definedName name="Prefixado" localSheetId="3">OFFSET(OFFSET(#REF!,MATCH(#REF!,Emprego!RE_DT_POR,0),0),0,0,ROWS(Emprego!RE_DT_POR)-MATCH(#REF!,Emprego!RE_DT_POR,0)+1)</definedName>
    <definedName name="Prefixado" localSheetId="1">OFFSET(OFFSET(#REF!,MATCH(#REF!,'G 4.3 - G 4.4 (set)'!RE_DT_POR,0),0),0,0,ROWS('G 4.3 - G 4.4 (set)'!RE_DT_POR)-MATCH(#REF!,'G 4.3 - G 4.4 (set)'!RE_DT_POR,0)+1)</definedName>
    <definedName name="Prefixado" localSheetId="9">OFFSET(OFFSET(#REF!,MATCH(#REF!,RE_DT_POR,0),0),0,0,ROWS(RE_DT_POR)-MATCH(#REF!,RE_DT_POR,0)+1)</definedName>
    <definedName name="Prefixado" localSheetId="5">OFFSET(OFFSET(#REF!,MATCH(#REF!,População!RE_DT_POR,0),0),0,0,ROWS(População!RE_DT_POR)-MATCH(#REF!,População!RE_DT_POR,0)+1)</definedName>
    <definedName name="Prefixado" localSheetId="4">OFFSET(OFFSET(#REF!,MATCH(#REF!,RE_DT_POR,0),0),0,0,ROWS(RE_DT_POR)-MATCH(#REF!,RE_DT_POR,0)+1)</definedName>
    <definedName name="Prefixado">OFFSET(OFFSET(#REF!,MATCH(#REF!,RE_DT_POR,0),0),0,0,ROWS(RE_DT_POR)-MATCH(#REF!,RE_DT_POR,0)+1)</definedName>
    <definedName name="PRINCIPALES_PROD_IMPO" localSheetId="3">#REF!</definedName>
    <definedName name="PRINCIPALES_PROD_IMPO" localSheetId="1">#REF!</definedName>
    <definedName name="PRINCIPALES_PROD_IMPO" localSheetId="5">#REF!</definedName>
    <definedName name="PRINCIPALES_PROD_IMPO" localSheetId="4">#REF!</definedName>
    <definedName name="PRINCIPALES_PROD_IMPO">#REF!</definedName>
    <definedName name="PRINT">[1]PYRAMID!$A$1:$F$43</definedName>
    <definedName name="Print_Area_MI" localSheetId="3">#REF!</definedName>
    <definedName name="Print_Area_MI" localSheetId="1">#REF!</definedName>
    <definedName name="Print_Area_MI" localSheetId="5">#REF!</definedName>
    <definedName name="Print_Area_MI" localSheetId="4">#REF!</definedName>
    <definedName name="Print_Area_MI">#REF!</definedName>
    <definedName name="PRINT_TITLES_MI">[6]LTFEM96!$A$1:$IV$2</definedName>
    <definedName name="Quadro_II___Base_monetária_e_componentes" localSheetId="3">#REF!</definedName>
    <definedName name="Quadro_II___Base_monetária_e_componentes" localSheetId="1">#REF!</definedName>
    <definedName name="Quadro_II___Base_monetária_e_componentes" localSheetId="5">#REF!</definedName>
    <definedName name="Quadro_II___Base_monetária_e_componentes" localSheetId="4">#REF!</definedName>
    <definedName name="Quadro_II___Base_monetária_e_componentes">#REF!</definedName>
    <definedName name="Quadro_VI___Meios_de_pagamento_e_componentes" localSheetId="3">#REF!</definedName>
    <definedName name="Quadro_VI___Meios_de_pagamento_e_componentes" localSheetId="1">#REF!</definedName>
    <definedName name="Quadro_VI___Meios_de_pagamento_e_componentes" localSheetId="5">#REF!</definedName>
    <definedName name="Quadro_VI___Meios_de_pagamento_e_componentes">#REF!</definedName>
    <definedName name="QUADRO2" localSheetId="3">#REF!</definedName>
    <definedName name="QUADRO2" localSheetId="1">#REF!</definedName>
    <definedName name="QUADRO2" localSheetId="5">#REF!</definedName>
    <definedName name="QUADRO2">#REF!</definedName>
    <definedName name="QUADRO3" localSheetId="3">#REF!</definedName>
    <definedName name="QUADRO3" localSheetId="1">#REF!</definedName>
    <definedName name="QUADRO3" localSheetId="5">#REF!</definedName>
    <definedName name="QUADRO3">#REF!</definedName>
    <definedName name="qual1">[11]Quals!$A$39</definedName>
    <definedName name="RE_DT_FIM" localSheetId="3">OFFSET(OFFSET(#REF!,MATCH(#REF!,Emprego!RE_DT_POR,0),0),0,0,ROWS(Emprego!RE_DT_POR)-MATCH(#REF!,Emprego!RE_DT_POR,0)+1)</definedName>
    <definedName name="RE_DT_FIM" localSheetId="1">OFFSET(OFFSET(#REF!,MATCH(#REF!,'G 4.3 - G 4.4 (set)'!RE_DT_POR,0),0),0,0,ROWS('G 4.3 - G 4.4 (set)'!RE_DT_POR)-MATCH(#REF!,'G 4.3 - G 4.4 (set)'!RE_DT_POR,0)+1)</definedName>
    <definedName name="RE_DT_FIM" localSheetId="9">OFFSET(OFFSET(#REF!,MATCH(#REF!,RE_DT_POR,0),0),0,0,ROWS(RE_DT_POR)-MATCH(#REF!,RE_DT_POR,0)+1)</definedName>
    <definedName name="RE_DT_FIM" localSheetId="5">OFFSET(OFFSET(#REF!,MATCH(#REF!,População!RE_DT_POR,0),0),0,0,ROWS(População!RE_DT_POR)-MATCH(#REF!,População!RE_DT_POR,0)+1)</definedName>
    <definedName name="RE_DT_FIM" localSheetId="4">OFFSET(OFFSET(#REF!,MATCH(#REF!,RE_DT_POR,0),0),0,0,ROWS(RE_DT_POR)-MATCH(#REF!,RE_DT_POR,0)+1)</definedName>
    <definedName name="RE_DT_FIM">OFFSET(OFFSET(#REF!,MATCH(#REF!,RE_DT_POR,0),0),0,0,ROWS(RE_DT_POR)-MATCH(#REF!,RE_DT_POR,0)+1)</definedName>
    <definedName name="RE_DT_POR" localSheetId="3">OFFSET(#REF!,0,0,COUNTA(#REF!)-1)</definedName>
    <definedName name="RE_DT_POR" localSheetId="1">OFFSET(#REF!,0,0,COUNTA(#REF!)-1)</definedName>
    <definedName name="RE_DT_POR" localSheetId="5">OFFSET(#REF!,0,0,COUNTA(#REF!)-1)</definedName>
    <definedName name="RE_DT_POR">OFFSET(#REF!,0,0,COUNTA(#REF!)-1)</definedName>
    <definedName name="receitaprev">[13]recprev!$C:$C</definedName>
    <definedName name="Ref_Mes" localSheetId="3">#REF!</definedName>
    <definedName name="Ref_Mes" localSheetId="1">#REF!</definedName>
    <definedName name="Ref_Mes" localSheetId="9">#REF!</definedName>
    <definedName name="Ref_Mes" localSheetId="5">#REF!</definedName>
    <definedName name="Ref_Mes" localSheetId="4">#REF!</definedName>
    <definedName name="Ref_Mes">#REF!</definedName>
    <definedName name="refis">[9]fluxo!$10:$10</definedName>
    <definedName name="refis12">[9]fluxo!$48:$48</definedName>
    <definedName name="repassesnota">[9]fluxo!$6:$10,[9]fluxo!$14:$14,[9]fluxo!$15:$15,[9]fluxo!$15:$15</definedName>
    <definedName name="repassesnota12">[9]fluxo!$44:$48</definedName>
    <definedName name="RESDIR" localSheetId="3">[1]PYRAMID!#REF!</definedName>
    <definedName name="RESDIR" localSheetId="1">[1]PYRAMID!#REF!</definedName>
    <definedName name="RESDIR" localSheetId="5">[1]PYRAMID!#REF!</definedName>
    <definedName name="RESDIR" localSheetId="4">[1]PYRAMID!#REF!</definedName>
    <definedName name="RESDIR">[1]PYRAMID!#REF!</definedName>
    <definedName name="RESTYPE" localSheetId="3">[1]PYRAMID!#REF!</definedName>
    <definedName name="RESTYPE" localSheetId="1">[1]PYRAMID!#REF!</definedName>
    <definedName name="RESTYPE" localSheetId="5">[1]PYRAMID!#REF!</definedName>
    <definedName name="RESTYPE">[1]PYRAMID!#REF!</definedName>
    <definedName name="REWFD" localSheetId="3">#REF!</definedName>
    <definedName name="REWFD" localSheetId="1">#REF!</definedName>
    <definedName name="REWFD" localSheetId="5">#REF!</definedName>
    <definedName name="REWFD" localSheetId="4">#REF!</definedName>
    <definedName name="REWFD">#REF!</definedName>
    <definedName name="REXT">NA()</definedName>
    <definedName name="RJ" localSheetId="3">[21]MILHO1A!#REF!</definedName>
    <definedName name="RJ" localSheetId="1">[21]MILHO1A!#REF!</definedName>
    <definedName name="RJ" localSheetId="5">[21]MILHO1A!#REF!</definedName>
    <definedName name="RJ" localSheetId="4">[21]MILHO1A!#REF!</definedName>
    <definedName name="RJ">[21]MILHO1A!#REF!</definedName>
    <definedName name="RO" localSheetId="1">[21]MILHO1A!#REF!</definedName>
    <definedName name="RO" localSheetId="5">[21]MILHO1A!#REF!</definedName>
    <definedName name="RO">[21]MILHO1A!#REF!</definedName>
    <definedName name="RODAPE1" localSheetId="3">#REF!</definedName>
    <definedName name="RODAPE1" localSheetId="1">#REF!</definedName>
    <definedName name="RODAPE1" localSheetId="5">#REF!</definedName>
    <definedName name="RODAPE1" localSheetId="4">#REF!</definedName>
    <definedName name="RODAPE1">#REF!</definedName>
    <definedName name="RODAPE6" localSheetId="3">#REF!</definedName>
    <definedName name="RODAPE6" localSheetId="1">#REF!</definedName>
    <definedName name="RODAPE6" localSheetId="5">#REF!</definedName>
    <definedName name="RODAPE6">#REF!</definedName>
    <definedName name="RODAPE7" localSheetId="3">#REF!</definedName>
    <definedName name="RODAPE7" localSheetId="1">#REF!</definedName>
    <definedName name="RODAPE7" localSheetId="5">#REF!</definedName>
    <definedName name="RODAPE7">#REF!</definedName>
    <definedName name="RODAPE8" localSheetId="3">#REF!</definedName>
    <definedName name="RODAPE8" localSheetId="1">#REF!</definedName>
    <definedName name="RODAPE8" localSheetId="5">#REF!</definedName>
    <definedName name="RODAPE8">#REF!</definedName>
    <definedName name="RowSubLabel" localSheetId="3">#REF!</definedName>
    <definedName name="RowSubLabel" localSheetId="1">#REF!</definedName>
    <definedName name="RowSubLabel" localSheetId="5">#REF!</definedName>
    <definedName name="RowSubLabel">#REF!</definedName>
    <definedName name="rr">#N/A</definedName>
    <definedName name="RS" localSheetId="1">[21]MILHO1A!#REF!</definedName>
    <definedName name="RS" localSheetId="5">[21]MILHO1A!#REF!</definedName>
    <definedName name="RS">[21]MILHO1A!#REF!</definedName>
    <definedName name="RSC" localSheetId="3">#REF!</definedName>
    <definedName name="RSC" localSheetId="1">#REF!</definedName>
    <definedName name="RSC" localSheetId="5">#REF!</definedName>
    <definedName name="RSC" localSheetId="4">#REF!</definedName>
    <definedName name="RSC">#REF!</definedName>
    <definedName name="RSVMENU" localSheetId="3">[1]PYRAMID!#REF!</definedName>
    <definedName name="RSVMENU" localSheetId="1">[1]PYRAMID!#REF!</definedName>
    <definedName name="RSVMENU" localSheetId="5">[1]PYRAMID!#REF!</definedName>
    <definedName name="RSVMENU" localSheetId="4">[1]PYRAMID!#REF!</definedName>
    <definedName name="RSVMENU">[1]PYRAMID!#REF!</definedName>
    <definedName name="s" localSheetId="3">#REF!</definedName>
    <definedName name="s" localSheetId="1">#REF!</definedName>
    <definedName name="s" localSheetId="5">#REF!</definedName>
    <definedName name="s" localSheetId="4">#REF!</definedName>
    <definedName name="s">#REF!</definedName>
    <definedName name="safety">[11]Safety!$A$13</definedName>
    <definedName name="SAIA_BR_RAZAON_BRASIL">"#ref!"</definedName>
    <definedName name="SAIA_BR_RAZAON_GR">"#ref!"</definedName>
    <definedName name="SAIA_BR_TOTALN_BRASIL">"#ref!"</definedName>
    <definedName name="SAIA_BR_TOTALN_GR">"#ref!"</definedName>
    <definedName name="SAIT_BR_RAZAO_BRASIL">"#ref!"</definedName>
    <definedName name="SAIT_BR_RAZAO_GR">"#ref!"</definedName>
    <definedName name="SAIT_BR_TOTAL_BRASIL">"#ref!"</definedName>
    <definedName name="SAIT_BR_TOTAL_GR">"#ref!"</definedName>
    <definedName name="Saldos_em_final_de_período" localSheetId="3">#REF!</definedName>
    <definedName name="Saldos_em_final_de_período" localSheetId="1">#REF!</definedName>
    <definedName name="Saldos_em_final_de_período" localSheetId="5">#REF!</definedName>
    <definedName name="Saldos_em_final_de_período" localSheetId="4">#REF!</definedName>
    <definedName name="Saldos_em_final_de_período">#REF!</definedName>
    <definedName name="SAVE" localSheetId="3">[1]PYRAMID!#REF!</definedName>
    <definedName name="SAVE" localSheetId="1">[1]PYRAMID!#REF!</definedName>
    <definedName name="SAVE" localSheetId="5">[1]PYRAMID!#REF!</definedName>
    <definedName name="SAVE" localSheetId="4">[1]PYRAMID!#REF!</definedName>
    <definedName name="SAVE">[1]PYRAMID!#REF!</definedName>
    <definedName name="SAVE_MSG" localSheetId="3">[1]PYRAMID!#REF!</definedName>
    <definedName name="SAVE_MSG" localSheetId="1">[1]PYRAMID!#REF!</definedName>
    <definedName name="SAVE_MSG" localSheetId="5">[1]PYRAMID!#REF!</definedName>
    <definedName name="SAVE_MSG">[1]PYRAMID!#REF!</definedName>
    <definedName name="SAVED" localSheetId="3">[1]PYRAMID!#REF!</definedName>
    <definedName name="SAVED" localSheetId="1">[1]PYRAMID!#REF!</definedName>
    <definedName name="SAVED" localSheetId="5">[1]PYRAMID!#REF!</definedName>
    <definedName name="SAVED">[1]PYRAMID!#REF!</definedName>
    <definedName name="SAVENGO" localSheetId="3">[1]PYRAMID!#REF!</definedName>
    <definedName name="SAVENGO" localSheetId="1">[1]PYRAMID!#REF!</definedName>
    <definedName name="SAVENGO" localSheetId="5">[1]PYRAMID!#REF!</definedName>
    <definedName name="SAVENGO">[1]PYRAMID!#REF!</definedName>
    <definedName name="SC">[21]MILHO1A!#REF!</definedName>
    <definedName name="schol1">[11]Scholarships!$A$24</definedName>
    <definedName name="schol2">[11]Scholarships!$A$47</definedName>
    <definedName name="sdfgd">[1]PYRAMID!#REF!</definedName>
    <definedName name="SEILA">#REF!</definedName>
    <definedName name="seleção" localSheetId="3">#REF!</definedName>
    <definedName name="seleção" localSheetId="1">#REF!</definedName>
    <definedName name="seleção" localSheetId="9">#REF!</definedName>
    <definedName name="seleção" localSheetId="5">#REF!</definedName>
    <definedName name="seleção" localSheetId="4">#REF!</definedName>
    <definedName name="seleção">#REF!</definedName>
    <definedName name="Selic_Mercado" localSheetId="3">INDIRECT("Dados!$j$"&amp;#REF!&amp;":$j$"&amp;#REF!)</definedName>
    <definedName name="Selic_Mercado">INDIRECT("Dados!$j$"&amp;#REF!&amp;":$j$"&amp;#REF!)</definedName>
    <definedName name="Selic_Mercado_Copom_Anterior" localSheetId="3">INDIRECT("Dados!$al$"&amp;#REF!&amp;":$al$"&amp;#REF!)</definedName>
    <definedName name="Selic_Mercado_Copom_Anterior">INDIRECT("Dados!$al$"&amp;#REF!&amp;":$al$"&amp;#REF!)</definedName>
    <definedName name="SELIC_por" localSheetId="3">OFFSET(#REF!,0,0,COUNTA(#REF!)-1)</definedName>
    <definedName name="SELIC_por" localSheetId="1">OFFSET(#REF!,0,0,COUNTA(#REF!)-1)</definedName>
    <definedName name="SELIC_por" localSheetId="9">OFFSET(#REF!,0,0,COUNTA(#REF!)-1)</definedName>
    <definedName name="SELIC_por" localSheetId="5">OFFSET(#REF!,0,0,COUNTA(#REF!)-1)</definedName>
    <definedName name="SELIC_por">OFFSET(#REF!,0,0,COUNTA(#REF!)-1)</definedName>
    <definedName name="Selic_Ref" localSheetId="3">INDIRECT("Dados!$t$"&amp;#REF!&amp;":$t$"&amp;#REF!)</definedName>
    <definedName name="Selic_Ref">INDIRECT("Dados!$t$"&amp;#REF!&amp;":$t$"&amp;#REF!)</definedName>
    <definedName name="Selic_Ref_Copom_Anterior" localSheetId="3">INDIRECT("Dados!$av$"&amp;#REF!&amp;":$av$"&amp;#REF!)</definedName>
    <definedName name="Selic_Ref_Copom_Anterior">INDIRECT("Dados!$av$"&amp;#REF!&amp;":$av$"&amp;#REF!)</definedName>
    <definedName name="Semana1" localSheetId="3">#REF!</definedName>
    <definedName name="Semana1" localSheetId="1">#REF!</definedName>
    <definedName name="Semana1" localSheetId="5">#REF!</definedName>
    <definedName name="Semana1" localSheetId="4">#REF!</definedName>
    <definedName name="Semana1">#REF!</definedName>
    <definedName name="Semana2" localSheetId="3">#REF!</definedName>
    <definedName name="Semana2" localSheetId="1">#REF!</definedName>
    <definedName name="Semana2" localSheetId="5">#REF!</definedName>
    <definedName name="Semana2">#REF!</definedName>
    <definedName name="Semana3" localSheetId="3">#REF!</definedName>
    <definedName name="Semana3" localSheetId="1">#REF!</definedName>
    <definedName name="Semana3" localSheetId="5">#REF!</definedName>
    <definedName name="Semana3">#REF!</definedName>
    <definedName name="Semana4" localSheetId="3">#REF!</definedName>
    <definedName name="Semana4" localSheetId="1">#REF!</definedName>
    <definedName name="Semana4" localSheetId="5">#REF!</definedName>
    <definedName name="Semana4">#REF!</definedName>
    <definedName name="Semana5" localSheetId="3">#REF!</definedName>
    <definedName name="Semana5" localSheetId="1">#REF!</definedName>
    <definedName name="Semana5" localSheetId="5">#REF!</definedName>
    <definedName name="Semana5">#REF!</definedName>
    <definedName name="sex_ratio">[11]Population!$A$61</definedName>
    <definedName name="SHARED_FORMULA_1_37_1_37_0">"[.B39]+[.B57]+[.B69]+[.B70]+[.B71]+[.B72]"</definedName>
    <definedName name="SHARED_FORMULA_12_2_12_2_0">"[.B2]/([.M2]*1000)"</definedName>
    <definedName name="SHARED_FORMULA_12_3_12_3_0">"[.B38]/([.M2]*1000)"</definedName>
    <definedName name="SHARED_FORMULA_2_38_2_38_0">"[.C40]+[.C51]"</definedName>
    <definedName name="SHARED_FORMULA_2_39_2_39_0">"[.C41]+[.C44]+[.C45]"</definedName>
    <definedName name="SHARED_FORMULA_2_40_2_40_0">"[.C42]+[.C43]"</definedName>
    <definedName name="SHARED_FORMULA_2_44_2_44_0">"SUM([.C46:.C50])"</definedName>
    <definedName name="SHARED_FORMULA_2_50_2_50_0">"[.C52]+[.C56]"</definedName>
    <definedName name="SHARED_FORMULA_2_51_2_51_0">"SUM([.C53:.C55])"</definedName>
    <definedName name="SHARED_FORMULA_2_56_2_56_0">"[.C58]+[.C63]"</definedName>
    <definedName name="SHARED_FORMULA_2_57_2_57_0">"SUM([.C59:.C62])"</definedName>
    <definedName name="SHARED_FORMULA_2_62_2_62_0">"SUM([.C64:.C68])"</definedName>
    <definedName name="SHARED_FORMULA_4_49_4_49_1">"SUM([.E2:.E33])"</definedName>
    <definedName name="SHARED_FORMULA_4_50_4_50_1">"SUM([.E34:.E43])"</definedName>
    <definedName name="SHARED_FORMULA_4_51_4_51_1">"SUM([.E44:.E49])"</definedName>
    <definedName name="SHARED_FORMULA_4_52_4_52_1">"SUM([.E50:.E52])"</definedName>
    <definedName name="SHARED_FORMULA_5_0_5_0_1">"[.E1]+1"</definedName>
    <definedName name="Sheet1_Chart_2_ChartType" hidden="1">64</definedName>
    <definedName name="SheetName" localSheetId="3">#REF!</definedName>
    <definedName name="SheetName" localSheetId="1">#REF!</definedName>
    <definedName name="SheetName" localSheetId="9">#REF!</definedName>
    <definedName name="SheetName" localSheetId="5">#REF!</definedName>
    <definedName name="SheetName" localSheetId="4">#REF!</definedName>
    <definedName name="SheetName">#REF!</definedName>
    <definedName name="SheetsCond" localSheetId="3">#REF!</definedName>
    <definedName name="SheetsCond" localSheetId="1">#REF!</definedName>
    <definedName name="SheetsCond" localSheetId="9">#REF!</definedName>
    <definedName name="SheetsCond" localSheetId="5">#REF!</definedName>
    <definedName name="SheetsCond">#REF!</definedName>
    <definedName name="simplesnacional">[9]fluxo!$9:$9</definedName>
    <definedName name="simplesnacional12">[9]fluxo!$47:$47</definedName>
    <definedName name="sizehh">[11]Households!$A$43</definedName>
    <definedName name="SP">[21]MILHO1A!#REF!</definedName>
    <definedName name="SpreadsheetBuilder_1" localSheetId="3" hidden="1">#REF!</definedName>
    <definedName name="SpreadsheetBuilder_1" localSheetId="4" hidden="1">#REF!</definedName>
    <definedName name="SpreadsheetBuilder_1" hidden="1">#REF!</definedName>
    <definedName name="SpreadsheetBuilder_2" localSheetId="3" hidden="1">#REF!</definedName>
    <definedName name="SpreadsheetBuilder_2" hidden="1">#REF!</definedName>
    <definedName name="SPSS" localSheetId="3">#REF!</definedName>
    <definedName name="SPSS" localSheetId="1">#REF!</definedName>
    <definedName name="SPSS" localSheetId="5">#REF!</definedName>
    <definedName name="SPSS">#REF!</definedName>
    <definedName name="SubLabel" localSheetId="3">#REF!</definedName>
    <definedName name="SubLabel" localSheetId="1">#REF!</definedName>
    <definedName name="SubLabel" localSheetId="9">#REF!</definedName>
    <definedName name="SubLabel" localSheetId="5">#REF!</definedName>
    <definedName name="SubLabel">#REF!</definedName>
    <definedName name="sujinho" localSheetId="3" hidden="1">#REF!</definedName>
    <definedName name="sujinho" hidden="1">#REF!</definedName>
    <definedName name="sujo" localSheetId="3" hidden="1">#REF!</definedName>
    <definedName name="sujo" hidden="1">#REF!</definedName>
    <definedName name="sumário" localSheetId="3">#REF!</definedName>
    <definedName name="sumário" localSheetId="1">#REF!</definedName>
    <definedName name="sumário" localSheetId="5">#REF!</definedName>
    <definedName name="sumário">#REF!</definedName>
    <definedName name="Suprimento_de_Milho" localSheetId="3">#REF!</definedName>
    <definedName name="Suprimento_de_Milho" localSheetId="1">#REF!</definedName>
    <definedName name="Suprimento_de_Milho" localSheetId="5">#REF!</definedName>
    <definedName name="Suprimento_de_Milho">#REF!</definedName>
    <definedName name="Swap_Mercado" localSheetId="3">INDIRECT("Dados!$l$"&amp;#REF!&amp;":$l$"&amp;#REF!)</definedName>
    <definedName name="Swap_Mercado">INDIRECT("Dados!$l$"&amp;#REF!&amp;":$l$"&amp;#REF!)</definedName>
    <definedName name="Swap_Ref" localSheetId="3">INDIRECT("Dados!$v$"&amp;#REF!&amp;":$v$"&amp;#REF!)</definedName>
    <definedName name="Swap_Ref">INDIRECT("Dados!$v$"&amp;#REF!&amp;":$v$"&amp;#REF!)</definedName>
    <definedName name="t" localSheetId="3" hidden="1">#REF!</definedName>
    <definedName name="t" localSheetId="4" hidden="1">#REF!</definedName>
    <definedName name="t" hidden="1">#REF!</definedName>
    <definedName name="Tabela" localSheetId="3">[1]PYRAMID!#REF!</definedName>
    <definedName name="Tabela" localSheetId="1">[1]PYRAMID!#REF!</definedName>
    <definedName name="Tabela" localSheetId="5">[1]PYRAMID!#REF!</definedName>
    <definedName name="Tabela" localSheetId="4">[1]PYRAMID!#REF!</definedName>
    <definedName name="Tabela">[1]PYRAMID!#REF!</definedName>
    <definedName name="tabela1">#N/A</definedName>
    <definedName name="TABELÃOFILTRADO" localSheetId="3">#REF!</definedName>
    <definedName name="TABELÃOFILTRADO" localSheetId="1">#REF!</definedName>
    <definedName name="TABELÃOFILTRADO" localSheetId="9">#REF!</definedName>
    <definedName name="TABELÃOFILTRADO" localSheetId="5">#REF!</definedName>
    <definedName name="TABELÃOFILTRADO" localSheetId="4">#REF!</definedName>
    <definedName name="TABELÃOFILTRADO">#REF!</definedName>
    <definedName name="Taxa_câmbio" localSheetId="3">#REF!</definedName>
    <definedName name="Taxa_câmbio" localSheetId="1">#REF!</definedName>
    <definedName name="Taxa_câmbio" localSheetId="9">#REF!</definedName>
    <definedName name="Taxa_câmbio" localSheetId="5">#REF!</definedName>
    <definedName name="Taxa_câmbio">#REF!</definedName>
    <definedName name="TAXA_DE_" localSheetId="3">#REF!</definedName>
    <definedName name="TAXA_DE_" localSheetId="1">#REF!</definedName>
    <definedName name="TAXA_DE_" localSheetId="5">#REF!</definedName>
    <definedName name="TAXA_DE_">#REF!</definedName>
    <definedName name="teach1">[11]Teachers!$A$11</definedName>
    <definedName name="teach2">[11]Teachers!$A$21</definedName>
    <definedName name="teen_fert">[11]Children!$A$19</definedName>
    <definedName name="TEMP">[6]LTFEM96!$B$538</definedName>
    <definedName name="TESTE" localSheetId="3">OFFSET(#REF!,0,0,COUNTA(#REF!)-1)</definedName>
    <definedName name="TESTE" localSheetId="1">OFFSET(#REF!,0,0,COUNTA(#REF!)-1)</definedName>
    <definedName name="TESTE" localSheetId="5">OFFSET(#REF!,0,0,COUNTA(#REF!)-1)</definedName>
    <definedName name="TESTE">OFFSET(#REF!,0,0,COUNTA(#REF!)-1)</definedName>
    <definedName name="teste1" localSheetId="3" hidden="1">#REF!</definedName>
    <definedName name="teste1" localSheetId="1" hidden="1">#REF!</definedName>
    <definedName name="teste1" localSheetId="5" hidden="1">#REF!</definedName>
    <definedName name="teste1" localSheetId="4" hidden="1">#REF!</definedName>
    <definedName name="teste1" hidden="1">#REF!</definedName>
    <definedName name="TEXTIL93_98_Query" localSheetId="3">#REF!</definedName>
    <definedName name="TEXTIL93_98_Query" localSheetId="1">#REF!</definedName>
    <definedName name="TEXTIL93_98_Query" localSheetId="5">#REF!</definedName>
    <definedName name="TEXTIL93_98_Query">#REF!</definedName>
    <definedName name="TEXTIL93_98_Query_Pais_Crosstab" localSheetId="3">#REF!</definedName>
    <definedName name="TEXTIL93_98_Query_Pais_Crosstab" localSheetId="1">#REF!</definedName>
    <definedName name="TEXTIL93_98_Query_Pais_Crosstab" localSheetId="5">#REF!</definedName>
    <definedName name="TEXTIL93_98_Query_Pais_Crosstab">#REF!</definedName>
    <definedName name="TEXTIL99_Query_Pais" localSheetId="3">#REF!</definedName>
    <definedName name="TEXTIL99_Query_Pais" localSheetId="1">#REF!</definedName>
    <definedName name="TEXTIL99_Query_Pais" localSheetId="5">#REF!</definedName>
    <definedName name="TEXTIL99_Query_Pais">#REF!</definedName>
    <definedName name="threat">[11]Threats!$A$18</definedName>
    <definedName name="time">[11]Time!$A$27</definedName>
    <definedName name="_xlnm.Print_Titles">[6]LTFEM96!$A$1:$IV$2</definedName>
    <definedName name="TJLP_BNDES" localSheetId="3">#REF!</definedName>
    <definedName name="TJLP_BNDES" localSheetId="1">#REF!</definedName>
    <definedName name="TJLP_BNDES" localSheetId="9">#REF!</definedName>
    <definedName name="TJLP_BNDES" localSheetId="5">#REF!</definedName>
    <definedName name="TJLP_BNDES" localSheetId="4">#REF!</definedName>
    <definedName name="TJLP_BNDES">#REF!</definedName>
    <definedName name="TO" localSheetId="3">[21]MILHO1A!#REF!</definedName>
    <definedName name="TO" localSheetId="1">[21]MILHO1A!#REF!</definedName>
    <definedName name="TO" localSheetId="5">[21]MILHO1A!#REF!</definedName>
    <definedName name="TO" localSheetId="4">[21]MILHO1A!#REF!</definedName>
    <definedName name="TO">[21]MILHO1A!#REF!</definedName>
    <definedName name="TODAS" localSheetId="3">#REF!</definedName>
    <definedName name="TODAS" localSheetId="1">#REF!</definedName>
    <definedName name="TODAS" localSheetId="5">#REF!</definedName>
    <definedName name="TODAS" localSheetId="4">#REF!</definedName>
    <definedName name="TODAS">#REF!</definedName>
    <definedName name="TOTORDEMBLC_UNIC" localSheetId="3">#REF!</definedName>
    <definedName name="TOTORDEMBLC_UNIC" localSheetId="1">#REF!</definedName>
    <definedName name="TOTORDEMBLC_UNIC" localSheetId="5">#REF!</definedName>
    <definedName name="TOTORDEMBLC_UNIC">#REF!</definedName>
    <definedName name="TR" localSheetId="3">#REF!</definedName>
    <definedName name="TR" localSheetId="1">#REF!</definedName>
    <definedName name="TR" localSheetId="9">#REF!</definedName>
    <definedName name="TR" localSheetId="5">#REF!</definedName>
    <definedName name="TR">#REF!</definedName>
    <definedName name="Trimestres1" localSheetId="3">OFFSET(#REF!,0,0,COUNTA(#REF!)-2,2)</definedName>
    <definedName name="Trimestres1" localSheetId="1">OFFSET('[29]4 - Tabela 1'!$A$9,0,0,COUNTA('[29]4 - Tabela 1'!$E$1:$E$65536)-2,2)</definedName>
    <definedName name="Trimestres1" localSheetId="9">OFFSET(#REF!,0,0,COUNTA(#REF!)-2,2)</definedName>
    <definedName name="Trimestres1" localSheetId="5">OFFSET('[29]4 - Tabela 1'!$A$9,0,0,COUNTA('[29]4 - Tabela 1'!$E$1:$E$65536)-2,2)</definedName>
    <definedName name="Trimestres1" localSheetId="4">OFFSET(#REF!,0,0,COUNTA(#REF!)-2,2)</definedName>
    <definedName name="Trimestres1">OFFSET(#REF!,0,0,COUNTA(#REF!)-2,2)</definedName>
    <definedName name="Trimestres10" localSheetId="3">OFFSET(#REF!,0,0,COUNTA(#REF!)-2,2)</definedName>
    <definedName name="Trimestres10" localSheetId="1">OFFSET('[29]22 - Tabela 10'!$A$9,0,0,COUNTA('[29]22 - Tabela 10'!$E$1:$E$65536)-2,2)</definedName>
    <definedName name="Trimestres10" localSheetId="9">OFFSET(#REF!,0,0,COUNTA(#REF!)-2,2)</definedName>
    <definedName name="Trimestres10" localSheetId="5">OFFSET('[29]22 - Tabela 10'!$A$9,0,0,COUNTA('[29]22 - Tabela 10'!$E$1:$E$65536)-2,2)</definedName>
    <definedName name="Trimestres10" localSheetId="4">OFFSET(#REF!,0,0,COUNTA(#REF!)-2,2)</definedName>
    <definedName name="Trimestres10">OFFSET(#REF!,0,0,COUNTA(#REF!)-2,2)</definedName>
    <definedName name="Trimestres100" localSheetId="1">OFFSET('[30]202 - Tabela 100'!$A$9,0,0,COUNTA('[30]202 - Tabela 100'!$E:$E)-2,2)</definedName>
    <definedName name="Trimestres100" localSheetId="5">OFFSET('[30]202 - Tabela 100'!$A$9,0,0,COUNTA('[30]202 - Tabela 100'!$E:$E)-2,2)</definedName>
    <definedName name="Trimestres100">OFFSET('[30]202 - Tabela 100'!$A$9,0,0,COUNTA('[30]202 - Tabela 100'!$E:$E)-2,2)</definedName>
    <definedName name="Trimestres101" localSheetId="1">OFFSET('[30]204 - Tabela 101'!$A$9,0,0,COUNTA('[30]204 - Tabela 101'!$E:$E)-2,2)</definedName>
    <definedName name="Trimestres101" localSheetId="5">OFFSET('[30]204 - Tabela 101'!$A$9,0,0,COUNTA('[30]204 - Tabela 101'!$E:$E)-2,2)</definedName>
    <definedName name="Trimestres101">OFFSET('[30]204 - Tabela 101'!$A$9,0,0,COUNTA('[30]204 - Tabela 101'!$E:$E)-2,2)</definedName>
    <definedName name="Trimestres102" localSheetId="1">OFFSET('[30]206 - Tabela 102'!$A$9,0,0,COUNTA('[30]206 - Tabela 102'!$E:$E)-2,2)</definedName>
    <definedName name="Trimestres102" localSheetId="5">OFFSET('[30]206 - Tabela 102'!$A$9,0,0,COUNTA('[30]206 - Tabela 102'!$E:$E)-2,2)</definedName>
    <definedName name="Trimestres102">OFFSET('[30]206 - Tabela 102'!$A$9,0,0,COUNTA('[30]206 - Tabela 102'!$E:$E)-2,2)</definedName>
    <definedName name="Trimestres103" localSheetId="1">OFFSET('[30]208 - Tabela 103'!$A$9,0,0,COUNTA('[30]208 - Tabela 103'!$E:$E)-1,2)</definedName>
    <definedName name="Trimestres103" localSheetId="5">OFFSET('[30]208 - Tabela 103'!$A$9,0,0,COUNTA('[30]208 - Tabela 103'!$E:$E)-1,2)</definedName>
    <definedName name="Trimestres103">OFFSET('[30]208 - Tabela 103'!$A$9,0,0,COUNTA('[30]208 - Tabela 103'!$E:$E)-1,2)</definedName>
    <definedName name="Trimestres104" localSheetId="1">OFFSET('[30]210 - Tabela 104'!$A$9,0,0,COUNTA('[30]210 - Tabela 104'!$E:$E)-1,2)</definedName>
    <definedName name="Trimestres104" localSheetId="5">OFFSET('[30]210 - Tabela 104'!$A$9,0,0,COUNTA('[30]210 - Tabela 104'!$E:$E)-1,2)</definedName>
    <definedName name="Trimestres104">OFFSET('[30]210 - Tabela 104'!$A$9,0,0,COUNTA('[30]210 - Tabela 104'!$E:$E)-1,2)</definedName>
    <definedName name="Trimestres105" localSheetId="1">OFFSET('[30]212 - Tabela 105'!$A$9,0,0,COUNTA('[30]212 - Tabela 105'!$E:$E)-1,2)</definedName>
    <definedName name="Trimestres105" localSheetId="5">OFFSET('[30]212 - Tabela 105'!$A$9,0,0,COUNTA('[30]212 - Tabela 105'!$E:$E)-1,2)</definedName>
    <definedName name="Trimestres105">OFFSET('[30]212 - Tabela 105'!$A$9,0,0,COUNTA('[30]212 - Tabela 105'!$E:$E)-1,2)</definedName>
    <definedName name="Trimestres106" localSheetId="1">OFFSET('[30]214 - Tabela 106'!$A$9,0,0,COUNTA('[30]214 - Tabela 106'!$E:$E)-1,2)</definedName>
    <definedName name="Trimestres106" localSheetId="5">OFFSET('[30]214 - Tabela 106'!$A$9,0,0,COUNTA('[30]214 - Tabela 106'!$E:$E)-1,2)</definedName>
    <definedName name="Trimestres106">OFFSET('[30]214 - Tabela 106'!$A$9,0,0,COUNTA('[30]214 - Tabela 106'!$E:$E)-1,2)</definedName>
    <definedName name="Trimestres107" localSheetId="1">OFFSET('[30]216 - Tabela 107'!$A$9,0,0,COUNTA('[30]216 - Tabela 107'!$E:$E)-1,2)</definedName>
    <definedName name="Trimestres107" localSheetId="5">OFFSET('[30]216 - Tabela 107'!$A$9,0,0,COUNTA('[30]216 - Tabela 107'!$E:$E)-1,2)</definedName>
    <definedName name="Trimestres107">OFFSET('[30]216 - Tabela 107'!$A$9,0,0,COUNTA('[30]216 - Tabela 107'!$E:$E)-1,2)</definedName>
    <definedName name="Trimestres108" localSheetId="1">OFFSET('[30]218 - Tabela 108'!$A$9,0,0,COUNTA('[30]218 - Tabela 108'!$E:$E)-1,2)</definedName>
    <definedName name="Trimestres108" localSheetId="5">OFFSET('[30]218 - Tabela 108'!$A$9,0,0,COUNTA('[30]218 - Tabela 108'!$E:$E)-1,2)</definedName>
    <definedName name="Trimestres108">OFFSET('[30]218 - Tabela 108'!$A$9,0,0,COUNTA('[30]218 - Tabela 108'!$E:$E)-1,2)</definedName>
    <definedName name="Trimestres109" localSheetId="1">OFFSET('[30]220 - Tabela 109'!$A$9,0,0,COUNTA('[30]220 - Tabela 109'!$E:$E)-1,2)</definedName>
    <definedName name="Trimestres109" localSheetId="5">OFFSET('[30]220 - Tabela 109'!$A$9,0,0,COUNTA('[30]220 - Tabela 109'!$E:$E)-1,2)</definedName>
    <definedName name="Trimestres109">OFFSET('[30]220 - Tabela 109'!$A$9,0,0,COUNTA('[30]220 - Tabela 109'!$E:$E)-1,2)</definedName>
    <definedName name="Trimestres11" localSheetId="3">OFFSET(#REF!,0,0,COUNTA(#REF!)-2,2)</definedName>
    <definedName name="Trimestres11" localSheetId="1">OFFSET('[29]24 - Tabela 11'!$A$9,0,0,COUNTA('[29]24 - Tabela 11'!$E$1:$E$65536)-2,2)</definedName>
    <definedName name="Trimestres11" localSheetId="9">OFFSET(#REF!,0,0,COUNTA(#REF!)-2,2)</definedName>
    <definedName name="Trimestres11" localSheetId="5">OFFSET('[29]24 - Tabela 11'!$A$9,0,0,COUNTA('[29]24 - Tabela 11'!$E$1:$E$65536)-2,2)</definedName>
    <definedName name="Trimestres11" localSheetId="4">OFFSET(#REF!,0,0,COUNTA(#REF!)-2,2)</definedName>
    <definedName name="Trimestres11">OFFSET(#REF!,0,0,COUNTA(#REF!)-2,2)</definedName>
    <definedName name="Trimestres110" localSheetId="1">OFFSET('[30]222 - Tabela 110'!$A$9,0,0,COUNTA('[30]222 - Tabela 110'!$E:$E)-1,2)</definedName>
    <definedName name="Trimestres110" localSheetId="5">OFFSET('[30]222 - Tabela 110'!$A$9,0,0,COUNTA('[30]222 - Tabela 110'!$E:$E)-1,2)</definedName>
    <definedName name="Trimestres110">OFFSET('[30]222 - Tabela 110'!$A$9,0,0,COUNTA('[30]222 - Tabela 110'!$E:$E)-1,2)</definedName>
    <definedName name="Trimestres111" localSheetId="1">OFFSET('[30]224 - Tabela 111'!$A$9,0,0,COUNTA('[30]224 - Tabela 111'!$E:$E)-1,2)</definedName>
    <definedName name="Trimestres111" localSheetId="5">OFFSET('[30]224 - Tabela 111'!$A$9,0,0,COUNTA('[30]224 - Tabela 111'!$E:$E)-1,2)</definedName>
    <definedName name="Trimestres111">OFFSET('[30]224 - Tabela 111'!$A$9,0,0,COUNTA('[30]224 - Tabela 111'!$E:$E)-1,2)</definedName>
    <definedName name="Trimestres112" localSheetId="1">OFFSET('[30]226 - Tabela 112'!$A$9,0,0,COUNTA('[30]226 - Tabela 112'!$E:$E)-1,2)</definedName>
    <definedName name="Trimestres112" localSheetId="5">OFFSET('[30]226 - Tabela 112'!$A$9,0,0,COUNTA('[30]226 - Tabela 112'!$E:$E)-1,2)</definedName>
    <definedName name="Trimestres112">OFFSET('[30]226 - Tabela 112'!$A$9,0,0,COUNTA('[30]226 - Tabela 112'!$E:$E)-1,2)</definedName>
    <definedName name="Trimestres12" localSheetId="3">OFFSET(#REF!,0,0,COUNTA(#REF!)-2,2)</definedName>
    <definedName name="Trimestres12" localSheetId="1">OFFSET('[29]26 - Tabela 12'!$A$9,0,0,COUNTA('[29]26 - Tabela 12'!$E$1:$E$65536)-2,2)</definedName>
    <definedName name="Trimestres12" localSheetId="9">OFFSET(#REF!,0,0,COUNTA(#REF!)-2,2)</definedName>
    <definedName name="Trimestres12" localSheetId="5">OFFSET('[29]26 - Tabela 12'!$A$9,0,0,COUNTA('[29]26 - Tabela 12'!$E$1:$E$65536)-2,2)</definedName>
    <definedName name="Trimestres12" localSheetId="4">OFFSET(#REF!,0,0,COUNTA(#REF!)-2,2)</definedName>
    <definedName name="Trimestres12">OFFSET(#REF!,0,0,COUNTA(#REF!)-2,2)</definedName>
    <definedName name="Trimestres13" localSheetId="3">OFFSET(#REF!,0,0,COUNTA(#REF!)-2,2)</definedName>
    <definedName name="Trimestres13" localSheetId="1">OFFSET('[29]28 - Tabela 13'!$A$9,0,0,COUNTA('[29]28 - Tabela 13'!$E$1:$E$65536)-2,2)</definedName>
    <definedName name="Trimestres13" localSheetId="9">OFFSET(#REF!,0,0,COUNTA(#REF!)-2,2)</definedName>
    <definedName name="Trimestres13" localSheetId="5">OFFSET('[29]28 - Tabela 13'!$A$9,0,0,COUNTA('[29]28 - Tabela 13'!$E$1:$E$65536)-2,2)</definedName>
    <definedName name="Trimestres13" localSheetId="4">OFFSET(#REF!,0,0,COUNTA(#REF!)-2,2)</definedName>
    <definedName name="Trimestres13">OFFSET(#REF!,0,0,COUNTA(#REF!)-2,2)</definedName>
    <definedName name="Trimestres14" localSheetId="3">OFFSET(#REF!,0,0,COUNTA(#REF!)-2,2)</definedName>
    <definedName name="Trimestres14" localSheetId="1">OFFSET('[29]30 - Tabela 14'!$A$9,0,0,COUNTA('[29]30 - Tabela 14'!$E$1:$E$65536)-2,2)</definedName>
    <definedName name="Trimestres14" localSheetId="9">OFFSET(#REF!,0,0,COUNTA(#REF!)-2,2)</definedName>
    <definedName name="Trimestres14" localSheetId="5">OFFSET('[29]30 - Tabela 14'!$A$9,0,0,COUNTA('[29]30 - Tabela 14'!$E$1:$E$65536)-2,2)</definedName>
    <definedName name="Trimestres14" localSheetId="4">OFFSET(#REF!,0,0,COUNTA(#REF!)-2,2)</definedName>
    <definedName name="Trimestres14">OFFSET(#REF!,0,0,COUNTA(#REF!)-2,2)</definedName>
    <definedName name="Trimestres15" localSheetId="3">OFFSET(#REF!,0,0,COUNTA(#REF!)-2,2)</definedName>
    <definedName name="Trimestres15" localSheetId="1">OFFSET('[29]32 - Tabela 15'!$A$9,0,0,COUNTA('[29]32 - Tabela 15'!$E$1:$E$65536)-2,2)</definedName>
    <definedName name="Trimestres15" localSheetId="9">OFFSET(#REF!,0,0,COUNTA(#REF!)-2,2)</definedName>
    <definedName name="Trimestres15" localSheetId="5">OFFSET('[29]32 - Tabela 15'!$A$9,0,0,COUNTA('[29]32 - Tabela 15'!$E$1:$E$65536)-2,2)</definedName>
    <definedName name="Trimestres15" localSheetId="4">OFFSET(#REF!,0,0,COUNTA(#REF!)-2,2)</definedName>
    <definedName name="Trimestres15">OFFSET(#REF!,0,0,COUNTA(#REF!)-2,2)</definedName>
    <definedName name="Trimestres16" localSheetId="3">OFFSET(#REF!,0,0,COUNTA(#REF!)-2,2)</definedName>
    <definedName name="Trimestres16" localSheetId="1">OFFSET('[29]34 - Tabela 16'!$A$9,0,0,COUNTA('[29]34 - Tabela 16'!$E$1:$E$65536)-2,2)</definedName>
    <definedName name="Trimestres16" localSheetId="9">OFFSET(#REF!,0,0,COUNTA(#REF!)-2,2)</definedName>
    <definedName name="Trimestres16" localSheetId="5">OFFSET('[29]34 - Tabela 16'!$A$9,0,0,COUNTA('[29]34 - Tabela 16'!$E$1:$E$65536)-2,2)</definedName>
    <definedName name="Trimestres16" localSheetId="4">OFFSET(#REF!,0,0,COUNTA(#REF!)-2,2)</definedName>
    <definedName name="Trimestres16">OFFSET(#REF!,0,0,COUNTA(#REF!)-2,2)</definedName>
    <definedName name="Trimestres17" localSheetId="3">OFFSET(#REF!,0,0,COUNTA(#REF!)-2,2)</definedName>
    <definedName name="Trimestres17" localSheetId="1">OFFSET('[29]36 - Tabela 17'!$A$9,0,0,COUNTA('[29]36 - Tabela 17'!$E$1:$E$65536)-2,2)</definedName>
    <definedName name="Trimestres17" localSheetId="9">OFFSET(#REF!,0,0,COUNTA(#REF!)-2,2)</definedName>
    <definedName name="Trimestres17" localSheetId="5">OFFSET('[29]36 - Tabela 17'!$A$9,0,0,COUNTA('[29]36 - Tabela 17'!$E$1:$E$65536)-2,2)</definedName>
    <definedName name="Trimestres17" localSheetId="4">OFFSET(#REF!,0,0,COUNTA(#REF!)-2,2)</definedName>
    <definedName name="Trimestres17">OFFSET(#REF!,0,0,COUNTA(#REF!)-2,2)</definedName>
    <definedName name="Trimestres18" localSheetId="3">OFFSET(#REF!,0,0,COUNTA(#REF!)-2,2)</definedName>
    <definedName name="Trimestres18" localSheetId="1">OFFSET('[29]38 - Tabela 18'!$A$9,0,0,COUNTA('[29]38 - Tabela 18'!$E$1:$E$65536)-2,2)</definedName>
    <definedName name="Trimestres18" localSheetId="9">OFFSET(#REF!,0,0,COUNTA(#REF!)-2,2)</definedName>
    <definedName name="Trimestres18" localSheetId="5">OFFSET('[29]38 - Tabela 18'!$A$9,0,0,COUNTA('[29]38 - Tabela 18'!$E$1:$E$65536)-2,2)</definedName>
    <definedName name="Trimestres18" localSheetId="4">OFFSET(#REF!,0,0,COUNTA(#REF!)-2,2)</definedName>
    <definedName name="Trimestres18">OFFSET(#REF!,0,0,COUNTA(#REF!)-2,2)</definedName>
    <definedName name="Trimestres19" localSheetId="3">OFFSET(#REF!,0,0,COUNTA(#REF!)-2,2)</definedName>
    <definedName name="Trimestres19" localSheetId="1">OFFSET('[29]40 - Tabela 19'!$A$9,0,0,COUNTA('[29]40 - Tabela 19'!$E$1:$E$65536)-2,2)</definedName>
    <definedName name="Trimestres19" localSheetId="9">OFFSET(#REF!,0,0,COUNTA(#REF!)-2,2)</definedName>
    <definedName name="Trimestres19" localSheetId="5">OFFSET('[29]40 - Tabela 19'!$A$9,0,0,COUNTA('[29]40 - Tabela 19'!$E$1:$E$65536)-2,2)</definedName>
    <definedName name="Trimestres19" localSheetId="4">OFFSET(#REF!,0,0,COUNTA(#REF!)-2,2)</definedName>
    <definedName name="Trimestres19">OFFSET(#REF!,0,0,COUNTA(#REF!)-2,2)</definedName>
    <definedName name="Trimestres2" localSheetId="3">OFFSET(#REF!,0,0,COUNTA(#REF!)-2,2)</definedName>
    <definedName name="Trimestres2" localSheetId="1">OFFSET('[29]6 - Tabela 2'!$A$9,0,0,COUNTA('[29]6 - Tabela 2'!$E$1:$E$65536)-2,2)</definedName>
    <definedName name="Trimestres2" localSheetId="9">OFFSET(#REF!,0,0,COUNTA(#REF!)-2,2)</definedName>
    <definedName name="Trimestres2" localSheetId="5">OFFSET('[29]6 - Tabela 2'!$A$9,0,0,COUNTA('[29]6 - Tabela 2'!$E$1:$E$65536)-2,2)</definedName>
    <definedName name="Trimestres2" localSheetId="4">OFFSET(#REF!,0,0,COUNTA(#REF!)-2,2)</definedName>
    <definedName name="Trimestres2">OFFSET(#REF!,0,0,COUNTA(#REF!)-2,2)</definedName>
    <definedName name="Trimestres20" localSheetId="3">OFFSET(#REF!,0,0,COUNTA(#REF!)-2,2)</definedName>
    <definedName name="Trimestres20" localSheetId="1">OFFSET('[29]42 - Tabela 20'!$A$9,0,0,COUNTA('[29]42 - Tabela 20'!$E$1:$E$65536)-2,2)</definedName>
    <definedName name="Trimestres20" localSheetId="9">OFFSET(#REF!,0,0,COUNTA(#REF!)-2,2)</definedName>
    <definedName name="Trimestres20" localSheetId="5">OFFSET('[29]42 - Tabela 20'!$A$9,0,0,COUNTA('[29]42 - Tabela 20'!$E$1:$E$65536)-2,2)</definedName>
    <definedName name="Trimestres20" localSheetId="4">OFFSET(#REF!,0,0,COUNTA(#REF!)-2,2)</definedName>
    <definedName name="Trimestres20">OFFSET(#REF!,0,0,COUNTA(#REF!)-2,2)</definedName>
    <definedName name="Trimestres21" localSheetId="3">OFFSET(#REF!,0,0,COUNTA(#REF!)-2,2)</definedName>
    <definedName name="Trimestres21" localSheetId="1">OFFSET('[29]44 - Tabela 21'!$A$9,0,0,COUNTA('[29]44 - Tabela 21'!$E$1:$E$65536)-2,2)</definedName>
    <definedName name="Trimestres21" localSheetId="9">OFFSET(#REF!,0,0,COUNTA(#REF!)-2,2)</definedName>
    <definedName name="Trimestres21" localSheetId="5">OFFSET('[29]44 - Tabela 21'!$A$9,0,0,COUNTA('[29]44 - Tabela 21'!$E$1:$E$65536)-2,2)</definedName>
    <definedName name="Trimestres21" localSheetId="4">OFFSET(#REF!,0,0,COUNTA(#REF!)-2,2)</definedName>
    <definedName name="Trimestres21">OFFSET(#REF!,0,0,COUNTA(#REF!)-2,2)</definedName>
    <definedName name="Trimestres22" localSheetId="3">OFFSET(#REF!,0,0,COUNTA(#REF!)-2,2)</definedName>
    <definedName name="Trimestres22" localSheetId="1">OFFSET('[29]46 - Tabela 22'!$A$9,0,0,COUNTA('[29]46 - Tabela 22'!$E$1:$E$65536)-2,2)</definedName>
    <definedName name="Trimestres22" localSheetId="9">OFFSET(#REF!,0,0,COUNTA(#REF!)-2,2)</definedName>
    <definedName name="Trimestres22" localSheetId="5">OFFSET('[29]46 - Tabela 22'!$A$9,0,0,COUNTA('[29]46 - Tabela 22'!$E$1:$E$65536)-2,2)</definedName>
    <definedName name="Trimestres22" localSheetId="4">OFFSET(#REF!,0,0,COUNTA(#REF!)-2,2)</definedName>
    <definedName name="Trimestres22">OFFSET(#REF!,0,0,COUNTA(#REF!)-2,2)</definedName>
    <definedName name="Trimestres23" localSheetId="3">OFFSET(#REF!,0,0,COUNTA(#REF!)-2,2)</definedName>
    <definedName name="Trimestres23" localSheetId="1">OFFSET('[29]48 - Tabela 23'!$A$9,0,0,COUNTA('[29]48 - Tabela 23'!$E$1:$E$65536)-2,2)</definedName>
    <definedName name="Trimestres23" localSheetId="9">OFFSET(#REF!,0,0,COUNTA(#REF!)-2,2)</definedName>
    <definedName name="Trimestres23" localSheetId="5">OFFSET('[29]48 - Tabela 23'!$A$9,0,0,COUNTA('[29]48 - Tabela 23'!$E$1:$E$65536)-2,2)</definedName>
    <definedName name="Trimestres23" localSheetId="4">OFFSET(#REF!,0,0,COUNTA(#REF!)-2,2)</definedName>
    <definedName name="Trimestres23">OFFSET(#REF!,0,0,COUNTA(#REF!)-2,2)</definedName>
    <definedName name="Trimestres24" localSheetId="3">OFFSET(#REF!,0,0,COUNTA(#REF!)-2,2)</definedName>
    <definedName name="Trimestres24" localSheetId="1">OFFSET('[29]50 - Tabela 24'!$A$9,0,0,COUNTA('[29]50 - Tabela 24'!$E$1:$E$65536)-2,2)</definedName>
    <definedName name="Trimestres24" localSheetId="9">OFFSET(#REF!,0,0,COUNTA(#REF!)-2,2)</definedName>
    <definedName name="Trimestres24" localSheetId="5">OFFSET('[29]50 - Tabela 24'!$A$9,0,0,COUNTA('[29]50 - Tabela 24'!$E$1:$E$65536)-2,2)</definedName>
    <definedName name="Trimestres24" localSheetId="4">OFFSET(#REF!,0,0,COUNTA(#REF!)-2,2)</definedName>
    <definedName name="Trimestres24">OFFSET(#REF!,0,0,COUNTA(#REF!)-2,2)</definedName>
    <definedName name="Trimestres25" localSheetId="3">OFFSET(#REF!,0,0,COUNTA(#REF!)-2,2)</definedName>
    <definedName name="Trimestres25" localSheetId="1">OFFSET('[29]52 - Tabela 25'!$A$9,0,0,COUNTA('[29]52 - Tabela 25'!$E$1:$E$65536)-2,2)</definedName>
    <definedName name="Trimestres25" localSheetId="9">OFFSET(#REF!,0,0,COUNTA(#REF!)-2,2)</definedName>
    <definedName name="Trimestres25" localSheetId="5">OFFSET('[29]52 - Tabela 25'!$A$9,0,0,COUNTA('[29]52 - Tabela 25'!$E$1:$E$65536)-2,2)</definedName>
    <definedName name="Trimestres25" localSheetId="4">OFFSET(#REF!,0,0,COUNTA(#REF!)-2,2)</definedName>
    <definedName name="Trimestres25">OFFSET(#REF!,0,0,COUNTA(#REF!)-2,2)</definedName>
    <definedName name="Trimestres26" localSheetId="3">OFFSET(#REF!,0,0,COUNTA(#REF!)-2,2)</definedName>
    <definedName name="Trimestres26" localSheetId="1">OFFSET('[29]54 - Tabela 26'!$A$9,0,0,COUNTA('[29]54 - Tabela 26'!$E$1:$E$65536)-2,2)</definedName>
    <definedName name="Trimestres26" localSheetId="9">OFFSET(#REF!,0,0,COUNTA(#REF!)-2,2)</definedName>
    <definedName name="Trimestres26" localSheetId="5">OFFSET('[29]54 - Tabela 26'!$A$9,0,0,COUNTA('[29]54 - Tabela 26'!$E$1:$E$65536)-2,2)</definedName>
    <definedName name="Trimestres26" localSheetId="4">OFFSET(#REF!,0,0,COUNTA(#REF!)-2,2)</definedName>
    <definedName name="Trimestres26">OFFSET(#REF!,0,0,COUNTA(#REF!)-2,2)</definedName>
    <definedName name="Trimestres27" localSheetId="3">OFFSET(#REF!,0,0,COUNTA(#REF!)-2,2)</definedName>
    <definedName name="Trimestres27" localSheetId="1">OFFSET('[29]56 - Tabela 27'!$A$9,0,0,COUNTA('[29]56 - Tabela 27'!$E$1:$E$65536)-2,2)</definedName>
    <definedName name="Trimestres27" localSheetId="9">OFFSET(#REF!,0,0,COUNTA(#REF!)-2,2)</definedName>
    <definedName name="Trimestres27" localSheetId="5">OFFSET('[29]56 - Tabela 27'!$A$9,0,0,COUNTA('[29]56 - Tabela 27'!$E$1:$E$65536)-2,2)</definedName>
    <definedName name="Trimestres27" localSheetId="4">OFFSET(#REF!,0,0,COUNTA(#REF!)-2,2)</definedName>
    <definedName name="Trimestres27">OFFSET(#REF!,0,0,COUNTA(#REF!)-2,2)</definedName>
    <definedName name="Trimestres28" localSheetId="3">OFFSET(#REF!,0,0,COUNTA(#REF!)-2,2)</definedName>
    <definedName name="Trimestres28" localSheetId="1">OFFSET('[29]58 - Tabela 28'!$A$9,0,0,COUNTA('[29]58 - Tabela 28'!$E$1:$E$65536)-2,2)</definedName>
    <definedName name="Trimestres28" localSheetId="9">OFFSET(#REF!,0,0,COUNTA(#REF!)-2,2)</definedName>
    <definedName name="Trimestres28" localSheetId="5">OFFSET('[29]58 - Tabela 28'!$A$9,0,0,COUNTA('[29]58 - Tabela 28'!$E$1:$E$65536)-2,2)</definedName>
    <definedName name="Trimestres28" localSheetId="4">OFFSET(#REF!,0,0,COUNTA(#REF!)-2,2)</definedName>
    <definedName name="Trimestres28">OFFSET(#REF!,0,0,COUNTA(#REF!)-2,2)</definedName>
    <definedName name="Trimestres29" localSheetId="3">OFFSET(#REF!,0,0,COUNTA(#REF!)-2,2)</definedName>
    <definedName name="Trimestres29" localSheetId="1">OFFSET('[29]60 - Tabela 29'!$A$9,0,0,COUNTA('[29]60 - Tabela 29'!$E$1:$E$65536)-2,2)</definedName>
    <definedName name="Trimestres29" localSheetId="9">OFFSET(#REF!,0,0,COUNTA(#REF!)-2,2)</definedName>
    <definedName name="Trimestres29" localSheetId="5">OFFSET('[29]60 - Tabela 29'!$A$9,0,0,COUNTA('[29]60 - Tabela 29'!$E$1:$E$65536)-2,2)</definedName>
    <definedName name="Trimestres29" localSheetId="4">OFFSET(#REF!,0,0,COUNTA(#REF!)-2,2)</definedName>
    <definedName name="Trimestres29">OFFSET(#REF!,0,0,COUNTA(#REF!)-2,2)</definedName>
    <definedName name="Trimestres3" localSheetId="3">OFFSET(#REF!,0,0,COUNTA(#REF!)-2,2)</definedName>
    <definedName name="Trimestres3" localSheetId="1">OFFSET('[29]8 - Tabela 3'!$A$9,0,0,COUNTA('[29]8 - Tabela 3'!$E$1:$E$65536)-2,2)</definedName>
    <definedName name="Trimestres3" localSheetId="9">OFFSET(#REF!,0,0,COUNTA(#REF!)-2,2)</definedName>
    <definedName name="Trimestres3" localSheetId="5">OFFSET('[29]8 - Tabela 3'!$A$9,0,0,COUNTA('[29]8 - Tabela 3'!$E$1:$E$65536)-2,2)</definedName>
    <definedName name="Trimestres3" localSheetId="4">OFFSET(#REF!,0,0,COUNTA(#REF!)-2,2)</definedName>
    <definedName name="Trimestres3">OFFSET(#REF!,0,0,COUNTA(#REF!)-2,2)</definedName>
    <definedName name="Trimestres30" localSheetId="3">OFFSET(#REF!,0,0,COUNTA(#REF!)-2,2)</definedName>
    <definedName name="Trimestres30" localSheetId="1">OFFSET('[29]62 - Tabela 30'!$A$9,0,0,COUNTA('[29]62 - Tabela 30'!$E$1:$E$65536)-2,2)</definedName>
    <definedName name="Trimestres30" localSheetId="9">OFFSET(#REF!,0,0,COUNTA(#REF!)-2,2)</definedName>
    <definedName name="Trimestres30" localSheetId="5">OFFSET('[29]62 - Tabela 30'!$A$9,0,0,COUNTA('[29]62 - Tabela 30'!$E$1:$E$65536)-2,2)</definedName>
    <definedName name="Trimestres30" localSheetId="4">OFFSET(#REF!,0,0,COUNTA(#REF!)-2,2)</definedName>
    <definedName name="Trimestres30">OFFSET(#REF!,0,0,COUNTA(#REF!)-2,2)</definedName>
    <definedName name="Trimestres31" localSheetId="3">OFFSET(#REF!,0,0,COUNTA(#REF!)-2,2)</definedName>
    <definedName name="Trimestres31" localSheetId="1">OFFSET('[29]64 - Tabela 31'!$A$9,0,0,COUNTA('[29]64 - Tabela 31'!$E$1:$E$65536)-2,2)</definedName>
    <definedName name="Trimestres31" localSheetId="9">OFFSET(#REF!,0,0,COUNTA(#REF!)-2,2)</definedName>
    <definedName name="Trimestres31" localSheetId="5">OFFSET('[29]64 - Tabela 31'!$A$9,0,0,COUNTA('[29]64 - Tabela 31'!$E$1:$E$65536)-2,2)</definedName>
    <definedName name="Trimestres31" localSheetId="4">OFFSET(#REF!,0,0,COUNTA(#REF!)-2,2)</definedName>
    <definedName name="Trimestres31">OFFSET(#REF!,0,0,COUNTA(#REF!)-2,2)</definedName>
    <definedName name="Trimestres32" localSheetId="3">OFFSET(#REF!,0,0,COUNTA(#REF!)-2,2)</definedName>
    <definedName name="Trimestres32" localSheetId="1">OFFSET('[29]66 - Tabela 32'!$A$9,0,0,COUNTA('[29]66 - Tabela 32'!$E$1:$E$65536)-2,2)</definedName>
    <definedName name="Trimestres32" localSheetId="9">OFFSET(#REF!,0,0,COUNTA(#REF!)-2,2)</definedName>
    <definedName name="Trimestres32" localSheetId="5">OFFSET('[29]66 - Tabela 32'!$A$9,0,0,COUNTA('[29]66 - Tabela 32'!$E$1:$E$65536)-2,2)</definedName>
    <definedName name="Trimestres32" localSheetId="4">OFFSET(#REF!,0,0,COUNTA(#REF!)-2,2)</definedName>
    <definedName name="Trimestres32">OFFSET(#REF!,0,0,COUNTA(#REF!)-2,2)</definedName>
    <definedName name="Trimestres33" localSheetId="3">OFFSET(#REF!,0,0,COUNTA(#REF!)-2,2)</definedName>
    <definedName name="Trimestres33" localSheetId="1">OFFSET('[29]68 - Tabela 33'!$A$9,0,0,COUNTA('[29]68 - Tabela 33'!$E$1:$E$65536)-2,2)</definedName>
    <definedName name="Trimestres33" localSheetId="9">OFFSET(#REF!,0,0,COUNTA(#REF!)-2,2)</definedName>
    <definedName name="Trimestres33" localSheetId="5">OFFSET('[29]68 - Tabela 33'!$A$9,0,0,COUNTA('[29]68 - Tabela 33'!$E$1:$E$65536)-2,2)</definedName>
    <definedName name="Trimestres33" localSheetId="4">OFFSET(#REF!,0,0,COUNTA(#REF!)-2,2)</definedName>
    <definedName name="Trimestres33">OFFSET(#REF!,0,0,COUNTA(#REF!)-2,2)</definedName>
    <definedName name="Trimestres34" localSheetId="3">OFFSET(#REF!,0,0,COUNTA(#REF!)-2,2)</definedName>
    <definedName name="Trimestres34" localSheetId="1">OFFSET('[29]70 - Tabela 34'!$A$9,0,0,COUNTA('[29]70 - Tabela 34'!$E$1:$E$65536)-2,2)</definedName>
    <definedName name="Trimestres34" localSheetId="9">OFFSET(#REF!,0,0,COUNTA(#REF!)-2,2)</definedName>
    <definedName name="Trimestres34" localSheetId="5">OFFSET('[29]70 - Tabela 34'!$A$9,0,0,COUNTA('[29]70 - Tabela 34'!$E$1:$E$65536)-2,2)</definedName>
    <definedName name="Trimestres34" localSheetId="4">OFFSET(#REF!,0,0,COUNTA(#REF!)-2,2)</definedName>
    <definedName name="Trimestres34">OFFSET(#REF!,0,0,COUNTA(#REF!)-2,2)</definedName>
    <definedName name="Trimestres35" localSheetId="3">OFFSET(#REF!,0,0,COUNTA(#REF!)-2,2)</definedName>
    <definedName name="Trimestres35" localSheetId="1">OFFSET('[29]72 - Tabela 35'!$A$9,0,0,COUNTA('[29]72 - Tabela 35'!$E$1:$E$65536)-2,2)</definedName>
    <definedName name="Trimestres35" localSheetId="9">OFFSET(#REF!,0,0,COUNTA(#REF!)-2,2)</definedName>
    <definedName name="Trimestres35" localSheetId="5">OFFSET('[29]72 - Tabela 35'!$A$9,0,0,COUNTA('[29]72 - Tabela 35'!$E$1:$E$65536)-2,2)</definedName>
    <definedName name="Trimestres35" localSheetId="4">OFFSET(#REF!,0,0,COUNTA(#REF!)-2,2)</definedName>
    <definedName name="Trimestres35">OFFSET(#REF!,0,0,COUNTA(#REF!)-2,2)</definedName>
    <definedName name="Trimestres36" localSheetId="3">OFFSET(#REF!,0,0,COUNTA(#REF!)-2,2)</definedName>
    <definedName name="Trimestres36" localSheetId="1">OFFSET('[29]74 - Tabela 36'!$A$9,0,0,COUNTA('[29]74 - Tabela 36'!$E$1:$E$65536)-2,2)</definedName>
    <definedName name="Trimestres36" localSheetId="9">OFFSET(#REF!,0,0,COUNTA(#REF!)-2,2)</definedName>
    <definedName name="Trimestres36" localSheetId="5">OFFSET('[29]74 - Tabela 36'!$A$9,0,0,COUNTA('[29]74 - Tabela 36'!$E$1:$E$65536)-2,2)</definedName>
    <definedName name="Trimestres36" localSheetId="4">OFFSET(#REF!,0,0,COUNTA(#REF!)-2,2)</definedName>
    <definedName name="Trimestres36">OFFSET(#REF!,0,0,COUNTA(#REF!)-2,2)</definedName>
    <definedName name="Trimestres37" localSheetId="3">OFFSET(#REF!,0,0,COUNTA(#REF!)-2,2)</definedName>
    <definedName name="Trimestres37" localSheetId="1">OFFSET('[29]76 - Tabela 37'!$A$9,0,0,COUNTA('[29]76 - Tabela 37'!$E$1:$E$65536)-2,2)</definedName>
    <definedName name="Trimestres37" localSheetId="9">OFFSET(#REF!,0,0,COUNTA(#REF!)-2,2)</definedName>
    <definedName name="Trimestres37" localSheetId="5">OFFSET('[29]76 - Tabela 37'!$A$9,0,0,COUNTA('[29]76 - Tabela 37'!$E$1:$E$65536)-2,2)</definedName>
    <definedName name="Trimestres37" localSheetId="4">OFFSET(#REF!,0,0,COUNTA(#REF!)-2,2)</definedName>
    <definedName name="Trimestres37">OFFSET(#REF!,0,0,COUNTA(#REF!)-2,2)</definedName>
    <definedName name="Trimestres38" localSheetId="3">OFFSET(#REF!,0,0,COUNTA(#REF!)-2,2)</definedName>
    <definedName name="Trimestres38" localSheetId="1">OFFSET('[29]78 - Tabela 38'!$A$9,0,0,COUNTA('[29]78 - Tabela 38'!$E$1:$E$65536)-2,2)</definedName>
    <definedName name="Trimestres38" localSheetId="9">OFFSET(#REF!,0,0,COUNTA(#REF!)-2,2)</definedName>
    <definedName name="Trimestres38" localSheetId="5">OFFSET('[29]78 - Tabela 38'!$A$9,0,0,COUNTA('[29]78 - Tabela 38'!$E$1:$E$65536)-2,2)</definedName>
    <definedName name="Trimestres38" localSheetId="4">OFFSET(#REF!,0,0,COUNTA(#REF!)-2,2)</definedName>
    <definedName name="Trimestres38">OFFSET(#REF!,0,0,COUNTA(#REF!)-2,2)</definedName>
    <definedName name="Trimestres39" localSheetId="3">OFFSET(#REF!,0,0,COUNTA(#REF!)-2,2)</definedName>
    <definedName name="Trimestres39" localSheetId="1">OFFSET('[31]Renda BR - 80 - Tabela 39'!$A$9,0,0,COUNTA('[31]Renda BR - 80 - Tabela 39'!$E$1:$E$65536)-2,2)</definedName>
    <definedName name="Trimestres39" localSheetId="9">OFFSET(#REF!,0,0,COUNTA(#REF!)-2,2)</definedName>
    <definedName name="Trimestres39" localSheetId="5">OFFSET('[31]Renda BR - 80 - Tabela 39'!$A$9,0,0,COUNTA('[31]Renda BR - 80 - Tabela 39'!$E$1:$E$65536)-2,2)</definedName>
    <definedName name="Trimestres39" localSheetId="4">OFFSET(#REF!,0,0,COUNTA(#REF!)-2,2)</definedName>
    <definedName name="Trimestres39">OFFSET(#REF!,0,0,COUNTA(#REF!)-2,2)</definedName>
    <definedName name="Trimestres4" localSheetId="3">OFFSET(#REF!,0,0,COUNTA(#REF!)-2,2)</definedName>
    <definedName name="Trimestres4" localSheetId="1">OFFSET('[29]10 - Tabela 4'!$A$9,0,0,COUNTA('[29]10 - Tabela 4'!$E$1:$E$65536)-2,2)</definedName>
    <definedName name="Trimestres4" localSheetId="9">OFFSET(#REF!,0,0,COUNTA(#REF!)-2,2)</definedName>
    <definedName name="Trimestres4" localSheetId="5">OFFSET('[29]10 - Tabela 4'!$A$9,0,0,COUNTA('[29]10 - Tabela 4'!$E$1:$E$65536)-2,2)</definedName>
    <definedName name="Trimestres4" localSheetId="4">OFFSET(#REF!,0,0,COUNTA(#REF!)-2,2)</definedName>
    <definedName name="Trimestres4">OFFSET(#REF!,0,0,COUNTA(#REF!)-2,2)</definedName>
    <definedName name="Trimestres40" localSheetId="3">OFFSET(#REF!,0,0,COUNTA(#REF!)-2,2)</definedName>
    <definedName name="Trimestres40" localSheetId="1">OFFSET('[29]82 - Tabela 40'!$A$9,0,0,COUNTA('[29]82 - Tabela 40'!$E$1:$E$65536)-2,2)</definedName>
    <definedName name="Trimestres40" localSheetId="9">OFFSET(#REF!,0,0,COUNTA(#REF!)-2,2)</definedName>
    <definedName name="Trimestres40" localSheetId="5">OFFSET('[29]82 - Tabela 40'!$A$9,0,0,COUNTA('[29]82 - Tabela 40'!$E$1:$E$65536)-2,2)</definedName>
    <definedName name="Trimestres40" localSheetId="4">OFFSET(#REF!,0,0,COUNTA(#REF!)-2,2)</definedName>
    <definedName name="Trimestres40">OFFSET(#REF!,0,0,COUNTA(#REF!)-2,2)</definedName>
    <definedName name="Trimestres41" localSheetId="3">OFFSET(#REF!,0,0,COUNTA(#REF!)-2,2)</definedName>
    <definedName name="Trimestres41" localSheetId="1">OFFSET('[29]84 - Tabela 41'!$A$9,0,0,COUNTA('[29]84 - Tabela 41'!$E$1:$E$65536)-2,2)</definedName>
    <definedName name="Trimestres41" localSheetId="9">OFFSET(#REF!,0,0,COUNTA(#REF!)-2,2)</definedName>
    <definedName name="Trimestres41" localSheetId="5">OFFSET('[29]84 - Tabela 41'!$A$9,0,0,COUNTA('[29]84 - Tabela 41'!$E$1:$E$65536)-2,2)</definedName>
    <definedName name="Trimestres41" localSheetId="4">OFFSET(#REF!,0,0,COUNTA(#REF!)-2,2)</definedName>
    <definedName name="Trimestres41">OFFSET(#REF!,0,0,COUNTA(#REF!)-2,2)</definedName>
    <definedName name="Trimestres42" localSheetId="3">OFFSET(#REF!,0,0,COUNTA(#REF!)-2,2)</definedName>
    <definedName name="Trimestres42" localSheetId="1">OFFSET('[29]86 - Tabela 42'!$A$9,0,0,COUNTA('[29]86 - Tabela 42'!$E$1:$E$65536)-2,2)</definedName>
    <definedName name="Trimestres42" localSheetId="9">OFFSET(#REF!,0,0,COUNTA(#REF!)-2,2)</definedName>
    <definedName name="Trimestres42" localSheetId="5">OFFSET('[29]86 - Tabela 42'!$A$9,0,0,COUNTA('[29]86 - Tabela 42'!$E$1:$E$65536)-2,2)</definedName>
    <definedName name="Trimestres42" localSheetId="4">OFFSET(#REF!,0,0,COUNTA(#REF!)-2,2)</definedName>
    <definedName name="Trimestres42">OFFSET(#REF!,0,0,COUNTA(#REF!)-2,2)</definedName>
    <definedName name="Trimestres43" localSheetId="3">OFFSET(#REF!,0,0,COUNTA(#REF!)-2,2)</definedName>
    <definedName name="Trimestres43" localSheetId="1">OFFSET('[29]88 - Tabela 43'!$A$9,0,0,COUNTA('[29]88 - Tabela 43'!$E$1:$E$65536)-2,2)</definedName>
    <definedName name="Trimestres43" localSheetId="9">OFFSET(#REF!,0,0,COUNTA(#REF!)-2,2)</definedName>
    <definedName name="Trimestres43" localSheetId="5">OFFSET('[29]88 - Tabela 43'!$A$9,0,0,COUNTA('[29]88 - Tabela 43'!$E$1:$E$65536)-2,2)</definedName>
    <definedName name="Trimestres43" localSheetId="4">OFFSET(#REF!,0,0,COUNTA(#REF!)-2,2)</definedName>
    <definedName name="Trimestres43">OFFSET(#REF!,0,0,COUNTA(#REF!)-2,2)</definedName>
    <definedName name="Trimestres44" localSheetId="3">OFFSET(#REF!,0,0,COUNTA(#REF!)-2,2)</definedName>
    <definedName name="Trimestres44" localSheetId="1">OFFSET('[29]90 - Tabela 44'!$A$9,0,0,COUNTA('[29]90 - Tabela 44'!$E$1:$E$65536)-2,2)</definedName>
    <definedName name="Trimestres44" localSheetId="9">OFFSET(#REF!,0,0,COUNTA(#REF!)-2,2)</definedName>
    <definedName name="Trimestres44" localSheetId="5">OFFSET('[29]90 - Tabela 44'!$A$9,0,0,COUNTA('[29]90 - Tabela 44'!$E$1:$E$65536)-2,2)</definedName>
    <definedName name="Trimestres44" localSheetId="4">OFFSET(#REF!,0,0,COUNTA(#REF!)-2,2)</definedName>
    <definedName name="Trimestres44">OFFSET(#REF!,0,0,COUNTA(#REF!)-2,2)</definedName>
    <definedName name="Trimestres45" localSheetId="3">OFFSET(#REF!,0,0,COUNTA(#REF!)-2,2)</definedName>
    <definedName name="Trimestres45" localSheetId="1">OFFSET('[29]92 - Tabela 45'!$A$9,0,0,COUNTA('[29]92 - Tabela 45'!$E$1:$E$65536)-2,2)</definedName>
    <definedName name="Trimestres45" localSheetId="9">OFFSET(#REF!,0,0,COUNTA(#REF!)-2,2)</definedName>
    <definedName name="Trimestres45" localSheetId="5">OFFSET('[29]92 - Tabela 45'!$A$9,0,0,COUNTA('[29]92 - Tabela 45'!$E$1:$E$65536)-2,2)</definedName>
    <definedName name="Trimestres45" localSheetId="4">OFFSET(#REF!,0,0,COUNTA(#REF!)-2,2)</definedName>
    <definedName name="Trimestres45">OFFSET(#REF!,0,0,COUNTA(#REF!)-2,2)</definedName>
    <definedName name="Trimestres46" localSheetId="3">OFFSET(#REF!,0,0,COUNTA(#REF!)-2,2)</definedName>
    <definedName name="Trimestres46" localSheetId="1">OFFSET('[29]94 - Tabela 46'!$A$9,0,0,COUNTA('[29]94 - Tabela 46'!$E$1:$E$65536)-2,2)</definedName>
    <definedName name="Trimestres46" localSheetId="9">OFFSET(#REF!,0,0,COUNTA(#REF!)-2,2)</definedName>
    <definedName name="Trimestres46" localSheetId="5">OFFSET('[29]94 - Tabela 46'!$A$9,0,0,COUNTA('[29]94 - Tabela 46'!$E$1:$E$65536)-2,2)</definedName>
    <definedName name="Trimestres46" localSheetId="4">OFFSET(#REF!,0,0,COUNTA(#REF!)-2,2)</definedName>
    <definedName name="Trimestres46">OFFSET(#REF!,0,0,COUNTA(#REF!)-2,2)</definedName>
    <definedName name="Trimestres47" localSheetId="3">OFFSET(#REF!,0,0,COUNTA(#REF!)-2,2)</definedName>
    <definedName name="Trimestres47" localSheetId="1">OFFSET('[29]96 - Tabela 47'!$A$9,0,0,COUNTA('[29]96 - Tabela 47'!$E$1:$E$65536)-2,2)</definedName>
    <definedName name="Trimestres47" localSheetId="9">OFFSET(#REF!,0,0,COUNTA(#REF!)-2,2)</definedName>
    <definedName name="Trimestres47" localSheetId="5">OFFSET('[29]96 - Tabela 47'!$A$9,0,0,COUNTA('[29]96 - Tabela 47'!$E$1:$E$65536)-2,2)</definedName>
    <definedName name="Trimestres47" localSheetId="4">OFFSET(#REF!,0,0,COUNTA(#REF!)-2,2)</definedName>
    <definedName name="Trimestres47">OFFSET(#REF!,0,0,COUNTA(#REF!)-2,2)</definedName>
    <definedName name="Trimestres48" localSheetId="3">OFFSET(#REF!,0,0,COUNTA(#REF!)-2,2)</definedName>
    <definedName name="Trimestres48" localSheetId="1">OFFSET('[29]98 - Tabela 48'!$A$9,0,0,COUNTA('[29]98 - Tabela 48'!$E$1:$E$65536)-2,2)</definedName>
    <definedName name="Trimestres48" localSheetId="9">OFFSET(#REF!,0,0,COUNTA(#REF!)-2,2)</definedName>
    <definedName name="Trimestres48" localSheetId="5">OFFSET('[29]98 - Tabela 48'!$A$9,0,0,COUNTA('[29]98 - Tabela 48'!$E$1:$E$65536)-2,2)</definedName>
    <definedName name="Trimestres48" localSheetId="4">OFFSET(#REF!,0,0,COUNTA(#REF!)-2,2)</definedName>
    <definedName name="Trimestres48">OFFSET(#REF!,0,0,COUNTA(#REF!)-2,2)</definedName>
    <definedName name="Trimestres49" localSheetId="3">OFFSET(#REF!,0,0,COUNTA(#REF!)-2,2)</definedName>
    <definedName name="Trimestres49" localSheetId="1">OFFSET('[29]100 - Tabela 49'!$A$9,0,0,COUNTA('[29]100 - Tabela 49'!$E$1:$E$65536)-2,2)</definedName>
    <definedName name="Trimestres49" localSheetId="9">OFFSET(#REF!,0,0,COUNTA(#REF!)-2,2)</definedName>
    <definedName name="Trimestres49" localSheetId="5">OFFSET('[29]100 - Tabela 49'!$A$9,0,0,COUNTA('[29]100 - Tabela 49'!$E$1:$E$65536)-2,2)</definedName>
    <definedName name="Trimestres49" localSheetId="4">OFFSET(#REF!,0,0,COUNTA(#REF!)-2,2)</definedName>
    <definedName name="Trimestres49">OFFSET(#REF!,0,0,COUNTA(#REF!)-2,2)</definedName>
    <definedName name="Trimestres5" localSheetId="3">OFFSET(#REF!,0,0,COUNTA(#REF!)-2,2)</definedName>
    <definedName name="Trimestres5" localSheetId="1">OFFSET('[29]12 - Tabela 5'!$A$9,0,0,COUNTA('[29]12 - Tabela 5'!$E$1:$E$65536)-2,2)</definedName>
    <definedName name="Trimestres5" localSheetId="9">OFFSET(#REF!,0,0,COUNTA(#REF!)-2,2)</definedName>
    <definedName name="Trimestres5" localSheetId="5">OFFSET('[29]12 - Tabela 5'!$A$9,0,0,COUNTA('[29]12 - Tabela 5'!$E$1:$E$65536)-2,2)</definedName>
    <definedName name="Trimestres5" localSheetId="4">OFFSET(#REF!,0,0,COUNTA(#REF!)-2,2)</definedName>
    <definedName name="Trimestres5">OFFSET(#REF!,0,0,COUNTA(#REF!)-2,2)</definedName>
    <definedName name="Trimestres50" localSheetId="3">OFFSET(#REF!,0,0,COUNTA(#REF!)-2,2)</definedName>
    <definedName name="Trimestres50" localSheetId="1">OFFSET('[29]102 - Tabela 50'!$A$9,0,0,COUNTA('[29]102 - Tabela 50'!$E$1:$E$65536)-2,2)</definedName>
    <definedName name="Trimestres50" localSheetId="9">OFFSET(#REF!,0,0,COUNTA(#REF!)-2,2)</definedName>
    <definedName name="Trimestres50" localSheetId="5">OFFSET('[29]102 - Tabela 50'!$A$9,0,0,COUNTA('[29]102 - Tabela 50'!$E$1:$E$65536)-2,2)</definedName>
    <definedName name="Trimestres50" localSheetId="4">OFFSET(#REF!,0,0,COUNTA(#REF!)-2,2)</definedName>
    <definedName name="Trimestres50">OFFSET(#REF!,0,0,COUNTA(#REF!)-2,2)</definedName>
    <definedName name="Trimestres51" localSheetId="3">OFFSET(#REF!,0,0,COUNTA(#REF!)-2,2)</definedName>
    <definedName name="Trimestres51" localSheetId="1">OFFSET('[29]104 - Tabela 51'!$A$9,0,0,COUNTA('[29]104 - Tabela 51'!$E$1:$E$65536)-2,2)</definedName>
    <definedName name="Trimestres51" localSheetId="9">OFFSET(#REF!,0,0,COUNTA(#REF!)-2,2)</definedName>
    <definedName name="Trimestres51" localSheetId="5">OFFSET('[29]104 - Tabela 51'!$A$9,0,0,COUNTA('[29]104 - Tabela 51'!$E$1:$E$65536)-2,2)</definedName>
    <definedName name="Trimestres51" localSheetId="4">OFFSET(#REF!,0,0,COUNTA(#REF!)-2,2)</definedName>
    <definedName name="Trimestres51">OFFSET(#REF!,0,0,COUNTA(#REF!)-2,2)</definedName>
    <definedName name="Trimestres52" localSheetId="3">OFFSET(#REF!,0,0,COUNTA(#REF!)-2,2)</definedName>
    <definedName name="Trimestres52" localSheetId="1">OFFSET('[29]106 - Tabela 52'!$A$9,0,0,COUNTA('[29]106 - Tabela 52'!$E$1:$E$65536)-2,2)</definedName>
    <definedName name="Trimestres52" localSheetId="9">OFFSET(#REF!,0,0,COUNTA(#REF!)-2,2)</definedName>
    <definedName name="Trimestres52" localSheetId="5">OFFSET('[29]106 - Tabela 52'!$A$9,0,0,COUNTA('[29]106 - Tabela 52'!$E$1:$E$65536)-2,2)</definedName>
    <definedName name="Trimestres52" localSheetId="4">OFFSET(#REF!,0,0,COUNTA(#REF!)-2,2)</definedName>
    <definedName name="Trimestres52">OFFSET(#REF!,0,0,COUNTA(#REF!)-2,2)</definedName>
    <definedName name="Trimestres53" localSheetId="3">OFFSET(#REF!,0,0,COUNTA(#REF!)-2,2)</definedName>
    <definedName name="Trimestres53" localSheetId="1">OFFSET('[29]108 - Tabela 53'!$A$9,0,0,COUNTA('[29]108 - Tabela 53'!$E$1:$E$65536)-2,2)</definedName>
    <definedName name="Trimestres53" localSheetId="9">OFFSET(#REF!,0,0,COUNTA(#REF!)-2,2)</definedName>
    <definedName name="Trimestres53" localSheetId="5">OFFSET('[29]108 - Tabela 53'!$A$9,0,0,COUNTA('[29]108 - Tabela 53'!$E$1:$E$65536)-2,2)</definedName>
    <definedName name="Trimestres53" localSheetId="4">OFFSET(#REF!,0,0,COUNTA(#REF!)-2,2)</definedName>
    <definedName name="Trimestres53">OFFSET(#REF!,0,0,COUNTA(#REF!)-2,2)</definedName>
    <definedName name="Trimestres54" localSheetId="3">OFFSET(#REF!,0,0,COUNTA(#REF!)-2,2)</definedName>
    <definedName name="Trimestres54" localSheetId="1">OFFSET('[29]110 - Tabela 54'!$A$9,0,0,COUNTA('[29]110 - Tabela 54'!$E$1:$E$65536)-2,2)</definedName>
    <definedName name="Trimestres54" localSheetId="9">OFFSET(#REF!,0,0,COUNTA(#REF!)-2,2)</definedName>
    <definedName name="Trimestres54" localSheetId="5">OFFSET('[29]110 - Tabela 54'!$A$9,0,0,COUNTA('[29]110 - Tabela 54'!$E$1:$E$65536)-2,2)</definedName>
    <definedName name="Trimestres54" localSheetId="4">OFFSET(#REF!,0,0,COUNTA(#REF!)-2,2)</definedName>
    <definedName name="Trimestres54">OFFSET(#REF!,0,0,COUNTA(#REF!)-2,2)</definedName>
    <definedName name="Trimestres55" localSheetId="3">OFFSET(#REF!,0,0,COUNTA(#REF!)-2,2)</definedName>
    <definedName name="Trimestres55" localSheetId="1">OFFSET('[29]112 - Tabela 55'!$A$9,0,0,COUNTA('[29]112 - Tabela 55'!$E$1:$E$65536)-2,2)</definedName>
    <definedName name="Trimestres55" localSheetId="9">OFFSET(#REF!,0,0,COUNTA(#REF!)-2,2)</definedName>
    <definedName name="Trimestres55" localSheetId="5">OFFSET('[29]112 - Tabela 55'!$A$9,0,0,COUNTA('[29]112 - Tabela 55'!$E$1:$E$65536)-2,2)</definedName>
    <definedName name="Trimestres55" localSheetId="4">OFFSET(#REF!,0,0,COUNTA(#REF!)-2,2)</definedName>
    <definedName name="Trimestres55">OFFSET(#REF!,0,0,COUNTA(#REF!)-2,2)</definedName>
    <definedName name="Trimestres56" localSheetId="3">OFFSET(#REF!,0,0,COUNTA(#REF!)-2,2)</definedName>
    <definedName name="Trimestres56" localSheetId="1">OFFSET('[29]114 - Tabela 56'!$A$9,0,0,COUNTA('[29]114 - Tabela 56'!$E$1:$E$65536)-2,2)</definedName>
    <definedName name="Trimestres56" localSheetId="9">OFFSET(#REF!,0,0,COUNTA(#REF!)-2,2)</definedName>
    <definedName name="Trimestres56" localSheetId="5">OFFSET('[29]114 - Tabela 56'!$A$9,0,0,COUNTA('[29]114 - Tabela 56'!$E$1:$E$65536)-2,2)</definedName>
    <definedName name="Trimestres56" localSheetId="4">OFFSET(#REF!,0,0,COUNTA(#REF!)-2,2)</definedName>
    <definedName name="Trimestres56">OFFSET(#REF!,0,0,COUNTA(#REF!)-2,2)</definedName>
    <definedName name="Trimestres57" localSheetId="3">OFFSET(#REF!,0,0,COUNTA(#REF!)-2,2)</definedName>
    <definedName name="Trimestres57" localSheetId="1">OFFSET('[29]116 - Tabela 57'!$A$9,0,0,COUNTA('[29]116 - Tabela 57'!$E$1:$E$65536)-2,2)</definedName>
    <definedName name="Trimestres57" localSheetId="9">OFFSET(#REF!,0,0,COUNTA(#REF!)-2,2)</definedName>
    <definedName name="Trimestres57" localSheetId="5">OFFSET('[29]116 - Tabela 57'!$A$9,0,0,COUNTA('[29]116 - Tabela 57'!$E$1:$E$65536)-2,2)</definedName>
    <definedName name="Trimestres57" localSheetId="4">OFFSET(#REF!,0,0,COUNTA(#REF!)-2,2)</definedName>
    <definedName name="Trimestres57">OFFSET(#REF!,0,0,COUNTA(#REF!)-2,2)</definedName>
    <definedName name="Trimestres58" localSheetId="3">OFFSET(#REF!,0,0,COUNTA(#REF!)-2,2)</definedName>
    <definedName name="Trimestres58" localSheetId="1">OFFSET('[29]118 - Tabela 58'!$A$9,0,0,COUNTA('[29]118 - Tabela 58'!$E$1:$E$65536)-2,2)</definedName>
    <definedName name="Trimestres58" localSheetId="9">OFFSET(#REF!,0,0,COUNTA(#REF!)-2,2)</definedName>
    <definedName name="Trimestres58" localSheetId="5">OFFSET('[29]118 - Tabela 58'!$A$9,0,0,COUNTA('[29]118 - Tabela 58'!$E$1:$E$65536)-2,2)</definedName>
    <definedName name="Trimestres58" localSheetId="4">OFFSET(#REF!,0,0,COUNTA(#REF!)-2,2)</definedName>
    <definedName name="Trimestres58">OFFSET(#REF!,0,0,COUNTA(#REF!)-2,2)</definedName>
    <definedName name="Trimestres59" localSheetId="3">OFFSET(#REF!,0,0,COUNTA(#REF!)-2,2)</definedName>
    <definedName name="Trimestres59" localSheetId="1">OFFSET('[29]120 - Tabela 59'!$A$9,0,0,COUNTA('[29]120 - Tabela 59'!$E$1:$E$65536)-2,2)</definedName>
    <definedName name="Trimestres59" localSheetId="9">OFFSET(#REF!,0,0,COUNTA(#REF!)-2,2)</definedName>
    <definedName name="Trimestres59" localSheetId="5">OFFSET('[29]120 - Tabela 59'!$A$9,0,0,COUNTA('[29]120 - Tabela 59'!$E$1:$E$65536)-2,2)</definedName>
    <definedName name="Trimestres59" localSheetId="4">OFFSET(#REF!,0,0,COUNTA(#REF!)-2,2)</definedName>
    <definedName name="Trimestres59">OFFSET(#REF!,0,0,COUNTA(#REF!)-2,2)</definedName>
    <definedName name="Trimestres6" localSheetId="3">OFFSET(#REF!,0,0,COUNTA(#REF!)-2,2)</definedName>
    <definedName name="Trimestres6" localSheetId="1">OFFSET('[29]14 - Tabela 6'!$A$9,0,0,COUNTA('[29]14 - Tabela 6'!$E$1:$E$65536)-2,2)</definedName>
    <definedName name="Trimestres6" localSheetId="9">OFFSET(#REF!,0,0,COUNTA(#REF!)-2,2)</definedName>
    <definedName name="Trimestres6" localSheetId="5">OFFSET('[29]14 - Tabela 6'!$A$9,0,0,COUNTA('[29]14 - Tabela 6'!$E$1:$E$65536)-2,2)</definedName>
    <definedName name="Trimestres6" localSheetId="4">OFFSET(#REF!,0,0,COUNTA(#REF!)-2,2)</definedName>
    <definedName name="Trimestres6">OFFSET(#REF!,0,0,COUNTA(#REF!)-2,2)</definedName>
    <definedName name="Trimestres60" localSheetId="3">OFFSET(#REF!,0,0,COUNTA(#REF!)-2,2)</definedName>
    <definedName name="Trimestres60" localSheetId="1">OFFSET('[29]122 - Tabela 60'!$A$9,0,0,COUNTA('[29]122 - Tabela 60'!$E$1:$E$65536)-2,2)</definedName>
    <definedName name="Trimestres60" localSheetId="9">OFFSET(#REF!,0,0,COUNTA(#REF!)-2,2)</definedName>
    <definedName name="Trimestres60" localSheetId="5">OFFSET('[29]122 - Tabela 60'!$A$9,0,0,COUNTA('[29]122 - Tabela 60'!$E$1:$E$65536)-2,2)</definedName>
    <definedName name="Trimestres60" localSheetId="4">OFFSET(#REF!,0,0,COUNTA(#REF!)-2,2)</definedName>
    <definedName name="Trimestres60">OFFSET(#REF!,0,0,COUNTA(#REF!)-2,2)</definedName>
    <definedName name="Trimestres61" localSheetId="3">OFFSET(#REF!,0,0,COUNTA(#REF!)-2,2)</definedName>
    <definedName name="Trimestres61" localSheetId="1">OFFSET('[29]124 - Tabela 61'!$A$9,0,0,COUNTA('[29]124 - Tabela 61'!$E$1:$E$65536)-2,2)</definedName>
    <definedName name="Trimestres61" localSheetId="9">OFFSET(#REF!,0,0,COUNTA(#REF!)-2,2)</definedName>
    <definedName name="Trimestres61" localSheetId="5">OFFSET('[29]124 - Tabela 61'!$A$9,0,0,COUNTA('[29]124 - Tabela 61'!$E$1:$E$65536)-2,2)</definedName>
    <definedName name="Trimestres61" localSheetId="4">OFFSET(#REF!,0,0,COUNTA(#REF!)-2,2)</definedName>
    <definedName name="Trimestres61">OFFSET(#REF!,0,0,COUNTA(#REF!)-2,2)</definedName>
    <definedName name="Trimestres62" localSheetId="3">OFFSET(#REF!,0,0,COUNTA(#REF!)-2,2)</definedName>
    <definedName name="Trimestres62" localSheetId="1">OFFSET('[29]126 - Tabela 62'!$A$9,0,0,COUNTA('[29]126 - Tabela 62'!$E$1:$E$65536)-2,2)</definedName>
    <definedName name="Trimestres62" localSheetId="9">OFFSET(#REF!,0,0,COUNTA(#REF!)-2,2)</definedName>
    <definedName name="Trimestres62" localSheetId="5">OFFSET('[29]126 - Tabela 62'!$A$9,0,0,COUNTA('[29]126 - Tabela 62'!$E$1:$E$65536)-2,2)</definedName>
    <definedName name="Trimestres62" localSheetId="4">OFFSET(#REF!,0,0,COUNTA(#REF!)-2,2)</definedName>
    <definedName name="Trimestres62">OFFSET(#REF!,0,0,COUNTA(#REF!)-2,2)</definedName>
    <definedName name="Trimestres63" localSheetId="3">OFFSET(#REF!,0,0,COUNTA(#REF!)-2,2)</definedName>
    <definedName name="Trimestres63" localSheetId="1">OFFSET('[29]128 - Tabela 63'!$A$9,0,0,COUNTA('[29]128 - Tabela 63'!$E$1:$E$65536)-2,2)</definedName>
    <definedName name="Trimestres63" localSheetId="9">OFFSET(#REF!,0,0,COUNTA(#REF!)-2,2)</definedName>
    <definedName name="Trimestres63" localSheetId="5">OFFSET('[29]128 - Tabela 63'!$A$9,0,0,COUNTA('[29]128 - Tabela 63'!$E$1:$E$65536)-2,2)</definedName>
    <definedName name="Trimestres63" localSheetId="4">OFFSET(#REF!,0,0,COUNTA(#REF!)-2,2)</definedName>
    <definedName name="Trimestres63">OFFSET(#REF!,0,0,COUNTA(#REF!)-2,2)</definedName>
    <definedName name="Trimestres64" localSheetId="3">OFFSET(#REF!,0,0,COUNTA(#REF!)-2,2)</definedName>
    <definedName name="Trimestres64" localSheetId="1">OFFSET('[29]130 - Tabela 64'!$A$9,0,0,COUNTA('[29]130 - Tabela 64'!$E$1:$E$65536)-2,2)</definedName>
    <definedName name="Trimestres64" localSheetId="9">OFFSET(#REF!,0,0,COUNTA(#REF!)-2,2)</definedName>
    <definedName name="Trimestres64" localSheetId="5">OFFSET('[29]130 - Tabela 64'!$A$9,0,0,COUNTA('[29]130 - Tabela 64'!$E$1:$E$65536)-2,2)</definedName>
    <definedName name="Trimestres64" localSheetId="4">OFFSET(#REF!,0,0,COUNTA(#REF!)-2,2)</definedName>
    <definedName name="Trimestres64">OFFSET(#REF!,0,0,COUNTA(#REF!)-2,2)</definedName>
    <definedName name="Trimestres65" localSheetId="3">OFFSET(#REF!,0,0,COUNTA(#REF!)-2,2)</definedName>
    <definedName name="Trimestres65" localSheetId="1">OFFSET('[29]132 - Tabela 65'!$A$9,0,0,COUNTA('[29]132 - Tabela 65'!$E$1:$E$65536)-2,2)</definedName>
    <definedName name="Trimestres65" localSheetId="9">OFFSET(#REF!,0,0,COUNTA(#REF!)-2,2)</definedName>
    <definedName name="Trimestres65" localSheetId="5">OFFSET('[29]132 - Tabela 65'!$A$9,0,0,COUNTA('[29]132 - Tabela 65'!$E$1:$E$65536)-2,2)</definedName>
    <definedName name="Trimestres65" localSheetId="4">OFFSET(#REF!,0,0,COUNTA(#REF!)-2,2)</definedName>
    <definedName name="Trimestres65">OFFSET(#REF!,0,0,COUNTA(#REF!)-2,2)</definedName>
    <definedName name="Trimestres66" localSheetId="3">OFFSET(#REF!,0,0,COUNTA(#REF!)-2,2)</definedName>
    <definedName name="Trimestres66" localSheetId="1">OFFSET('[29]134 - Tabela 66'!$A$9,0,0,COUNTA('[29]134 - Tabela 66'!$E$1:$E$65536)-2,2)</definedName>
    <definedName name="Trimestres66" localSheetId="9">OFFSET(#REF!,0,0,COUNTA(#REF!)-2,2)</definedName>
    <definedName name="Trimestres66" localSheetId="5">OFFSET('[29]134 - Tabela 66'!$A$9,0,0,COUNTA('[29]134 - Tabela 66'!$E$1:$E$65536)-2,2)</definedName>
    <definedName name="Trimestres66" localSheetId="4">OFFSET(#REF!,0,0,COUNTA(#REF!)-2,2)</definedName>
    <definedName name="Trimestres66">OFFSET(#REF!,0,0,COUNTA(#REF!)-2,2)</definedName>
    <definedName name="Trimestres67" localSheetId="3">OFFSET(#REF!,0,0,COUNTA(#REF!)-2,2)</definedName>
    <definedName name="Trimestres67" localSheetId="1">OFFSET('[29]136 - Tabela 67'!$A$9,0,0,COUNTA('[29]136 - Tabela 67'!$E$1:$E$65536)-2,2)</definedName>
    <definedName name="Trimestres67" localSheetId="9">OFFSET(#REF!,0,0,COUNTA(#REF!)-2,2)</definedName>
    <definedName name="Trimestres67" localSheetId="5">OFFSET('[29]136 - Tabela 67'!$A$9,0,0,COUNTA('[29]136 - Tabela 67'!$E$1:$E$65536)-2,2)</definedName>
    <definedName name="Trimestres67" localSheetId="4">OFFSET(#REF!,0,0,COUNTA(#REF!)-2,2)</definedName>
    <definedName name="Trimestres67">OFFSET(#REF!,0,0,COUNTA(#REF!)-2,2)</definedName>
    <definedName name="Trimestres68" localSheetId="3">OFFSET(#REF!,0,0,COUNTA(#REF!)-2,2)</definedName>
    <definedName name="Trimestres68" localSheetId="1">OFFSET('[29]138 - Tabela 68'!$A$9,0,0,COUNTA('[29]138 - Tabela 68'!$E$1:$E$65536)-2,2)</definedName>
    <definedName name="Trimestres68" localSheetId="9">OFFSET(#REF!,0,0,COUNTA(#REF!)-2,2)</definedName>
    <definedName name="Trimestres68" localSheetId="5">OFFSET('[29]138 - Tabela 68'!$A$9,0,0,COUNTA('[29]138 - Tabela 68'!$E$1:$E$65536)-2,2)</definedName>
    <definedName name="Trimestres68" localSheetId="4">OFFSET(#REF!,0,0,COUNTA(#REF!)-2,2)</definedName>
    <definedName name="Trimestres68">OFFSET(#REF!,0,0,COUNTA(#REF!)-2,2)</definedName>
    <definedName name="Trimestres69" localSheetId="3">OFFSET(#REF!,0,0,COUNTA(#REF!)-2,2)</definedName>
    <definedName name="Trimestres69" localSheetId="1">OFFSET('[29]140 - Tabela 69'!$A$9,0,0,COUNTA('[29]140 - Tabela 69'!$E$1:$E$65536)-2,2)</definedName>
    <definedName name="Trimestres69" localSheetId="9">OFFSET(#REF!,0,0,COUNTA(#REF!)-2,2)</definedName>
    <definedName name="Trimestres69" localSheetId="5">OFFSET('[29]140 - Tabela 69'!$A$9,0,0,COUNTA('[29]140 - Tabela 69'!$E$1:$E$65536)-2,2)</definedName>
    <definedName name="Trimestres69" localSheetId="4">OFFSET(#REF!,0,0,COUNTA(#REF!)-2,2)</definedName>
    <definedName name="Trimestres69">OFFSET(#REF!,0,0,COUNTA(#REF!)-2,2)</definedName>
    <definedName name="Trimestres7" localSheetId="3">OFFSET(#REF!,0,0,COUNTA(#REF!)-2,2)</definedName>
    <definedName name="Trimestres7" localSheetId="1">OFFSET('[29]16 - Tabela 7'!$A$9,0,0,COUNTA('[29]16 - Tabela 7'!$E$1:$E$65536)-2,2)</definedName>
    <definedName name="Trimestres7" localSheetId="9">OFFSET(#REF!,0,0,COUNTA(#REF!)-2,2)</definedName>
    <definedName name="Trimestres7" localSheetId="5">OFFSET('[29]16 - Tabela 7'!$A$9,0,0,COUNTA('[29]16 - Tabela 7'!$E$1:$E$65536)-2,2)</definedName>
    <definedName name="Trimestres7" localSheetId="4">OFFSET(#REF!,0,0,COUNTA(#REF!)-2,2)</definedName>
    <definedName name="Trimestres7">OFFSET(#REF!,0,0,COUNTA(#REF!)-2,2)</definedName>
    <definedName name="Trimestres70" localSheetId="3">OFFSET(#REF!,0,0,COUNTA(#REF!)-2,2)</definedName>
    <definedName name="Trimestres70" localSheetId="1">OFFSET('[29]142 - Tabela 70'!$A$9,0,0,COUNTA('[29]142 - Tabela 70'!$E$1:$E$65536)-2,2)</definedName>
    <definedName name="Trimestres70" localSheetId="9">OFFSET(#REF!,0,0,COUNTA(#REF!)-2,2)</definedName>
    <definedName name="Trimestres70" localSheetId="5">OFFSET('[29]142 - Tabela 70'!$A$9,0,0,COUNTA('[29]142 - Tabela 70'!$E$1:$E$65536)-2,2)</definedName>
    <definedName name="Trimestres70" localSheetId="4">OFFSET(#REF!,0,0,COUNTA(#REF!)-2,2)</definedName>
    <definedName name="Trimestres70">OFFSET(#REF!,0,0,COUNTA(#REF!)-2,2)</definedName>
    <definedName name="Trimestres71" localSheetId="3">OFFSET(#REF!,0,0,COUNTA(#REF!)-2,2)</definedName>
    <definedName name="Trimestres71" localSheetId="1">OFFSET('[29]144 - Tabela 71'!$A$9,0,0,COUNTA('[29]144 - Tabela 71'!$E$1:$E$65536)-2,2)</definedName>
    <definedName name="Trimestres71" localSheetId="9">OFFSET(#REF!,0,0,COUNTA(#REF!)-2,2)</definedName>
    <definedName name="Trimestres71" localSheetId="5">OFFSET('[29]144 - Tabela 71'!$A$9,0,0,COUNTA('[29]144 - Tabela 71'!$E$1:$E$65536)-2,2)</definedName>
    <definedName name="Trimestres71" localSheetId="4">OFFSET(#REF!,0,0,COUNTA(#REF!)-2,2)</definedName>
    <definedName name="Trimestres71">OFFSET(#REF!,0,0,COUNTA(#REF!)-2,2)</definedName>
    <definedName name="Trimestres72" localSheetId="3">OFFSET(#REF!,0,0,COUNTA(#REF!)-2,2)</definedName>
    <definedName name="Trimestres72" localSheetId="1">OFFSET('[29]146 - Tabela 72'!$A$9,0,0,COUNTA('[29]146 - Tabela 72'!$E$1:$E$65536)-2,2)</definedName>
    <definedName name="Trimestres72" localSheetId="9">OFFSET(#REF!,0,0,COUNTA(#REF!)-2,2)</definedName>
    <definedName name="Trimestres72" localSheetId="5">OFFSET('[29]146 - Tabela 72'!$A$9,0,0,COUNTA('[29]146 - Tabela 72'!$E$1:$E$65536)-2,2)</definedName>
    <definedName name="Trimestres72" localSheetId="4">OFFSET(#REF!,0,0,COUNTA(#REF!)-2,2)</definedName>
    <definedName name="Trimestres72">OFFSET(#REF!,0,0,COUNTA(#REF!)-2,2)</definedName>
    <definedName name="Trimestres73" localSheetId="3">OFFSET(#REF!,0,0,COUNTA(#REF!)-2,2)</definedName>
    <definedName name="Trimestres73" localSheetId="1">OFFSET('[29]148 - Tabela 73'!$A$9,0,0,COUNTA('[29]148 - Tabela 73'!$E$1:$E$65536)-2,2)</definedName>
    <definedName name="Trimestres73" localSheetId="9">OFFSET(#REF!,0,0,COUNTA(#REF!)-2,2)</definedName>
    <definedName name="Trimestres73" localSheetId="5">OFFSET('[29]148 - Tabela 73'!$A$9,0,0,COUNTA('[29]148 - Tabela 73'!$E$1:$E$65536)-2,2)</definedName>
    <definedName name="Trimestres73" localSheetId="4">OFFSET(#REF!,0,0,COUNTA(#REF!)-2,2)</definedName>
    <definedName name="Trimestres73">OFFSET(#REF!,0,0,COUNTA(#REF!)-2,2)</definedName>
    <definedName name="Trimestres74" localSheetId="3">OFFSET(#REF!,0,0,COUNTA(#REF!)-2,2)</definedName>
    <definedName name="Trimestres74" localSheetId="1">OFFSET('[29]150 - Tabela 74'!$A$9,0,0,COUNTA('[29]150 - Tabela 74'!$E$1:$E$65536)-2,2)</definedName>
    <definedName name="Trimestres74" localSheetId="9">OFFSET(#REF!,0,0,COUNTA(#REF!)-2,2)</definedName>
    <definedName name="Trimestres74" localSheetId="5">OFFSET('[29]150 - Tabela 74'!$A$9,0,0,COUNTA('[29]150 - Tabela 74'!$E$1:$E$65536)-2,2)</definedName>
    <definedName name="Trimestres74" localSheetId="4">OFFSET(#REF!,0,0,COUNTA(#REF!)-2,2)</definedName>
    <definedName name="Trimestres74">OFFSET(#REF!,0,0,COUNTA(#REF!)-2,2)</definedName>
    <definedName name="Trimestres75" localSheetId="3">OFFSET(#REF!,0,0,COUNTA(#REF!)-2,2)</definedName>
    <definedName name="Trimestres75" localSheetId="1">OFFSET('[29]152 - Tabela 75'!$A$9,0,0,COUNTA('[29]152 - Tabela 75'!$E$1:$E$65536)-2,2)</definedName>
    <definedName name="Trimestres75" localSheetId="9">OFFSET(#REF!,0,0,COUNTA(#REF!)-2,2)</definedName>
    <definedName name="Trimestres75" localSheetId="5">OFFSET('[29]152 - Tabela 75'!$A$9,0,0,COUNTA('[29]152 - Tabela 75'!$E$1:$E$65536)-2,2)</definedName>
    <definedName name="Trimestres75" localSheetId="4">OFFSET(#REF!,0,0,COUNTA(#REF!)-2,2)</definedName>
    <definedName name="Trimestres75">OFFSET(#REF!,0,0,COUNTA(#REF!)-2,2)</definedName>
    <definedName name="Trimestres76" localSheetId="3">OFFSET(#REF!,0,0,COUNTA(#REF!)-1,2)</definedName>
    <definedName name="Trimestres76" localSheetId="1">OFFSET('[29]154 - Tabela 76'!$A$9,0,0,COUNTA('[29]154 - Tabela 76'!$E$1:$E$65536)-1,2)</definedName>
    <definedName name="Trimestres76" localSheetId="9">OFFSET(#REF!,0,0,COUNTA(#REF!)-1,2)</definedName>
    <definedName name="Trimestres76" localSheetId="5">OFFSET('[29]154 - Tabela 76'!$A$9,0,0,COUNTA('[29]154 - Tabela 76'!$E$1:$E$65536)-1,2)</definedName>
    <definedName name="Trimestres76" localSheetId="4">OFFSET(#REF!,0,0,COUNTA(#REF!)-1,2)</definedName>
    <definedName name="Trimestres76">OFFSET(#REF!,0,0,COUNTA(#REF!)-1,2)</definedName>
    <definedName name="Trimestres77" localSheetId="3">OFFSET(#REF!,0,0,COUNTA(#REF!)-1,2)</definedName>
    <definedName name="Trimestres77" localSheetId="1">OFFSET('[29]156 - Tabela 77'!$A$9,0,0,COUNTA('[29]156 - Tabela 77'!$E$1:$E$65536)-1,2)</definedName>
    <definedName name="Trimestres77" localSheetId="9">OFFSET(#REF!,0,0,COUNTA(#REF!)-1,2)</definedName>
    <definedName name="Trimestres77" localSheetId="5">OFFSET('[29]156 - Tabela 77'!$A$9,0,0,COUNTA('[29]156 - Tabela 77'!$E$1:$E$65536)-1,2)</definedName>
    <definedName name="Trimestres77" localSheetId="4">OFFSET(#REF!,0,0,COUNTA(#REF!)-1,2)</definedName>
    <definedName name="Trimestres77">OFFSET(#REF!,0,0,COUNTA(#REF!)-1,2)</definedName>
    <definedName name="Trimestres78" localSheetId="3">OFFSET(#REF!,0,0,COUNTA(#REF!)-2,2)</definedName>
    <definedName name="Trimestres78" localSheetId="1">OFFSET('[29]158 - Tabela 78'!$A$9,0,0,COUNTA('[29]158 - Tabela 78'!$E$1:$E$65536)-2,2)</definedName>
    <definedName name="Trimestres78" localSheetId="9">OFFSET(#REF!,0,0,COUNTA(#REF!)-2,2)</definedName>
    <definedName name="Trimestres78" localSheetId="5">OFFSET('[29]158 - Tabela 78'!$A$9,0,0,COUNTA('[29]158 - Tabela 78'!$E$1:$E$65536)-2,2)</definedName>
    <definedName name="Trimestres78" localSheetId="4">OFFSET(#REF!,0,0,COUNTA(#REF!)-2,2)</definedName>
    <definedName name="Trimestres78">OFFSET(#REF!,0,0,COUNTA(#REF!)-2,2)</definedName>
    <definedName name="Trimestres79" localSheetId="3">OFFSET(#REF!,0,0,COUNTA(#REF!)-2,2)</definedName>
    <definedName name="Trimestres79" localSheetId="1">OFFSET('[29]160 - Tabela 79'!$A$9,0,0,COUNTA('[29]160 - Tabela 79'!$E$1:$E$65536)-2,2)</definedName>
    <definedName name="Trimestres79" localSheetId="9">OFFSET(#REF!,0,0,COUNTA(#REF!)-2,2)</definedName>
    <definedName name="Trimestres79" localSheetId="5">OFFSET('[29]160 - Tabela 79'!$A$9,0,0,COUNTA('[29]160 - Tabela 79'!$E$1:$E$65536)-2,2)</definedName>
    <definedName name="Trimestres79" localSheetId="4">OFFSET(#REF!,0,0,COUNTA(#REF!)-2,2)</definedName>
    <definedName name="Trimestres79">OFFSET(#REF!,0,0,COUNTA(#REF!)-2,2)</definedName>
    <definedName name="Trimestres8" localSheetId="3">OFFSET(#REF!,0,0,COUNTA(#REF!)-2,2)</definedName>
    <definedName name="Trimestres8" localSheetId="1">OFFSET('[29]18 - Tabela 8'!$A$9,0,0,COUNTA('[29]18 - Tabela 8'!$E$1:$E$65536)-2,2)</definedName>
    <definedName name="Trimestres8" localSheetId="9">OFFSET(#REF!,0,0,COUNTA(#REF!)-2,2)</definedName>
    <definedName name="Trimestres8" localSheetId="5">OFFSET('[29]18 - Tabela 8'!$A$9,0,0,COUNTA('[29]18 - Tabela 8'!$E$1:$E$65536)-2,2)</definedName>
    <definedName name="Trimestres8" localSheetId="4">OFFSET(#REF!,0,0,COUNTA(#REF!)-2,2)</definedName>
    <definedName name="Trimestres8">OFFSET(#REF!,0,0,COUNTA(#REF!)-2,2)</definedName>
    <definedName name="Trimestres80" localSheetId="3">OFFSET(#REF!,0,0,COUNTA(#REF!)-1,2)</definedName>
    <definedName name="Trimestres80" localSheetId="1">OFFSET('[29]162 - Tabela 80'!$A$9,0,0,COUNTA('[29]162 - Tabela 80'!$E$1:$E$65536)-1,2)</definedName>
    <definedName name="Trimestres80" localSheetId="9">OFFSET(#REF!,0,0,COUNTA(#REF!)-1,2)</definedName>
    <definedName name="Trimestres80" localSheetId="5">OFFSET('[29]162 - Tabela 80'!$A$9,0,0,COUNTA('[29]162 - Tabela 80'!$E$1:$E$65536)-1,2)</definedName>
    <definedName name="Trimestres80" localSheetId="4">OFFSET(#REF!,0,0,COUNTA(#REF!)-1,2)</definedName>
    <definedName name="Trimestres80">OFFSET(#REF!,0,0,COUNTA(#REF!)-1,2)</definedName>
    <definedName name="Trimestres81" localSheetId="3">OFFSET(#REF!,0,0,COUNTA(#REF!)-2,2)</definedName>
    <definedName name="Trimestres81" localSheetId="1">OFFSET('[29]164 - Tabela 81'!$A$9,0,0,COUNTA('[29]164 - Tabela 81'!$E$1:$E$65536)-2,2)</definedName>
    <definedName name="Trimestres81" localSheetId="9">OFFSET(#REF!,0,0,COUNTA(#REF!)-2,2)</definedName>
    <definedName name="Trimestres81" localSheetId="5">OFFSET('[29]164 - Tabela 81'!$A$9,0,0,COUNTA('[29]164 - Tabela 81'!$E$1:$E$65536)-2,2)</definedName>
    <definedName name="Trimestres81" localSheetId="4">OFFSET(#REF!,0,0,COUNTA(#REF!)-2,2)</definedName>
    <definedName name="Trimestres81">OFFSET(#REF!,0,0,COUNTA(#REF!)-2,2)</definedName>
    <definedName name="Trimestres82" localSheetId="3">OFFSET(#REF!,0,0,COUNTA(#REF!)-2,2)</definedName>
    <definedName name="Trimestres82" localSheetId="1">OFFSET('[29]166 - Tabela 82'!$A$9,0,0,COUNTA('[29]166 - Tabela 82'!$E$1:$E$65536)-2,2)</definedName>
    <definedName name="Trimestres82" localSheetId="9">OFFSET(#REF!,0,0,COUNTA(#REF!)-2,2)</definedName>
    <definedName name="Trimestres82" localSheetId="5">OFFSET('[29]166 - Tabela 82'!$A$9,0,0,COUNTA('[29]166 - Tabela 82'!$E$1:$E$65536)-2,2)</definedName>
    <definedName name="Trimestres82" localSheetId="4">OFFSET(#REF!,0,0,COUNTA(#REF!)-2,2)</definedName>
    <definedName name="Trimestres82">OFFSET(#REF!,0,0,COUNTA(#REF!)-2,2)</definedName>
    <definedName name="Trimestres83" localSheetId="3">OFFSET(#REF!,0,0,COUNTA(#REF!)-2,2)</definedName>
    <definedName name="Trimestres83" localSheetId="1">OFFSET('[29]168 - Tabela 83'!$A$9,0,0,COUNTA('[29]168 - Tabela 83'!$E$1:$E$65536)-2,2)</definedName>
    <definedName name="Trimestres83" localSheetId="9">OFFSET(#REF!,0,0,COUNTA(#REF!)-2,2)</definedName>
    <definedName name="Trimestres83" localSheetId="5">OFFSET('[29]168 - Tabela 83'!$A$9,0,0,COUNTA('[29]168 - Tabela 83'!$E$1:$E$65536)-2,2)</definedName>
    <definedName name="Trimestres83" localSheetId="4">OFFSET(#REF!,0,0,COUNTA(#REF!)-2,2)</definedName>
    <definedName name="Trimestres83">OFFSET(#REF!,0,0,COUNTA(#REF!)-2,2)</definedName>
    <definedName name="Trimestres84" localSheetId="3">OFFSET(#REF!,0,0,COUNTA(#REF!)-1,2)</definedName>
    <definedName name="Trimestres84" localSheetId="1">OFFSET('[29]170 - Tabela 84'!$A$9,0,0,COUNTA('[29]170 - Tabela 84'!$E$1:$E$86)-1,2)</definedName>
    <definedName name="Trimestres84" localSheetId="9">OFFSET(#REF!,0,0,COUNTA(#REF!)-1,2)</definedName>
    <definedName name="Trimestres84" localSheetId="5">OFFSET('[29]170 - Tabela 84'!$A$9,0,0,COUNTA('[29]170 - Tabela 84'!$E$1:$E$86)-1,2)</definedName>
    <definedName name="Trimestres84" localSheetId="4">OFFSET(#REF!,0,0,COUNTA(#REF!)-1,2)</definedName>
    <definedName name="Trimestres84">OFFSET(#REF!,0,0,COUNTA(#REF!)-1,2)</definedName>
    <definedName name="Trimestres85" localSheetId="3">OFFSET(#REF!,0,0,COUNTA(#REF!)-2,2)</definedName>
    <definedName name="Trimestres85" localSheetId="1">OFFSET('[29]172 - Tabela 85'!$A$9,0,0,COUNTA('[29]172 - Tabela 85'!$E$1:$E$65536)-2,2)</definedName>
    <definedName name="Trimestres85" localSheetId="9">OFFSET(#REF!,0,0,COUNTA(#REF!)-2,2)</definedName>
    <definedName name="Trimestres85" localSheetId="5">OFFSET('[29]172 - Tabela 85'!$A$9,0,0,COUNTA('[29]172 - Tabela 85'!$E$1:$E$65536)-2,2)</definedName>
    <definedName name="Trimestres85" localSheetId="4">OFFSET(#REF!,0,0,COUNTA(#REF!)-2,2)</definedName>
    <definedName name="Trimestres85">OFFSET(#REF!,0,0,COUNTA(#REF!)-2,2)</definedName>
    <definedName name="Trimestres86" localSheetId="3">OFFSET(#REF!,0,0,COUNTA(#REF!)-1,2)</definedName>
    <definedName name="Trimestres86" localSheetId="1">OFFSET('[29]174 - Tabela 86'!$A$9,0,0,COUNTA('[29]174 - Tabela 86'!$E$1:$E$65536)-1,2)</definedName>
    <definedName name="Trimestres86" localSheetId="9">OFFSET(#REF!,0,0,COUNTA(#REF!)-1,2)</definedName>
    <definedName name="Trimestres86" localSheetId="5">OFFSET('[29]174 - Tabela 86'!$A$9,0,0,COUNTA('[29]174 - Tabela 86'!$E$1:$E$65536)-1,2)</definedName>
    <definedName name="Trimestres86" localSheetId="4">OFFSET(#REF!,0,0,COUNTA(#REF!)-1,2)</definedName>
    <definedName name="Trimestres86">OFFSET(#REF!,0,0,COUNTA(#REF!)-1,2)</definedName>
    <definedName name="Trimestres87" localSheetId="3">OFFSET(#REF!,0,0,COUNTA(#REF!)-1,2)</definedName>
    <definedName name="Trimestres87" localSheetId="1">OFFSET('[29]176 - Tabela 87'!$A$9,0,0,COUNTA('[29]176 - Tabela 87'!$E$1:$E$65536)-1,2)</definedName>
    <definedName name="Trimestres87" localSheetId="9">OFFSET(#REF!,0,0,COUNTA(#REF!)-1,2)</definedName>
    <definedName name="Trimestres87" localSheetId="5">OFFSET('[29]176 - Tabela 87'!$A$9,0,0,COUNTA('[29]176 - Tabela 87'!$E$1:$E$65536)-1,2)</definedName>
    <definedName name="Trimestres87" localSheetId="4">OFFSET(#REF!,0,0,COUNTA(#REF!)-1,2)</definedName>
    <definedName name="Trimestres87">OFFSET(#REF!,0,0,COUNTA(#REF!)-1,2)</definedName>
    <definedName name="Trimestres88" localSheetId="3">OFFSET(#REF!,0,0,COUNTA(#REF!)-2,2)</definedName>
    <definedName name="Trimestres88" localSheetId="1">OFFSET('[29]178 - Tabela 88'!$A$9,0,0,COUNTA('[29]178 - Tabela 88'!$E$1:$E$65536)-2,2)</definedName>
    <definedName name="Trimestres88" localSheetId="9">OFFSET(#REF!,0,0,COUNTA(#REF!)-2,2)</definedName>
    <definedName name="Trimestres88" localSheetId="5">OFFSET('[29]178 - Tabela 88'!$A$9,0,0,COUNTA('[29]178 - Tabela 88'!$E$1:$E$65536)-2,2)</definedName>
    <definedName name="Trimestres88" localSheetId="4">OFFSET(#REF!,0,0,COUNTA(#REF!)-2,2)</definedName>
    <definedName name="Trimestres88">OFFSET(#REF!,0,0,COUNTA(#REF!)-2,2)</definedName>
    <definedName name="Trimestres89" localSheetId="3">OFFSET(#REF!,0,0,COUNTA(#REF!)-2,2)</definedName>
    <definedName name="Trimestres89" localSheetId="1">OFFSET('[29]180 - Tabela 89'!$A$9,0,0,COUNTA('[29]180 - Tabela 89'!$E$1:$E$65536)-2,2)</definedName>
    <definedName name="Trimestres89" localSheetId="9">OFFSET(#REF!,0,0,COUNTA(#REF!)-2,2)</definedName>
    <definedName name="Trimestres89" localSheetId="5">OFFSET('[29]180 - Tabela 89'!$A$9,0,0,COUNTA('[29]180 - Tabela 89'!$E$1:$E$65536)-2,2)</definedName>
    <definedName name="Trimestres89" localSheetId="4">OFFSET(#REF!,0,0,COUNTA(#REF!)-2,2)</definedName>
    <definedName name="Trimestres89">OFFSET(#REF!,0,0,COUNTA(#REF!)-2,2)</definedName>
    <definedName name="Trimestres9" localSheetId="3">OFFSET(#REF!,0,0,COUNTA(#REF!)-2,2)</definedName>
    <definedName name="Trimestres9" localSheetId="1">OFFSET('[29]20 - Tabela 9'!$A$9,0,0,COUNTA('[29]20 - Tabela 9'!$E$1:$E$65536)-2,2)</definedName>
    <definedName name="Trimestres9" localSheetId="9">OFFSET(#REF!,0,0,COUNTA(#REF!)-2,2)</definedName>
    <definedName name="Trimestres9" localSheetId="5">OFFSET('[29]20 - Tabela 9'!$A$9,0,0,COUNTA('[29]20 - Tabela 9'!$E$1:$E$65536)-2,2)</definedName>
    <definedName name="Trimestres9" localSheetId="4">OFFSET(#REF!,0,0,COUNTA(#REF!)-2,2)</definedName>
    <definedName name="Trimestres9">OFFSET(#REF!,0,0,COUNTA(#REF!)-2,2)</definedName>
    <definedName name="Trimestres90" localSheetId="3">OFFSET(#REF!,0,0,COUNTA(#REF!)-2,2)</definedName>
    <definedName name="Trimestres90" localSheetId="1">OFFSET('[29]182 - Tabela 90'!$A$9,0,0,COUNTA('[29]182 - Tabela 90'!$E$1:$E$65536)-2,2)</definedName>
    <definedName name="Trimestres90" localSheetId="9">OFFSET(#REF!,0,0,COUNTA(#REF!)-2,2)</definedName>
    <definedName name="Trimestres90" localSheetId="5">OFFSET('[29]182 - Tabela 90'!$A$9,0,0,COUNTA('[29]182 - Tabela 90'!$E$1:$E$65536)-2,2)</definedName>
    <definedName name="Trimestres90" localSheetId="4">OFFSET(#REF!,0,0,COUNTA(#REF!)-2,2)</definedName>
    <definedName name="Trimestres90">OFFSET(#REF!,0,0,COUNTA(#REF!)-2,2)</definedName>
    <definedName name="Trimestres91" localSheetId="3">OFFSET(#REF!,0,0,COUNTA(#REF!)-2,2)</definedName>
    <definedName name="Trimestres91" localSheetId="1">OFFSET('[29]184 - Tabela 91'!$A$9,0,0,COUNTA('[29]184 - Tabela 91'!$E$1:$E$65536)-2,2)</definedName>
    <definedName name="Trimestres91" localSheetId="9">OFFSET(#REF!,0,0,COUNTA(#REF!)-2,2)</definedName>
    <definedName name="Trimestres91" localSheetId="5">OFFSET('[29]184 - Tabela 91'!$A$9,0,0,COUNTA('[29]184 - Tabela 91'!$E$1:$E$65536)-2,2)</definedName>
    <definedName name="Trimestres91" localSheetId="4">OFFSET(#REF!,0,0,COUNTA(#REF!)-2,2)</definedName>
    <definedName name="Trimestres91">OFFSET(#REF!,0,0,COUNTA(#REF!)-2,2)</definedName>
    <definedName name="Trimestres92" localSheetId="3">OFFSET(#REF!,0,0,COUNTA(#REF!)-2,2)</definedName>
    <definedName name="Trimestres92" localSheetId="1">OFFSET('[29]186 - Tabela 92'!$A$9,0,0,COUNTA('[29]186 - Tabela 92'!$E$1:$E$65536)-2,2)</definedName>
    <definedName name="Trimestres92" localSheetId="9">OFFSET(#REF!,0,0,COUNTA(#REF!)-2,2)</definedName>
    <definedName name="Trimestres92" localSheetId="5">OFFSET('[29]186 - Tabela 92'!$A$9,0,0,COUNTA('[29]186 - Tabela 92'!$E$1:$E$65536)-2,2)</definedName>
    <definedName name="Trimestres92" localSheetId="4">OFFSET(#REF!,0,0,COUNTA(#REF!)-2,2)</definedName>
    <definedName name="Trimestres92">OFFSET(#REF!,0,0,COUNTA(#REF!)-2,2)</definedName>
    <definedName name="Trimestres93" localSheetId="1">OFFSET('[30]188 - Tabela 93'!$A$9,0,0,COUNTA('[30]188 - Tabela 93'!$E:$E)-2,2)</definedName>
    <definedName name="Trimestres93" localSheetId="5">OFFSET('[30]188 - Tabela 93'!$A$9,0,0,COUNTA('[30]188 - Tabela 93'!$E:$E)-2,2)</definedName>
    <definedName name="Trimestres93">OFFSET('[30]188 - Tabela 93'!$A$9,0,0,COUNTA('[30]188 - Tabela 93'!$E:$E)-2,2)</definedName>
    <definedName name="Trimestres94" localSheetId="1">OFFSET('[30]190 - Tabela 94'!$A$9,0,0,COUNTA('[30]190 - Tabela 94'!$E:$E)-2,2)</definedName>
    <definedName name="Trimestres94" localSheetId="5">OFFSET('[30]190 - Tabela 94'!$A$9,0,0,COUNTA('[30]190 - Tabela 94'!$E:$E)-2,2)</definedName>
    <definedName name="Trimestres94">OFFSET('[30]190 - Tabela 94'!$A$9,0,0,COUNTA('[30]190 - Tabela 94'!$E:$E)-2,2)</definedName>
    <definedName name="Trimestres95" localSheetId="1">OFFSET('[30]192 - Tabela 95'!$A$9,0,0,COUNTA('[30]192 - Tabela 95'!$E:$E)-2,2)</definedName>
    <definedName name="Trimestres95" localSheetId="5">OFFSET('[30]192 - Tabela 95'!$A$9,0,0,COUNTA('[30]192 - Tabela 95'!$E:$E)-2,2)</definedName>
    <definedName name="Trimestres95">OFFSET('[30]192 - Tabela 95'!$A$9,0,0,COUNTA('[30]192 - Tabela 95'!$E:$E)-2,2)</definedName>
    <definedName name="Trimestres96" localSheetId="1">OFFSET('[30]194 - Tabela 96'!$A$9,0,0,COUNTA('[30]194 - Tabela 96'!$E:$E)-2,2)</definedName>
    <definedName name="Trimestres96" localSheetId="5">OFFSET('[30]194 - Tabela 96'!$A$9,0,0,COUNTA('[30]194 - Tabela 96'!$E:$E)-2,2)</definedName>
    <definedName name="Trimestres96">OFFSET('[30]194 - Tabela 96'!$A$9,0,0,COUNTA('[30]194 - Tabela 96'!$E:$E)-2,2)</definedName>
    <definedName name="Trimestres97" localSheetId="1">OFFSET('[30]196 - Tabela 97'!$A$9,0,0,COUNTA('[30]196 - Tabela 97'!$E:$E)-2,2)</definedName>
    <definedName name="Trimestres97" localSheetId="5">OFFSET('[30]196 - Tabela 97'!$A$9,0,0,COUNTA('[30]196 - Tabela 97'!$E:$E)-2,2)</definedName>
    <definedName name="Trimestres97">OFFSET('[30]196 - Tabela 97'!$A$9,0,0,COUNTA('[30]196 - Tabela 97'!$E:$E)-2,2)</definedName>
    <definedName name="Trimestres98" localSheetId="1">OFFSET('[30]198 - Tabela 98'!$A$9,0,0,COUNTA('[30]198 - Tabela 98'!$E:$E)-2,2)</definedName>
    <definedName name="Trimestres98" localSheetId="5">OFFSET('[30]198 - Tabela 98'!$A$9,0,0,COUNTA('[30]198 - Tabela 98'!$E:$E)-2,2)</definedName>
    <definedName name="Trimestres98">OFFSET('[30]198 - Tabela 98'!$A$9,0,0,COUNTA('[30]198 - Tabela 98'!$E:$E)-2,2)</definedName>
    <definedName name="Trimestres99" localSheetId="1">OFFSET('[30]200 - Tabela 99'!$A$9,0,0,COUNTA('[30]200 - Tabela 99'!$E:$E)-2,2)</definedName>
    <definedName name="Trimestres99" localSheetId="5">OFFSET('[30]200 - Tabela 99'!$A$9,0,0,COUNTA('[30]200 - Tabela 99'!$E:$E)-2,2)</definedName>
    <definedName name="Trimestres99">OFFSET('[30]200 - Tabela 99'!$A$9,0,0,COUNTA('[30]200 - Tabela 99'!$E:$E)-2,2)</definedName>
    <definedName name="TRNR_0a73fc48ac3f4675b96831101ffb8e6b_298_22" localSheetId="3" hidden="1">#REF!</definedName>
    <definedName name="TRNR_0a73fc48ac3f4675b96831101ffb8e6b_298_22" localSheetId="4" hidden="1">#REF!</definedName>
    <definedName name="TRNR_0a73fc48ac3f4675b96831101ffb8e6b_298_22" hidden="1">#REF!</definedName>
    <definedName name="TRNR_14f4a7299ffe46c3a91981b1acd5b5ef_59_4" localSheetId="3" hidden="1">#REF!</definedName>
    <definedName name="TRNR_14f4a7299ffe46c3a91981b1acd5b5ef_59_4" hidden="1">#REF!</definedName>
    <definedName name="TRNR_15215b46948e441686cf2e3a3e4d3c1a_62_5" localSheetId="3" hidden="1">#REF!</definedName>
    <definedName name="TRNR_15215b46948e441686cf2e3a3e4d3c1a_62_5" hidden="1">#REF!</definedName>
    <definedName name="TRNR_19ecff5147714fa6a537027343d6937f_17_5" localSheetId="3" hidden="1">#REF!</definedName>
    <definedName name="TRNR_19ecff5147714fa6a537027343d6937f_17_5" hidden="1">#REF!</definedName>
    <definedName name="TRNR_1d9dcfed4f7a41758e1edc05f6fdc8cb_53_12" localSheetId="3" hidden="1">#REF!</definedName>
    <definedName name="TRNR_1d9dcfed4f7a41758e1edc05f6fdc8cb_53_12" hidden="1">#REF!</definedName>
    <definedName name="TRNR_2cd01d31c3af42a98736f33077273c6b_59_10" localSheetId="3" hidden="1">#REF!</definedName>
    <definedName name="TRNR_2cd01d31c3af42a98736f33077273c6b_59_10" hidden="1">#REF!</definedName>
    <definedName name="TRNR_2f1ba1c086ed4eb285ff84e0a25bfaf8_119_2" localSheetId="3" hidden="1">#REF!</definedName>
    <definedName name="TRNR_2f1ba1c086ed4eb285ff84e0a25bfaf8_119_2" hidden="1">#REF!</definedName>
    <definedName name="TRNR_3a0e099ee9e149479bf334fac0a739f8_106_14" localSheetId="3" hidden="1">#REF!</definedName>
    <definedName name="TRNR_3a0e099ee9e149479bf334fac0a739f8_106_14" hidden="1">#REF!</definedName>
    <definedName name="TRNR_4597b624ccd44fe1aefda10222175e7e_119_2" localSheetId="3" hidden="1">#REF!</definedName>
    <definedName name="TRNR_4597b624ccd44fe1aefda10222175e7e_119_2" hidden="1">#REF!</definedName>
    <definedName name="TRNR_478700ec26b14f76ad61401118933541_62_4" localSheetId="3" hidden="1">#REF!</definedName>
    <definedName name="TRNR_478700ec26b14f76ad61401118933541_62_4" hidden="1">#REF!</definedName>
    <definedName name="TRNR_5cfe09e0ab804d38bb01b6306914668d_155_12" localSheetId="3" hidden="1">#REF!</definedName>
    <definedName name="TRNR_5cfe09e0ab804d38bb01b6306914668d_155_12" hidden="1">#REF!</definedName>
    <definedName name="TRNR_66abdf42f85e45f3b7991ff933f6efbb_11_5" localSheetId="3" hidden="1">#REF!</definedName>
    <definedName name="TRNR_66abdf42f85e45f3b7991ff933f6efbb_11_5" hidden="1">#REF!</definedName>
    <definedName name="TRNR_6f8c6587cbcd40d3b076ce0febc0620e_2614_5" localSheetId="3" hidden="1">#REF!</definedName>
    <definedName name="TRNR_6f8c6587cbcd40d3b076ce0febc0620e_2614_5" hidden="1">#REF!</definedName>
    <definedName name="TRNR_889aa1640e374a589a356beea0896b9a_43_5" localSheetId="3" hidden="1">#REF!</definedName>
    <definedName name="TRNR_889aa1640e374a589a356beea0896b9a_43_5" hidden="1">#REF!</definedName>
    <definedName name="TRNR_893a81811a9c48fc8f045856394e6257_62_5" localSheetId="3" hidden="1">#REF!</definedName>
    <definedName name="TRNR_893a81811a9c48fc8f045856394e6257_62_5" hidden="1">#REF!</definedName>
    <definedName name="TRNR_8993663581ad4bbfb47f3e2f3d33aeea_59_1" localSheetId="3" hidden="1">#REF!</definedName>
    <definedName name="TRNR_8993663581ad4bbfb47f3e2f3d33aeea_59_1" hidden="1">#REF!</definedName>
    <definedName name="TRNR_b73947d101a94c89b7aeaf6897823a35_89_1" localSheetId="3" hidden="1">#REF!</definedName>
    <definedName name="TRNR_b73947d101a94c89b7aeaf6897823a35_89_1" hidden="1">#REF!</definedName>
    <definedName name="TRNR_d86b0313fb504a6991f877731a8da393_59_4" localSheetId="3" hidden="1">#REF!</definedName>
    <definedName name="TRNR_d86b0313fb504a6991f877731a8da393_59_4" hidden="1">#REF!</definedName>
    <definedName name="TRNR_e0974febe7834cbd86965bf3b3fb49e0_29_5" localSheetId="3" hidden="1">#REF!</definedName>
    <definedName name="TRNR_e0974febe7834cbd86965bf3b3fb49e0_29_5" hidden="1">#REF!</definedName>
    <definedName name="TRNR_e5a89d9055d64c7b8ca845e65fb578ac_29_5" localSheetId="3" hidden="1">#REF!</definedName>
    <definedName name="TRNR_e5a89d9055d64c7b8ca845e65fb578ac_29_5" hidden="1">#REF!</definedName>
    <definedName name="TRNR_eec445ad32834194a403fc8f39a392d6_62_5" localSheetId="3" hidden="1">#REF!</definedName>
    <definedName name="TRNR_eec445ad32834194a403fc8f39a392d6_62_5" hidden="1">#REF!</definedName>
    <definedName name="TRNR_f1e517ec70194ba78a2869e7282d009c_36_5" localSheetId="3" hidden="1">#REF!</definedName>
    <definedName name="TRNR_f1e517ec70194ba78a2869e7282d009c_36_5" hidden="1">#REF!</definedName>
    <definedName name="TRNR_f9013550d59a4c9880983414a2d97015_59_4" localSheetId="3" hidden="1">#REF!</definedName>
    <definedName name="TRNR_f9013550d59a4c9880983414a2d97015_59_4" hidden="1">#REF!</definedName>
    <definedName name="TRNR_f98456fda51f436ab3263f04caceecfc_213_12" localSheetId="3" hidden="1">#REF!</definedName>
    <definedName name="TRNR_f98456fda51f436ab3263f04caceecfc_213_12" hidden="1">#REF!</definedName>
    <definedName name="TRNR_fc4b3d4cbf50416ca46db2a0d897949a_178_11" localSheetId="3" hidden="1">#REF!</definedName>
    <definedName name="TRNR_fc4b3d4cbf50416ca46db2a0d897949a_178_11" hidden="1">#REF!</definedName>
    <definedName name="TRNR_fde87813325a47bc892885fb3ce4e918_155_38" localSheetId="3" hidden="1">#REF!</definedName>
    <definedName name="TRNR_fde87813325a47bc892885fb3ce4e918_155_38" hidden="1">#REF!</definedName>
    <definedName name="Tudo" localSheetId="1">[7]Tab1!#REF!</definedName>
    <definedName name="Tudo" localSheetId="5">[7]Tab1!#REF!</definedName>
    <definedName name="Tudo">[7]Tab1!#REF!</definedName>
    <definedName name="ty" hidden="1">'[15]dados gas '!#REF!</definedName>
    <definedName name="Último_Leilão" localSheetId="3">#REF!</definedName>
    <definedName name="Último_Leilão" localSheetId="1">#REF!</definedName>
    <definedName name="Último_Leilão" localSheetId="9">#REF!</definedName>
    <definedName name="Último_Leilão" localSheetId="5">#REF!</definedName>
    <definedName name="Último_Leilão" localSheetId="4">#REF!</definedName>
    <definedName name="Último_Leilão">#REF!</definedName>
    <definedName name="ULTMES" localSheetId="3">#REF!</definedName>
    <definedName name="ULTMES" localSheetId="1">#REF!</definedName>
    <definedName name="ULTMES" localSheetId="9">#REF!</definedName>
    <definedName name="ULTMES" localSheetId="5">#REF!</definedName>
    <definedName name="ULTMES">#REF!</definedName>
    <definedName name="unemp">[11]Employ!$A$60</definedName>
    <definedName name="UnitValues" localSheetId="3">#REF!</definedName>
    <definedName name="UnitValues" localSheetId="1">#REF!</definedName>
    <definedName name="UnitValues" localSheetId="9">#REF!</definedName>
    <definedName name="UnitValues" localSheetId="5">#REF!</definedName>
    <definedName name="UnitValues" localSheetId="4">#REF!</definedName>
    <definedName name="UnitValues">#REF!</definedName>
    <definedName name="utility">[11]Utilities!$A$44</definedName>
    <definedName name="UV" localSheetId="3">#REF!</definedName>
    <definedName name="UV" localSheetId="1">#REF!</definedName>
    <definedName name="UV" localSheetId="9">#REF!</definedName>
    <definedName name="UV" localSheetId="5">#REF!</definedName>
    <definedName name="UV" localSheetId="4">#REF!</definedName>
    <definedName name="UV">#REF!</definedName>
    <definedName name="V_Show_Hide" localSheetId="3">#REF!</definedName>
    <definedName name="V_Show_Hide" localSheetId="1">#REF!</definedName>
    <definedName name="V_Show_Hide" localSheetId="9">#REF!</definedName>
    <definedName name="V_Show_Hide" localSheetId="5">#REF!</definedName>
    <definedName name="V_Show_Hide">#REF!</definedName>
    <definedName name="VA" localSheetId="3">#REF!</definedName>
    <definedName name="VA" localSheetId="1">#REF!</definedName>
    <definedName name="VA" localSheetId="5">#REF!</definedName>
    <definedName name="VA">#REF!</definedName>
    <definedName name="Valores1" localSheetId="3">IF(OFFSET(#REF!,0,0,COUNTA(#REF!)-2,1)=LOOKUP(2,1/ISNUMBER(#REF!),#REF!),OFFSET(#REF!,0,0,COUNTA(#REF!)-2,1),NA())</definedName>
    <definedName name="Valores1" localSheetId="1">IF(OFFSET('[29]4 - Tabela 1'!$D$9,0,0,COUNTA('[29]4 - Tabela 1'!$E:$E)-2,1)=LOOKUP(2,1/ISNUMBER('[29]4 - Tabela 1'!$D:$D),'[29]4 - Tabela 1'!$D:$D),OFFSET('[29]4 - Tabela 1'!$E$9,0,0,COUNTA('[29]4 - Tabela 1'!$E:$E)-2,1),NA())</definedName>
    <definedName name="Valores1" localSheetId="9">IF(OFFSET(#REF!,0,0,COUNTA(#REF!)-2,1)=LOOKUP(2,1/ISNUMBER(#REF!),#REF!),OFFSET(#REF!,0,0,COUNTA(#REF!)-2,1),NA())</definedName>
    <definedName name="Valores1" localSheetId="5">IF(OFFSET('[29]4 - Tabela 1'!$D$9,0,0,COUNTA('[29]4 - Tabela 1'!$E:$E)-2,1)=LOOKUP(2,1/ISNUMBER('[29]4 - Tabela 1'!$D:$D),'[29]4 - Tabela 1'!$D:$D),OFFSET('[29]4 - Tabela 1'!$E$9,0,0,COUNTA('[29]4 - Tabela 1'!$E:$E)-2,1),NA())</definedName>
    <definedName name="Valores1" localSheetId="4">IF(OFFSET(#REF!,0,0,COUNTA(#REF!)-2,1)=LOOKUP(2,1/ISNUMBER(#REF!),#REF!),OFFSET(#REF!,0,0,COUNTA(#REF!)-2,1),NA())</definedName>
    <definedName name="Valores1">IF(OFFSET(#REF!,0,0,COUNTA(#REF!)-2,1)=LOOKUP(2,1/ISNUMBER(#REF!),#REF!),OFFSET(#REF!,0,0,COUNTA(#REF!)-2,1),NA())</definedName>
    <definedName name="Valores10" localSheetId="3">IF(OFFSET(#REF!,0,0,COUNTA(#REF!)-2,1)=LOOKUP(2,1/ISNUMBER(#REF!),#REF!),OFFSET(#REF!,0,0,COUNTA(#REF!)-2,1),NA())</definedName>
    <definedName name="Valores10" localSheetId="1">IF(OFFSET('[29]22 - Tabela 10'!$D$9,0,0,COUNTA('[29]22 - Tabela 10'!$E:$E)-2,1)=LOOKUP(2,1/ISNUMBER('[29]22 - Tabela 10'!$D:$D),'[29]22 - Tabela 10'!$D:$D),OFFSET('[29]22 - Tabela 10'!$E$9,0,0,COUNTA('[29]22 - Tabela 10'!$E:$E)-2,1),NA())</definedName>
    <definedName name="Valores10" localSheetId="9">IF(OFFSET(#REF!,0,0,COUNTA(#REF!)-2,1)=LOOKUP(2,1/ISNUMBER(#REF!),#REF!),OFFSET(#REF!,0,0,COUNTA(#REF!)-2,1),NA())</definedName>
    <definedName name="Valores10" localSheetId="5">IF(OFFSET('[29]22 - Tabela 10'!$D$9,0,0,COUNTA('[29]22 - Tabela 10'!$E:$E)-2,1)=LOOKUP(2,1/ISNUMBER('[29]22 - Tabela 10'!$D:$D),'[29]22 - Tabela 10'!$D:$D),OFFSET('[29]22 - Tabela 10'!$E$9,0,0,COUNTA('[29]22 - Tabela 10'!$E:$E)-2,1),NA())</definedName>
    <definedName name="Valores10" localSheetId="4">IF(OFFSET(#REF!,0,0,COUNTA(#REF!)-2,1)=LOOKUP(2,1/ISNUMBER(#REF!),#REF!),OFFSET(#REF!,0,0,COUNTA(#REF!)-2,1),NA())</definedName>
    <definedName name="Valores10">IF(OFFSET(#REF!,0,0,COUNTA(#REF!)-2,1)=LOOKUP(2,1/ISNUMBER(#REF!),#REF!),OFFSET(#REF!,0,0,COUNTA(#REF!)-2,1),NA())</definedName>
    <definedName name="Valores100" localSheetId="1">OFFSET('[30]202 - Tabela 100'!$E$9,0,0,COUNTA('[30]202 - Tabela 100'!$E:$E)-2,1)</definedName>
    <definedName name="Valores100" localSheetId="5">OFFSET('[30]202 - Tabela 100'!$E$9,0,0,COUNTA('[30]202 - Tabela 100'!$E:$E)-2,1)</definedName>
    <definedName name="Valores100">OFFSET('[30]202 - Tabela 100'!$E$9,0,0,COUNTA('[30]202 - Tabela 100'!$E:$E)-2,1)</definedName>
    <definedName name="Valores101" localSheetId="1">OFFSET('[30]204 - Tabela 101'!$E$9,0,0,COUNTA('[30]204 - Tabela 101'!$E:$E)-2,1)</definedName>
    <definedName name="Valores101" localSheetId="5">OFFSET('[30]204 - Tabela 101'!$E$9,0,0,COUNTA('[30]204 - Tabela 101'!$E:$E)-2,1)</definedName>
    <definedName name="Valores101">OFFSET('[30]204 - Tabela 101'!$E$9,0,0,COUNTA('[30]204 - Tabela 101'!$E:$E)-2,1)</definedName>
    <definedName name="Valores102" localSheetId="1">OFFSET('[30]206 - Tabela 102'!$E$9,0,0,COUNTA('[30]206 - Tabela 102'!$E:$E)-2,1)</definedName>
    <definedName name="Valores102" localSheetId="5">OFFSET('[30]206 - Tabela 102'!$E$9,0,0,COUNTA('[30]206 - Tabela 102'!$E:$E)-2,1)</definedName>
    <definedName name="Valores102">OFFSET('[30]206 - Tabela 102'!$E$9,0,0,COUNTA('[30]206 - Tabela 102'!$E:$E)-2,1)</definedName>
    <definedName name="Valores103" localSheetId="1">OFFSET('[30]208 - Tabela 103'!$E$9,0,0,COUNTA('[30]208 - Tabela 103'!$E:$E)-1,1)</definedName>
    <definedName name="Valores103" localSheetId="5">OFFSET('[30]208 - Tabela 103'!$E$9,0,0,COUNTA('[30]208 - Tabela 103'!$E:$E)-1,1)</definedName>
    <definedName name="Valores103">OFFSET('[30]208 - Tabela 103'!$E$9,0,0,COUNTA('[30]208 - Tabela 103'!$E:$E)-1,1)</definedName>
    <definedName name="Valores104" localSheetId="1">OFFSET('[30]210 - Tabela 104'!$E$9,0,0,COUNTA('[30]210 - Tabela 104'!$E:$E)-1,1)</definedName>
    <definedName name="Valores104" localSheetId="5">OFFSET('[30]210 - Tabela 104'!$E$9,0,0,COUNTA('[30]210 - Tabela 104'!$E:$E)-1,1)</definedName>
    <definedName name="Valores104">OFFSET('[30]210 - Tabela 104'!$E$9,0,0,COUNTA('[30]210 - Tabela 104'!$E:$E)-1,1)</definedName>
    <definedName name="Valores105" localSheetId="1">OFFSET('[30]212 - Tabela 105'!$E$9,0,0,COUNTA('[30]212 - Tabela 105'!$E:$E)-1,1)</definedName>
    <definedName name="Valores105" localSheetId="5">OFFSET('[30]212 - Tabela 105'!$E$9,0,0,COUNTA('[30]212 - Tabela 105'!$E:$E)-1,1)</definedName>
    <definedName name="Valores105">OFFSET('[30]212 - Tabela 105'!$E$9,0,0,COUNTA('[30]212 - Tabela 105'!$E:$E)-1,1)</definedName>
    <definedName name="Valores106" localSheetId="1">OFFSET('[30]214 - Tabela 106'!$E$9,0,0,COUNTA('[30]214 - Tabela 106'!$E:$E)-1,1)</definedName>
    <definedName name="Valores106" localSheetId="5">OFFSET('[30]214 - Tabela 106'!$E$9,0,0,COUNTA('[30]214 - Tabela 106'!$E:$E)-1,1)</definedName>
    <definedName name="Valores106">OFFSET('[30]214 - Tabela 106'!$E$9,0,0,COUNTA('[30]214 - Tabela 106'!$E:$E)-1,1)</definedName>
    <definedName name="Valores107" localSheetId="1">OFFSET('[30]216 - Tabela 107'!$E$9,0,0,COUNTA('[30]216 - Tabela 107'!$E:$E)-1,1)</definedName>
    <definedName name="Valores107" localSheetId="5">OFFSET('[30]216 - Tabela 107'!$E$9,0,0,COUNTA('[30]216 - Tabela 107'!$E:$E)-1,1)</definedName>
    <definedName name="Valores107">OFFSET('[30]216 - Tabela 107'!$E$9,0,0,COUNTA('[30]216 - Tabela 107'!$E:$E)-1,1)</definedName>
    <definedName name="Valores108" localSheetId="1">OFFSET('[30]218 - Tabela 108'!$E$9,0,0,COUNTA('[30]218 - Tabela 108'!$E:$E)-1,1)</definedName>
    <definedName name="Valores108" localSheetId="5">OFFSET('[30]218 - Tabela 108'!$E$9,0,0,COUNTA('[30]218 - Tabela 108'!$E:$E)-1,1)</definedName>
    <definedName name="Valores108">OFFSET('[30]218 - Tabela 108'!$E$9,0,0,COUNTA('[30]218 - Tabela 108'!$E:$E)-1,1)</definedName>
    <definedName name="Valores109" localSheetId="1">OFFSET('[30]220 - Tabela 109'!$E$9,0,0,COUNTA('[30]220 - Tabela 109'!$E:$E)-1,1)</definedName>
    <definedName name="Valores109" localSheetId="5">OFFSET('[30]220 - Tabela 109'!$E$9,0,0,COUNTA('[30]220 - Tabela 109'!$E:$E)-1,1)</definedName>
    <definedName name="Valores109">OFFSET('[30]220 - Tabela 109'!$E$9,0,0,COUNTA('[30]220 - Tabela 109'!$E:$E)-1,1)</definedName>
    <definedName name="Valores11" localSheetId="3">IF(OFFSET(#REF!,0,0,COUNTA(#REF!)-2,1)=LOOKUP(2,1/ISNUMBER(#REF!),#REF!),OFFSET(#REF!,0,0,COUNTA(#REF!)-2,1),NA())</definedName>
    <definedName name="Valores11" localSheetId="1">IF(OFFSET('[29]24 - Tabela 11'!$D$9,0,0,COUNTA('[29]24 - Tabela 11'!$E:$E)-2,1)=LOOKUP(2,1/ISNUMBER('[29]24 - Tabela 11'!$D:$D),'[29]24 - Tabela 11'!$D:$D),OFFSET('[29]24 - Tabela 11'!$E$9,0,0,COUNTA('[29]24 - Tabela 11'!$E:$E)-2,1),NA())</definedName>
    <definedName name="Valores11" localSheetId="9">IF(OFFSET(#REF!,0,0,COUNTA(#REF!)-2,1)=LOOKUP(2,1/ISNUMBER(#REF!),#REF!),OFFSET(#REF!,0,0,COUNTA(#REF!)-2,1),NA())</definedName>
    <definedName name="Valores11" localSheetId="5">IF(OFFSET('[29]24 - Tabela 11'!$D$9,0,0,COUNTA('[29]24 - Tabela 11'!$E:$E)-2,1)=LOOKUP(2,1/ISNUMBER('[29]24 - Tabela 11'!$D:$D),'[29]24 - Tabela 11'!$D:$D),OFFSET('[29]24 - Tabela 11'!$E$9,0,0,COUNTA('[29]24 - Tabela 11'!$E:$E)-2,1),NA())</definedName>
    <definedName name="Valores11" localSheetId="4">IF(OFFSET(#REF!,0,0,COUNTA(#REF!)-2,1)=LOOKUP(2,1/ISNUMBER(#REF!),#REF!),OFFSET(#REF!,0,0,COUNTA(#REF!)-2,1),NA())</definedName>
    <definedName name="Valores11">IF(OFFSET(#REF!,0,0,COUNTA(#REF!)-2,1)=LOOKUP(2,1/ISNUMBER(#REF!),#REF!),OFFSET(#REF!,0,0,COUNTA(#REF!)-2,1),NA())</definedName>
    <definedName name="Valores110" localSheetId="1">OFFSET('[30]222 - Tabela 110'!$E$9,0,0,COUNTA('[30]222 - Tabela 110'!$E:$E)-1,1)</definedName>
    <definedName name="Valores110" localSheetId="5">OFFSET('[30]222 - Tabela 110'!$E$9,0,0,COUNTA('[30]222 - Tabela 110'!$E:$E)-1,1)</definedName>
    <definedName name="Valores110">OFFSET('[30]222 - Tabela 110'!$E$9,0,0,COUNTA('[30]222 - Tabela 110'!$E:$E)-1,1)</definedName>
    <definedName name="Valores111" localSheetId="1">OFFSET('[30]224 - Tabela 111'!$E$9,0,0,COUNTA('[30]224 - Tabela 111'!$E:$E)-1,1)</definedName>
    <definedName name="Valores111" localSheetId="5">OFFSET('[30]224 - Tabela 111'!$E$9,0,0,COUNTA('[30]224 - Tabela 111'!$E:$E)-1,1)</definedName>
    <definedName name="Valores111">OFFSET('[30]224 - Tabela 111'!$E$9,0,0,COUNTA('[30]224 - Tabela 111'!$E:$E)-1,1)</definedName>
    <definedName name="Valores112" localSheetId="1">OFFSET('[30]226 - Tabela 112'!$E$9,0,0,COUNTA('[30]226 - Tabela 112'!$E:$E)-1,1)</definedName>
    <definedName name="Valores112" localSheetId="5">OFFSET('[30]226 - Tabela 112'!$E$9,0,0,COUNTA('[30]226 - Tabela 112'!$E:$E)-1,1)</definedName>
    <definedName name="Valores112">OFFSET('[30]226 - Tabela 112'!$E$9,0,0,COUNTA('[30]226 - Tabela 112'!$E:$E)-1,1)</definedName>
    <definedName name="Valores12" localSheetId="3">IF(OFFSET(#REF!,0,0,COUNTA(#REF!)-2,1)=LOOKUP(2,1/ISNUMBER(#REF!),#REF!),OFFSET(#REF!,0,0,COUNTA(#REF!)-2,1),NA())</definedName>
    <definedName name="Valores12" localSheetId="1">IF(OFFSET('[29]26 - Tabela 12'!$D$9,0,0,COUNTA('[29]26 - Tabela 12'!$E:$E)-2,1)=LOOKUP(2,1/ISNUMBER('[29]26 - Tabela 12'!$D:$D),'[29]26 - Tabela 12'!$D:$D),OFFSET('[29]26 - Tabela 12'!$E$9,0,0,COUNTA('[29]26 - Tabela 12'!$E:$E)-2,1),NA())</definedName>
    <definedName name="Valores12" localSheetId="9">IF(OFFSET(#REF!,0,0,COUNTA(#REF!)-2,1)=LOOKUP(2,1/ISNUMBER(#REF!),#REF!),OFFSET(#REF!,0,0,COUNTA(#REF!)-2,1),NA())</definedName>
    <definedName name="Valores12" localSheetId="5">IF(OFFSET('[29]26 - Tabela 12'!$D$9,0,0,COUNTA('[29]26 - Tabela 12'!$E:$E)-2,1)=LOOKUP(2,1/ISNUMBER('[29]26 - Tabela 12'!$D:$D),'[29]26 - Tabela 12'!$D:$D),OFFSET('[29]26 - Tabela 12'!$E$9,0,0,COUNTA('[29]26 - Tabela 12'!$E:$E)-2,1),NA())</definedName>
    <definedName name="Valores12" localSheetId="4">IF(OFFSET(#REF!,0,0,COUNTA(#REF!)-2,1)=LOOKUP(2,1/ISNUMBER(#REF!),#REF!),OFFSET(#REF!,0,0,COUNTA(#REF!)-2,1),NA())</definedName>
    <definedName name="Valores12">IF(OFFSET(#REF!,0,0,COUNTA(#REF!)-2,1)=LOOKUP(2,1/ISNUMBER(#REF!),#REF!),OFFSET(#REF!,0,0,COUNTA(#REF!)-2,1),NA())</definedName>
    <definedName name="Valores13" localSheetId="3">IF(OFFSET(#REF!,0,0,COUNTA(#REF!)-2,1)=LOOKUP(2,1/ISNUMBER(#REF!),#REF!),OFFSET(#REF!,0,0,COUNTA(#REF!)-2,1),NA())</definedName>
    <definedName name="Valores13" localSheetId="1">IF(OFFSET('[29]28 - Tabela 13'!$D$9,0,0,COUNTA('[29]28 - Tabela 13'!$E:$E)-2,1)=LOOKUP(2,1/ISNUMBER('[29]28 - Tabela 13'!$D:$D),'[29]28 - Tabela 13'!$D:$D),OFFSET('[29]28 - Tabela 13'!$E$9,0,0,COUNTA('[29]28 - Tabela 13'!$E:$E)-2,1),NA())</definedName>
    <definedName name="Valores13" localSheetId="9">IF(OFFSET(#REF!,0,0,COUNTA(#REF!)-2,1)=LOOKUP(2,1/ISNUMBER(#REF!),#REF!),OFFSET(#REF!,0,0,COUNTA(#REF!)-2,1),NA())</definedName>
    <definedName name="Valores13" localSheetId="5">IF(OFFSET('[29]28 - Tabela 13'!$D$9,0,0,COUNTA('[29]28 - Tabela 13'!$E:$E)-2,1)=LOOKUP(2,1/ISNUMBER('[29]28 - Tabela 13'!$D:$D),'[29]28 - Tabela 13'!$D:$D),OFFSET('[29]28 - Tabela 13'!$E$9,0,0,COUNTA('[29]28 - Tabela 13'!$E:$E)-2,1),NA())</definedName>
    <definedName name="Valores13" localSheetId="4">IF(OFFSET(#REF!,0,0,COUNTA(#REF!)-2,1)=LOOKUP(2,1/ISNUMBER(#REF!),#REF!),OFFSET(#REF!,0,0,COUNTA(#REF!)-2,1),NA())</definedName>
    <definedName name="Valores13">IF(OFFSET(#REF!,0,0,COUNTA(#REF!)-2,1)=LOOKUP(2,1/ISNUMBER(#REF!),#REF!),OFFSET(#REF!,0,0,COUNTA(#REF!)-2,1),NA())</definedName>
    <definedName name="Valores14" localSheetId="3">IF(OFFSET(#REF!,0,0,COUNTA(#REF!)-2,1)=LOOKUP(2,1/ISNUMBER(#REF!),#REF!),OFFSET(#REF!,0,0,COUNTA(#REF!)-2,1),NA())</definedName>
    <definedName name="Valores14" localSheetId="1">IF(OFFSET('[29]30 - Tabela 14'!$D$9,0,0,COUNTA('[29]30 - Tabela 14'!$E:$E)-2,1)=LOOKUP(2,1/ISNUMBER('[29]30 - Tabela 14'!$D:$D),'[29]30 - Tabela 14'!$D:$D),OFFSET('[29]30 - Tabela 14'!$E$9,0,0,COUNTA('[29]30 - Tabela 14'!$E:$E)-2,1),NA())</definedName>
    <definedName name="Valores14" localSheetId="9">IF(OFFSET(#REF!,0,0,COUNTA(#REF!)-2,1)=LOOKUP(2,1/ISNUMBER(#REF!),#REF!),OFFSET(#REF!,0,0,COUNTA(#REF!)-2,1),NA())</definedName>
    <definedName name="Valores14" localSheetId="5">IF(OFFSET('[29]30 - Tabela 14'!$D$9,0,0,COUNTA('[29]30 - Tabela 14'!$E:$E)-2,1)=LOOKUP(2,1/ISNUMBER('[29]30 - Tabela 14'!$D:$D),'[29]30 - Tabela 14'!$D:$D),OFFSET('[29]30 - Tabela 14'!$E$9,0,0,COUNTA('[29]30 - Tabela 14'!$E:$E)-2,1),NA())</definedName>
    <definedName name="Valores14" localSheetId="4">IF(OFFSET(#REF!,0,0,COUNTA(#REF!)-2,1)=LOOKUP(2,1/ISNUMBER(#REF!),#REF!),OFFSET(#REF!,0,0,COUNTA(#REF!)-2,1),NA())</definedName>
    <definedName name="Valores14">IF(OFFSET(#REF!,0,0,COUNTA(#REF!)-2,1)=LOOKUP(2,1/ISNUMBER(#REF!),#REF!),OFFSET(#REF!,0,0,COUNTA(#REF!)-2,1),NA())</definedName>
    <definedName name="Valores15" localSheetId="3">IF(OFFSET(#REF!,0,0,COUNTA(#REF!)-2,1)=LOOKUP(2,1/ISNUMBER(#REF!),#REF!),OFFSET(#REF!,0,0,COUNTA(#REF!)-2,1),NA())</definedName>
    <definedName name="Valores15" localSheetId="1">IF(OFFSET('[29]32 - Tabela 15'!$D$9,0,0,COUNTA('[29]32 - Tabela 15'!$E:$E)-2,1)=LOOKUP(2,1/ISNUMBER('[29]32 - Tabela 15'!$D:$D),'[29]32 - Tabela 15'!$D:$D),OFFSET('[29]32 - Tabela 15'!$E$9,0,0,COUNTA('[29]32 - Tabela 15'!$E:$E)-2,1),NA())</definedName>
    <definedName name="Valores15" localSheetId="9">IF(OFFSET(#REF!,0,0,COUNTA(#REF!)-2,1)=LOOKUP(2,1/ISNUMBER(#REF!),#REF!),OFFSET(#REF!,0,0,COUNTA(#REF!)-2,1),NA())</definedName>
    <definedName name="Valores15" localSheetId="5">IF(OFFSET('[29]32 - Tabela 15'!$D$9,0,0,COUNTA('[29]32 - Tabela 15'!$E:$E)-2,1)=LOOKUP(2,1/ISNUMBER('[29]32 - Tabela 15'!$D:$D),'[29]32 - Tabela 15'!$D:$D),OFFSET('[29]32 - Tabela 15'!$E$9,0,0,COUNTA('[29]32 - Tabela 15'!$E:$E)-2,1),NA())</definedName>
    <definedName name="Valores15" localSheetId="4">IF(OFFSET(#REF!,0,0,COUNTA(#REF!)-2,1)=LOOKUP(2,1/ISNUMBER(#REF!),#REF!),OFFSET(#REF!,0,0,COUNTA(#REF!)-2,1),NA())</definedName>
    <definedName name="Valores15">IF(OFFSET(#REF!,0,0,COUNTA(#REF!)-2,1)=LOOKUP(2,1/ISNUMBER(#REF!),#REF!),OFFSET(#REF!,0,0,COUNTA(#REF!)-2,1),NA())</definedName>
    <definedName name="Valores16" localSheetId="3">IF(OFFSET(#REF!,0,0,COUNTA(#REF!)-2,1)=LOOKUP(2,1/ISNUMBER(#REF!),#REF!),OFFSET(#REF!,0,0,COUNTA(#REF!)-2,1),NA())</definedName>
    <definedName name="Valores16" localSheetId="1">IF(OFFSET('[29]34 - Tabela 16'!$D$9,0,0,COUNTA('[29]34 - Tabela 16'!$E:$E)-2,1)=LOOKUP(2,1/ISNUMBER('[29]34 - Tabela 16'!$D:$D),'[29]34 - Tabela 16'!$D:$D),OFFSET('[29]34 - Tabela 16'!$E$9,0,0,COUNTA('[29]34 - Tabela 16'!$E:$E)-2,1),NA())</definedName>
    <definedName name="Valores16" localSheetId="9">IF(OFFSET(#REF!,0,0,COUNTA(#REF!)-2,1)=LOOKUP(2,1/ISNUMBER(#REF!),#REF!),OFFSET(#REF!,0,0,COUNTA(#REF!)-2,1),NA())</definedName>
    <definedName name="Valores16" localSheetId="5">IF(OFFSET('[29]34 - Tabela 16'!$D$9,0,0,COUNTA('[29]34 - Tabela 16'!$E:$E)-2,1)=LOOKUP(2,1/ISNUMBER('[29]34 - Tabela 16'!$D:$D),'[29]34 - Tabela 16'!$D:$D),OFFSET('[29]34 - Tabela 16'!$E$9,0,0,COUNTA('[29]34 - Tabela 16'!$E:$E)-2,1),NA())</definedName>
    <definedName name="Valores16" localSheetId="4">IF(OFFSET(#REF!,0,0,COUNTA(#REF!)-2,1)=LOOKUP(2,1/ISNUMBER(#REF!),#REF!),OFFSET(#REF!,0,0,COUNTA(#REF!)-2,1),NA())</definedName>
    <definedName name="Valores16">IF(OFFSET(#REF!,0,0,COUNTA(#REF!)-2,1)=LOOKUP(2,1/ISNUMBER(#REF!),#REF!),OFFSET(#REF!,0,0,COUNTA(#REF!)-2,1),NA())</definedName>
    <definedName name="Valores17" localSheetId="3">IF(OFFSET(#REF!,0,0,COUNTA(#REF!)-2,1)=LOOKUP(2,1/ISNUMBER(#REF!),#REF!),OFFSET(#REF!,0,0,COUNTA(#REF!)-2,1),NA())</definedName>
    <definedName name="Valores17" localSheetId="1">IF(OFFSET('[29]36 - Tabela 17'!$D$9,0,0,COUNTA('[29]36 - Tabela 17'!$E:$E)-2,1)=LOOKUP(2,1/ISNUMBER('[29]36 - Tabela 17'!$D:$D),'[29]36 - Tabela 17'!$D:$D),OFFSET('[29]36 - Tabela 17'!$E$9,0,0,COUNTA('[29]36 - Tabela 17'!$E:$E)-2,1),NA())</definedName>
    <definedName name="Valores17" localSheetId="9">IF(OFFSET(#REF!,0,0,COUNTA(#REF!)-2,1)=LOOKUP(2,1/ISNUMBER(#REF!),#REF!),OFFSET(#REF!,0,0,COUNTA(#REF!)-2,1),NA())</definedName>
    <definedName name="Valores17" localSheetId="5">IF(OFFSET('[29]36 - Tabela 17'!$D$9,0,0,COUNTA('[29]36 - Tabela 17'!$E:$E)-2,1)=LOOKUP(2,1/ISNUMBER('[29]36 - Tabela 17'!$D:$D),'[29]36 - Tabela 17'!$D:$D),OFFSET('[29]36 - Tabela 17'!$E$9,0,0,COUNTA('[29]36 - Tabela 17'!$E:$E)-2,1),NA())</definedName>
    <definedName name="Valores17" localSheetId="4">IF(OFFSET(#REF!,0,0,COUNTA(#REF!)-2,1)=LOOKUP(2,1/ISNUMBER(#REF!),#REF!),OFFSET(#REF!,0,0,COUNTA(#REF!)-2,1),NA())</definedName>
    <definedName name="Valores17">IF(OFFSET(#REF!,0,0,COUNTA(#REF!)-2,1)=LOOKUP(2,1/ISNUMBER(#REF!),#REF!),OFFSET(#REF!,0,0,COUNTA(#REF!)-2,1),NA())</definedName>
    <definedName name="Valores18" localSheetId="3">IF(OFFSET(#REF!,0,0,COUNTA(#REF!)-2,1)=LOOKUP(2,1/ISNUMBER(#REF!),#REF!),OFFSET(#REF!,0,0,COUNTA(#REF!)-2,1),NA())</definedName>
    <definedName name="Valores18" localSheetId="1">IF(OFFSET('[29]38 - Tabela 18'!$D$9,0,0,COUNTA('[29]38 - Tabela 18'!$E:$E)-2,1)=LOOKUP(2,1/ISNUMBER('[29]38 - Tabela 18'!$D:$D),'[29]38 - Tabela 18'!$D:$D),OFFSET('[29]38 - Tabela 18'!$E$9,0,0,COUNTA('[29]38 - Tabela 18'!$E:$E)-2,1),NA())</definedName>
    <definedName name="Valores18" localSheetId="9">IF(OFFSET(#REF!,0,0,COUNTA(#REF!)-2,1)=LOOKUP(2,1/ISNUMBER(#REF!),#REF!),OFFSET(#REF!,0,0,COUNTA(#REF!)-2,1),NA())</definedName>
    <definedName name="Valores18" localSheetId="5">IF(OFFSET('[29]38 - Tabela 18'!$D$9,0,0,COUNTA('[29]38 - Tabela 18'!$E:$E)-2,1)=LOOKUP(2,1/ISNUMBER('[29]38 - Tabela 18'!$D:$D),'[29]38 - Tabela 18'!$D:$D),OFFSET('[29]38 - Tabela 18'!$E$9,0,0,COUNTA('[29]38 - Tabela 18'!$E:$E)-2,1),NA())</definedName>
    <definedName name="Valores18" localSheetId="4">IF(OFFSET(#REF!,0,0,COUNTA(#REF!)-2,1)=LOOKUP(2,1/ISNUMBER(#REF!),#REF!),OFFSET(#REF!,0,0,COUNTA(#REF!)-2,1),NA())</definedName>
    <definedName name="Valores18">IF(OFFSET(#REF!,0,0,COUNTA(#REF!)-2,1)=LOOKUP(2,1/ISNUMBER(#REF!),#REF!),OFFSET(#REF!,0,0,COUNTA(#REF!)-2,1),NA())</definedName>
    <definedName name="Valores19" localSheetId="3">IF(OFFSET(#REF!,0,0,COUNTA(#REF!)-2,1)=LOOKUP(2,1/ISNUMBER(#REF!),#REF!),OFFSET(#REF!,0,0,COUNTA(#REF!)-2,1),NA())</definedName>
    <definedName name="Valores19" localSheetId="1">IF(OFFSET('[29]40 - Tabela 19'!$D$9,0,0,COUNTA('[29]40 - Tabela 19'!$E:$E)-2,1)=LOOKUP(2,1/ISNUMBER('[29]40 - Tabela 19'!$D:$D),'[29]40 - Tabela 19'!$D:$D),OFFSET('[29]40 - Tabela 19'!$E$9,0,0,COUNTA('[29]40 - Tabela 19'!$E:$E)-2,1),NA())</definedName>
    <definedName name="Valores19" localSheetId="9">IF(OFFSET(#REF!,0,0,COUNTA(#REF!)-2,1)=LOOKUP(2,1/ISNUMBER(#REF!),#REF!),OFFSET(#REF!,0,0,COUNTA(#REF!)-2,1),NA())</definedName>
    <definedName name="Valores19" localSheetId="5">IF(OFFSET('[29]40 - Tabela 19'!$D$9,0,0,COUNTA('[29]40 - Tabela 19'!$E:$E)-2,1)=LOOKUP(2,1/ISNUMBER('[29]40 - Tabela 19'!$D:$D),'[29]40 - Tabela 19'!$D:$D),OFFSET('[29]40 - Tabela 19'!$E$9,0,0,COUNTA('[29]40 - Tabela 19'!$E:$E)-2,1),NA())</definedName>
    <definedName name="Valores19" localSheetId="4">IF(OFFSET(#REF!,0,0,COUNTA(#REF!)-2,1)=LOOKUP(2,1/ISNUMBER(#REF!),#REF!),OFFSET(#REF!,0,0,COUNTA(#REF!)-2,1),NA())</definedName>
    <definedName name="Valores19">IF(OFFSET(#REF!,0,0,COUNTA(#REF!)-2,1)=LOOKUP(2,1/ISNUMBER(#REF!),#REF!),OFFSET(#REF!,0,0,COUNTA(#REF!)-2,1),NA())</definedName>
    <definedName name="Valores2" localSheetId="3">IF(OFFSET(#REF!,0,0,COUNTA(#REF!)-2,1)=LOOKUP(2,1/ISNUMBER(#REF!),#REF!),OFFSET(#REF!,0,0,COUNTA(#REF!)-2,1),NA())</definedName>
    <definedName name="Valores2" localSheetId="1">IF(OFFSET('[29]6 - Tabela 2'!$D$9,0,0,COUNTA('[29]6 - Tabela 2'!$E:$E)-2,1)=LOOKUP(2,1/ISNUMBER('[29]6 - Tabela 2'!$D:$D),'[29]6 - Tabela 2'!$D:$D),OFFSET('[29]6 - Tabela 2'!$E$9,0,0,COUNTA('[29]6 - Tabela 2'!$E:$E)-2,1),NA())</definedName>
    <definedName name="Valores2" localSheetId="9">IF(OFFSET(#REF!,0,0,COUNTA(#REF!)-2,1)=LOOKUP(2,1/ISNUMBER(#REF!),#REF!),OFFSET(#REF!,0,0,COUNTA(#REF!)-2,1),NA())</definedName>
    <definedName name="Valores2" localSheetId="5">IF(OFFSET('[29]6 - Tabela 2'!$D$9,0,0,COUNTA('[29]6 - Tabela 2'!$E:$E)-2,1)=LOOKUP(2,1/ISNUMBER('[29]6 - Tabela 2'!$D:$D),'[29]6 - Tabela 2'!$D:$D),OFFSET('[29]6 - Tabela 2'!$E$9,0,0,COUNTA('[29]6 - Tabela 2'!$E:$E)-2,1),NA())</definedName>
    <definedName name="Valores2" localSheetId="4">IF(OFFSET(#REF!,0,0,COUNTA(#REF!)-2,1)=LOOKUP(2,1/ISNUMBER(#REF!),#REF!),OFFSET(#REF!,0,0,COUNTA(#REF!)-2,1),NA())</definedName>
    <definedName name="Valores2">IF(OFFSET(#REF!,0,0,COUNTA(#REF!)-2,1)=LOOKUP(2,1/ISNUMBER(#REF!),#REF!),OFFSET(#REF!,0,0,COUNTA(#REF!)-2,1),NA())</definedName>
    <definedName name="Valores20" localSheetId="3">IF(OFFSET(#REF!,0,0,COUNTA(#REF!)-2,1)=LOOKUP(2,1/ISNUMBER(#REF!),#REF!),OFFSET(#REF!,0,0,COUNTA(#REF!)-2,1),NA())</definedName>
    <definedName name="Valores20" localSheetId="1">IF(OFFSET('[29]42 - Tabela 20'!$D$9,0,0,COUNTA('[29]42 - Tabela 20'!$E:$E)-2,1)=LOOKUP(2,1/ISNUMBER('[29]42 - Tabela 20'!$D:$D),'[29]42 - Tabela 20'!$D:$D),OFFSET('[29]42 - Tabela 20'!$E$9,0,0,COUNTA('[29]42 - Tabela 20'!$E:$E)-2,1),NA())</definedName>
    <definedName name="Valores20" localSheetId="9">IF(OFFSET(#REF!,0,0,COUNTA(#REF!)-2,1)=LOOKUP(2,1/ISNUMBER(#REF!),#REF!),OFFSET(#REF!,0,0,COUNTA(#REF!)-2,1),NA())</definedName>
    <definedName name="Valores20" localSheetId="5">IF(OFFSET('[29]42 - Tabela 20'!$D$9,0,0,COUNTA('[29]42 - Tabela 20'!$E:$E)-2,1)=LOOKUP(2,1/ISNUMBER('[29]42 - Tabela 20'!$D:$D),'[29]42 - Tabela 20'!$D:$D),OFFSET('[29]42 - Tabela 20'!$E$9,0,0,COUNTA('[29]42 - Tabela 20'!$E:$E)-2,1),NA())</definedName>
    <definedName name="Valores20" localSheetId="4">IF(OFFSET(#REF!,0,0,COUNTA(#REF!)-2,1)=LOOKUP(2,1/ISNUMBER(#REF!),#REF!),OFFSET(#REF!,0,0,COUNTA(#REF!)-2,1),NA())</definedName>
    <definedName name="Valores20">IF(OFFSET(#REF!,0,0,COUNTA(#REF!)-2,1)=LOOKUP(2,1/ISNUMBER(#REF!),#REF!),OFFSET(#REF!,0,0,COUNTA(#REF!)-2,1),NA())</definedName>
    <definedName name="Valores21" localSheetId="3">IF(OFFSET(#REF!,0,0,COUNTA(#REF!)-2,1)=LOOKUP(2,1/ISNUMBER(#REF!),#REF!),OFFSET(#REF!,0,0,COUNTA(#REF!)-2,1),NA())</definedName>
    <definedName name="Valores21" localSheetId="1">IF(OFFSET('[29]44 - Tabela 21'!$D$9,0,0,COUNTA('[29]44 - Tabela 21'!$E:$E)-2,1)=LOOKUP(2,1/ISNUMBER('[29]44 - Tabela 21'!$D:$D),'[29]44 - Tabela 21'!$D:$D),OFFSET('[29]44 - Tabela 21'!$E$9,0,0,COUNTA('[29]44 - Tabela 21'!$E:$E)-2,1),NA())</definedName>
    <definedName name="Valores21" localSheetId="9">IF(OFFSET(#REF!,0,0,COUNTA(#REF!)-2,1)=LOOKUP(2,1/ISNUMBER(#REF!),#REF!),OFFSET(#REF!,0,0,COUNTA(#REF!)-2,1),NA())</definedName>
    <definedName name="Valores21" localSheetId="5">IF(OFFSET('[29]44 - Tabela 21'!$D$9,0,0,COUNTA('[29]44 - Tabela 21'!$E:$E)-2,1)=LOOKUP(2,1/ISNUMBER('[29]44 - Tabela 21'!$D:$D),'[29]44 - Tabela 21'!$D:$D),OFFSET('[29]44 - Tabela 21'!$E$9,0,0,COUNTA('[29]44 - Tabela 21'!$E:$E)-2,1),NA())</definedName>
    <definedName name="Valores21" localSheetId="4">IF(OFFSET(#REF!,0,0,COUNTA(#REF!)-2,1)=LOOKUP(2,1/ISNUMBER(#REF!),#REF!),OFFSET(#REF!,0,0,COUNTA(#REF!)-2,1),NA())</definedName>
    <definedName name="Valores21">IF(OFFSET(#REF!,0,0,COUNTA(#REF!)-2,1)=LOOKUP(2,1/ISNUMBER(#REF!),#REF!),OFFSET(#REF!,0,0,COUNTA(#REF!)-2,1),NA())</definedName>
    <definedName name="Valores22" localSheetId="3">IF(OFFSET(#REF!,0,0,COUNTA(#REF!)-2,1)=LOOKUP(2,1/ISNUMBER(#REF!),#REF!),OFFSET(#REF!,0,0,COUNTA(#REF!)-2,1),NA())</definedName>
    <definedName name="Valores22" localSheetId="1">IF(OFFSET('[29]46 - Tabela 22'!$D$9,0,0,COUNTA('[29]46 - Tabela 22'!$E:$E)-2,1)=LOOKUP(2,1/ISNUMBER('[29]46 - Tabela 22'!$D:$D),'[29]46 - Tabela 22'!$D:$D),OFFSET('[29]46 - Tabela 22'!$E$9,0,0,COUNTA('[29]46 - Tabela 22'!$E:$E)-2,1),NA())</definedName>
    <definedName name="Valores22" localSheetId="9">IF(OFFSET(#REF!,0,0,COUNTA(#REF!)-2,1)=LOOKUP(2,1/ISNUMBER(#REF!),#REF!),OFFSET(#REF!,0,0,COUNTA(#REF!)-2,1),NA())</definedName>
    <definedName name="Valores22" localSheetId="5">IF(OFFSET('[29]46 - Tabela 22'!$D$9,0,0,COUNTA('[29]46 - Tabela 22'!$E:$E)-2,1)=LOOKUP(2,1/ISNUMBER('[29]46 - Tabela 22'!$D:$D),'[29]46 - Tabela 22'!$D:$D),OFFSET('[29]46 - Tabela 22'!$E$9,0,0,COUNTA('[29]46 - Tabela 22'!$E:$E)-2,1),NA())</definedName>
    <definedName name="Valores22" localSheetId="4">IF(OFFSET(#REF!,0,0,COUNTA(#REF!)-2,1)=LOOKUP(2,1/ISNUMBER(#REF!),#REF!),OFFSET(#REF!,0,0,COUNTA(#REF!)-2,1),NA())</definedName>
    <definedName name="Valores22">IF(OFFSET(#REF!,0,0,COUNTA(#REF!)-2,1)=LOOKUP(2,1/ISNUMBER(#REF!),#REF!),OFFSET(#REF!,0,0,COUNTA(#REF!)-2,1),NA())</definedName>
    <definedName name="Valores23" localSheetId="3">IF(OFFSET(#REF!,0,0,COUNTA(#REF!)-2,1)=LOOKUP(2,1/ISNUMBER(#REF!),#REF!),OFFSET(#REF!,0,0,COUNTA(#REF!)-2,1),NA())</definedName>
    <definedName name="Valores23" localSheetId="1">IF(OFFSET('[29]48 - Tabela 23'!$D$9,0,0,COUNTA('[29]48 - Tabela 23'!$E:$E)-2,1)=LOOKUP(2,1/ISNUMBER('[29]48 - Tabela 23'!$D:$D),'[29]48 - Tabela 23'!$D:$D),OFFSET('[29]48 - Tabela 23'!$E$9,0,0,COUNTA('[29]48 - Tabela 23'!$E:$E)-2,1),NA())</definedName>
    <definedName name="Valores23" localSheetId="9">IF(OFFSET(#REF!,0,0,COUNTA(#REF!)-2,1)=LOOKUP(2,1/ISNUMBER(#REF!),#REF!),OFFSET(#REF!,0,0,COUNTA(#REF!)-2,1),NA())</definedName>
    <definedName name="Valores23" localSheetId="5">IF(OFFSET('[29]48 - Tabela 23'!$D$9,0,0,COUNTA('[29]48 - Tabela 23'!$E:$E)-2,1)=LOOKUP(2,1/ISNUMBER('[29]48 - Tabela 23'!$D:$D),'[29]48 - Tabela 23'!$D:$D),OFFSET('[29]48 - Tabela 23'!$E$9,0,0,COUNTA('[29]48 - Tabela 23'!$E:$E)-2,1),NA())</definedName>
    <definedName name="Valores23" localSheetId="4">IF(OFFSET(#REF!,0,0,COUNTA(#REF!)-2,1)=LOOKUP(2,1/ISNUMBER(#REF!),#REF!),OFFSET(#REF!,0,0,COUNTA(#REF!)-2,1),NA())</definedName>
    <definedName name="Valores23">IF(OFFSET(#REF!,0,0,COUNTA(#REF!)-2,1)=LOOKUP(2,1/ISNUMBER(#REF!),#REF!),OFFSET(#REF!,0,0,COUNTA(#REF!)-2,1),NA())</definedName>
    <definedName name="Valores24" localSheetId="3">IF(OFFSET(#REF!,0,0,COUNTA(#REF!)-2,1)=LOOKUP(2,1/ISNUMBER(#REF!),#REF!),OFFSET(#REF!,0,0,COUNTA(#REF!)-2,1),NA())</definedName>
    <definedName name="Valores24" localSheetId="1">IF(OFFSET('[29]50 - Tabela 24'!$D$9,0,0,COUNTA('[29]50 - Tabela 24'!$E:$E)-2,1)=LOOKUP(2,1/ISNUMBER('[29]50 - Tabela 24'!$D:$D),'[29]50 - Tabela 24'!$D:$D),OFFSET('[29]50 - Tabela 24'!$E$9,0,0,COUNTA('[29]50 - Tabela 24'!$E:$E)-2,1),NA())</definedName>
    <definedName name="Valores24" localSheetId="9">IF(OFFSET(#REF!,0,0,COUNTA(#REF!)-2,1)=LOOKUP(2,1/ISNUMBER(#REF!),#REF!),OFFSET(#REF!,0,0,COUNTA(#REF!)-2,1),NA())</definedName>
    <definedName name="Valores24" localSheetId="5">IF(OFFSET('[29]50 - Tabela 24'!$D$9,0,0,COUNTA('[29]50 - Tabela 24'!$E:$E)-2,1)=LOOKUP(2,1/ISNUMBER('[29]50 - Tabela 24'!$D:$D),'[29]50 - Tabela 24'!$D:$D),OFFSET('[29]50 - Tabela 24'!$E$9,0,0,COUNTA('[29]50 - Tabela 24'!$E:$E)-2,1),NA())</definedName>
    <definedName name="Valores24" localSheetId="4">IF(OFFSET(#REF!,0,0,COUNTA(#REF!)-2,1)=LOOKUP(2,1/ISNUMBER(#REF!),#REF!),OFFSET(#REF!,0,0,COUNTA(#REF!)-2,1),NA())</definedName>
    <definedName name="Valores24">IF(OFFSET(#REF!,0,0,COUNTA(#REF!)-2,1)=LOOKUP(2,1/ISNUMBER(#REF!),#REF!),OFFSET(#REF!,0,0,COUNTA(#REF!)-2,1),NA())</definedName>
    <definedName name="Valores25" localSheetId="3">IF(OFFSET(#REF!,0,0,COUNTA(#REF!)-2,1)=LOOKUP(2,1/ISNUMBER(#REF!),#REF!),OFFSET(#REF!,0,0,COUNTA(#REF!)-2,1),NA())</definedName>
    <definedName name="Valores25" localSheetId="1">IF(OFFSET('[29]52 - Tabela 25'!$D$9,0,0,COUNTA('[29]52 - Tabela 25'!$E:$E)-2,1)=LOOKUP(2,1/ISNUMBER('[29]52 - Tabela 25'!$D:$D),'[29]52 - Tabela 25'!$D:$D),OFFSET('[29]52 - Tabela 25'!$E$9,0,0,COUNTA('[29]52 - Tabela 25'!$E:$E)-2,1),NA())</definedName>
    <definedName name="Valores25" localSheetId="9">IF(OFFSET(#REF!,0,0,COUNTA(#REF!)-2,1)=LOOKUP(2,1/ISNUMBER(#REF!),#REF!),OFFSET(#REF!,0,0,COUNTA(#REF!)-2,1),NA())</definedName>
    <definedName name="Valores25" localSheetId="5">IF(OFFSET('[29]52 - Tabela 25'!$D$9,0,0,COUNTA('[29]52 - Tabela 25'!$E:$E)-2,1)=LOOKUP(2,1/ISNUMBER('[29]52 - Tabela 25'!$D:$D),'[29]52 - Tabela 25'!$D:$D),OFFSET('[29]52 - Tabela 25'!$E$9,0,0,COUNTA('[29]52 - Tabela 25'!$E:$E)-2,1),NA())</definedName>
    <definedName name="Valores25" localSheetId="4">IF(OFFSET(#REF!,0,0,COUNTA(#REF!)-2,1)=LOOKUP(2,1/ISNUMBER(#REF!),#REF!),OFFSET(#REF!,0,0,COUNTA(#REF!)-2,1),NA())</definedName>
    <definedName name="Valores25">IF(OFFSET(#REF!,0,0,COUNTA(#REF!)-2,1)=LOOKUP(2,1/ISNUMBER(#REF!),#REF!),OFFSET(#REF!,0,0,COUNTA(#REF!)-2,1),NA())</definedName>
    <definedName name="Valores26" localSheetId="3">IF(OFFSET(#REF!,0,0,COUNTA(#REF!)-2,1)=LOOKUP(2,1/ISNUMBER(#REF!),#REF!),OFFSET(#REF!,0,0,COUNTA(#REF!)-2,1),NA())</definedName>
    <definedName name="Valores26" localSheetId="1">IF(OFFSET('[29]54 - Tabela 26'!$D$9,0,0,COUNTA('[29]54 - Tabela 26'!$E:$E)-2,1)=LOOKUP(2,1/ISNUMBER('[29]54 - Tabela 26'!$D:$D),'[29]54 - Tabela 26'!$D:$D),OFFSET('[29]54 - Tabela 26'!$E$9,0,0,COUNTA('[29]54 - Tabela 26'!$E:$E)-2,1),NA())</definedName>
    <definedName name="Valores26" localSheetId="9">IF(OFFSET(#REF!,0,0,COUNTA(#REF!)-2,1)=LOOKUP(2,1/ISNUMBER(#REF!),#REF!),OFFSET(#REF!,0,0,COUNTA(#REF!)-2,1),NA())</definedName>
    <definedName name="Valores26" localSheetId="5">IF(OFFSET('[29]54 - Tabela 26'!$D$9,0,0,COUNTA('[29]54 - Tabela 26'!$E:$E)-2,1)=LOOKUP(2,1/ISNUMBER('[29]54 - Tabela 26'!$D:$D),'[29]54 - Tabela 26'!$D:$D),OFFSET('[29]54 - Tabela 26'!$E$9,0,0,COUNTA('[29]54 - Tabela 26'!$E:$E)-2,1),NA())</definedName>
    <definedName name="Valores26" localSheetId="4">IF(OFFSET(#REF!,0,0,COUNTA(#REF!)-2,1)=LOOKUP(2,1/ISNUMBER(#REF!),#REF!),OFFSET(#REF!,0,0,COUNTA(#REF!)-2,1),NA())</definedName>
    <definedName name="Valores26">IF(OFFSET(#REF!,0,0,COUNTA(#REF!)-2,1)=LOOKUP(2,1/ISNUMBER(#REF!),#REF!),OFFSET(#REF!,0,0,COUNTA(#REF!)-2,1),NA())</definedName>
    <definedName name="Valores27" localSheetId="3">IF(OFFSET(#REF!,0,0,COUNTA(#REF!)-2,1)=LOOKUP(2,1/ISNUMBER(#REF!),#REF!),OFFSET(#REF!,0,0,COUNTA(#REF!)-2,1),NA())</definedName>
    <definedName name="Valores27" localSheetId="1">IF(OFFSET('[29]56 - Tabela 27'!$D$9,0,0,COUNTA('[29]56 - Tabela 27'!$E:$E)-2,1)=LOOKUP(2,1/ISNUMBER('[29]56 - Tabela 27'!$D:$D),'[29]56 - Tabela 27'!$D:$D),OFFSET('[29]56 - Tabela 27'!$E$9,0,0,COUNTA('[29]56 - Tabela 27'!$E:$E)-2,1),NA())</definedName>
    <definedName name="Valores27" localSheetId="9">IF(OFFSET(#REF!,0,0,COUNTA(#REF!)-2,1)=LOOKUP(2,1/ISNUMBER(#REF!),#REF!),OFFSET(#REF!,0,0,COUNTA(#REF!)-2,1),NA())</definedName>
    <definedName name="Valores27" localSheetId="5">IF(OFFSET('[29]56 - Tabela 27'!$D$9,0,0,COUNTA('[29]56 - Tabela 27'!$E:$E)-2,1)=LOOKUP(2,1/ISNUMBER('[29]56 - Tabela 27'!$D:$D),'[29]56 - Tabela 27'!$D:$D),OFFSET('[29]56 - Tabela 27'!$E$9,0,0,COUNTA('[29]56 - Tabela 27'!$E:$E)-2,1),NA())</definedName>
    <definedName name="Valores27" localSheetId="4">IF(OFFSET(#REF!,0,0,COUNTA(#REF!)-2,1)=LOOKUP(2,1/ISNUMBER(#REF!),#REF!),OFFSET(#REF!,0,0,COUNTA(#REF!)-2,1),NA())</definedName>
    <definedName name="Valores27">IF(OFFSET(#REF!,0,0,COUNTA(#REF!)-2,1)=LOOKUP(2,1/ISNUMBER(#REF!),#REF!),OFFSET(#REF!,0,0,COUNTA(#REF!)-2,1),NA())</definedName>
    <definedName name="Valores28" localSheetId="3">IF(OFFSET(#REF!,0,0,COUNTA(#REF!)-2,1)=LOOKUP(2,1/ISNUMBER(#REF!),#REF!),OFFSET(#REF!,0,0,COUNTA(#REF!)-2,1),NA())</definedName>
    <definedName name="Valores28" localSheetId="1">IF(OFFSET('[29]58 - Tabela 28'!$D$9,0,0,COUNTA('[29]58 - Tabela 28'!$E:$E)-2,1)=LOOKUP(2,1/ISNUMBER('[29]58 - Tabela 28'!$D:$D),'[29]58 - Tabela 28'!$D:$D),OFFSET('[29]58 - Tabela 28'!$E$9,0,0,COUNTA('[29]58 - Tabela 28'!$E:$E)-2,1),NA())</definedName>
    <definedName name="Valores28" localSheetId="9">IF(OFFSET(#REF!,0,0,COUNTA(#REF!)-2,1)=LOOKUP(2,1/ISNUMBER(#REF!),#REF!),OFFSET(#REF!,0,0,COUNTA(#REF!)-2,1),NA())</definedName>
    <definedName name="Valores28" localSheetId="5">IF(OFFSET('[29]58 - Tabela 28'!$D$9,0,0,COUNTA('[29]58 - Tabela 28'!$E:$E)-2,1)=LOOKUP(2,1/ISNUMBER('[29]58 - Tabela 28'!$D:$D),'[29]58 - Tabela 28'!$D:$D),OFFSET('[29]58 - Tabela 28'!$E$9,0,0,COUNTA('[29]58 - Tabela 28'!$E:$E)-2,1),NA())</definedName>
    <definedName name="Valores28" localSheetId="4">IF(OFFSET(#REF!,0,0,COUNTA(#REF!)-2,1)=LOOKUP(2,1/ISNUMBER(#REF!),#REF!),OFFSET(#REF!,0,0,COUNTA(#REF!)-2,1),NA())</definedName>
    <definedName name="Valores28">IF(OFFSET(#REF!,0,0,COUNTA(#REF!)-2,1)=LOOKUP(2,1/ISNUMBER(#REF!),#REF!),OFFSET(#REF!,0,0,COUNTA(#REF!)-2,1),NA())</definedName>
    <definedName name="Valores29" localSheetId="3">IF(OFFSET(#REF!,0,0,COUNTA(#REF!)-2,1)=LOOKUP(2,1/ISNUMBER(#REF!),#REF!),OFFSET(#REF!,0,0,COUNTA(#REF!)-2,1),NA())</definedName>
    <definedName name="Valores29" localSheetId="1">IF(OFFSET('[29]60 - Tabela 29'!$D$9,0,0,COUNTA('[29]60 - Tabela 29'!$E:$E)-2,1)=LOOKUP(2,1/ISNUMBER('[29]60 - Tabela 29'!$D:$D),'[29]60 - Tabela 29'!$D:$D),OFFSET('[29]60 - Tabela 29'!$E$9,0,0,COUNTA('[29]60 - Tabela 29'!$E:$E)-2,1),NA())</definedName>
    <definedName name="Valores29" localSheetId="9">IF(OFFSET(#REF!,0,0,COUNTA(#REF!)-2,1)=LOOKUP(2,1/ISNUMBER(#REF!),#REF!),OFFSET(#REF!,0,0,COUNTA(#REF!)-2,1),NA())</definedName>
    <definedName name="Valores29" localSheetId="5">IF(OFFSET('[29]60 - Tabela 29'!$D$9,0,0,COUNTA('[29]60 - Tabela 29'!$E:$E)-2,1)=LOOKUP(2,1/ISNUMBER('[29]60 - Tabela 29'!$D:$D),'[29]60 - Tabela 29'!$D:$D),OFFSET('[29]60 - Tabela 29'!$E$9,0,0,COUNTA('[29]60 - Tabela 29'!$E:$E)-2,1),NA())</definedName>
    <definedName name="Valores29" localSheetId="4">IF(OFFSET(#REF!,0,0,COUNTA(#REF!)-2,1)=LOOKUP(2,1/ISNUMBER(#REF!),#REF!),OFFSET(#REF!,0,0,COUNTA(#REF!)-2,1),NA())</definedName>
    <definedName name="Valores29">IF(OFFSET(#REF!,0,0,COUNTA(#REF!)-2,1)=LOOKUP(2,1/ISNUMBER(#REF!),#REF!),OFFSET(#REF!,0,0,COUNTA(#REF!)-2,1),NA())</definedName>
    <definedName name="Valores3" localSheetId="3">IF(OFFSET(#REF!,0,0,COUNTA(#REF!)-2,1)=LOOKUP(2,1/ISNUMBER(#REF!),#REF!),OFFSET(#REF!,0,0,COUNTA(#REF!)-2,1),NA())</definedName>
    <definedName name="Valores3" localSheetId="1">IF(OFFSET('[29]8 - Tabela 3'!$D$9,0,0,COUNTA('[29]8 - Tabela 3'!$E:$E)-2,1)=LOOKUP(2,1/ISNUMBER('[29]8 - Tabela 3'!$D:$D),'[29]8 - Tabela 3'!$D:$D),OFFSET('[29]8 - Tabela 3'!$E$9,0,0,COUNTA('[29]8 - Tabela 3'!$E:$E)-2,1),NA())</definedName>
    <definedName name="Valores3" localSheetId="9">IF(OFFSET(#REF!,0,0,COUNTA(#REF!)-2,1)=LOOKUP(2,1/ISNUMBER(#REF!),#REF!),OFFSET(#REF!,0,0,COUNTA(#REF!)-2,1),NA())</definedName>
    <definedName name="Valores3" localSheetId="5">IF(OFFSET('[29]8 - Tabela 3'!$D$9,0,0,COUNTA('[29]8 - Tabela 3'!$E:$E)-2,1)=LOOKUP(2,1/ISNUMBER('[29]8 - Tabela 3'!$D:$D),'[29]8 - Tabela 3'!$D:$D),OFFSET('[29]8 - Tabela 3'!$E$9,0,0,COUNTA('[29]8 - Tabela 3'!$E:$E)-2,1),NA())</definedName>
    <definedName name="Valores3" localSheetId="4">IF(OFFSET(#REF!,0,0,COUNTA(#REF!)-2,1)=LOOKUP(2,1/ISNUMBER(#REF!),#REF!),OFFSET(#REF!,0,0,COUNTA(#REF!)-2,1),NA())</definedName>
    <definedName name="Valores3">IF(OFFSET(#REF!,0,0,COUNTA(#REF!)-2,1)=LOOKUP(2,1/ISNUMBER(#REF!),#REF!),OFFSET(#REF!,0,0,COUNTA(#REF!)-2,1),NA())</definedName>
    <definedName name="Valores30" localSheetId="3">IF(OFFSET(#REF!,0,0,COUNTA(#REF!)-2,1)=LOOKUP(2,1/ISNUMBER(#REF!),#REF!),OFFSET(#REF!,0,0,COUNTA(#REF!)-2,1),NA())</definedName>
    <definedName name="Valores30" localSheetId="1">IF(OFFSET('[29]62 - Tabela 30'!$D$9,0,0,COUNTA('[29]62 - Tabela 30'!$E:$E)-2,1)=LOOKUP(2,1/ISNUMBER('[29]62 - Tabela 30'!$D:$D),'[29]62 - Tabela 30'!$D:$D),OFFSET('[29]62 - Tabela 30'!$E$9,0,0,COUNTA('[29]62 - Tabela 30'!$E:$E)-2,1),NA())</definedName>
    <definedName name="Valores30" localSheetId="9">IF(OFFSET(#REF!,0,0,COUNTA(#REF!)-2,1)=LOOKUP(2,1/ISNUMBER(#REF!),#REF!),OFFSET(#REF!,0,0,COUNTA(#REF!)-2,1),NA())</definedName>
    <definedName name="Valores30" localSheetId="5">IF(OFFSET('[29]62 - Tabela 30'!$D$9,0,0,COUNTA('[29]62 - Tabela 30'!$E:$E)-2,1)=LOOKUP(2,1/ISNUMBER('[29]62 - Tabela 30'!$D:$D),'[29]62 - Tabela 30'!$D:$D),OFFSET('[29]62 - Tabela 30'!$E$9,0,0,COUNTA('[29]62 - Tabela 30'!$E:$E)-2,1),NA())</definedName>
    <definedName name="Valores30" localSheetId="4">IF(OFFSET(#REF!,0,0,COUNTA(#REF!)-2,1)=LOOKUP(2,1/ISNUMBER(#REF!),#REF!),OFFSET(#REF!,0,0,COUNTA(#REF!)-2,1),NA())</definedName>
    <definedName name="Valores30">IF(OFFSET(#REF!,0,0,COUNTA(#REF!)-2,1)=LOOKUP(2,1/ISNUMBER(#REF!),#REF!),OFFSET(#REF!,0,0,COUNTA(#REF!)-2,1),NA())</definedName>
    <definedName name="Valores31" localSheetId="3">IF(OFFSET(#REF!,0,0,COUNTA(#REF!)-2,1)=LOOKUP(2,1/ISNUMBER(#REF!),#REF!),OFFSET(#REF!,0,0,COUNTA(#REF!)-2,1),NA())</definedName>
    <definedName name="Valores31" localSheetId="1">IF(OFFSET('[29]64 - Tabela 31'!$D$9,0,0,COUNTA('[29]64 - Tabela 31'!$E:$E)-2,1)=LOOKUP(2,1/ISNUMBER('[29]64 - Tabela 31'!$D:$D),'[29]64 - Tabela 31'!$D:$D),OFFSET('[29]64 - Tabela 31'!$E$9,0,0,COUNTA('[29]64 - Tabela 31'!$E:$E)-2,1),NA())</definedName>
    <definedName name="Valores31" localSheetId="9">IF(OFFSET(#REF!,0,0,COUNTA(#REF!)-2,1)=LOOKUP(2,1/ISNUMBER(#REF!),#REF!),OFFSET(#REF!,0,0,COUNTA(#REF!)-2,1),NA())</definedName>
    <definedName name="Valores31" localSheetId="5">IF(OFFSET('[29]64 - Tabela 31'!$D$9,0,0,COUNTA('[29]64 - Tabela 31'!$E:$E)-2,1)=LOOKUP(2,1/ISNUMBER('[29]64 - Tabela 31'!$D:$D),'[29]64 - Tabela 31'!$D:$D),OFFSET('[29]64 - Tabela 31'!$E$9,0,0,COUNTA('[29]64 - Tabela 31'!$E:$E)-2,1),NA())</definedName>
    <definedName name="Valores31" localSheetId="4">IF(OFFSET(#REF!,0,0,COUNTA(#REF!)-2,1)=LOOKUP(2,1/ISNUMBER(#REF!),#REF!),OFFSET(#REF!,0,0,COUNTA(#REF!)-2,1),NA())</definedName>
    <definedName name="Valores31">IF(OFFSET(#REF!,0,0,COUNTA(#REF!)-2,1)=LOOKUP(2,1/ISNUMBER(#REF!),#REF!),OFFSET(#REF!,0,0,COUNTA(#REF!)-2,1),NA())</definedName>
    <definedName name="Valores32" localSheetId="3">IF(OFFSET(#REF!,0,0,COUNTA(#REF!)-2,1)=LOOKUP(2,1/ISNUMBER(#REF!),#REF!),OFFSET(#REF!,0,0,COUNTA(#REF!)-2,1),NA())</definedName>
    <definedName name="Valores32" localSheetId="1">IF(OFFSET('[29]66 - Tabela 32'!$D$9,0,0,COUNTA('[29]66 - Tabela 32'!$E:$E)-2,1)=LOOKUP(2,1/ISNUMBER('[29]66 - Tabela 32'!$D:$D),'[29]66 - Tabela 32'!$D:$D),OFFSET('[29]66 - Tabela 32'!$E$9,0,0,COUNTA('[29]66 - Tabela 32'!$E:$E)-2,1),NA())</definedName>
    <definedName name="Valores32" localSheetId="9">IF(OFFSET(#REF!,0,0,COUNTA(#REF!)-2,1)=LOOKUP(2,1/ISNUMBER(#REF!),#REF!),OFFSET(#REF!,0,0,COUNTA(#REF!)-2,1),NA())</definedName>
    <definedName name="Valores32" localSheetId="5">IF(OFFSET('[29]66 - Tabela 32'!$D$9,0,0,COUNTA('[29]66 - Tabela 32'!$E:$E)-2,1)=LOOKUP(2,1/ISNUMBER('[29]66 - Tabela 32'!$D:$D),'[29]66 - Tabela 32'!$D:$D),OFFSET('[29]66 - Tabela 32'!$E$9,0,0,COUNTA('[29]66 - Tabela 32'!$E:$E)-2,1),NA())</definedName>
    <definedName name="Valores32" localSheetId="4">IF(OFFSET(#REF!,0,0,COUNTA(#REF!)-2,1)=LOOKUP(2,1/ISNUMBER(#REF!),#REF!),OFFSET(#REF!,0,0,COUNTA(#REF!)-2,1),NA())</definedName>
    <definedName name="Valores32">IF(OFFSET(#REF!,0,0,COUNTA(#REF!)-2,1)=LOOKUP(2,1/ISNUMBER(#REF!),#REF!),OFFSET(#REF!,0,0,COUNTA(#REF!)-2,1),NA())</definedName>
    <definedName name="Valores33" localSheetId="3">IF(OFFSET(#REF!,0,0,COUNTA(#REF!)-2,1)=LOOKUP(2,1/ISNUMBER(#REF!),#REF!),OFFSET(#REF!,0,0,COUNTA(#REF!)-2,1),NA())</definedName>
    <definedName name="Valores33" localSheetId="1">IF(OFFSET('[29]68 - Tabela 33'!$D$9,0,0,COUNTA('[29]68 - Tabela 33'!$E:$E)-2,1)=LOOKUP(2,1/ISNUMBER('[29]68 - Tabela 33'!$D:$D),'[29]68 - Tabela 33'!$D:$D),OFFSET('[29]68 - Tabela 33'!$E$9,0,0,COUNTA('[29]68 - Tabela 33'!$E:$E)-2,1),NA())</definedName>
    <definedName name="Valores33" localSheetId="9">IF(OFFSET(#REF!,0,0,COUNTA(#REF!)-2,1)=LOOKUP(2,1/ISNUMBER(#REF!),#REF!),OFFSET(#REF!,0,0,COUNTA(#REF!)-2,1),NA())</definedName>
    <definedName name="Valores33" localSheetId="5">IF(OFFSET('[29]68 - Tabela 33'!$D$9,0,0,COUNTA('[29]68 - Tabela 33'!$E:$E)-2,1)=LOOKUP(2,1/ISNUMBER('[29]68 - Tabela 33'!$D:$D),'[29]68 - Tabela 33'!$D:$D),OFFSET('[29]68 - Tabela 33'!$E$9,0,0,COUNTA('[29]68 - Tabela 33'!$E:$E)-2,1),NA())</definedName>
    <definedName name="Valores33" localSheetId="4">IF(OFFSET(#REF!,0,0,COUNTA(#REF!)-2,1)=LOOKUP(2,1/ISNUMBER(#REF!),#REF!),OFFSET(#REF!,0,0,COUNTA(#REF!)-2,1),NA())</definedName>
    <definedName name="Valores33">IF(OFFSET(#REF!,0,0,COUNTA(#REF!)-2,1)=LOOKUP(2,1/ISNUMBER(#REF!),#REF!),OFFSET(#REF!,0,0,COUNTA(#REF!)-2,1),NA())</definedName>
    <definedName name="Valores34" localSheetId="3">IF(OFFSET(#REF!,0,0,COUNTA(#REF!)-2,1)=LOOKUP(2,1/ISNUMBER(#REF!),#REF!),OFFSET(#REF!,0,0,COUNTA(#REF!)-2,1),NA())</definedName>
    <definedName name="Valores34" localSheetId="1">IF(OFFSET('[29]70 - Tabela 34'!$D$9,0,0,COUNTA('[29]70 - Tabela 34'!$E:$E)-2,1)=LOOKUP(2,1/ISNUMBER('[29]70 - Tabela 34'!$D:$D),'[29]70 - Tabela 34'!$D:$D),OFFSET('[29]70 - Tabela 34'!$E$9,0,0,COUNTA('[29]70 - Tabela 34'!$E:$E)-2,1),NA())</definedName>
    <definedName name="Valores34" localSheetId="9">IF(OFFSET(#REF!,0,0,COUNTA(#REF!)-2,1)=LOOKUP(2,1/ISNUMBER(#REF!),#REF!),OFFSET(#REF!,0,0,COUNTA(#REF!)-2,1),NA())</definedName>
    <definedName name="Valores34" localSheetId="5">IF(OFFSET('[29]70 - Tabela 34'!$D$9,0,0,COUNTA('[29]70 - Tabela 34'!$E:$E)-2,1)=LOOKUP(2,1/ISNUMBER('[29]70 - Tabela 34'!$D:$D),'[29]70 - Tabela 34'!$D:$D),OFFSET('[29]70 - Tabela 34'!$E$9,0,0,COUNTA('[29]70 - Tabela 34'!$E:$E)-2,1),NA())</definedName>
    <definedName name="Valores34" localSheetId="4">IF(OFFSET(#REF!,0,0,COUNTA(#REF!)-2,1)=LOOKUP(2,1/ISNUMBER(#REF!),#REF!),OFFSET(#REF!,0,0,COUNTA(#REF!)-2,1),NA())</definedName>
    <definedName name="Valores34">IF(OFFSET(#REF!,0,0,COUNTA(#REF!)-2,1)=LOOKUP(2,1/ISNUMBER(#REF!),#REF!),OFFSET(#REF!,0,0,COUNTA(#REF!)-2,1),NA())</definedName>
    <definedName name="Valores35" localSheetId="3">IF(OFFSET(#REF!,0,0,COUNTA(#REF!)-2,1)=LOOKUP(2,1/ISNUMBER(#REF!),#REF!),OFFSET(#REF!,0,0,COUNTA(#REF!)-2,1),NA())</definedName>
    <definedName name="Valores35" localSheetId="1">IF(OFFSET('[29]72 - Tabela 35'!$D$9,0,0,COUNTA('[29]72 - Tabela 35'!$E:$E)-2,1)=LOOKUP(2,1/ISNUMBER('[29]72 - Tabela 35'!$D:$D),'[29]72 - Tabela 35'!$D:$D),OFFSET('[29]72 - Tabela 35'!$E$9,0,0,COUNTA('[29]72 - Tabela 35'!$E:$E)-2,1),NA())</definedName>
    <definedName name="Valores35" localSheetId="9">IF(OFFSET(#REF!,0,0,COUNTA(#REF!)-2,1)=LOOKUP(2,1/ISNUMBER(#REF!),#REF!),OFFSET(#REF!,0,0,COUNTA(#REF!)-2,1),NA())</definedName>
    <definedName name="Valores35" localSheetId="5">IF(OFFSET('[29]72 - Tabela 35'!$D$9,0,0,COUNTA('[29]72 - Tabela 35'!$E:$E)-2,1)=LOOKUP(2,1/ISNUMBER('[29]72 - Tabela 35'!$D:$D),'[29]72 - Tabela 35'!$D:$D),OFFSET('[29]72 - Tabela 35'!$E$9,0,0,COUNTA('[29]72 - Tabela 35'!$E:$E)-2,1),NA())</definedName>
    <definedName name="Valores35" localSheetId="4">IF(OFFSET(#REF!,0,0,COUNTA(#REF!)-2,1)=LOOKUP(2,1/ISNUMBER(#REF!),#REF!),OFFSET(#REF!,0,0,COUNTA(#REF!)-2,1),NA())</definedName>
    <definedName name="Valores35">IF(OFFSET(#REF!,0,0,COUNTA(#REF!)-2,1)=LOOKUP(2,1/ISNUMBER(#REF!),#REF!),OFFSET(#REF!,0,0,COUNTA(#REF!)-2,1),NA())</definedName>
    <definedName name="Valores36" localSheetId="3">IF(OFFSET(#REF!,0,0,COUNTA(#REF!)-2,1)=LOOKUP(2,1/ISNUMBER(#REF!),#REF!),OFFSET(#REF!,0,0,COUNTA(#REF!)-2,1),NA())</definedName>
    <definedName name="Valores36" localSheetId="1">IF(OFFSET('[29]74 - Tabela 36'!$D$9,0,0,COUNTA('[29]74 - Tabela 36'!$E:$E)-2,1)=LOOKUP(2,1/ISNUMBER('[29]74 - Tabela 36'!$D:$D),'[29]74 - Tabela 36'!$D:$D),OFFSET('[29]74 - Tabela 36'!$E$9,0,0,COUNTA('[29]74 - Tabela 36'!$E:$E)-2,1),NA())</definedName>
    <definedName name="Valores36" localSheetId="9">IF(OFFSET(#REF!,0,0,COUNTA(#REF!)-2,1)=LOOKUP(2,1/ISNUMBER(#REF!),#REF!),OFFSET(#REF!,0,0,COUNTA(#REF!)-2,1),NA())</definedName>
    <definedName name="Valores36" localSheetId="5">IF(OFFSET('[29]74 - Tabela 36'!$D$9,0,0,COUNTA('[29]74 - Tabela 36'!$E:$E)-2,1)=LOOKUP(2,1/ISNUMBER('[29]74 - Tabela 36'!$D:$D),'[29]74 - Tabela 36'!$D:$D),OFFSET('[29]74 - Tabela 36'!$E$9,0,0,COUNTA('[29]74 - Tabela 36'!$E:$E)-2,1),NA())</definedName>
    <definedName name="Valores36" localSheetId="4">IF(OFFSET(#REF!,0,0,COUNTA(#REF!)-2,1)=LOOKUP(2,1/ISNUMBER(#REF!),#REF!),OFFSET(#REF!,0,0,COUNTA(#REF!)-2,1),NA())</definedName>
    <definedName name="Valores36">IF(OFFSET(#REF!,0,0,COUNTA(#REF!)-2,1)=LOOKUP(2,1/ISNUMBER(#REF!),#REF!),OFFSET(#REF!,0,0,COUNTA(#REF!)-2,1),NA())</definedName>
    <definedName name="Valores37" localSheetId="3">IF(OFFSET(#REF!,0,0,COUNTA(#REF!)-2,1)=LOOKUP(2,1/ISNUMBER(#REF!),#REF!),OFFSET(#REF!,0,0,COUNTA(#REF!)-2,1),NA())</definedName>
    <definedName name="Valores37" localSheetId="1">IF(OFFSET('[29]76 - Tabela 37'!$D$9,0,0,COUNTA('[29]76 - Tabela 37'!$E:$E)-2,1)=LOOKUP(2,1/ISNUMBER('[29]76 - Tabela 37'!$D:$D),'[29]76 - Tabela 37'!$D:$D),OFFSET('[29]76 - Tabela 37'!$E$9,0,0,COUNTA('[29]76 - Tabela 37'!$E:$E)-2,1),NA())</definedName>
    <definedName name="Valores37" localSheetId="9">IF(OFFSET(#REF!,0,0,COUNTA(#REF!)-2,1)=LOOKUP(2,1/ISNUMBER(#REF!),#REF!),OFFSET(#REF!,0,0,COUNTA(#REF!)-2,1),NA())</definedName>
    <definedName name="Valores37" localSheetId="5">IF(OFFSET('[29]76 - Tabela 37'!$D$9,0,0,COUNTA('[29]76 - Tabela 37'!$E:$E)-2,1)=LOOKUP(2,1/ISNUMBER('[29]76 - Tabela 37'!$D:$D),'[29]76 - Tabela 37'!$D:$D),OFFSET('[29]76 - Tabela 37'!$E$9,0,0,COUNTA('[29]76 - Tabela 37'!$E:$E)-2,1),NA())</definedName>
    <definedName name="Valores37" localSheetId="4">IF(OFFSET(#REF!,0,0,COUNTA(#REF!)-2,1)=LOOKUP(2,1/ISNUMBER(#REF!),#REF!),OFFSET(#REF!,0,0,COUNTA(#REF!)-2,1),NA())</definedName>
    <definedName name="Valores37">IF(OFFSET(#REF!,0,0,COUNTA(#REF!)-2,1)=LOOKUP(2,1/ISNUMBER(#REF!),#REF!),OFFSET(#REF!,0,0,COUNTA(#REF!)-2,1),NA())</definedName>
    <definedName name="Valores38" localSheetId="3">IF(OFFSET(#REF!,0,0,COUNTA(#REF!)-2,1)=LOOKUP(2,1/ISNUMBER(#REF!),#REF!),OFFSET(#REF!,0,0,COUNTA(#REF!)-2,1),NA())</definedName>
    <definedName name="Valores38" localSheetId="1">IF(OFFSET('[29]78 - Tabela 38'!$D$9,0,0,COUNTA('[29]78 - Tabela 38'!$E:$E)-2,1)=LOOKUP(2,1/ISNUMBER('[29]78 - Tabela 38'!$D:$D),'[29]78 - Tabela 38'!$D:$D),OFFSET('[29]78 - Tabela 38'!$E$9,0,0,COUNTA('[29]78 - Tabela 38'!$E:$E)-2,1),NA())</definedName>
    <definedName name="Valores38" localSheetId="9">IF(OFFSET(#REF!,0,0,COUNTA(#REF!)-2,1)=LOOKUP(2,1/ISNUMBER(#REF!),#REF!),OFFSET(#REF!,0,0,COUNTA(#REF!)-2,1),NA())</definedName>
    <definedName name="Valores38" localSheetId="5">IF(OFFSET('[29]78 - Tabela 38'!$D$9,0,0,COUNTA('[29]78 - Tabela 38'!$E:$E)-2,1)=LOOKUP(2,1/ISNUMBER('[29]78 - Tabela 38'!$D:$D),'[29]78 - Tabela 38'!$D:$D),OFFSET('[29]78 - Tabela 38'!$E$9,0,0,COUNTA('[29]78 - Tabela 38'!$E:$E)-2,1),NA())</definedName>
    <definedName name="Valores38" localSheetId="4">IF(OFFSET(#REF!,0,0,COUNTA(#REF!)-2,1)=LOOKUP(2,1/ISNUMBER(#REF!),#REF!),OFFSET(#REF!,0,0,COUNTA(#REF!)-2,1),NA())</definedName>
    <definedName name="Valores38">IF(OFFSET(#REF!,0,0,COUNTA(#REF!)-2,1)=LOOKUP(2,1/ISNUMBER(#REF!),#REF!),OFFSET(#REF!,0,0,COUNTA(#REF!)-2,1),NA())</definedName>
    <definedName name="Valores39a" localSheetId="3">IF(OFFSET(#REF!,0,0,COUNTA(#REF!)-2,1)=LOOKUP(2,1/ISNUMBER(#REF!),#REF!),OFFSET(#REF!,0,0,COUNTA(#REF!)-2,1),NA())</definedName>
    <definedName name="Valores39a" localSheetId="1">IF(OFFSET('[31]Renda BR - 80 - Tabela 39'!$D$9,0,0,COUNTA('[31]Renda BR - 80 - Tabela 39'!$E:$E)-2,1)=LOOKUP(2,1/ISNUMBER('[31]Renda BR - 80 - Tabela 39'!$D:$D),'[31]Renda BR - 80 - Tabela 39'!$D:$D),OFFSET('[31]Renda BR - 80 - Tabela 39'!$E$9,0,0,COUNTA('[31]Renda BR - 80 - Tabela 39'!$E:$E)-2,1),NA())</definedName>
    <definedName name="Valores39a" localSheetId="9">IF(OFFSET(#REF!,0,0,COUNTA(#REF!)-2,1)=LOOKUP(2,1/ISNUMBER(#REF!),#REF!),OFFSET(#REF!,0,0,COUNTA(#REF!)-2,1),NA())</definedName>
    <definedName name="Valores39a" localSheetId="5">IF(OFFSET('[31]Renda BR - 80 - Tabela 39'!$D$9,0,0,COUNTA('[31]Renda BR - 80 - Tabela 39'!$E:$E)-2,1)=LOOKUP(2,1/ISNUMBER('[31]Renda BR - 80 - Tabela 39'!$D:$D),'[31]Renda BR - 80 - Tabela 39'!$D:$D),OFFSET('[31]Renda BR - 80 - Tabela 39'!$E$9,0,0,COUNTA('[31]Renda BR - 80 - Tabela 39'!$E:$E)-2,1),NA())</definedName>
    <definedName name="Valores39a" localSheetId="4">IF(OFFSET(#REF!,0,0,COUNTA(#REF!)-2,1)=LOOKUP(2,1/ISNUMBER(#REF!),#REF!),OFFSET(#REF!,0,0,COUNTA(#REF!)-2,1),NA())</definedName>
    <definedName name="Valores39a">IF(OFFSET(#REF!,0,0,COUNTA(#REF!)-2,1)=LOOKUP(2,1/ISNUMBER(#REF!),#REF!),OFFSET(#REF!,0,0,COUNTA(#REF!)-2,1),NA())</definedName>
    <definedName name="Valores39b" localSheetId="3">IF(OFFSET(#REF!,0,0,COUNTA(#REF!)-2,1)=LOOKUP(2,1/ISNUMBER(#REF!),#REF!),OFFSET(#REF!,0,0,COUNTA(#REF!)-2,1),NA())</definedName>
    <definedName name="Valores39b" localSheetId="1">IF(OFFSET('[31]Renda BR - 80 - Tabela 39'!$D$9,0,0,COUNTA('[31]Renda BR - 80 - Tabela 39'!$R:$R)-2,1)=LOOKUP(2,1/ISNUMBER('[31]Renda BR - 80 - Tabela 39'!$D:$D),'[31]Renda BR - 80 - Tabela 39'!$D:$D),OFFSET('[31]Renda BR - 80 - Tabela 39'!$R$9,0,0,COUNTA('[31]Renda BR - 80 - Tabela 39'!$R:$R)-2,1),NA())</definedName>
    <definedName name="Valores39b" localSheetId="9">IF(OFFSET(#REF!,0,0,COUNTA(#REF!)-2,1)=LOOKUP(2,1/ISNUMBER(#REF!),#REF!),OFFSET(#REF!,0,0,COUNTA(#REF!)-2,1),NA())</definedName>
    <definedName name="Valores39b" localSheetId="5">IF(OFFSET('[31]Renda BR - 80 - Tabela 39'!$D$9,0,0,COUNTA('[31]Renda BR - 80 - Tabela 39'!$R:$R)-2,1)=LOOKUP(2,1/ISNUMBER('[31]Renda BR - 80 - Tabela 39'!$D:$D),'[31]Renda BR - 80 - Tabela 39'!$D:$D),OFFSET('[31]Renda BR - 80 - Tabela 39'!$R$9,0,0,COUNTA('[31]Renda BR - 80 - Tabela 39'!$R:$R)-2,1),NA())</definedName>
    <definedName name="Valores39b" localSheetId="4">IF(OFFSET(#REF!,0,0,COUNTA(#REF!)-2,1)=LOOKUP(2,1/ISNUMBER(#REF!),#REF!),OFFSET(#REF!,0,0,COUNTA(#REF!)-2,1),NA())</definedName>
    <definedName name="Valores39b">IF(OFFSET(#REF!,0,0,COUNTA(#REF!)-2,1)=LOOKUP(2,1/ISNUMBER(#REF!),#REF!),OFFSET(#REF!,0,0,COUNTA(#REF!)-2,1),NA())</definedName>
    <definedName name="Valores4" localSheetId="3">IF(OFFSET(#REF!,0,0,COUNTA(#REF!)-2,1)=LOOKUP(2,1/ISNUMBER(#REF!),#REF!),OFFSET(#REF!,0,0,COUNTA(#REF!)-2,1),NA())</definedName>
    <definedName name="Valores4" localSheetId="1">IF(OFFSET('[29]10 - Tabela 4'!$D$9,0,0,COUNTA('[29]10 - Tabela 4'!$E:$E)-2,1)=LOOKUP(2,1/ISNUMBER('[29]10 - Tabela 4'!$D:$D),'[29]10 - Tabela 4'!$D:$D),OFFSET('[29]10 - Tabela 4'!$E$9,0,0,COUNTA('[29]10 - Tabela 4'!$E:$E)-2,1),NA())</definedName>
    <definedName name="Valores4" localSheetId="9">IF(OFFSET(#REF!,0,0,COUNTA(#REF!)-2,1)=LOOKUP(2,1/ISNUMBER(#REF!),#REF!),OFFSET(#REF!,0,0,COUNTA(#REF!)-2,1),NA())</definedName>
    <definedName name="Valores4" localSheetId="5">IF(OFFSET('[29]10 - Tabela 4'!$D$9,0,0,COUNTA('[29]10 - Tabela 4'!$E:$E)-2,1)=LOOKUP(2,1/ISNUMBER('[29]10 - Tabela 4'!$D:$D),'[29]10 - Tabela 4'!$D:$D),OFFSET('[29]10 - Tabela 4'!$E$9,0,0,COUNTA('[29]10 - Tabela 4'!$E:$E)-2,1),NA())</definedName>
    <definedName name="Valores4" localSheetId="4">IF(OFFSET(#REF!,0,0,COUNTA(#REF!)-2,1)=LOOKUP(2,1/ISNUMBER(#REF!),#REF!),OFFSET(#REF!,0,0,COUNTA(#REF!)-2,1),NA())</definedName>
    <definedName name="Valores4">IF(OFFSET(#REF!,0,0,COUNTA(#REF!)-2,1)=LOOKUP(2,1/ISNUMBER(#REF!),#REF!),OFFSET(#REF!,0,0,COUNTA(#REF!)-2,1),NA())</definedName>
    <definedName name="Valores40a" localSheetId="3">IF(OFFSET(#REF!,0,0,COUNTA(#REF!)-2,1)=LOOKUP(2,1/ISNUMBER(#REF!),#REF!),OFFSET(#REF!,0,0,COUNTA(#REF!)-2,1),NA())</definedName>
    <definedName name="Valores40a" localSheetId="1">IF(OFFSET('[29]82 - Tabela 40'!$D$9,0,0,COUNTA('[29]82 - Tabela 40'!$E:$E)-2,1)=LOOKUP(2,1/ISNUMBER('[29]82 - Tabela 40'!$D:$D),'[29]82 - Tabela 40'!$D:$D),OFFSET('[29]82 - Tabela 40'!$E$9,0,0,COUNTA('[29]82 - Tabela 40'!$E:$E)-2,1),NA())</definedName>
    <definedName name="Valores40a" localSheetId="9">IF(OFFSET(#REF!,0,0,COUNTA(#REF!)-2,1)=LOOKUP(2,1/ISNUMBER(#REF!),#REF!),OFFSET(#REF!,0,0,COUNTA(#REF!)-2,1),NA())</definedName>
    <definedName name="Valores40a" localSheetId="5">IF(OFFSET('[29]82 - Tabela 40'!$D$9,0,0,COUNTA('[29]82 - Tabela 40'!$E:$E)-2,1)=LOOKUP(2,1/ISNUMBER('[29]82 - Tabela 40'!$D:$D),'[29]82 - Tabela 40'!$D:$D),OFFSET('[29]82 - Tabela 40'!$E$9,0,0,COUNTA('[29]82 - Tabela 40'!$E:$E)-2,1),NA())</definedName>
    <definedName name="Valores40a" localSheetId="4">IF(OFFSET(#REF!,0,0,COUNTA(#REF!)-2,1)=LOOKUP(2,1/ISNUMBER(#REF!),#REF!),OFFSET(#REF!,0,0,COUNTA(#REF!)-2,1),NA())</definedName>
    <definedName name="Valores40a">IF(OFFSET(#REF!,0,0,COUNTA(#REF!)-2,1)=LOOKUP(2,1/ISNUMBER(#REF!),#REF!),OFFSET(#REF!,0,0,COUNTA(#REF!)-2,1),NA())</definedName>
    <definedName name="Valores40b" localSheetId="3">IF(OFFSET(#REF!,0,0,COUNTA(#REF!)-2,1)=LOOKUP(2,1/ISNUMBER(#REF!),#REF!),OFFSET(#REF!,0,0,COUNTA(#REF!)-2,1),NA())</definedName>
    <definedName name="Valores40b" localSheetId="1">IF(OFFSET('[29]82 - Tabela 40'!$D$9,0,0,COUNTA('[29]82 - Tabela 40'!$R:$R)-2,1)=LOOKUP(2,1/ISNUMBER('[29]82 - Tabela 40'!$D:$D),'[29]82 - Tabela 40'!$D:$D),OFFSET('[29]82 - Tabela 40'!$R$9,0,0,COUNTA('[29]82 - Tabela 40'!$R:$R)-2,1),NA())</definedName>
    <definedName name="Valores40b" localSheetId="9">IF(OFFSET(#REF!,0,0,COUNTA(#REF!)-2,1)=LOOKUP(2,1/ISNUMBER(#REF!),#REF!),OFFSET(#REF!,0,0,COUNTA(#REF!)-2,1),NA())</definedName>
    <definedName name="Valores40b" localSheetId="5">IF(OFFSET('[29]82 - Tabela 40'!$D$9,0,0,COUNTA('[29]82 - Tabela 40'!$R:$R)-2,1)=LOOKUP(2,1/ISNUMBER('[29]82 - Tabela 40'!$D:$D),'[29]82 - Tabela 40'!$D:$D),OFFSET('[29]82 - Tabela 40'!$R$9,0,0,COUNTA('[29]82 - Tabela 40'!$R:$R)-2,1),NA())</definedName>
    <definedName name="Valores40b" localSheetId="4">IF(OFFSET(#REF!,0,0,COUNTA(#REF!)-2,1)=LOOKUP(2,1/ISNUMBER(#REF!),#REF!),OFFSET(#REF!,0,0,COUNTA(#REF!)-2,1),NA())</definedName>
    <definedName name="Valores40b">IF(OFFSET(#REF!,0,0,COUNTA(#REF!)-2,1)=LOOKUP(2,1/ISNUMBER(#REF!),#REF!),OFFSET(#REF!,0,0,COUNTA(#REF!)-2,1),NA())</definedName>
    <definedName name="Valores41a" localSheetId="3">IF(OFFSET(#REF!,0,0,COUNTA(#REF!)-2,1)=LOOKUP(2,1/ISNUMBER(#REF!),#REF!),OFFSET(#REF!,0,0,COUNTA(#REF!)-2,1),NA())</definedName>
    <definedName name="Valores41a" localSheetId="1">IF(OFFSET('[29]84 - Tabela 41'!$D$9,0,0,COUNTA('[29]84 - Tabela 41'!$E:$E)-2,1)=LOOKUP(2,1/ISNUMBER('[29]84 - Tabela 41'!$D:$D),'[29]84 - Tabela 41'!$D:$D),OFFSET('[29]84 - Tabela 41'!$E$9,0,0,COUNTA('[29]84 - Tabela 41'!$E:$E)-2,1),NA())</definedName>
    <definedName name="Valores41a" localSheetId="9">IF(OFFSET(#REF!,0,0,COUNTA(#REF!)-2,1)=LOOKUP(2,1/ISNUMBER(#REF!),#REF!),OFFSET(#REF!,0,0,COUNTA(#REF!)-2,1),NA())</definedName>
    <definedName name="Valores41a" localSheetId="5">IF(OFFSET('[29]84 - Tabela 41'!$D$9,0,0,COUNTA('[29]84 - Tabela 41'!$E:$E)-2,1)=LOOKUP(2,1/ISNUMBER('[29]84 - Tabela 41'!$D:$D),'[29]84 - Tabela 41'!$D:$D),OFFSET('[29]84 - Tabela 41'!$E$9,0,0,COUNTA('[29]84 - Tabela 41'!$E:$E)-2,1),NA())</definedName>
    <definedName name="Valores41a" localSheetId="4">IF(OFFSET(#REF!,0,0,COUNTA(#REF!)-2,1)=LOOKUP(2,1/ISNUMBER(#REF!),#REF!),OFFSET(#REF!,0,0,COUNTA(#REF!)-2,1),NA())</definedName>
    <definedName name="Valores41a">IF(OFFSET(#REF!,0,0,COUNTA(#REF!)-2,1)=LOOKUP(2,1/ISNUMBER(#REF!),#REF!),OFFSET(#REF!,0,0,COUNTA(#REF!)-2,1),NA())</definedName>
    <definedName name="Valores41b" localSheetId="3">IF(OFFSET(#REF!,0,0,COUNTA(#REF!)-2,1)=LOOKUP(2,1/ISNUMBER(#REF!),#REF!),OFFSET(#REF!,0,0,COUNTA(#REF!)-2,1),NA())</definedName>
    <definedName name="Valores41b" localSheetId="1">IF(OFFSET('[29]84 - Tabela 41'!$D$9,0,0,COUNTA('[29]84 - Tabela 41'!$R:$R)-2,1)=LOOKUP(2,1/ISNUMBER('[29]84 - Tabela 41'!$D:$D),'[29]84 - Tabela 41'!$D:$D),OFFSET('[29]84 - Tabela 41'!$R$9,0,0,COUNTA('[29]84 - Tabela 41'!$R:$R)-2,1),NA())</definedName>
    <definedName name="Valores41b" localSheetId="9">IF(OFFSET(#REF!,0,0,COUNTA(#REF!)-2,1)=LOOKUP(2,1/ISNUMBER(#REF!),#REF!),OFFSET(#REF!,0,0,COUNTA(#REF!)-2,1),NA())</definedName>
    <definedName name="Valores41b" localSheetId="5">IF(OFFSET('[29]84 - Tabela 41'!$D$9,0,0,COUNTA('[29]84 - Tabela 41'!$R:$R)-2,1)=LOOKUP(2,1/ISNUMBER('[29]84 - Tabela 41'!$D:$D),'[29]84 - Tabela 41'!$D:$D),OFFSET('[29]84 - Tabela 41'!$R$9,0,0,COUNTA('[29]84 - Tabela 41'!$R:$R)-2,1),NA())</definedName>
    <definedName name="Valores41b" localSheetId="4">IF(OFFSET(#REF!,0,0,COUNTA(#REF!)-2,1)=LOOKUP(2,1/ISNUMBER(#REF!),#REF!),OFFSET(#REF!,0,0,COUNTA(#REF!)-2,1),NA())</definedName>
    <definedName name="Valores41b">IF(OFFSET(#REF!,0,0,COUNTA(#REF!)-2,1)=LOOKUP(2,1/ISNUMBER(#REF!),#REF!),OFFSET(#REF!,0,0,COUNTA(#REF!)-2,1),NA())</definedName>
    <definedName name="Valores42a" localSheetId="3">IF(OFFSET(#REF!,0,0,COUNTA(#REF!)-2,1)=LOOKUP(2,1/ISNUMBER(#REF!),#REF!),OFFSET(#REF!,0,0,COUNTA(#REF!)-2,1),NA())</definedName>
    <definedName name="Valores42a" localSheetId="1">IF(OFFSET('[29]86 - Tabela 42'!$D$9,0,0,COUNTA('[29]86 - Tabela 42'!$E:$E)-2,1)=LOOKUP(2,1/ISNUMBER('[29]86 - Tabela 42'!$D:$D),'[29]86 - Tabela 42'!$D:$D),OFFSET('[29]86 - Tabela 42'!$E$9,0,0,COUNTA('[29]86 - Tabela 42'!$E:$E)-2,1),NA())</definedName>
    <definedName name="Valores42a" localSheetId="9">IF(OFFSET(#REF!,0,0,COUNTA(#REF!)-2,1)=LOOKUP(2,1/ISNUMBER(#REF!),#REF!),OFFSET(#REF!,0,0,COUNTA(#REF!)-2,1),NA())</definedName>
    <definedName name="Valores42a" localSheetId="5">IF(OFFSET('[29]86 - Tabela 42'!$D$9,0,0,COUNTA('[29]86 - Tabela 42'!$E:$E)-2,1)=LOOKUP(2,1/ISNUMBER('[29]86 - Tabela 42'!$D:$D),'[29]86 - Tabela 42'!$D:$D),OFFSET('[29]86 - Tabela 42'!$E$9,0,0,COUNTA('[29]86 - Tabela 42'!$E:$E)-2,1),NA())</definedName>
    <definedName name="Valores42a" localSheetId="4">IF(OFFSET(#REF!,0,0,COUNTA(#REF!)-2,1)=LOOKUP(2,1/ISNUMBER(#REF!),#REF!),OFFSET(#REF!,0,0,COUNTA(#REF!)-2,1),NA())</definedName>
    <definedName name="Valores42a">IF(OFFSET(#REF!,0,0,COUNTA(#REF!)-2,1)=LOOKUP(2,1/ISNUMBER(#REF!),#REF!),OFFSET(#REF!,0,0,COUNTA(#REF!)-2,1),NA())</definedName>
    <definedName name="Valores42b" localSheetId="3">IF(OFFSET(#REF!,0,0,COUNTA(#REF!)-2,1)=LOOKUP(2,1/ISNUMBER(#REF!),#REF!),OFFSET(#REF!,0,0,COUNTA(#REF!)-2,1),NA())</definedName>
    <definedName name="Valores42b" localSheetId="1">IF(OFFSET('[29]86 - Tabela 42'!$D$9,0,0,COUNTA('[29]86 - Tabela 42'!$R:$R)-2,1)=LOOKUP(2,1/ISNUMBER('[29]86 - Tabela 42'!$D:$D),'[29]86 - Tabela 42'!$D:$D),OFFSET('[29]86 - Tabela 42'!$R$9,0,0,COUNTA('[29]86 - Tabela 42'!$R:$R)-2,1),NA())</definedName>
    <definedName name="Valores42b" localSheetId="9">IF(OFFSET(#REF!,0,0,COUNTA(#REF!)-2,1)=LOOKUP(2,1/ISNUMBER(#REF!),#REF!),OFFSET(#REF!,0,0,COUNTA(#REF!)-2,1),NA())</definedName>
    <definedName name="Valores42b" localSheetId="5">IF(OFFSET('[29]86 - Tabela 42'!$D$9,0,0,COUNTA('[29]86 - Tabela 42'!$R:$R)-2,1)=LOOKUP(2,1/ISNUMBER('[29]86 - Tabela 42'!$D:$D),'[29]86 - Tabela 42'!$D:$D),OFFSET('[29]86 - Tabela 42'!$R$9,0,0,COUNTA('[29]86 - Tabela 42'!$R:$R)-2,1),NA())</definedName>
    <definedName name="Valores42b" localSheetId="4">IF(OFFSET(#REF!,0,0,COUNTA(#REF!)-2,1)=LOOKUP(2,1/ISNUMBER(#REF!),#REF!),OFFSET(#REF!,0,0,COUNTA(#REF!)-2,1),NA())</definedName>
    <definedName name="Valores42b">IF(OFFSET(#REF!,0,0,COUNTA(#REF!)-2,1)=LOOKUP(2,1/ISNUMBER(#REF!),#REF!),OFFSET(#REF!,0,0,COUNTA(#REF!)-2,1),NA())</definedName>
    <definedName name="Valores43a" localSheetId="3">IF(OFFSET(#REF!,0,0,COUNTA(#REF!)-2,1)=LOOKUP(2,1/ISNUMBER(#REF!),#REF!),OFFSET(#REF!,0,0,COUNTA(#REF!)-2,1),NA())</definedName>
    <definedName name="Valores43a" localSheetId="1">IF(OFFSET('[29]88 - Tabela 43'!$D$9,0,0,COUNTA('[29]88 - Tabela 43'!$E:$E)-2,1)=LOOKUP(2,1/ISNUMBER('[29]88 - Tabela 43'!$D:$D),'[29]88 - Tabela 43'!$D:$D),OFFSET('[29]88 - Tabela 43'!$E$9,0,0,COUNTA('[29]88 - Tabela 43'!$E:$E)-2,1),NA())</definedName>
    <definedName name="Valores43a" localSheetId="9">IF(OFFSET(#REF!,0,0,COUNTA(#REF!)-2,1)=LOOKUP(2,1/ISNUMBER(#REF!),#REF!),OFFSET(#REF!,0,0,COUNTA(#REF!)-2,1),NA())</definedName>
    <definedName name="Valores43a" localSheetId="5">IF(OFFSET('[29]88 - Tabela 43'!$D$9,0,0,COUNTA('[29]88 - Tabela 43'!$E:$E)-2,1)=LOOKUP(2,1/ISNUMBER('[29]88 - Tabela 43'!$D:$D),'[29]88 - Tabela 43'!$D:$D),OFFSET('[29]88 - Tabela 43'!$E$9,0,0,COUNTA('[29]88 - Tabela 43'!$E:$E)-2,1),NA())</definedName>
    <definedName name="Valores43a" localSheetId="4">IF(OFFSET(#REF!,0,0,COUNTA(#REF!)-2,1)=LOOKUP(2,1/ISNUMBER(#REF!),#REF!),OFFSET(#REF!,0,0,COUNTA(#REF!)-2,1),NA())</definedName>
    <definedName name="Valores43a">IF(OFFSET(#REF!,0,0,COUNTA(#REF!)-2,1)=LOOKUP(2,1/ISNUMBER(#REF!),#REF!),OFFSET(#REF!,0,0,COUNTA(#REF!)-2,1),NA())</definedName>
    <definedName name="Valores43b" localSheetId="3">IF(OFFSET(#REF!,0,0,COUNTA(#REF!)-2,1)=LOOKUP(2,1/ISNUMBER(#REF!),#REF!),OFFSET(#REF!,0,0,COUNTA(#REF!)-2,1),NA())</definedName>
    <definedName name="Valores43b" localSheetId="1">IF(OFFSET('[29]88 - Tabela 43'!$D$9,0,0,COUNTA('[29]88 - Tabela 43'!$R:$R)-2,1)=LOOKUP(2,1/ISNUMBER('[29]88 - Tabela 43'!$D:$D),'[29]88 - Tabela 43'!$D:$D),OFFSET('[29]88 - Tabela 43'!$R$9,0,0,COUNTA('[29]88 - Tabela 43'!$R:$R)-2,1),NA())</definedName>
    <definedName name="Valores43b" localSheetId="9">IF(OFFSET(#REF!,0,0,COUNTA(#REF!)-2,1)=LOOKUP(2,1/ISNUMBER(#REF!),#REF!),OFFSET(#REF!,0,0,COUNTA(#REF!)-2,1),NA())</definedName>
    <definedName name="Valores43b" localSheetId="5">IF(OFFSET('[29]88 - Tabela 43'!$D$9,0,0,COUNTA('[29]88 - Tabela 43'!$R:$R)-2,1)=LOOKUP(2,1/ISNUMBER('[29]88 - Tabela 43'!$D:$D),'[29]88 - Tabela 43'!$D:$D),OFFSET('[29]88 - Tabela 43'!$R$9,0,0,COUNTA('[29]88 - Tabela 43'!$R:$R)-2,1),NA())</definedName>
    <definedName name="Valores43b" localSheetId="4">IF(OFFSET(#REF!,0,0,COUNTA(#REF!)-2,1)=LOOKUP(2,1/ISNUMBER(#REF!),#REF!),OFFSET(#REF!,0,0,COUNTA(#REF!)-2,1),NA())</definedName>
    <definedName name="Valores43b">IF(OFFSET(#REF!,0,0,COUNTA(#REF!)-2,1)=LOOKUP(2,1/ISNUMBER(#REF!),#REF!),OFFSET(#REF!,0,0,COUNTA(#REF!)-2,1),NA())</definedName>
    <definedName name="Valores44a" localSheetId="3">IF(OFFSET(#REF!,0,0,COUNTA(#REF!)-2,1)=LOOKUP(2,1/ISNUMBER(#REF!),#REF!),OFFSET(#REF!,0,0,COUNTA(#REF!)-2,1),NA())</definedName>
    <definedName name="Valores44a" localSheetId="1">IF(OFFSET('[29]90 - Tabela 44'!$D$9,0,0,COUNTA('[29]90 - Tabela 44'!$E:$E)-2,1)=LOOKUP(2,1/ISNUMBER('[29]90 - Tabela 44'!$D:$D),'[29]90 - Tabela 44'!$D:$D),OFFSET('[29]90 - Tabela 44'!$E$9,0,0,COUNTA('[29]90 - Tabela 44'!$E:$E)-2,1),NA())</definedName>
    <definedName name="Valores44a" localSheetId="9">IF(OFFSET(#REF!,0,0,COUNTA(#REF!)-2,1)=LOOKUP(2,1/ISNUMBER(#REF!),#REF!),OFFSET(#REF!,0,0,COUNTA(#REF!)-2,1),NA())</definedName>
    <definedName name="Valores44a" localSheetId="5">IF(OFFSET('[29]90 - Tabela 44'!$D$9,0,0,COUNTA('[29]90 - Tabela 44'!$E:$E)-2,1)=LOOKUP(2,1/ISNUMBER('[29]90 - Tabela 44'!$D:$D),'[29]90 - Tabela 44'!$D:$D),OFFSET('[29]90 - Tabela 44'!$E$9,0,0,COUNTA('[29]90 - Tabela 44'!$E:$E)-2,1),NA())</definedName>
    <definedName name="Valores44a" localSheetId="4">IF(OFFSET(#REF!,0,0,COUNTA(#REF!)-2,1)=LOOKUP(2,1/ISNUMBER(#REF!),#REF!),OFFSET(#REF!,0,0,COUNTA(#REF!)-2,1),NA())</definedName>
    <definedName name="Valores44a">IF(OFFSET(#REF!,0,0,COUNTA(#REF!)-2,1)=LOOKUP(2,1/ISNUMBER(#REF!),#REF!),OFFSET(#REF!,0,0,COUNTA(#REF!)-2,1),NA())</definedName>
    <definedName name="Valores44b" localSheetId="3">IF(OFFSET(#REF!,0,0,COUNTA(#REF!)-2,1)=LOOKUP(2,1/ISNUMBER(#REF!),#REF!),OFFSET(#REF!,0,0,COUNTA(#REF!)-2,1),NA())</definedName>
    <definedName name="Valores44b" localSheetId="1">IF(OFFSET('[29]90 - Tabela 44'!$D$9,0,0,COUNTA('[29]90 - Tabela 44'!$R:$R)-2,1)=LOOKUP(2,1/ISNUMBER('[29]90 - Tabela 44'!$D:$D),'[29]90 - Tabela 44'!$D:$D),OFFSET('[29]90 - Tabela 44'!$R$9,0,0,COUNTA('[29]90 - Tabela 44'!$R:$R)-2,1),NA())</definedName>
    <definedName name="Valores44b" localSheetId="9">IF(OFFSET(#REF!,0,0,COUNTA(#REF!)-2,1)=LOOKUP(2,1/ISNUMBER(#REF!),#REF!),OFFSET(#REF!,0,0,COUNTA(#REF!)-2,1),NA())</definedName>
    <definedName name="Valores44b" localSheetId="5">IF(OFFSET('[29]90 - Tabela 44'!$D$9,0,0,COUNTA('[29]90 - Tabela 44'!$R:$R)-2,1)=LOOKUP(2,1/ISNUMBER('[29]90 - Tabela 44'!$D:$D),'[29]90 - Tabela 44'!$D:$D),OFFSET('[29]90 - Tabela 44'!$R$9,0,0,COUNTA('[29]90 - Tabela 44'!$R:$R)-2,1),NA())</definedName>
    <definedName name="Valores44b" localSheetId="4">IF(OFFSET(#REF!,0,0,COUNTA(#REF!)-2,1)=LOOKUP(2,1/ISNUMBER(#REF!),#REF!),OFFSET(#REF!,0,0,COUNTA(#REF!)-2,1),NA())</definedName>
    <definedName name="Valores44b">IF(OFFSET(#REF!,0,0,COUNTA(#REF!)-2,1)=LOOKUP(2,1/ISNUMBER(#REF!),#REF!),OFFSET(#REF!,0,0,COUNTA(#REF!)-2,1),NA())</definedName>
    <definedName name="Valores45a" localSheetId="3">IF(OFFSET(#REF!,0,0,COUNTA(#REF!)-2,1)=LOOKUP(2,1/ISNUMBER(#REF!),#REF!),OFFSET(#REF!,0,0,COUNTA(#REF!)-2,1),NA())</definedName>
    <definedName name="Valores45a" localSheetId="1">IF(OFFSET('[29]92 - Tabela 45'!$D$9,0,0,COUNTA('[29]92 - Tabela 45'!$E:$E)-2,1)=LOOKUP(2,1/ISNUMBER('[29]92 - Tabela 45'!$D:$D),'[29]92 - Tabela 45'!$D:$D),OFFSET('[29]92 - Tabela 45'!$E$9,0,0,COUNTA('[29]92 - Tabela 45'!$E:$E)-2,1),NA())</definedName>
    <definedName name="Valores45a" localSheetId="9">IF(OFFSET(#REF!,0,0,COUNTA(#REF!)-2,1)=LOOKUP(2,1/ISNUMBER(#REF!),#REF!),OFFSET(#REF!,0,0,COUNTA(#REF!)-2,1),NA())</definedName>
    <definedName name="Valores45a" localSheetId="5">IF(OFFSET('[29]92 - Tabela 45'!$D$9,0,0,COUNTA('[29]92 - Tabela 45'!$E:$E)-2,1)=LOOKUP(2,1/ISNUMBER('[29]92 - Tabela 45'!$D:$D),'[29]92 - Tabela 45'!$D:$D),OFFSET('[29]92 - Tabela 45'!$E$9,0,0,COUNTA('[29]92 - Tabela 45'!$E:$E)-2,1),NA())</definedName>
    <definedName name="Valores45a" localSheetId="4">IF(OFFSET(#REF!,0,0,COUNTA(#REF!)-2,1)=LOOKUP(2,1/ISNUMBER(#REF!),#REF!),OFFSET(#REF!,0,0,COUNTA(#REF!)-2,1),NA())</definedName>
    <definedName name="Valores45a">IF(OFFSET(#REF!,0,0,COUNTA(#REF!)-2,1)=LOOKUP(2,1/ISNUMBER(#REF!),#REF!),OFFSET(#REF!,0,0,COUNTA(#REF!)-2,1),NA())</definedName>
    <definedName name="Valores45b" localSheetId="3">IF(OFFSET(#REF!,0,0,COUNTA(#REF!)-2,1)=LOOKUP(2,1/ISNUMBER(#REF!),#REF!),OFFSET(#REF!,0,0,COUNTA(#REF!)-2,1),NA())</definedName>
    <definedName name="Valores45b" localSheetId="1">IF(OFFSET('[29]92 - Tabela 45'!$D$9,0,0,COUNTA('[29]92 - Tabela 45'!$R:$R)-2,1)=LOOKUP(2,1/ISNUMBER('[29]92 - Tabela 45'!$D:$D),'[29]92 - Tabela 45'!$D:$D),OFFSET('[29]92 - Tabela 45'!$R$9,0,0,COUNTA('[29]92 - Tabela 45'!$R:$R)-2,1),NA())</definedName>
    <definedName name="Valores45b" localSheetId="9">IF(OFFSET(#REF!,0,0,COUNTA(#REF!)-2,1)=LOOKUP(2,1/ISNUMBER(#REF!),#REF!),OFFSET(#REF!,0,0,COUNTA(#REF!)-2,1),NA())</definedName>
    <definedName name="Valores45b" localSheetId="5">IF(OFFSET('[29]92 - Tabela 45'!$D$9,0,0,COUNTA('[29]92 - Tabela 45'!$R:$R)-2,1)=LOOKUP(2,1/ISNUMBER('[29]92 - Tabela 45'!$D:$D),'[29]92 - Tabela 45'!$D:$D),OFFSET('[29]92 - Tabela 45'!$R$9,0,0,COUNTA('[29]92 - Tabela 45'!$R:$R)-2,1),NA())</definedName>
    <definedName name="Valores45b" localSheetId="4">IF(OFFSET(#REF!,0,0,COUNTA(#REF!)-2,1)=LOOKUP(2,1/ISNUMBER(#REF!),#REF!),OFFSET(#REF!,0,0,COUNTA(#REF!)-2,1),NA())</definedName>
    <definedName name="Valores45b">IF(OFFSET(#REF!,0,0,COUNTA(#REF!)-2,1)=LOOKUP(2,1/ISNUMBER(#REF!),#REF!),OFFSET(#REF!,0,0,COUNTA(#REF!)-2,1),NA())</definedName>
    <definedName name="Valores46a" localSheetId="3">IF(OFFSET(#REF!,0,0,COUNTA(#REF!)-2,1)=LOOKUP(2,1/ISNUMBER(#REF!),#REF!),OFFSET(#REF!,0,0,COUNTA(#REF!)-2,1),NA())</definedName>
    <definedName name="Valores46a" localSheetId="1">IF(OFFSET('[29]94 - Tabela 46'!$D$9,0,0,COUNTA('[29]94 - Tabela 46'!$E:$E)-2,1)=LOOKUP(2,1/ISNUMBER('[29]94 - Tabela 46'!$D:$D),'[29]94 - Tabela 46'!$D:$D),OFFSET('[29]94 - Tabela 46'!$E$9,0,0,COUNTA('[29]94 - Tabela 46'!$E:$E)-2,1),NA())</definedName>
    <definedName name="Valores46a" localSheetId="9">IF(OFFSET(#REF!,0,0,COUNTA(#REF!)-2,1)=LOOKUP(2,1/ISNUMBER(#REF!),#REF!),OFFSET(#REF!,0,0,COUNTA(#REF!)-2,1),NA())</definedName>
    <definedName name="Valores46a" localSheetId="5">IF(OFFSET('[29]94 - Tabela 46'!$D$9,0,0,COUNTA('[29]94 - Tabela 46'!$E:$E)-2,1)=LOOKUP(2,1/ISNUMBER('[29]94 - Tabela 46'!$D:$D),'[29]94 - Tabela 46'!$D:$D),OFFSET('[29]94 - Tabela 46'!$E$9,0,0,COUNTA('[29]94 - Tabela 46'!$E:$E)-2,1),NA())</definedName>
    <definedName name="Valores46a" localSheetId="4">IF(OFFSET(#REF!,0,0,COUNTA(#REF!)-2,1)=LOOKUP(2,1/ISNUMBER(#REF!),#REF!),OFFSET(#REF!,0,0,COUNTA(#REF!)-2,1),NA())</definedName>
    <definedName name="Valores46a">IF(OFFSET(#REF!,0,0,COUNTA(#REF!)-2,1)=LOOKUP(2,1/ISNUMBER(#REF!),#REF!),OFFSET(#REF!,0,0,COUNTA(#REF!)-2,1),NA())</definedName>
    <definedName name="Valores46b" localSheetId="3">IF(OFFSET(#REF!,0,0,COUNTA(#REF!)-2,1)=LOOKUP(2,1/ISNUMBER(#REF!),#REF!),OFFSET(#REF!,0,0,COUNTA(#REF!)-2,1),NA())</definedName>
    <definedName name="Valores46b" localSheetId="1">IF(OFFSET('[29]94 - Tabela 46'!$D$9,0,0,COUNTA('[29]94 - Tabela 46'!$R:$R)-2,1)=LOOKUP(2,1/ISNUMBER('[29]94 - Tabela 46'!$D:$D),'[29]94 - Tabela 46'!$D:$D),OFFSET('[29]94 - Tabela 46'!$R$9,0,0,COUNTA('[29]94 - Tabela 46'!$R:$R)-2,1),NA())</definedName>
    <definedName name="Valores46b" localSheetId="9">IF(OFFSET(#REF!,0,0,COUNTA(#REF!)-2,1)=LOOKUP(2,1/ISNUMBER(#REF!),#REF!),OFFSET(#REF!,0,0,COUNTA(#REF!)-2,1),NA())</definedName>
    <definedName name="Valores46b" localSheetId="5">IF(OFFSET('[29]94 - Tabela 46'!$D$9,0,0,COUNTA('[29]94 - Tabela 46'!$R:$R)-2,1)=LOOKUP(2,1/ISNUMBER('[29]94 - Tabela 46'!$D:$D),'[29]94 - Tabela 46'!$D:$D),OFFSET('[29]94 - Tabela 46'!$R$9,0,0,COUNTA('[29]94 - Tabela 46'!$R:$R)-2,1),NA())</definedName>
    <definedName name="Valores46b" localSheetId="4">IF(OFFSET(#REF!,0,0,COUNTA(#REF!)-2,1)=LOOKUP(2,1/ISNUMBER(#REF!),#REF!),OFFSET(#REF!,0,0,COUNTA(#REF!)-2,1),NA())</definedName>
    <definedName name="Valores46b">IF(OFFSET(#REF!,0,0,COUNTA(#REF!)-2,1)=LOOKUP(2,1/ISNUMBER(#REF!),#REF!),OFFSET(#REF!,0,0,COUNTA(#REF!)-2,1),NA())</definedName>
    <definedName name="Valores47a" localSheetId="3">IF(OFFSET(#REF!,0,0,COUNTA(#REF!)-2,1)=LOOKUP(2,1/ISNUMBER(#REF!),#REF!),OFFSET(#REF!,0,0,COUNTA(#REF!)-2,1),NA())</definedName>
    <definedName name="Valores47a" localSheetId="1">IF(OFFSET('[29]96 - Tabela 47'!$D$9,0,0,COUNTA('[29]96 - Tabela 47'!$E:$E)-2,1)=LOOKUP(2,1/ISNUMBER('[29]96 - Tabela 47'!$D:$D),'[29]96 - Tabela 47'!$D:$D),OFFSET('[29]96 - Tabela 47'!$E$9,0,0,COUNTA('[29]96 - Tabela 47'!$E:$E)-2,1),NA())</definedName>
    <definedName name="Valores47a" localSheetId="9">IF(OFFSET(#REF!,0,0,COUNTA(#REF!)-2,1)=LOOKUP(2,1/ISNUMBER(#REF!),#REF!),OFFSET(#REF!,0,0,COUNTA(#REF!)-2,1),NA())</definedName>
    <definedName name="Valores47a" localSheetId="5">IF(OFFSET('[29]96 - Tabela 47'!$D$9,0,0,COUNTA('[29]96 - Tabela 47'!$E:$E)-2,1)=LOOKUP(2,1/ISNUMBER('[29]96 - Tabela 47'!$D:$D),'[29]96 - Tabela 47'!$D:$D),OFFSET('[29]96 - Tabela 47'!$E$9,0,0,COUNTA('[29]96 - Tabela 47'!$E:$E)-2,1),NA())</definedName>
    <definedName name="Valores47a" localSheetId="4">IF(OFFSET(#REF!,0,0,COUNTA(#REF!)-2,1)=LOOKUP(2,1/ISNUMBER(#REF!),#REF!),OFFSET(#REF!,0,0,COUNTA(#REF!)-2,1),NA())</definedName>
    <definedName name="Valores47a">IF(OFFSET(#REF!,0,0,COUNTA(#REF!)-2,1)=LOOKUP(2,1/ISNUMBER(#REF!),#REF!),OFFSET(#REF!,0,0,COUNTA(#REF!)-2,1),NA())</definedName>
    <definedName name="Valores47b" localSheetId="3">IF(OFFSET(#REF!,0,0,COUNTA(#REF!)-2,1)=LOOKUP(2,1/ISNUMBER(#REF!),#REF!),OFFSET(#REF!,0,0,COUNTA(#REF!)-2,1),NA())</definedName>
    <definedName name="Valores47b" localSheetId="1">IF(OFFSET('[29]96 - Tabela 47'!$D$9,0,0,COUNTA('[29]96 - Tabela 47'!$R:$R)-2,1)=LOOKUP(2,1/ISNUMBER('[29]96 - Tabela 47'!$D:$D),'[29]96 - Tabela 47'!$D:$D),OFFSET('[29]96 - Tabela 47'!$R$9,0,0,COUNTA('[29]96 - Tabela 47'!$R:$R)-2,1),NA())</definedName>
    <definedName name="Valores47b" localSheetId="9">IF(OFFSET(#REF!,0,0,COUNTA(#REF!)-2,1)=LOOKUP(2,1/ISNUMBER(#REF!),#REF!),OFFSET(#REF!,0,0,COUNTA(#REF!)-2,1),NA())</definedName>
    <definedName name="Valores47b" localSheetId="5">IF(OFFSET('[29]96 - Tabela 47'!$D$9,0,0,COUNTA('[29]96 - Tabela 47'!$R:$R)-2,1)=LOOKUP(2,1/ISNUMBER('[29]96 - Tabela 47'!$D:$D),'[29]96 - Tabela 47'!$D:$D),OFFSET('[29]96 - Tabela 47'!$R$9,0,0,COUNTA('[29]96 - Tabela 47'!$R:$R)-2,1),NA())</definedName>
    <definedName name="Valores47b" localSheetId="4">IF(OFFSET(#REF!,0,0,COUNTA(#REF!)-2,1)=LOOKUP(2,1/ISNUMBER(#REF!),#REF!),OFFSET(#REF!,0,0,COUNTA(#REF!)-2,1),NA())</definedName>
    <definedName name="Valores47b">IF(OFFSET(#REF!,0,0,COUNTA(#REF!)-2,1)=LOOKUP(2,1/ISNUMBER(#REF!),#REF!),OFFSET(#REF!,0,0,COUNTA(#REF!)-2,1),NA())</definedName>
    <definedName name="Valores48a" localSheetId="3">IF(OFFSET(#REF!,0,0,COUNTA(#REF!)-2,1)=LOOKUP(2,1/ISNUMBER(#REF!),#REF!),OFFSET(#REF!,0,0,COUNTA(#REF!)-2,1),NA())</definedName>
    <definedName name="Valores48a" localSheetId="1">IF(OFFSET('[29]98 - Tabela 48'!$D$9,0,0,COUNTA('[29]98 - Tabela 48'!$E:$E)-2,1)=LOOKUP(2,1/ISNUMBER('[29]98 - Tabela 48'!$D:$D),'[29]98 - Tabela 48'!$D:$D),OFFSET('[29]98 - Tabela 48'!$E$9,0,0,COUNTA('[29]98 - Tabela 48'!$E:$E)-2,1),NA())</definedName>
    <definedName name="Valores48a" localSheetId="9">IF(OFFSET(#REF!,0,0,COUNTA(#REF!)-2,1)=LOOKUP(2,1/ISNUMBER(#REF!),#REF!),OFFSET(#REF!,0,0,COUNTA(#REF!)-2,1),NA())</definedName>
    <definedName name="Valores48a" localSheetId="5">IF(OFFSET('[29]98 - Tabela 48'!$D$9,0,0,COUNTA('[29]98 - Tabela 48'!$E:$E)-2,1)=LOOKUP(2,1/ISNUMBER('[29]98 - Tabela 48'!$D:$D),'[29]98 - Tabela 48'!$D:$D),OFFSET('[29]98 - Tabela 48'!$E$9,0,0,COUNTA('[29]98 - Tabela 48'!$E:$E)-2,1),NA())</definedName>
    <definedName name="Valores48a" localSheetId="4">IF(OFFSET(#REF!,0,0,COUNTA(#REF!)-2,1)=LOOKUP(2,1/ISNUMBER(#REF!),#REF!),OFFSET(#REF!,0,0,COUNTA(#REF!)-2,1),NA())</definedName>
    <definedName name="Valores48a">IF(OFFSET(#REF!,0,0,COUNTA(#REF!)-2,1)=LOOKUP(2,1/ISNUMBER(#REF!),#REF!),OFFSET(#REF!,0,0,COUNTA(#REF!)-2,1),NA())</definedName>
    <definedName name="Valores48b" localSheetId="3">IF(OFFSET(#REF!,0,0,COUNTA(#REF!)-2,1)=LOOKUP(2,1/ISNUMBER(#REF!),#REF!),OFFSET(#REF!,0,0,COUNTA(#REF!)-2,1),NA())</definedName>
    <definedName name="Valores48b" localSheetId="1">IF(OFFSET('[29]98 - Tabela 48'!$D$9,0,0,COUNTA('[29]98 - Tabela 48'!$R:$R)-2,1)=LOOKUP(2,1/ISNUMBER('[29]98 - Tabela 48'!$D:$D),'[29]98 - Tabela 48'!$D:$D),OFFSET('[29]98 - Tabela 48'!$R$9,0,0,COUNTA('[29]98 - Tabela 48'!$R:$R)-2,1),NA())</definedName>
    <definedName name="Valores48b" localSheetId="9">IF(OFFSET(#REF!,0,0,COUNTA(#REF!)-2,1)=LOOKUP(2,1/ISNUMBER(#REF!),#REF!),OFFSET(#REF!,0,0,COUNTA(#REF!)-2,1),NA())</definedName>
    <definedName name="Valores48b" localSheetId="5">IF(OFFSET('[29]98 - Tabela 48'!$D$9,0,0,COUNTA('[29]98 - Tabela 48'!$R:$R)-2,1)=LOOKUP(2,1/ISNUMBER('[29]98 - Tabela 48'!$D:$D),'[29]98 - Tabela 48'!$D:$D),OFFSET('[29]98 - Tabela 48'!$R$9,0,0,COUNTA('[29]98 - Tabela 48'!$R:$R)-2,1),NA())</definedName>
    <definedName name="Valores48b" localSheetId="4">IF(OFFSET(#REF!,0,0,COUNTA(#REF!)-2,1)=LOOKUP(2,1/ISNUMBER(#REF!),#REF!),OFFSET(#REF!,0,0,COUNTA(#REF!)-2,1),NA())</definedName>
    <definedName name="Valores48b">IF(OFFSET(#REF!,0,0,COUNTA(#REF!)-2,1)=LOOKUP(2,1/ISNUMBER(#REF!),#REF!),OFFSET(#REF!,0,0,COUNTA(#REF!)-2,1),NA())</definedName>
    <definedName name="Valores49a" localSheetId="3">IF(OFFSET(#REF!,0,0,COUNTA(#REF!)-2,1)=LOOKUP(2,1/ISNUMBER(#REF!),#REF!),OFFSET(#REF!,0,0,COUNTA(#REF!)-2,1),NA())</definedName>
    <definedName name="Valores49a" localSheetId="1">IF(OFFSET('[29]100 - Tabela 49'!$D$9,0,0,COUNTA('[29]100 - Tabela 49'!$E:$E)-2,1)=LOOKUP(2,1/ISNUMBER('[29]100 - Tabela 49'!$D:$D),'[29]100 - Tabela 49'!$D:$D),OFFSET('[29]100 - Tabela 49'!$E$9,0,0,COUNTA('[29]100 - Tabela 49'!$E:$E)-2,1),NA())</definedName>
    <definedName name="Valores49a" localSheetId="9">IF(OFFSET(#REF!,0,0,COUNTA(#REF!)-2,1)=LOOKUP(2,1/ISNUMBER(#REF!),#REF!),OFFSET(#REF!,0,0,COUNTA(#REF!)-2,1),NA())</definedName>
    <definedName name="Valores49a" localSheetId="5">IF(OFFSET('[29]100 - Tabela 49'!$D$9,0,0,COUNTA('[29]100 - Tabela 49'!$E:$E)-2,1)=LOOKUP(2,1/ISNUMBER('[29]100 - Tabela 49'!$D:$D),'[29]100 - Tabela 49'!$D:$D),OFFSET('[29]100 - Tabela 49'!$E$9,0,0,COUNTA('[29]100 - Tabela 49'!$E:$E)-2,1),NA())</definedName>
    <definedName name="Valores49a" localSheetId="4">IF(OFFSET(#REF!,0,0,COUNTA(#REF!)-2,1)=LOOKUP(2,1/ISNUMBER(#REF!),#REF!),OFFSET(#REF!,0,0,COUNTA(#REF!)-2,1),NA())</definedName>
    <definedName name="Valores49a">IF(OFFSET(#REF!,0,0,COUNTA(#REF!)-2,1)=LOOKUP(2,1/ISNUMBER(#REF!),#REF!),OFFSET(#REF!,0,0,COUNTA(#REF!)-2,1),NA())</definedName>
    <definedName name="Valores49b" localSheetId="3">IF(OFFSET(#REF!,0,0,COUNTA(#REF!)-2,1)=LOOKUP(2,1/ISNUMBER(#REF!),#REF!),OFFSET(#REF!,0,0,COUNTA(#REF!)-2,1),NA())</definedName>
    <definedName name="Valores49b" localSheetId="1">IF(OFFSET('[29]100 - Tabela 49'!$D$9,0,0,COUNTA('[29]100 - Tabela 49'!$R:$R)-2,1)=LOOKUP(2,1/ISNUMBER('[29]100 - Tabela 49'!$D:$D),'[29]100 - Tabela 49'!$D:$D),OFFSET('[29]100 - Tabela 49'!$R$9,0,0,COUNTA('[29]100 - Tabela 49'!$R:$R)-2,1),NA())</definedName>
    <definedName name="Valores49b" localSheetId="9">IF(OFFSET(#REF!,0,0,COUNTA(#REF!)-2,1)=LOOKUP(2,1/ISNUMBER(#REF!),#REF!),OFFSET(#REF!,0,0,COUNTA(#REF!)-2,1),NA())</definedName>
    <definedName name="Valores49b" localSheetId="5">IF(OFFSET('[29]100 - Tabela 49'!$D$9,0,0,COUNTA('[29]100 - Tabela 49'!$R:$R)-2,1)=LOOKUP(2,1/ISNUMBER('[29]100 - Tabela 49'!$D:$D),'[29]100 - Tabela 49'!$D:$D),OFFSET('[29]100 - Tabela 49'!$R$9,0,0,COUNTA('[29]100 - Tabela 49'!$R:$R)-2,1),NA())</definedName>
    <definedName name="Valores49b" localSheetId="4">IF(OFFSET(#REF!,0,0,COUNTA(#REF!)-2,1)=LOOKUP(2,1/ISNUMBER(#REF!),#REF!),OFFSET(#REF!,0,0,COUNTA(#REF!)-2,1),NA())</definedName>
    <definedName name="Valores49b">IF(OFFSET(#REF!,0,0,COUNTA(#REF!)-2,1)=LOOKUP(2,1/ISNUMBER(#REF!),#REF!),OFFSET(#REF!,0,0,COUNTA(#REF!)-2,1),NA())</definedName>
    <definedName name="Valores5" localSheetId="3">IF(OFFSET(#REF!,0,0,COUNTA(#REF!)-2,1)=LOOKUP(2,1/ISNUMBER(#REF!),#REF!),OFFSET(#REF!,0,0,COUNTA(#REF!)-2,1),NA())</definedName>
    <definedName name="Valores5" localSheetId="1">IF(OFFSET('[29]12 - Tabela 5'!$D$9,0,0,COUNTA('[29]12 - Tabela 5'!$E:$E)-2,1)=LOOKUP(2,1/ISNUMBER('[29]12 - Tabela 5'!$D:$D),'[29]12 - Tabela 5'!$D:$D),OFFSET('[29]12 - Tabela 5'!$E$9,0,0,COUNTA('[29]12 - Tabela 5'!$E:$E)-2,1),NA())</definedName>
    <definedName name="Valores5" localSheetId="9">IF(OFFSET(#REF!,0,0,COUNTA(#REF!)-2,1)=LOOKUP(2,1/ISNUMBER(#REF!),#REF!),OFFSET(#REF!,0,0,COUNTA(#REF!)-2,1),NA())</definedName>
    <definedName name="Valores5" localSheetId="5">IF(OFFSET('[29]12 - Tabela 5'!$D$9,0,0,COUNTA('[29]12 - Tabela 5'!$E:$E)-2,1)=LOOKUP(2,1/ISNUMBER('[29]12 - Tabela 5'!$D:$D),'[29]12 - Tabela 5'!$D:$D),OFFSET('[29]12 - Tabela 5'!$E$9,0,0,COUNTA('[29]12 - Tabela 5'!$E:$E)-2,1),NA())</definedName>
    <definedName name="Valores5" localSheetId="4">IF(OFFSET(#REF!,0,0,COUNTA(#REF!)-2,1)=LOOKUP(2,1/ISNUMBER(#REF!),#REF!),OFFSET(#REF!,0,0,COUNTA(#REF!)-2,1),NA())</definedName>
    <definedName name="Valores5">IF(OFFSET(#REF!,0,0,COUNTA(#REF!)-2,1)=LOOKUP(2,1/ISNUMBER(#REF!),#REF!),OFFSET(#REF!,0,0,COUNTA(#REF!)-2,1),NA())</definedName>
    <definedName name="Valores50a" localSheetId="3">IF(OFFSET(#REF!,0,0,COUNTA(#REF!)-2,1)=LOOKUP(2,1/ISNUMBER(#REF!),#REF!),OFFSET(#REF!,0,0,COUNTA(#REF!)-2,1),NA())</definedName>
    <definedName name="Valores50a" localSheetId="1">IF(OFFSET('[29]102 - Tabela 50'!$D$9,0,0,COUNTA('[29]102 - Tabela 50'!$E:$E)-2,1)=LOOKUP(2,1/ISNUMBER('[29]102 - Tabela 50'!$D:$D),'[29]102 - Tabela 50'!$D:$D),OFFSET('[29]102 - Tabela 50'!$E$9,0,0,COUNTA('[29]102 - Tabela 50'!$E:$E)-2,1),NA())</definedName>
    <definedName name="Valores50a" localSheetId="9">IF(OFFSET(#REF!,0,0,COUNTA(#REF!)-2,1)=LOOKUP(2,1/ISNUMBER(#REF!),#REF!),OFFSET(#REF!,0,0,COUNTA(#REF!)-2,1),NA())</definedName>
    <definedName name="Valores50a" localSheetId="5">IF(OFFSET('[29]102 - Tabela 50'!$D$9,0,0,COUNTA('[29]102 - Tabela 50'!$E:$E)-2,1)=LOOKUP(2,1/ISNUMBER('[29]102 - Tabela 50'!$D:$D),'[29]102 - Tabela 50'!$D:$D),OFFSET('[29]102 - Tabela 50'!$E$9,0,0,COUNTA('[29]102 - Tabela 50'!$E:$E)-2,1),NA())</definedName>
    <definedName name="Valores50a" localSheetId="4">IF(OFFSET(#REF!,0,0,COUNTA(#REF!)-2,1)=LOOKUP(2,1/ISNUMBER(#REF!),#REF!),OFFSET(#REF!,0,0,COUNTA(#REF!)-2,1),NA())</definedName>
    <definedName name="Valores50a">IF(OFFSET(#REF!,0,0,COUNTA(#REF!)-2,1)=LOOKUP(2,1/ISNUMBER(#REF!),#REF!),OFFSET(#REF!,0,0,COUNTA(#REF!)-2,1),NA())</definedName>
    <definedName name="Valores50b" localSheetId="3">IF(OFFSET(#REF!,0,0,COUNTA(#REF!)-2,1)=LOOKUP(2,1/ISNUMBER(#REF!),#REF!),OFFSET(#REF!,0,0,COUNTA(#REF!)-2,1),NA())</definedName>
    <definedName name="Valores50b" localSheetId="1">IF(OFFSET('[29]102 - Tabela 50'!$D$9,0,0,COUNTA('[29]102 - Tabela 50'!$R:$R)-2,1)=LOOKUP(2,1/ISNUMBER('[29]102 - Tabela 50'!$D:$D),'[29]102 - Tabela 50'!$D:$D),OFFSET('[29]102 - Tabela 50'!$R$9,0,0,COUNTA('[29]102 - Tabela 50'!$R:$R)-2,1),NA())</definedName>
    <definedName name="Valores50b" localSheetId="9">IF(OFFSET(#REF!,0,0,COUNTA(#REF!)-2,1)=LOOKUP(2,1/ISNUMBER(#REF!),#REF!),OFFSET(#REF!,0,0,COUNTA(#REF!)-2,1),NA())</definedName>
    <definedName name="Valores50b" localSheetId="5">IF(OFFSET('[29]102 - Tabela 50'!$D$9,0,0,COUNTA('[29]102 - Tabela 50'!$R:$R)-2,1)=LOOKUP(2,1/ISNUMBER('[29]102 - Tabela 50'!$D:$D),'[29]102 - Tabela 50'!$D:$D),OFFSET('[29]102 - Tabela 50'!$R$9,0,0,COUNTA('[29]102 - Tabela 50'!$R:$R)-2,1),NA())</definedName>
    <definedName name="Valores50b" localSheetId="4">IF(OFFSET(#REF!,0,0,COUNTA(#REF!)-2,1)=LOOKUP(2,1/ISNUMBER(#REF!),#REF!),OFFSET(#REF!,0,0,COUNTA(#REF!)-2,1),NA())</definedName>
    <definedName name="Valores50b">IF(OFFSET(#REF!,0,0,COUNTA(#REF!)-2,1)=LOOKUP(2,1/ISNUMBER(#REF!),#REF!),OFFSET(#REF!,0,0,COUNTA(#REF!)-2,1),NA())</definedName>
    <definedName name="Valores51a" localSheetId="3">IF(OFFSET(#REF!,0,0,COUNTA(#REF!)-2,1)=LOOKUP(2,1/ISNUMBER(#REF!),#REF!),OFFSET(#REF!,0,0,COUNTA(#REF!)-2,1),NA())</definedName>
    <definedName name="Valores51a" localSheetId="1">IF(OFFSET('[29]104 - Tabela 51'!$D$9,0,0,COUNTA('[29]104 - Tabela 51'!$E:$E)-2,1)=LOOKUP(2,1/ISNUMBER('[29]104 - Tabela 51'!$D:$D),'[29]104 - Tabela 51'!$D:$D),OFFSET('[29]104 - Tabela 51'!$E$9,0,0,COUNTA('[29]104 - Tabela 51'!$E:$E)-2,1),NA())</definedName>
    <definedName name="Valores51a" localSheetId="9">IF(OFFSET(#REF!,0,0,COUNTA(#REF!)-2,1)=LOOKUP(2,1/ISNUMBER(#REF!),#REF!),OFFSET(#REF!,0,0,COUNTA(#REF!)-2,1),NA())</definedName>
    <definedName name="Valores51a" localSheetId="5">IF(OFFSET('[29]104 - Tabela 51'!$D$9,0,0,COUNTA('[29]104 - Tabela 51'!$E:$E)-2,1)=LOOKUP(2,1/ISNUMBER('[29]104 - Tabela 51'!$D:$D),'[29]104 - Tabela 51'!$D:$D),OFFSET('[29]104 - Tabela 51'!$E$9,0,0,COUNTA('[29]104 - Tabela 51'!$E:$E)-2,1),NA())</definedName>
    <definedName name="Valores51a" localSheetId="4">IF(OFFSET(#REF!,0,0,COUNTA(#REF!)-2,1)=LOOKUP(2,1/ISNUMBER(#REF!),#REF!),OFFSET(#REF!,0,0,COUNTA(#REF!)-2,1),NA())</definedName>
    <definedName name="Valores51a">IF(OFFSET(#REF!,0,0,COUNTA(#REF!)-2,1)=LOOKUP(2,1/ISNUMBER(#REF!),#REF!),OFFSET(#REF!,0,0,COUNTA(#REF!)-2,1),NA())</definedName>
    <definedName name="Valores51b" localSheetId="3">IF(OFFSET(#REF!,0,0,COUNTA(#REF!)-2,1)=LOOKUP(2,1/ISNUMBER(#REF!),#REF!),OFFSET(#REF!,0,0,COUNTA(#REF!)-2,1),NA())</definedName>
    <definedName name="Valores51b" localSheetId="1">IF(OFFSET('[29]104 - Tabela 51'!$D$9,0,0,COUNTA('[29]104 - Tabela 51'!$R:$R)-2,1)=LOOKUP(2,1/ISNUMBER('[29]104 - Tabela 51'!$D:$D),'[29]104 - Tabela 51'!$D:$D),OFFSET('[29]104 - Tabela 51'!$R$9,0,0,COUNTA('[29]104 - Tabela 51'!$R:$R)-2,1),NA())</definedName>
    <definedName name="Valores51b" localSheetId="9">IF(OFFSET(#REF!,0,0,COUNTA(#REF!)-2,1)=LOOKUP(2,1/ISNUMBER(#REF!),#REF!),OFFSET(#REF!,0,0,COUNTA(#REF!)-2,1),NA())</definedName>
    <definedName name="Valores51b" localSheetId="5">IF(OFFSET('[29]104 - Tabela 51'!$D$9,0,0,COUNTA('[29]104 - Tabela 51'!$R:$R)-2,1)=LOOKUP(2,1/ISNUMBER('[29]104 - Tabela 51'!$D:$D),'[29]104 - Tabela 51'!$D:$D),OFFSET('[29]104 - Tabela 51'!$R$9,0,0,COUNTA('[29]104 - Tabela 51'!$R:$R)-2,1),NA())</definedName>
    <definedName name="Valores51b" localSheetId="4">IF(OFFSET(#REF!,0,0,COUNTA(#REF!)-2,1)=LOOKUP(2,1/ISNUMBER(#REF!),#REF!),OFFSET(#REF!,0,0,COUNTA(#REF!)-2,1),NA())</definedName>
    <definedName name="Valores51b">IF(OFFSET(#REF!,0,0,COUNTA(#REF!)-2,1)=LOOKUP(2,1/ISNUMBER(#REF!),#REF!),OFFSET(#REF!,0,0,COUNTA(#REF!)-2,1),NA())</definedName>
    <definedName name="Valores52a" localSheetId="3">IF(OFFSET(#REF!,0,0,COUNTA(#REF!)-2,1)=LOOKUP(2,1/ISNUMBER(#REF!),#REF!),OFFSET(#REF!,0,0,COUNTA(#REF!)-2,1),NA())</definedName>
    <definedName name="Valores52a" localSheetId="1">IF(OFFSET('[29]106 - Tabela 52'!$D$9,0,0,COUNTA('[29]106 - Tabela 52'!$E:$E)-2,1)=LOOKUP(2,1/ISNUMBER('[29]106 - Tabela 52'!$D:$D),'[29]106 - Tabela 52'!$D:$D),OFFSET('[29]106 - Tabela 52'!$E$9,0,0,COUNTA('[29]106 - Tabela 52'!$E:$E)-2,1),NA())</definedName>
    <definedName name="Valores52a" localSheetId="9">IF(OFFSET(#REF!,0,0,COUNTA(#REF!)-2,1)=LOOKUP(2,1/ISNUMBER(#REF!),#REF!),OFFSET(#REF!,0,0,COUNTA(#REF!)-2,1),NA())</definedName>
    <definedName name="Valores52a" localSheetId="5">IF(OFFSET('[29]106 - Tabela 52'!$D$9,0,0,COUNTA('[29]106 - Tabela 52'!$E:$E)-2,1)=LOOKUP(2,1/ISNUMBER('[29]106 - Tabela 52'!$D:$D),'[29]106 - Tabela 52'!$D:$D),OFFSET('[29]106 - Tabela 52'!$E$9,0,0,COUNTA('[29]106 - Tabela 52'!$E:$E)-2,1),NA())</definedName>
    <definedName name="Valores52a" localSheetId="4">IF(OFFSET(#REF!,0,0,COUNTA(#REF!)-2,1)=LOOKUP(2,1/ISNUMBER(#REF!),#REF!),OFFSET(#REF!,0,0,COUNTA(#REF!)-2,1),NA())</definedName>
    <definedName name="Valores52a">IF(OFFSET(#REF!,0,0,COUNTA(#REF!)-2,1)=LOOKUP(2,1/ISNUMBER(#REF!),#REF!),OFFSET(#REF!,0,0,COUNTA(#REF!)-2,1),NA())</definedName>
    <definedName name="Valores52b" localSheetId="3">IF(OFFSET(#REF!,0,0,COUNTA(#REF!)-2,1)=LOOKUP(2,1/ISNUMBER(#REF!),#REF!),OFFSET(#REF!,0,0,COUNTA(#REF!)-2,1),NA())</definedName>
    <definedName name="Valores52b" localSheetId="1">IF(OFFSET('[29]106 - Tabela 52'!$D$9,0,0,COUNTA('[29]106 - Tabela 52'!$R:$R)-2,1)=LOOKUP(2,1/ISNUMBER('[29]106 - Tabela 52'!$D:$D),'[29]106 - Tabela 52'!$D:$D),OFFSET('[29]106 - Tabela 52'!$R$9,0,0,COUNTA('[29]106 - Tabela 52'!$R:$R)-2,1),NA())</definedName>
    <definedName name="Valores52b" localSheetId="9">IF(OFFSET(#REF!,0,0,COUNTA(#REF!)-2,1)=LOOKUP(2,1/ISNUMBER(#REF!),#REF!),OFFSET(#REF!,0,0,COUNTA(#REF!)-2,1),NA())</definedName>
    <definedName name="Valores52b" localSheetId="5">IF(OFFSET('[29]106 - Tabela 52'!$D$9,0,0,COUNTA('[29]106 - Tabela 52'!$R:$R)-2,1)=LOOKUP(2,1/ISNUMBER('[29]106 - Tabela 52'!$D:$D),'[29]106 - Tabela 52'!$D:$D),OFFSET('[29]106 - Tabela 52'!$R$9,0,0,COUNTA('[29]106 - Tabela 52'!$R:$R)-2,1),NA())</definedName>
    <definedName name="Valores52b" localSheetId="4">IF(OFFSET(#REF!,0,0,COUNTA(#REF!)-2,1)=LOOKUP(2,1/ISNUMBER(#REF!),#REF!),OFFSET(#REF!,0,0,COUNTA(#REF!)-2,1),NA())</definedName>
    <definedName name="Valores52b">IF(OFFSET(#REF!,0,0,COUNTA(#REF!)-2,1)=LOOKUP(2,1/ISNUMBER(#REF!),#REF!),OFFSET(#REF!,0,0,COUNTA(#REF!)-2,1),NA())</definedName>
    <definedName name="Valores53a" localSheetId="3">IF(OFFSET(#REF!,0,0,COUNTA(#REF!)-2,1)=LOOKUP(2,1/ISNUMBER(#REF!),#REF!),OFFSET(#REF!,0,0,COUNTA(#REF!)-2,1),NA())</definedName>
    <definedName name="Valores53a" localSheetId="1">IF(OFFSET('[29]108 - Tabela 53'!$D$9,0,0,COUNTA('[29]108 - Tabela 53'!$E:$E)-2,1)=LOOKUP(2,1/ISNUMBER('[29]108 - Tabela 53'!$D:$D),'[29]108 - Tabela 53'!$D:$D),OFFSET('[29]108 - Tabela 53'!$E$9,0,0,COUNTA('[29]108 - Tabela 53'!$E:$E)-2,1),NA())</definedName>
    <definedName name="Valores53a" localSheetId="9">IF(OFFSET(#REF!,0,0,COUNTA(#REF!)-2,1)=LOOKUP(2,1/ISNUMBER(#REF!),#REF!),OFFSET(#REF!,0,0,COUNTA(#REF!)-2,1),NA())</definedName>
    <definedName name="Valores53a" localSheetId="5">IF(OFFSET('[29]108 - Tabela 53'!$D$9,0,0,COUNTA('[29]108 - Tabela 53'!$E:$E)-2,1)=LOOKUP(2,1/ISNUMBER('[29]108 - Tabela 53'!$D:$D),'[29]108 - Tabela 53'!$D:$D),OFFSET('[29]108 - Tabela 53'!$E$9,0,0,COUNTA('[29]108 - Tabela 53'!$E:$E)-2,1),NA())</definedName>
    <definedName name="Valores53a" localSheetId="4">IF(OFFSET(#REF!,0,0,COUNTA(#REF!)-2,1)=LOOKUP(2,1/ISNUMBER(#REF!),#REF!),OFFSET(#REF!,0,0,COUNTA(#REF!)-2,1),NA())</definedName>
    <definedName name="Valores53a">IF(OFFSET(#REF!,0,0,COUNTA(#REF!)-2,1)=LOOKUP(2,1/ISNUMBER(#REF!),#REF!),OFFSET(#REF!,0,0,COUNTA(#REF!)-2,1),NA())</definedName>
    <definedName name="Valores53b" localSheetId="3">IF(OFFSET(#REF!,0,0,COUNTA(#REF!)-2,1)=LOOKUP(2,1/ISNUMBER(#REF!),#REF!),OFFSET(#REF!,0,0,COUNTA(#REF!)-2,1),NA())</definedName>
    <definedName name="Valores53b" localSheetId="1">IF(OFFSET('[29]108 - Tabela 53'!$D$9,0,0,COUNTA('[29]108 - Tabela 53'!$R:$R)-2,1)=LOOKUP(2,1/ISNUMBER('[29]108 - Tabela 53'!$D:$D),'[29]108 - Tabela 53'!$D:$D),OFFSET('[29]108 - Tabela 53'!$R$9,0,0,COUNTA('[29]108 - Tabela 53'!$R:$R)-2,1),NA())</definedName>
    <definedName name="Valores53b" localSheetId="9">IF(OFFSET(#REF!,0,0,COUNTA(#REF!)-2,1)=LOOKUP(2,1/ISNUMBER(#REF!),#REF!),OFFSET(#REF!,0,0,COUNTA(#REF!)-2,1),NA())</definedName>
    <definedName name="Valores53b" localSheetId="5">IF(OFFSET('[29]108 - Tabela 53'!$D$9,0,0,COUNTA('[29]108 - Tabela 53'!$R:$R)-2,1)=LOOKUP(2,1/ISNUMBER('[29]108 - Tabela 53'!$D:$D),'[29]108 - Tabela 53'!$D:$D),OFFSET('[29]108 - Tabela 53'!$R$9,0,0,COUNTA('[29]108 - Tabela 53'!$R:$R)-2,1),NA())</definedName>
    <definedName name="Valores53b" localSheetId="4">IF(OFFSET(#REF!,0,0,COUNTA(#REF!)-2,1)=LOOKUP(2,1/ISNUMBER(#REF!),#REF!),OFFSET(#REF!,0,0,COUNTA(#REF!)-2,1),NA())</definedName>
    <definedName name="Valores53b">IF(OFFSET(#REF!,0,0,COUNTA(#REF!)-2,1)=LOOKUP(2,1/ISNUMBER(#REF!),#REF!),OFFSET(#REF!,0,0,COUNTA(#REF!)-2,1),NA())</definedName>
    <definedName name="Valores54a" localSheetId="3">IF(OFFSET(#REF!,0,0,COUNTA(#REF!)-2,1)=LOOKUP(2,1/ISNUMBER(#REF!),#REF!),OFFSET(#REF!,0,0,COUNTA(#REF!)-2,1),NA())</definedName>
    <definedName name="Valores54a" localSheetId="1">IF(OFFSET('[29]110 - Tabela 54'!$D$9,0,0,COUNTA('[29]110 - Tabela 54'!$E:$E)-2,1)=LOOKUP(2,1/ISNUMBER('[29]110 - Tabela 54'!$D:$D),'[29]110 - Tabela 54'!$D:$D),OFFSET('[29]110 - Tabela 54'!$E$9,0,0,COUNTA('[29]110 - Tabela 54'!$E:$E)-2,1),NA())</definedName>
    <definedName name="Valores54a" localSheetId="9">IF(OFFSET(#REF!,0,0,COUNTA(#REF!)-2,1)=LOOKUP(2,1/ISNUMBER(#REF!),#REF!),OFFSET(#REF!,0,0,COUNTA(#REF!)-2,1),NA())</definedName>
    <definedName name="Valores54a" localSheetId="5">IF(OFFSET('[29]110 - Tabela 54'!$D$9,0,0,COUNTA('[29]110 - Tabela 54'!$E:$E)-2,1)=LOOKUP(2,1/ISNUMBER('[29]110 - Tabela 54'!$D:$D),'[29]110 - Tabela 54'!$D:$D),OFFSET('[29]110 - Tabela 54'!$E$9,0,0,COUNTA('[29]110 - Tabela 54'!$E:$E)-2,1),NA())</definedName>
    <definedName name="Valores54a" localSheetId="4">IF(OFFSET(#REF!,0,0,COUNTA(#REF!)-2,1)=LOOKUP(2,1/ISNUMBER(#REF!),#REF!),OFFSET(#REF!,0,0,COUNTA(#REF!)-2,1),NA())</definedName>
    <definedName name="Valores54a">IF(OFFSET(#REF!,0,0,COUNTA(#REF!)-2,1)=LOOKUP(2,1/ISNUMBER(#REF!),#REF!),OFFSET(#REF!,0,0,COUNTA(#REF!)-2,1),NA())</definedName>
    <definedName name="Valores54b" localSheetId="3">IF(OFFSET(#REF!,0,0,COUNTA(#REF!)-2,1)=LOOKUP(2,1/ISNUMBER(#REF!),#REF!),OFFSET(#REF!,0,0,COUNTA(#REF!)-2,1),NA())</definedName>
    <definedName name="Valores54b" localSheetId="1">IF(OFFSET('[29]110 - Tabela 54'!$D$9,0,0,COUNTA('[29]110 - Tabela 54'!$R:$R)-2,1)=LOOKUP(2,1/ISNUMBER('[29]110 - Tabela 54'!$D:$D),'[29]110 - Tabela 54'!$D:$D),OFFSET('[29]110 - Tabela 54'!$R$9,0,0,COUNTA('[29]110 - Tabela 54'!$R:$R)-2,1),NA())</definedName>
    <definedName name="Valores54b" localSheetId="9">IF(OFFSET(#REF!,0,0,COUNTA(#REF!)-2,1)=LOOKUP(2,1/ISNUMBER(#REF!),#REF!),OFFSET(#REF!,0,0,COUNTA(#REF!)-2,1),NA())</definedName>
    <definedName name="Valores54b" localSheetId="5">IF(OFFSET('[29]110 - Tabela 54'!$D$9,0,0,COUNTA('[29]110 - Tabela 54'!$R:$R)-2,1)=LOOKUP(2,1/ISNUMBER('[29]110 - Tabela 54'!$D:$D),'[29]110 - Tabela 54'!$D:$D),OFFSET('[29]110 - Tabela 54'!$R$9,0,0,COUNTA('[29]110 - Tabela 54'!$R:$R)-2,1),NA())</definedName>
    <definedName name="Valores54b" localSheetId="4">IF(OFFSET(#REF!,0,0,COUNTA(#REF!)-2,1)=LOOKUP(2,1/ISNUMBER(#REF!),#REF!),OFFSET(#REF!,0,0,COUNTA(#REF!)-2,1),NA())</definedName>
    <definedName name="Valores54b">IF(OFFSET(#REF!,0,0,COUNTA(#REF!)-2,1)=LOOKUP(2,1/ISNUMBER(#REF!),#REF!),OFFSET(#REF!,0,0,COUNTA(#REF!)-2,1),NA())</definedName>
    <definedName name="Valores55a" localSheetId="3">IF(OFFSET(#REF!,0,0,COUNTA(#REF!)-2,1)=LOOKUP(2,1/ISNUMBER(#REF!),#REF!),OFFSET(#REF!,0,0,COUNTA(#REF!)-2,1),NA())</definedName>
    <definedName name="Valores55a" localSheetId="1">IF(OFFSET('[29]112 - Tabela 55'!$D$9,0,0,COUNTA('[29]112 - Tabela 55'!$E:$E)-2,1)=LOOKUP(2,1/ISNUMBER('[29]112 - Tabela 55'!$D:$D),'[29]112 - Tabela 55'!$D:$D),OFFSET('[29]112 - Tabela 55'!$E$9,0,0,COUNTA('[29]112 - Tabela 55'!$E:$E)-2,1),NA())</definedName>
    <definedName name="Valores55a" localSheetId="9">IF(OFFSET(#REF!,0,0,COUNTA(#REF!)-2,1)=LOOKUP(2,1/ISNUMBER(#REF!),#REF!),OFFSET(#REF!,0,0,COUNTA(#REF!)-2,1),NA())</definedName>
    <definedName name="Valores55a" localSheetId="5">IF(OFFSET('[29]112 - Tabela 55'!$D$9,0,0,COUNTA('[29]112 - Tabela 55'!$E:$E)-2,1)=LOOKUP(2,1/ISNUMBER('[29]112 - Tabela 55'!$D:$D),'[29]112 - Tabela 55'!$D:$D),OFFSET('[29]112 - Tabela 55'!$E$9,0,0,COUNTA('[29]112 - Tabela 55'!$E:$E)-2,1),NA())</definedName>
    <definedName name="Valores55a" localSheetId="4">IF(OFFSET(#REF!,0,0,COUNTA(#REF!)-2,1)=LOOKUP(2,1/ISNUMBER(#REF!),#REF!),OFFSET(#REF!,0,0,COUNTA(#REF!)-2,1),NA())</definedName>
    <definedName name="Valores55a">IF(OFFSET(#REF!,0,0,COUNTA(#REF!)-2,1)=LOOKUP(2,1/ISNUMBER(#REF!),#REF!),OFFSET(#REF!,0,0,COUNTA(#REF!)-2,1),NA())</definedName>
    <definedName name="Valores55b" localSheetId="3">IF(OFFSET(#REF!,0,0,COUNTA(#REF!)-2,1)=LOOKUP(2,1/ISNUMBER(#REF!),#REF!),OFFSET(#REF!,0,0,COUNTA(#REF!)-2,1),NA())</definedName>
    <definedName name="Valores55b" localSheetId="1">IF(OFFSET('[29]112 - Tabela 55'!$D$9,0,0,COUNTA('[29]112 - Tabela 55'!$R:$R)-2,1)=LOOKUP(2,1/ISNUMBER('[29]112 - Tabela 55'!$D:$D),'[29]112 - Tabela 55'!$D:$D),OFFSET('[29]112 - Tabela 55'!$R$9,0,0,COUNTA('[29]112 - Tabela 55'!$R:$R)-2,1),NA())</definedName>
    <definedName name="Valores55b" localSheetId="9">IF(OFFSET(#REF!,0,0,COUNTA(#REF!)-2,1)=LOOKUP(2,1/ISNUMBER(#REF!),#REF!),OFFSET(#REF!,0,0,COUNTA(#REF!)-2,1),NA())</definedName>
    <definedName name="Valores55b" localSheetId="5">IF(OFFSET('[29]112 - Tabela 55'!$D$9,0,0,COUNTA('[29]112 - Tabela 55'!$R:$R)-2,1)=LOOKUP(2,1/ISNUMBER('[29]112 - Tabela 55'!$D:$D),'[29]112 - Tabela 55'!$D:$D),OFFSET('[29]112 - Tabela 55'!$R$9,0,0,COUNTA('[29]112 - Tabela 55'!$R:$R)-2,1),NA())</definedName>
    <definedName name="Valores55b" localSheetId="4">IF(OFFSET(#REF!,0,0,COUNTA(#REF!)-2,1)=LOOKUP(2,1/ISNUMBER(#REF!),#REF!),OFFSET(#REF!,0,0,COUNTA(#REF!)-2,1),NA())</definedName>
    <definedName name="Valores55b">IF(OFFSET(#REF!,0,0,COUNTA(#REF!)-2,1)=LOOKUP(2,1/ISNUMBER(#REF!),#REF!),OFFSET(#REF!,0,0,COUNTA(#REF!)-2,1),NA())</definedName>
    <definedName name="Valores56a" localSheetId="3">IF(OFFSET(#REF!,0,0,COUNTA(#REF!)-2,1)=LOOKUP(2,1/ISNUMBER(#REF!),#REF!),OFFSET(#REF!,0,0,COUNTA(#REF!)-2,1),NA())</definedName>
    <definedName name="Valores56a" localSheetId="1">IF(OFFSET('[29]114 - Tabela 56'!$D$9,0,0,COUNTA('[29]114 - Tabela 56'!$E:$E)-2,1)=LOOKUP(2,1/ISNUMBER('[29]114 - Tabela 56'!$D:$D),'[29]114 - Tabela 56'!$D:$D),OFFSET('[29]114 - Tabela 56'!$E$9,0,0,COUNTA('[29]114 - Tabela 56'!$E:$E)-2,1),NA())</definedName>
    <definedName name="Valores56a" localSheetId="9">IF(OFFSET(#REF!,0,0,COUNTA(#REF!)-2,1)=LOOKUP(2,1/ISNUMBER(#REF!),#REF!),OFFSET(#REF!,0,0,COUNTA(#REF!)-2,1),NA())</definedName>
    <definedName name="Valores56a" localSheetId="5">IF(OFFSET('[29]114 - Tabela 56'!$D$9,0,0,COUNTA('[29]114 - Tabela 56'!$E:$E)-2,1)=LOOKUP(2,1/ISNUMBER('[29]114 - Tabela 56'!$D:$D),'[29]114 - Tabela 56'!$D:$D),OFFSET('[29]114 - Tabela 56'!$E$9,0,0,COUNTA('[29]114 - Tabela 56'!$E:$E)-2,1),NA())</definedName>
    <definedName name="Valores56a" localSheetId="4">IF(OFFSET(#REF!,0,0,COUNTA(#REF!)-2,1)=LOOKUP(2,1/ISNUMBER(#REF!),#REF!),OFFSET(#REF!,0,0,COUNTA(#REF!)-2,1),NA())</definedName>
    <definedName name="Valores56a">IF(OFFSET(#REF!,0,0,COUNTA(#REF!)-2,1)=LOOKUP(2,1/ISNUMBER(#REF!),#REF!),OFFSET(#REF!,0,0,COUNTA(#REF!)-2,1),NA())</definedName>
    <definedName name="Valores56b" localSheetId="3">IF(OFFSET(#REF!,0,0,COUNTA(#REF!)-2,1)=LOOKUP(2,1/ISNUMBER(#REF!),#REF!),OFFSET(#REF!,0,0,COUNTA(#REF!)-2,1),NA())</definedName>
    <definedName name="Valores56b" localSheetId="1">IF(OFFSET('[29]114 - Tabela 56'!$D$9,0,0,COUNTA('[29]114 - Tabela 56'!$R:$R)-2,1)=LOOKUP(2,1/ISNUMBER('[29]114 - Tabela 56'!$D:$D),'[29]114 - Tabela 56'!$D:$D),OFFSET('[29]114 - Tabela 56'!$R$9,0,0,COUNTA('[29]114 - Tabela 56'!$R:$R)-2,1),NA())</definedName>
    <definedName name="Valores56b" localSheetId="9">IF(OFFSET(#REF!,0,0,COUNTA(#REF!)-2,1)=LOOKUP(2,1/ISNUMBER(#REF!),#REF!),OFFSET(#REF!,0,0,COUNTA(#REF!)-2,1),NA())</definedName>
    <definedName name="Valores56b" localSheetId="5">IF(OFFSET('[29]114 - Tabela 56'!$D$9,0,0,COUNTA('[29]114 - Tabela 56'!$R:$R)-2,1)=LOOKUP(2,1/ISNUMBER('[29]114 - Tabela 56'!$D:$D),'[29]114 - Tabela 56'!$D:$D),OFFSET('[29]114 - Tabela 56'!$R$9,0,0,COUNTA('[29]114 - Tabela 56'!$R:$R)-2,1),NA())</definedName>
    <definedName name="Valores56b" localSheetId="4">IF(OFFSET(#REF!,0,0,COUNTA(#REF!)-2,1)=LOOKUP(2,1/ISNUMBER(#REF!),#REF!),OFFSET(#REF!,0,0,COUNTA(#REF!)-2,1),NA())</definedName>
    <definedName name="Valores56b">IF(OFFSET(#REF!,0,0,COUNTA(#REF!)-2,1)=LOOKUP(2,1/ISNUMBER(#REF!),#REF!),OFFSET(#REF!,0,0,COUNTA(#REF!)-2,1),NA())</definedName>
    <definedName name="Valores57a" localSheetId="3">IF(OFFSET(#REF!,0,0,COUNTA(#REF!)-2,1)=LOOKUP(2,1/ISNUMBER(#REF!),#REF!),OFFSET(#REF!,0,0,COUNTA(#REF!)-2,1),NA())</definedName>
    <definedName name="Valores57a" localSheetId="1">IF(OFFSET('[29]116 - Tabela 57'!$D$9,0,0,COUNTA('[29]116 - Tabela 57'!$E:$E)-2,1)=LOOKUP(2,1/ISNUMBER('[29]116 - Tabela 57'!$D:$D),'[29]116 - Tabela 57'!$D:$D),OFFSET('[29]116 - Tabela 57'!$E$9,0,0,COUNTA('[29]116 - Tabela 57'!$E:$E)-2,1),NA())</definedName>
    <definedName name="Valores57a" localSheetId="9">IF(OFFSET(#REF!,0,0,COUNTA(#REF!)-2,1)=LOOKUP(2,1/ISNUMBER(#REF!),#REF!),OFFSET(#REF!,0,0,COUNTA(#REF!)-2,1),NA())</definedName>
    <definedName name="Valores57a" localSheetId="5">IF(OFFSET('[29]116 - Tabela 57'!$D$9,0,0,COUNTA('[29]116 - Tabela 57'!$E:$E)-2,1)=LOOKUP(2,1/ISNUMBER('[29]116 - Tabela 57'!$D:$D),'[29]116 - Tabela 57'!$D:$D),OFFSET('[29]116 - Tabela 57'!$E$9,0,0,COUNTA('[29]116 - Tabela 57'!$E:$E)-2,1),NA())</definedName>
    <definedName name="Valores57a" localSheetId="4">IF(OFFSET(#REF!,0,0,COUNTA(#REF!)-2,1)=LOOKUP(2,1/ISNUMBER(#REF!),#REF!),OFFSET(#REF!,0,0,COUNTA(#REF!)-2,1),NA())</definedName>
    <definedName name="Valores57a">IF(OFFSET(#REF!,0,0,COUNTA(#REF!)-2,1)=LOOKUP(2,1/ISNUMBER(#REF!),#REF!),OFFSET(#REF!,0,0,COUNTA(#REF!)-2,1),NA())</definedName>
    <definedName name="Valores57b" localSheetId="3">IF(OFFSET(#REF!,0,0,COUNTA(#REF!)-2,1)=LOOKUP(2,1/ISNUMBER(#REF!),#REF!),OFFSET(#REF!,0,0,COUNTA(#REF!)-2,1),NA())</definedName>
    <definedName name="Valores57b" localSheetId="1">IF(OFFSET('[29]116 - Tabela 57'!$D$9,0,0,COUNTA('[29]116 - Tabela 57'!$R:$R)-2,1)=LOOKUP(2,1/ISNUMBER('[29]116 - Tabela 57'!$D:$D),'[29]116 - Tabela 57'!$D:$D),OFFSET('[29]116 - Tabela 57'!$R$9,0,0,COUNTA('[29]116 - Tabela 57'!$R:$R)-2,1),NA())</definedName>
    <definedName name="Valores57b" localSheetId="9">IF(OFFSET(#REF!,0,0,COUNTA(#REF!)-2,1)=LOOKUP(2,1/ISNUMBER(#REF!),#REF!),OFFSET(#REF!,0,0,COUNTA(#REF!)-2,1),NA())</definedName>
    <definedName name="Valores57b" localSheetId="5">IF(OFFSET('[29]116 - Tabela 57'!$D$9,0,0,COUNTA('[29]116 - Tabela 57'!$R:$R)-2,1)=LOOKUP(2,1/ISNUMBER('[29]116 - Tabela 57'!$D:$D),'[29]116 - Tabela 57'!$D:$D),OFFSET('[29]116 - Tabela 57'!$R$9,0,0,COUNTA('[29]116 - Tabela 57'!$R:$R)-2,1),NA())</definedName>
    <definedName name="Valores57b" localSheetId="4">IF(OFFSET(#REF!,0,0,COUNTA(#REF!)-2,1)=LOOKUP(2,1/ISNUMBER(#REF!),#REF!),OFFSET(#REF!,0,0,COUNTA(#REF!)-2,1),NA())</definedName>
    <definedName name="Valores57b">IF(OFFSET(#REF!,0,0,COUNTA(#REF!)-2,1)=LOOKUP(2,1/ISNUMBER(#REF!),#REF!),OFFSET(#REF!,0,0,COUNTA(#REF!)-2,1),NA())</definedName>
    <definedName name="Valores58a" localSheetId="3">IF(OFFSET(#REF!,0,0,COUNTA(#REF!)-2,1)=LOOKUP(2,1/ISNUMBER(#REF!),#REF!),OFFSET(#REF!,0,0,COUNTA(#REF!)-2,1),NA())</definedName>
    <definedName name="Valores58a" localSheetId="1">IF(OFFSET('[29]118 - Tabela 58'!$D$9,0,0,COUNTA('[29]118 - Tabela 58'!$E:$E)-2,1)=LOOKUP(2,1/ISNUMBER('[29]118 - Tabela 58'!$D:$D),'[29]118 - Tabela 58'!$D:$D),OFFSET('[29]118 - Tabela 58'!$E$9,0,0,COUNTA('[29]118 - Tabela 58'!$E:$E)-2,1),NA())</definedName>
    <definedName name="Valores58a" localSheetId="9">IF(OFFSET(#REF!,0,0,COUNTA(#REF!)-2,1)=LOOKUP(2,1/ISNUMBER(#REF!),#REF!),OFFSET(#REF!,0,0,COUNTA(#REF!)-2,1),NA())</definedName>
    <definedName name="Valores58a" localSheetId="5">IF(OFFSET('[29]118 - Tabela 58'!$D$9,0,0,COUNTA('[29]118 - Tabela 58'!$E:$E)-2,1)=LOOKUP(2,1/ISNUMBER('[29]118 - Tabela 58'!$D:$D),'[29]118 - Tabela 58'!$D:$D),OFFSET('[29]118 - Tabela 58'!$E$9,0,0,COUNTA('[29]118 - Tabela 58'!$E:$E)-2,1),NA())</definedName>
    <definedName name="Valores58a" localSheetId="4">IF(OFFSET(#REF!,0,0,COUNTA(#REF!)-2,1)=LOOKUP(2,1/ISNUMBER(#REF!),#REF!),OFFSET(#REF!,0,0,COUNTA(#REF!)-2,1),NA())</definedName>
    <definedName name="Valores58a">IF(OFFSET(#REF!,0,0,COUNTA(#REF!)-2,1)=LOOKUP(2,1/ISNUMBER(#REF!),#REF!),OFFSET(#REF!,0,0,COUNTA(#REF!)-2,1),NA())</definedName>
    <definedName name="Valores58b" localSheetId="3">IF(OFFSET(#REF!,0,0,COUNTA(#REF!)-2,1)=LOOKUP(2,1/ISNUMBER(#REF!),#REF!),OFFSET(#REF!,0,0,COUNTA(#REF!)-2,1),NA())</definedName>
    <definedName name="Valores58b" localSheetId="1">IF(OFFSET('[29]118 - Tabela 58'!$D$9,0,0,COUNTA('[29]118 - Tabela 58'!$R:$R)-2,1)=LOOKUP(2,1/ISNUMBER('[29]118 - Tabela 58'!$D:$D),'[29]118 - Tabela 58'!$D:$D),OFFSET('[29]118 - Tabela 58'!$R$9,0,0,COUNTA('[29]118 - Tabela 58'!$R:$R)-2,1),NA())</definedName>
    <definedName name="Valores58b" localSheetId="9">IF(OFFSET(#REF!,0,0,COUNTA(#REF!)-2,1)=LOOKUP(2,1/ISNUMBER(#REF!),#REF!),OFFSET(#REF!,0,0,COUNTA(#REF!)-2,1),NA())</definedName>
    <definedName name="Valores58b" localSheetId="5">IF(OFFSET('[29]118 - Tabela 58'!$D$9,0,0,COUNTA('[29]118 - Tabela 58'!$R:$R)-2,1)=LOOKUP(2,1/ISNUMBER('[29]118 - Tabela 58'!$D:$D),'[29]118 - Tabela 58'!$D:$D),OFFSET('[29]118 - Tabela 58'!$R$9,0,0,COUNTA('[29]118 - Tabela 58'!$R:$R)-2,1),NA())</definedName>
    <definedName name="Valores58b" localSheetId="4">IF(OFFSET(#REF!,0,0,COUNTA(#REF!)-2,1)=LOOKUP(2,1/ISNUMBER(#REF!),#REF!),OFFSET(#REF!,0,0,COUNTA(#REF!)-2,1),NA())</definedName>
    <definedName name="Valores58b">IF(OFFSET(#REF!,0,0,COUNTA(#REF!)-2,1)=LOOKUP(2,1/ISNUMBER(#REF!),#REF!),OFFSET(#REF!,0,0,COUNTA(#REF!)-2,1),NA())</definedName>
    <definedName name="Valores59a" localSheetId="3">IF(OFFSET(#REF!,0,0,COUNTA(#REF!)-2,1)=LOOKUP(2,1/ISNUMBER(#REF!),#REF!),OFFSET(#REF!,0,0,COUNTA(#REF!)-2,1),NA())</definedName>
    <definedName name="Valores59a" localSheetId="1">IF(OFFSET('[29]120 - Tabela 59'!$D$9,0,0,COUNTA('[29]120 - Tabela 59'!$E:$E)-2,1)=LOOKUP(2,1/ISNUMBER('[29]120 - Tabela 59'!$D:$D),'[29]120 - Tabela 59'!$D:$D),OFFSET('[29]120 - Tabela 59'!$E$9,0,0,COUNTA('[29]120 - Tabela 59'!$E:$E)-2,1),NA())</definedName>
    <definedName name="Valores59a" localSheetId="9">IF(OFFSET(#REF!,0,0,COUNTA(#REF!)-2,1)=LOOKUP(2,1/ISNUMBER(#REF!),#REF!),OFFSET(#REF!,0,0,COUNTA(#REF!)-2,1),NA())</definedName>
    <definedName name="Valores59a" localSheetId="5">IF(OFFSET('[29]120 - Tabela 59'!$D$9,0,0,COUNTA('[29]120 - Tabela 59'!$E:$E)-2,1)=LOOKUP(2,1/ISNUMBER('[29]120 - Tabela 59'!$D:$D),'[29]120 - Tabela 59'!$D:$D),OFFSET('[29]120 - Tabela 59'!$E$9,0,0,COUNTA('[29]120 - Tabela 59'!$E:$E)-2,1),NA())</definedName>
    <definedName name="Valores59a" localSheetId="4">IF(OFFSET(#REF!,0,0,COUNTA(#REF!)-2,1)=LOOKUP(2,1/ISNUMBER(#REF!),#REF!),OFFSET(#REF!,0,0,COUNTA(#REF!)-2,1),NA())</definedName>
    <definedName name="Valores59a">IF(OFFSET(#REF!,0,0,COUNTA(#REF!)-2,1)=LOOKUP(2,1/ISNUMBER(#REF!),#REF!),OFFSET(#REF!,0,0,COUNTA(#REF!)-2,1),NA())</definedName>
    <definedName name="Valores59b" localSheetId="3">IF(OFFSET(#REF!,0,0,COUNTA(#REF!)-2,1)=LOOKUP(2,1/ISNUMBER(#REF!),#REF!),OFFSET(#REF!,0,0,COUNTA(#REF!)-2,1),NA())</definedName>
    <definedName name="Valores59b" localSheetId="1">IF(OFFSET('[29]120 - Tabela 59'!$D$9,0,0,COUNTA('[29]120 - Tabela 59'!$R:$R)-2,1)=LOOKUP(2,1/ISNUMBER('[29]120 - Tabela 59'!$D:$D),'[29]120 - Tabela 59'!$D:$D),OFFSET('[29]120 - Tabela 59'!$R$9,0,0,COUNTA('[29]120 - Tabela 59'!$R:$R)-2,1),NA())</definedName>
    <definedName name="Valores59b" localSheetId="9">IF(OFFSET(#REF!,0,0,COUNTA(#REF!)-2,1)=LOOKUP(2,1/ISNUMBER(#REF!),#REF!),OFFSET(#REF!,0,0,COUNTA(#REF!)-2,1),NA())</definedName>
    <definedName name="Valores59b" localSheetId="5">IF(OFFSET('[29]120 - Tabela 59'!$D$9,0,0,COUNTA('[29]120 - Tabela 59'!$R:$R)-2,1)=LOOKUP(2,1/ISNUMBER('[29]120 - Tabela 59'!$D:$D),'[29]120 - Tabela 59'!$D:$D),OFFSET('[29]120 - Tabela 59'!$R$9,0,0,COUNTA('[29]120 - Tabela 59'!$R:$R)-2,1),NA())</definedName>
    <definedName name="Valores59b" localSheetId="4">IF(OFFSET(#REF!,0,0,COUNTA(#REF!)-2,1)=LOOKUP(2,1/ISNUMBER(#REF!),#REF!),OFFSET(#REF!,0,0,COUNTA(#REF!)-2,1),NA())</definedName>
    <definedName name="Valores59b">IF(OFFSET(#REF!,0,0,COUNTA(#REF!)-2,1)=LOOKUP(2,1/ISNUMBER(#REF!),#REF!),OFFSET(#REF!,0,0,COUNTA(#REF!)-2,1),NA())</definedName>
    <definedName name="Valores6" localSheetId="3">IF(OFFSET(#REF!,0,0,COUNTA(#REF!)-2,1)=LOOKUP(2,1/ISNUMBER(#REF!),#REF!),OFFSET(#REF!,0,0,COUNTA(#REF!)-2,1),NA())</definedName>
    <definedName name="Valores6" localSheetId="1">IF(OFFSET('[29]14 - Tabela 6'!$D$9,0,0,COUNTA('[29]14 - Tabela 6'!$E:$E)-2,1)=LOOKUP(2,1/ISNUMBER('[29]14 - Tabela 6'!$D:$D),'[29]14 - Tabela 6'!$D:$D),OFFSET('[29]14 - Tabela 6'!$E$9,0,0,COUNTA('[29]14 - Tabela 6'!$E:$E)-2,1),NA())</definedName>
    <definedName name="Valores6" localSheetId="9">IF(OFFSET(#REF!,0,0,COUNTA(#REF!)-2,1)=LOOKUP(2,1/ISNUMBER(#REF!),#REF!),OFFSET(#REF!,0,0,COUNTA(#REF!)-2,1),NA())</definedName>
    <definedName name="Valores6" localSheetId="5">IF(OFFSET('[29]14 - Tabela 6'!$D$9,0,0,COUNTA('[29]14 - Tabela 6'!$E:$E)-2,1)=LOOKUP(2,1/ISNUMBER('[29]14 - Tabela 6'!$D:$D),'[29]14 - Tabela 6'!$D:$D),OFFSET('[29]14 - Tabela 6'!$E$9,0,0,COUNTA('[29]14 - Tabela 6'!$E:$E)-2,1),NA())</definedName>
    <definedName name="Valores6" localSheetId="4">IF(OFFSET(#REF!,0,0,COUNTA(#REF!)-2,1)=LOOKUP(2,1/ISNUMBER(#REF!),#REF!),OFFSET(#REF!,0,0,COUNTA(#REF!)-2,1),NA())</definedName>
    <definedName name="Valores6">IF(OFFSET(#REF!,0,0,COUNTA(#REF!)-2,1)=LOOKUP(2,1/ISNUMBER(#REF!),#REF!),OFFSET(#REF!,0,0,COUNTA(#REF!)-2,1),NA())</definedName>
    <definedName name="Valores60a" localSheetId="3">IF(OFFSET(#REF!,0,0,COUNTA(#REF!)-2,1)=LOOKUP(2,1/ISNUMBER(#REF!),#REF!),OFFSET(#REF!,0,0,COUNTA(#REF!)-2,1),NA())</definedName>
    <definedName name="Valores60a" localSheetId="1">IF(OFFSET('[29]122 - Tabela 60'!$D$9,0,0,COUNTA('[29]122 - Tabela 60'!$E:$E)-2,1)=LOOKUP(2,1/ISNUMBER('[29]122 - Tabela 60'!$D:$D),'[29]122 - Tabela 60'!$D:$D),OFFSET('[29]122 - Tabela 60'!$E$9,0,0,COUNTA('[29]122 - Tabela 60'!$E:$E)-2,1),NA())</definedName>
    <definedName name="Valores60a" localSheetId="9">IF(OFFSET(#REF!,0,0,COUNTA(#REF!)-2,1)=LOOKUP(2,1/ISNUMBER(#REF!),#REF!),OFFSET(#REF!,0,0,COUNTA(#REF!)-2,1),NA())</definedName>
    <definedName name="Valores60a" localSheetId="5">IF(OFFSET('[29]122 - Tabela 60'!$D$9,0,0,COUNTA('[29]122 - Tabela 60'!$E:$E)-2,1)=LOOKUP(2,1/ISNUMBER('[29]122 - Tabela 60'!$D:$D),'[29]122 - Tabela 60'!$D:$D),OFFSET('[29]122 - Tabela 60'!$E$9,0,0,COUNTA('[29]122 - Tabela 60'!$E:$E)-2,1),NA())</definedName>
    <definedName name="Valores60a" localSheetId="4">IF(OFFSET(#REF!,0,0,COUNTA(#REF!)-2,1)=LOOKUP(2,1/ISNUMBER(#REF!),#REF!),OFFSET(#REF!,0,0,COUNTA(#REF!)-2,1),NA())</definedName>
    <definedName name="Valores60a">IF(OFFSET(#REF!,0,0,COUNTA(#REF!)-2,1)=LOOKUP(2,1/ISNUMBER(#REF!),#REF!),OFFSET(#REF!,0,0,COUNTA(#REF!)-2,1),NA())</definedName>
    <definedName name="Valores60b" localSheetId="3">IF(OFFSET(#REF!,0,0,COUNTA(#REF!)-2,1)=LOOKUP(2,1/ISNUMBER(#REF!),#REF!),OFFSET(#REF!,0,0,COUNTA(#REF!)-2,1),NA())</definedName>
    <definedName name="Valores60b" localSheetId="1">IF(OFFSET('[29]122 - Tabela 60'!$D$9,0,0,COUNTA('[29]122 - Tabela 60'!$R:$R)-2,1)=LOOKUP(2,1/ISNUMBER('[29]122 - Tabela 60'!$D:$D),'[29]122 - Tabela 60'!$D:$D),OFFSET('[29]122 - Tabela 60'!$R$9,0,0,COUNTA('[29]122 - Tabela 60'!$R:$R)-2,1),NA())</definedName>
    <definedName name="Valores60b" localSheetId="9">IF(OFFSET(#REF!,0,0,COUNTA(#REF!)-2,1)=LOOKUP(2,1/ISNUMBER(#REF!),#REF!),OFFSET(#REF!,0,0,COUNTA(#REF!)-2,1),NA())</definedName>
    <definedName name="Valores60b" localSheetId="5">IF(OFFSET('[29]122 - Tabela 60'!$D$9,0,0,COUNTA('[29]122 - Tabela 60'!$R:$R)-2,1)=LOOKUP(2,1/ISNUMBER('[29]122 - Tabela 60'!$D:$D),'[29]122 - Tabela 60'!$D:$D),OFFSET('[29]122 - Tabela 60'!$R$9,0,0,COUNTA('[29]122 - Tabela 60'!$R:$R)-2,1),NA())</definedName>
    <definedName name="Valores60b" localSheetId="4">IF(OFFSET(#REF!,0,0,COUNTA(#REF!)-2,1)=LOOKUP(2,1/ISNUMBER(#REF!),#REF!),OFFSET(#REF!,0,0,COUNTA(#REF!)-2,1),NA())</definedName>
    <definedName name="Valores60b">IF(OFFSET(#REF!,0,0,COUNTA(#REF!)-2,1)=LOOKUP(2,1/ISNUMBER(#REF!),#REF!),OFFSET(#REF!,0,0,COUNTA(#REF!)-2,1),NA())</definedName>
    <definedName name="Valores61a" localSheetId="3">IF(OFFSET(#REF!,0,0,COUNTA(#REF!)-2,1)=LOOKUP(2,1/ISNUMBER(#REF!),#REF!),OFFSET(#REF!,0,0,COUNTA(#REF!)-2,1),NA())</definedName>
    <definedName name="Valores61a" localSheetId="1">IF(OFFSET('[29]124 - Tabela 61'!$D$9,0,0,COUNTA('[29]124 - Tabela 61'!$E:$E)-2,1)=LOOKUP(2,1/ISNUMBER('[29]124 - Tabela 61'!$D:$D),'[29]124 - Tabela 61'!$D:$D),OFFSET('[29]124 - Tabela 61'!$E$9,0,0,COUNTA('[29]124 - Tabela 61'!$E:$E)-2,1),NA())</definedName>
    <definedName name="Valores61a" localSheetId="9">IF(OFFSET(#REF!,0,0,COUNTA(#REF!)-2,1)=LOOKUP(2,1/ISNUMBER(#REF!),#REF!),OFFSET(#REF!,0,0,COUNTA(#REF!)-2,1),NA())</definedName>
    <definedName name="Valores61a" localSheetId="5">IF(OFFSET('[29]124 - Tabela 61'!$D$9,0,0,COUNTA('[29]124 - Tabela 61'!$E:$E)-2,1)=LOOKUP(2,1/ISNUMBER('[29]124 - Tabela 61'!$D:$D),'[29]124 - Tabela 61'!$D:$D),OFFSET('[29]124 - Tabela 61'!$E$9,0,0,COUNTA('[29]124 - Tabela 61'!$E:$E)-2,1),NA())</definedName>
    <definedName name="Valores61a" localSheetId="4">IF(OFFSET(#REF!,0,0,COUNTA(#REF!)-2,1)=LOOKUP(2,1/ISNUMBER(#REF!),#REF!),OFFSET(#REF!,0,0,COUNTA(#REF!)-2,1),NA())</definedName>
    <definedName name="Valores61a">IF(OFFSET(#REF!,0,0,COUNTA(#REF!)-2,1)=LOOKUP(2,1/ISNUMBER(#REF!),#REF!),OFFSET(#REF!,0,0,COUNTA(#REF!)-2,1),NA())</definedName>
    <definedName name="Valores61b" localSheetId="3">IF(OFFSET(#REF!,0,0,COUNTA(#REF!)-2,1)=LOOKUP(2,1/ISNUMBER(#REF!),#REF!),OFFSET(#REF!,0,0,COUNTA(#REF!)-2,1),NA())</definedName>
    <definedName name="Valores61b" localSheetId="1">IF(OFFSET('[29]124 - Tabela 61'!$D$9,0,0,COUNTA('[29]124 - Tabela 61'!$R:$R)-2,1)=LOOKUP(2,1/ISNUMBER('[29]124 - Tabela 61'!$D:$D),'[29]124 - Tabela 61'!$D:$D),OFFSET('[29]124 - Tabela 61'!$R$9,0,0,COUNTA('[29]124 - Tabela 61'!$R:$R)-2,1),NA())</definedName>
    <definedName name="Valores61b" localSheetId="9">IF(OFFSET(#REF!,0,0,COUNTA(#REF!)-2,1)=LOOKUP(2,1/ISNUMBER(#REF!),#REF!),OFFSET(#REF!,0,0,COUNTA(#REF!)-2,1),NA())</definedName>
    <definedName name="Valores61b" localSheetId="5">IF(OFFSET('[29]124 - Tabela 61'!$D$9,0,0,COUNTA('[29]124 - Tabela 61'!$R:$R)-2,1)=LOOKUP(2,1/ISNUMBER('[29]124 - Tabela 61'!$D:$D),'[29]124 - Tabela 61'!$D:$D),OFFSET('[29]124 - Tabela 61'!$R$9,0,0,COUNTA('[29]124 - Tabela 61'!$R:$R)-2,1),NA())</definedName>
    <definedName name="Valores61b" localSheetId="4">IF(OFFSET(#REF!,0,0,COUNTA(#REF!)-2,1)=LOOKUP(2,1/ISNUMBER(#REF!),#REF!),OFFSET(#REF!,0,0,COUNTA(#REF!)-2,1),NA())</definedName>
    <definedName name="Valores61b">IF(OFFSET(#REF!,0,0,COUNTA(#REF!)-2,1)=LOOKUP(2,1/ISNUMBER(#REF!),#REF!),OFFSET(#REF!,0,0,COUNTA(#REF!)-2,1),NA())</definedName>
    <definedName name="Valores62a" localSheetId="3">IF(OFFSET(#REF!,0,0,COUNTA(#REF!)-2,1)=LOOKUP(2,1/ISNUMBER(#REF!),#REF!),OFFSET(#REF!,0,0,COUNTA(#REF!)-2,1),NA())</definedName>
    <definedName name="Valores62a" localSheetId="1">IF(OFFSET('[29]126 - Tabela 62'!$D$9,0,0,COUNTA('[29]126 - Tabela 62'!$E:$E)-2,1)=LOOKUP(2,1/ISNUMBER('[29]126 - Tabela 62'!$D:$D),'[29]126 - Tabela 62'!$D:$D),OFFSET('[29]126 - Tabela 62'!$E$9,0,0,COUNTA('[29]126 - Tabela 62'!$E:$E)-2,1),NA())</definedName>
    <definedName name="Valores62a" localSheetId="9">IF(OFFSET(#REF!,0,0,COUNTA(#REF!)-2,1)=LOOKUP(2,1/ISNUMBER(#REF!),#REF!),OFFSET(#REF!,0,0,COUNTA(#REF!)-2,1),NA())</definedName>
    <definedName name="Valores62a" localSheetId="5">IF(OFFSET('[29]126 - Tabela 62'!$D$9,0,0,COUNTA('[29]126 - Tabela 62'!$E:$E)-2,1)=LOOKUP(2,1/ISNUMBER('[29]126 - Tabela 62'!$D:$D),'[29]126 - Tabela 62'!$D:$D),OFFSET('[29]126 - Tabela 62'!$E$9,0,0,COUNTA('[29]126 - Tabela 62'!$E:$E)-2,1),NA())</definedName>
    <definedName name="Valores62a" localSheetId="4">IF(OFFSET(#REF!,0,0,COUNTA(#REF!)-2,1)=LOOKUP(2,1/ISNUMBER(#REF!),#REF!),OFFSET(#REF!,0,0,COUNTA(#REF!)-2,1),NA())</definedName>
    <definedName name="Valores62a">IF(OFFSET(#REF!,0,0,COUNTA(#REF!)-2,1)=LOOKUP(2,1/ISNUMBER(#REF!),#REF!),OFFSET(#REF!,0,0,COUNTA(#REF!)-2,1),NA())</definedName>
    <definedName name="Valores62b" localSheetId="3">IF(OFFSET(#REF!,0,0,COUNTA(#REF!)-2,1)=LOOKUP(2,1/ISNUMBER(#REF!),#REF!),OFFSET(#REF!,0,0,COUNTA(#REF!)-2,1),NA())</definedName>
    <definedName name="Valores62b" localSheetId="1">IF(OFFSET('[29]126 - Tabela 62'!$D$9,0,0,COUNTA('[29]126 - Tabela 62'!$R:$R)-2,1)=LOOKUP(2,1/ISNUMBER('[29]126 - Tabela 62'!$D:$D),'[29]126 - Tabela 62'!$D:$D),OFFSET('[29]126 - Tabela 62'!$R$9,0,0,COUNTA('[29]126 - Tabela 62'!$R:$R)-2,1),NA())</definedName>
    <definedName name="Valores62b" localSheetId="9">IF(OFFSET(#REF!,0,0,COUNTA(#REF!)-2,1)=LOOKUP(2,1/ISNUMBER(#REF!),#REF!),OFFSET(#REF!,0,0,COUNTA(#REF!)-2,1),NA())</definedName>
    <definedName name="Valores62b" localSheetId="5">IF(OFFSET('[29]126 - Tabela 62'!$D$9,0,0,COUNTA('[29]126 - Tabela 62'!$R:$R)-2,1)=LOOKUP(2,1/ISNUMBER('[29]126 - Tabela 62'!$D:$D),'[29]126 - Tabela 62'!$D:$D),OFFSET('[29]126 - Tabela 62'!$R$9,0,0,COUNTA('[29]126 - Tabela 62'!$R:$R)-2,1),NA())</definedName>
    <definedName name="Valores62b" localSheetId="4">IF(OFFSET(#REF!,0,0,COUNTA(#REF!)-2,1)=LOOKUP(2,1/ISNUMBER(#REF!),#REF!),OFFSET(#REF!,0,0,COUNTA(#REF!)-2,1),NA())</definedName>
    <definedName name="Valores62b">IF(OFFSET(#REF!,0,0,COUNTA(#REF!)-2,1)=LOOKUP(2,1/ISNUMBER(#REF!),#REF!),OFFSET(#REF!,0,0,COUNTA(#REF!)-2,1),NA())</definedName>
    <definedName name="Valores63a" localSheetId="3">IF(OFFSET(#REF!,0,0,COUNTA(#REF!)-2,1)=LOOKUP(2,1/ISNUMBER(#REF!),#REF!),OFFSET(#REF!,0,0,COUNTA(#REF!)-2,1),NA())</definedName>
    <definedName name="Valores63a" localSheetId="1">IF(OFFSET('[29]128 - Tabela 63'!$D$9,0,0,COUNTA('[29]128 - Tabela 63'!$E:$E)-2,1)=LOOKUP(2,1/ISNUMBER('[29]128 - Tabela 63'!$D:$D),'[29]128 - Tabela 63'!$D:$D),OFFSET('[29]128 - Tabela 63'!$E$9,0,0,COUNTA('[29]128 - Tabela 63'!$E:$E)-2,1),NA())</definedName>
    <definedName name="Valores63a" localSheetId="9">IF(OFFSET(#REF!,0,0,COUNTA(#REF!)-2,1)=LOOKUP(2,1/ISNUMBER(#REF!),#REF!),OFFSET(#REF!,0,0,COUNTA(#REF!)-2,1),NA())</definedName>
    <definedName name="Valores63a" localSheetId="5">IF(OFFSET('[29]128 - Tabela 63'!$D$9,0,0,COUNTA('[29]128 - Tabela 63'!$E:$E)-2,1)=LOOKUP(2,1/ISNUMBER('[29]128 - Tabela 63'!$D:$D),'[29]128 - Tabela 63'!$D:$D),OFFSET('[29]128 - Tabela 63'!$E$9,0,0,COUNTA('[29]128 - Tabela 63'!$E:$E)-2,1),NA())</definedName>
    <definedName name="Valores63a" localSheetId="4">IF(OFFSET(#REF!,0,0,COUNTA(#REF!)-2,1)=LOOKUP(2,1/ISNUMBER(#REF!),#REF!),OFFSET(#REF!,0,0,COUNTA(#REF!)-2,1),NA())</definedName>
    <definedName name="Valores63a">IF(OFFSET(#REF!,0,0,COUNTA(#REF!)-2,1)=LOOKUP(2,1/ISNUMBER(#REF!),#REF!),OFFSET(#REF!,0,0,COUNTA(#REF!)-2,1),NA())</definedName>
    <definedName name="Valores63b" localSheetId="3">IF(OFFSET(#REF!,0,0,COUNTA(#REF!)-2,1)=LOOKUP(2,1/ISNUMBER(#REF!),#REF!),OFFSET(#REF!,0,0,COUNTA(#REF!)-2,1),NA())</definedName>
    <definedName name="Valores63b" localSheetId="1">IF(OFFSET('[29]128 - Tabela 63'!$D$9,0,0,COUNTA('[29]128 - Tabela 63'!$R:$R)-2,1)=LOOKUP(2,1/ISNUMBER('[29]128 - Tabela 63'!$D:$D),'[29]128 - Tabela 63'!$D:$D),OFFSET('[29]128 - Tabela 63'!$R$9,0,0,COUNTA('[29]128 - Tabela 63'!$R:$R)-2,1),NA())</definedName>
    <definedName name="Valores63b" localSheetId="9">IF(OFFSET(#REF!,0,0,COUNTA(#REF!)-2,1)=LOOKUP(2,1/ISNUMBER(#REF!),#REF!),OFFSET(#REF!,0,0,COUNTA(#REF!)-2,1),NA())</definedName>
    <definedName name="Valores63b" localSheetId="5">IF(OFFSET('[29]128 - Tabela 63'!$D$9,0,0,COUNTA('[29]128 - Tabela 63'!$R:$R)-2,1)=LOOKUP(2,1/ISNUMBER('[29]128 - Tabela 63'!$D:$D),'[29]128 - Tabela 63'!$D:$D),OFFSET('[29]128 - Tabela 63'!$R$9,0,0,COUNTA('[29]128 - Tabela 63'!$R:$R)-2,1),NA())</definedName>
    <definedName name="Valores63b" localSheetId="4">IF(OFFSET(#REF!,0,0,COUNTA(#REF!)-2,1)=LOOKUP(2,1/ISNUMBER(#REF!),#REF!),OFFSET(#REF!,0,0,COUNTA(#REF!)-2,1),NA())</definedName>
    <definedName name="Valores63b">IF(OFFSET(#REF!,0,0,COUNTA(#REF!)-2,1)=LOOKUP(2,1/ISNUMBER(#REF!),#REF!),OFFSET(#REF!,0,0,COUNTA(#REF!)-2,1),NA())</definedName>
    <definedName name="Valores64a" localSheetId="3">IF(OFFSET(#REF!,0,0,COUNTA(#REF!)-2,1)=LOOKUP(2,1/ISNUMBER(#REF!),#REF!),OFFSET(#REF!,0,0,COUNTA(#REF!)-2,1),NA())</definedName>
    <definedName name="Valores64a" localSheetId="1">IF(OFFSET('[29]130 - Tabela 64'!$D$9,0,0,COUNTA('[29]130 - Tabela 64'!$E:$E)-2,1)=LOOKUP(2,1/ISNUMBER('[29]130 - Tabela 64'!$D:$D),'[29]130 - Tabela 64'!$D:$D),OFFSET('[29]130 - Tabela 64'!$E$9,0,0,COUNTA('[29]130 - Tabela 64'!$E:$E)-2,1),NA())</definedName>
    <definedName name="Valores64a" localSheetId="9">IF(OFFSET(#REF!,0,0,COUNTA(#REF!)-2,1)=LOOKUP(2,1/ISNUMBER(#REF!),#REF!),OFFSET(#REF!,0,0,COUNTA(#REF!)-2,1),NA())</definedName>
    <definedName name="Valores64a" localSheetId="5">IF(OFFSET('[29]130 - Tabela 64'!$D$9,0,0,COUNTA('[29]130 - Tabela 64'!$E:$E)-2,1)=LOOKUP(2,1/ISNUMBER('[29]130 - Tabela 64'!$D:$D),'[29]130 - Tabela 64'!$D:$D),OFFSET('[29]130 - Tabela 64'!$E$9,0,0,COUNTA('[29]130 - Tabela 64'!$E:$E)-2,1),NA())</definedName>
    <definedName name="Valores64a" localSheetId="4">IF(OFFSET(#REF!,0,0,COUNTA(#REF!)-2,1)=LOOKUP(2,1/ISNUMBER(#REF!),#REF!),OFFSET(#REF!,0,0,COUNTA(#REF!)-2,1),NA())</definedName>
    <definedName name="Valores64a">IF(OFFSET(#REF!,0,0,COUNTA(#REF!)-2,1)=LOOKUP(2,1/ISNUMBER(#REF!),#REF!),OFFSET(#REF!,0,0,COUNTA(#REF!)-2,1),NA())</definedName>
    <definedName name="Valores64b" localSheetId="3">IF(OFFSET(#REF!,0,0,COUNTA(#REF!)-2,1)=LOOKUP(2,1/ISNUMBER(#REF!),#REF!),OFFSET(#REF!,0,0,COUNTA(#REF!)-2,1),NA())</definedName>
    <definedName name="Valores64b" localSheetId="1">IF(OFFSET('[29]130 - Tabela 64'!$D$9,0,0,COUNTA('[29]130 - Tabela 64'!$R:$R)-2,1)=LOOKUP(2,1/ISNUMBER('[29]130 - Tabela 64'!$D:$D),'[29]130 - Tabela 64'!$D:$D),OFFSET('[29]130 - Tabela 64'!$R$9,0,0,COUNTA('[29]130 - Tabela 64'!$R:$R)-2,1),NA())</definedName>
    <definedName name="Valores64b" localSheetId="9">IF(OFFSET(#REF!,0,0,COUNTA(#REF!)-2,1)=LOOKUP(2,1/ISNUMBER(#REF!),#REF!),OFFSET(#REF!,0,0,COUNTA(#REF!)-2,1),NA())</definedName>
    <definedName name="Valores64b" localSheetId="5">IF(OFFSET('[29]130 - Tabela 64'!$D$9,0,0,COUNTA('[29]130 - Tabela 64'!$R:$R)-2,1)=LOOKUP(2,1/ISNUMBER('[29]130 - Tabela 64'!$D:$D),'[29]130 - Tabela 64'!$D:$D),OFFSET('[29]130 - Tabela 64'!$R$9,0,0,COUNTA('[29]130 - Tabela 64'!$R:$R)-2,1),NA())</definedName>
    <definedName name="Valores64b" localSheetId="4">IF(OFFSET(#REF!,0,0,COUNTA(#REF!)-2,1)=LOOKUP(2,1/ISNUMBER(#REF!),#REF!),OFFSET(#REF!,0,0,COUNTA(#REF!)-2,1),NA())</definedName>
    <definedName name="Valores64b">IF(OFFSET(#REF!,0,0,COUNTA(#REF!)-2,1)=LOOKUP(2,1/ISNUMBER(#REF!),#REF!),OFFSET(#REF!,0,0,COUNTA(#REF!)-2,1),NA())</definedName>
    <definedName name="Valores65a" localSheetId="3">IF(OFFSET(#REF!,0,0,COUNTA(#REF!)-2,1)=LOOKUP(2,1/ISNUMBER(#REF!),#REF!),OFFSET(#REF!,0,0,COUNTA(#REF!)-2,1),NA())</definedName>
    <definedName name="Valores65a" localSheetId="1">IF(OFFSET('[29]132 - Tabela 65'!$D$9,0,0,COUNTA('[29]132 - Tabela 65'!$E:$E)-2,1)=LOOKUP(2,1/ISNUMBER('[29]132 - Tabela 65'!$D:$D),'[29]132 - Tabela 65'!$D:$D),OFFSET('[29]132 - Tabela 65'!$E$9,0,0,COUNTA('[29]132 - Tabela 65'!$E:$E)-2,1),NA())</definedName>
    <definedName name="Valores65a" localSheetId="9">IF(OFFSET(#REF!,0,0,COUNTA(#REF!)-2,1)=LOOKUP(2,1/ISNUMBER(#REF!),#REF!),OFFSET(#REF!,0,0,COUNTA(#REF!)-2,1),NA())</definedName>
    <definedName name="Valores65a" localSheetId="5">IF(OFFSET('[29]132 - Tabela 65'!$D$9,0,0,COUNTA('[29]132 - Tabela 65'!$E:$E)-2,1)=LOOKUP(2,1/ISNUMBER('[29]132 - Tabela 65'!$D:$D),'[29]132 - Tabela 65'!$D:$D),OFFSET('[29]132 - Tabela 65'!$E$9,0,0,COUNTA('[29]132 - Tabela 65'!$E:$E)-2,1),NA())</definedName>
    <definedName name="Valores65a" localSheetId="4">IF(OFFSET(#REF!,0,0,COUNTA(#REF!)-2,1)=LOOKUP(2,1/ISNUMBER(#REF!),#REF!),OFFSET(#REF!,0,0,COUNTA(#REF!)-2,1),NA())</definedName>
    <definedName name="Valores65a">IF(OFFSET(#REF!,0,0,COUNTA(#REF!)-2,1)=LOOKUP(2,1/ISNUMBER(#REF!),#REF!),OFFSET(#REF!,0,0,COUNTA(#REF!)-2,1),NA())</definedName>
    <definedName name="Valores65b" localSheetId="3">IF(OFFSET(#REF!,0,0,COUNTA(#REF!)-2,1)=LOOKUP(2,1/ISNUMBER(#REF!),#REF!),OFFSET(#REF!,0,0,COUNTA(#REF!)-2,1),NA())</definedName>
    <definedName name="Valores65b" localSheetId="1">IF(OFFSET('[29]132 - Tabela 65'!$D$9,0,0,COUNTA('[29]132 - Tabela 65'!$R:$R)-2,1)=LOOKUP(2,1/ISNUMBER('[29]132 - Tabela 65'!$D:$D),'[29]132 - Tabela 65'!$D:$D),OFFSET('[29]132 - Tabela 65'!$R$9,0,0,COUNTA('[29]132 - Tabela 65'!$R:$R)-2,1),NA())</definedName>
    <definedName name="Valores65b" localSheetId="9">IF(OFFSET(#REF!,0,0,COUNTA(#REF!)-2,1)=LOOKUP(2,1/ISNUMBER(#REF!),#REF!),OFFSET(#REF!,0,0,COUNTA(#REF!)-2,1),NA())</definedName>
    <definedName name="Valores65b" localSheetId="5">IF(OFFSET('[29]132 - Tabela 65'!$D$9,0,0,COUNTA('[29]132 - Tabela 65'!$R:$R)-2,1)=LOOKUP(2,1/ISNUMBER('[29]132 - Tabela 65'!$D:$D),'[29]132 - Tabela 65'!$D:$D),OFFSET('[29]132 - Tabela 65'!$R$9,0,0,COUNTA('[29]132 - Tabela 65'!$R:$R)-2,1),NA())</definedName>
    <definedName name="Valores65b" localSheetId="4">IF(OFFSET(#REF!,0,0,COUNTA(#REF!)-2,1)=LOOKUP(2,1/ISNUMBER(#REF!),#REF!),OFFSET(#REF!,0,0,COUNTA(#REF!)-2,1),NA())</definedName>
    <definedName name="Valores65b">IF(OFFSET(#REF!,0,0,COUNTA(#REF!)-2,1)=LOOKUP(2,1/ISNUMBER(#REF!),#REF!),OFFSET(#REF!,0,0,COUNTA(#REF!)-2,1),NA())</definedName>
    <definedName name="Valores66a" localSheetId="3">IF(OFFSET(#REF!,0,0,COUNTA(#REF!)-2,1)=LOOKUP(2,1/ISNUMBER(#REF!),#REF!),OFFSET(#REF!,0,0,COUNTA(#REF!)-2,1),NA())</definedName>
    <definedName name="Valores66a" localSheetId="1">IF(OFFSET('[29]134 - Tabela 66'!$D$9,0,0,COUNTA('[29]134 - Tabela 66'!$E:$E)-2,1)=LOOKUP(2,1/ISNUMBER('[29]134 - Tabela 66'!$D:$D),'[29]134 - Tabela 66'!$D:$D),OFFSET('[29]134 - Tabela 66'!$E$9,0,0,COUNTA('[29]134 - Tabela 66'!$E:$E)-2,1),NA())</definedName>
    <definedName name="Valores66a" localSheetId="9">IF(OFFSET(#REF!,0,0,COUNTA(#REF!)-2,1)=LOOKUP(2,1/ISNUMBER(#REF!),#REF!),OFFSET(#REF!,0,0,COUNTA(#REF!)-2,1),NA())</definedName>
    <definedName name="Valores66a" localSheetId="5">IF(OFFSET('[29]134 - Tabela 66'!$D$9,0,0,COUNTA('[29]134 - Tabela 66'!$E:$E)-2,1)=LOOKUP(2,1/ISNUMBER('[29]134 - Tabela 66'!$D:$D),'[29]134 - Tabela 66'!$D:$D),OFFSET('[29]134 - Tabela 66'!$E$9,0,0,COUNTA('[29]134 - Tabela 66'!$E:$E)-2,1),NA())</definedName>
    <definedName name="Valores66a" localSheetId="4">IF(OFFSET(#REF!,0,0,COUNTA(#REF!)-2,1)=LOOKUP(2,1/ISNUMBER(#REF!),#REF!),OFFSET(#REF!,0,0,COUNTA(#REF!)-2,1),NA())</definedName>
    <definedName name="Valores66a">IF(OFFSET(#REF!,0,0,COUNTA(#REF!)-2,1)=LOOKUP(2,1/ISNUMBER(#REF!),#REF!),OFFSET(#REF!,0,0,COUNTA(#REF!)-2,1),NA())</definedName>
    <definedName name="Valores66b" localSheetId="3">IF(OFFSET(#REF!,0,0,COUNTA(#REF!)-2,1)=LOOKUP(2,1/ISNUMBER(#REF!),#REF!),OFFSET(#REF!,0,0,COUNTA(#REF!)-2,1),NA())</definedName>
    <definedName name="Valores66b" localSheetId="1">IF(OFFSET('[29]134 - Tabela 66'!$D$9,0,0,COUNTA('[29]134 - Tabela 66'!$R:$R)-2,1)=LOOKUP(2,1/ISNUMBER('[29]134 - Tabela 66'!$D:$D),'[29]134 - Tabela 66'!$D:$D),OFFSET('[29]134 - Tabela 66'!$R$9,0,0,COUNTA('[29]134 - Tabela 66'!$R:$R)-2,1),NA())</definedName>
    <definedName name="Valores66b" localSheetId="9">IF(OFFSET(#REF!,0,0,COUNTA(#REF!)-2,1)=LOOKUP(2,1/ISNUMBER(#REF!),#REF!),OFFSET(#REF!,0,0,COUNTA(#REF!)-2,1),NA())</definedName>
    <definedName name="Valores66b" localSheetId="5">IF(OFFSET('[29]134 - Tabela 66'!$D$9,0,0,COUNTA('[29]134 - Tabela 66'!$R:$R)-2,1)=LOOKUP(2,1/ISNUMBER('[29]134 - Tabela 66'!$D:$D),'[29]134 - Tabela 66'!$D:$D),OFFSET('[29]134 - Tabela 66'!$R$9,0,0,COUNTA('[29]134 - Tabela 66'!$R:$R)-2,1),NA())</definedName>
    <definedName name="Valores66b" localSheetId="4">IF(OFFSET(#REF!,0,0,COUNTA(#REF!)-2,1)=LOOKUP(2,1/ISNUMBER(#REF!),#REF!),OFFSET(#REF!,0,0,COUNTA(#REF!)-2,1),NA())</definedName>
    <definedName name="Valores66b">IF(OFFSET(#REF!,0,0,COUNTA(#REF!)-2,1)=LOOKUP(2,1/ISNUMBER(#REF!),#REF!),OFFSET(#REF!,0,0,COUNTA(#REF!)-2,1),NA())</definedName>
    <definedName name="Valores67a" localSheetId="3">IF(OFFSET(#REF!,0,0,COUNTA(#REF!)-2,1)=LOOKUP(2,1/ISNUMBER(#REF!),#REF!),OFFSET(#REF!,0,0,COUNTA(#REF!)-2,1),NA())</definedName>
    <definedName name="Valores67a" localSheetId="1">IF(OFFSET('[29]136 - Tabela 67'!$D$9,0,0,COUNTA('[29]136 - Tabela 67'!$E:$E)-2,1)=LOOKUP(2,1/ISNUMBER('[29]136 - Tabela 67'!$D:$D),'[29]136 - Tabela 67'!$D:$D),OFFSET('[29]136 - Tabela 67'!$E$9,0,0,COUNTA('[29]136 - Tabela 67'!$E:$E)-2,1),NA())</definedName>
    <definedName name="Valores67a" localSheetId="9">IF(OFFSET(#REF!,0,0,COUNTA(#REF!)-2,1)=LOOKUP(2,1/ISNUMBER(#REF!),#REF!),OFFSET(#REF!,0,0,COUNTA(#REF!)-2,1),NA())</definedName>
    <definedName name="Valores67a" localSheetId="5">IF(OFFSET('[29]136 - Tabela 67'!$D$9,0,0,COUNTA('[29]136 - Tabela 67'!$E:$E)-2,1)=LOOKUP(2,1/ISNUMBER('[29]136 - Tabela 67'!$D:$D),'[29]136 - Tabela 67'!$D:$D),OFFSET('[29]136 - Tabela 67'!$E$9,0,0,COUNTA('[29]136 - Tabela 67'!$E:$E)-2,1),NA())</definedName>
    <definedName name="Valores67a" localSheetId="4">IF(OFFSET(#REF!,0,0,COUNTA(#REF!)-2,1)=LOOKUP(2,1/ISNUMBER(#REF!),#REF!),OFFSET(#REF!,0,0,COUNTA(#REF!)-2,1),NA())</definedName>
    <definedName name="Valores67a">IF(OFFSET(#REF!,0,0,COUNTA(#REF!)-2,1)=LOOKUP(2,1/ISNUMBER(#REF!),#REF!),OFFSET(#REF!,0,0,COUNTA(#REF!)-2,1),NA())</definedName>
    <definedName name="Valores67b" localSheetId="3">IF(OFFSET(#REF!,0,0,COUNTA(#REF!)-2,1)=LOOKUP(2,1/ISNUMBER(#REF!),#REF!),OFFSET(#REF!,0,0,COUNTA(#REF!)-2,1),NA())</definedName>
    <definedName name="Valores67b" localSheetId="1">IF(OFFSET('[29]136 - Tabela 67'!$D$9,0,0,COUNTA('[29]136 - Tabela 67'!$R:$R)-2,1)=LOOKUP(2,1/ISNUMBER('[29]136 - Tabela 67'!$D:$D),'[29]136 - Tabela 67'!$D:$D),OFFSET('[29]136 - Tabela 67'!$R$9,0,0,COUNTA('[29]136 - Tabela 67'!$R:$R)-2,1),NA())</definedName>
    <definedName name="Valores67b" localSheetId="9">IF(OFFSET(#REF!,0,0,COUNTA(#REF!)-2,1)=LOOKUP(2,1/ISNUMBER(#REF!),#REF!),OFFSET(#REF!,0,0,COUNTA(#REF!)-2,1),NA())</definedName>
    <definedName name="Valores67b" localSheetId="5">IF(OFFSET('[29]136 - Tabela 67'!$D$9,0,0,COUNTA('[29]136 - Tabela 67'!$R:$R)-2,1)=LOOKUP(2,1/ISNUMBER('[29]136 - Tabela 67'!$D:$D),'[29]136 - Tabela 67'!$D:$D),OFFSET('[29]136 - Tabela 67'!$R$9,0,0,COUNTA('[29]136 - Tabela 67'!$R:$R)-2,1),NA())</definedName>
    <definedName name="Valores67b" localSheetId="4">IF(OFFSET(#REF!,0,0,COUNTA(#REF!)-2,1)=LOOKUP(2,1/ISNUMBER(#REF!),#REF!),OFFSET(#REF!,0,0,COUNTA(#REF!)-2,1),NA())</definedName>
    <definedName name="Valores67b">IF(OFFSET(#REF!,0,0,COUNTA(#REF!)-2,1)=LOOKUP(2,1/ISNUMBER(#REF!),#REF!),OFFSET(#REF!,0,0,COUNTA(#REF!)-2,1),NA())</definedName>
    <definedName name="Valores68a" localSheetId="3">IF(OFFSET(#REF!,0,0,COUNTA(#REF!)-2,1)=LOOKUP(2,1/ISNUMBER(#REF!),#REF!),OFFSET(#REF!,0,0,COUNTA(#REF!)-2,1),NA())</definedName>
    <definedName name="Valores68a" localSheetId="1">IF(OFFSET('[29]138 - Tabela 68'!$D$9,0,0,COUNTA('[29]138 - Tabela 68'!$E:$E)-2,1)=LOOKUP(2,1/ISNUMBER('[29]138 - Tabela 68'!$D:$D),'[29]138 - Tabela 68'!$D:$D),OFFSET('[29]138 - Tabela 68'!$E$9,0,0,COUNTA('[29]138 - Tabela 68'!$E:$E)-2,1),NA())</definedName>
    <definedName name="Valores68a" localSheetId="9">IF(OFFSET(#REF!,0,0,COUNTA(#REF!)-2,1)=LOOKUP(2,1/ISNUMBER(#REF!),#REF!),OFFSET(#REF!,0,0,COUNTA(#REF!)-2,1),NA())</definedName>
    <definedName name="Valores68a" localSheetId="5">IF(OFFSET('[29]138 - Tabela 68'!$D$9,0,0,COUNTA('[29]138 - Tabela 68'!$E:$E)-2,1)=LOOKUP(2,1/ISNUMBER('[29]138 - Tabela 68'!$D:$D),'[29]138 - Tabela 68'!$D:$D),OFFSET('[29]138 - Tabela 68'!$E$9,0,0,COUNTA('[29]138 - Tabela 68'!$E:$E)-2,1),NA())</definedName>
    <definedName name="Valores68a" localSheetId="4">IF(OFFSET(#REF!,0,0,COUNTA(#REF!)-2,1)=LOOKUP(2,1/ISNUMBER(#REF!),#REF!),OFFSET(#REF!,0,0,COUNTA(#REF!)-2,1),NA())</definedName>
    <definedName name="Valores68a">IF(OFFSET(#REF!,0,0,COUNTA(#REF!)-2,1)=LOOKUP(2,1/ISNUMBER(#REF!),#REF!),OFFSET(#REF!,0,0,COUNTA(#REF!)-2,1),NA())</definedName>
    <definedName name="Valores68b" localSheetId="3">IF(OFFSET(#REF!,0,0,COUNTA(#REF!)-2,1)=LOOKUP(2,1/ISNUMBER(#REF!),#REF!),OFFSET(#REF!,0,0,COUNTA(#REF!)-2,1),NA())</definedName>
    <definedName name="Valores68b" localSheetId="1">IF(OFFSET('[29]138 - Tabela 68'!$D$9,0,0,COUNTA('[29]138 - Tabela 68'!$R:$R)-2,1)=LOOKUP(2,1/ISNUMBER('[29]138 - Tabela 68'!$D:$D),'[29]138 - Tabela 68'!$D:$D),OFFSET('[29]138 - Tabela 68'!$R$9,0,0,COUNTA('[29]138 - Tabela 68'!$R:$R)-2,1),NA())</definedName>
    <definedName name="Valores68b" localSheetId="9">IF(OFFSET(#REF!,0,0,COUNTA(#REF!)-2,1)=LOOKUP(2,1/ISNUMBER(#REF!),#REF!),OFFSET(#REF!,0,0,COUNTA(#REF!)-2,1),NA())</definedName>
    <definedName name="Valores68b" localSheetId="5">IF(OFFSET('[29]138 - Tabela 68'!$D$9,0,0,COUNTA('[29]138 - Tabela 68'!$R:$R)-2,1)=LOOKUP(2,1/ISNUMBER('[29]138 - Tabela 68'!$D:$D),'[29]138 - Tabela 68'!$D:$D),OFFSET('[29]138 - Tabela 68'!$R$9,0,0,COUNTA('[29]138 - Tabela 68'!$R:$R)-2,1),NA())</definedName>
    <definedName name="Valores68b" localSheetId="4">IF(OFFSET(#REF!,0,0,COUNTA(#REF!)-2,1)=LOOKUP(2,1/ISNUMBER(#REF!),#REF!),OFFSET(#REF!,0,0,COUNTA(#REF!)-2,1),NA())</definedName>
    <definedName name="Valores68b">IF(OFFSET(#REF!,0,0,COUNTA(#REF!)-2,1)=LOOKUP(2,1/ISNUMBER(#REF!),#REF!),OFFSET(#REF!,0,0,COUNTA(#REF!)-2,1),NA())</definedName>
    <definedName name="Valores69a" localSheetId="3">IF(OFFSET(#REF!,0,0,COUNTA(#REF!)-2,1)=LOOKUP(2,1/ISNUMBER(#REF!),#REF!),OFFSET(#REF!,0,0,COUNTA(#REF!)-2,1),NA())</definedName>
    <definedName name="Valores69a" localSheetId="1">IF(OFFSET('[29]140 - Tabela 69'!$D$9,0,0,COUNTA('[29]140 - Tabela 69'!$E:$E)-2,1)=LOOKUP(2,1/ISNUMBER('[29]140 - Tabela 69'!$D:$D),'[29]140 - Tabela 69'!$D:$D),OFFSET('[29]140 - Tabela 69'!$E$9,0,0,COUNTA('[29]140 - Tabela 69'!$E:$E)-2,1),NA())</definedName>
    <definedName name="Valores69a" localSheetId="9">IF(OFFSET(#REF!,0,0,COUNTA(#REF!)-2,1)=LOOKUP(2,1/ISNUMBER(#REF!),#REF!),OFFSET(#REF!,0,0,COUNTA(#REF!)-2,1),NA())</definedName>
    <definedName name="Valores69a" localSheetId="5">IF(OFFSET('[29]140 - Tabela 69'!$D$9,0,0,COUNTA('[29]140 - Tabela 69'!$E:$E)-2,1)=LOOKUP(2,1/ISNUMBER('[29]140 - Tabela 69'!$D:$D),'[29]140 - Tabela 69'!$D:$D),OFFSET('[29]140 - Tabela 69'!$E$9,0,0,COUNTA('[29]140 - Tabela 69'!$E:$E)-2,1),NA())</definedName>
    <definedName name="Valores69a" localSheetId="4">IF(OFFSET(#REF!,0,0,COUNTA(#REF!)-2,1)=LOOKUP(2,1/ISNUMBER(#REF!),#REF!),OFFSET(#REF!,0,0,COUNTA(#REF!)-2,1),NA())</definedName>
    <definedName name="Valores69a">IF(OFFSET(#REF!,0,0,COUNTA(#REF!)-2,1)=LOOKUP(2,1/ISNUMBER(#REF!),#REF!),OFFSET(#REF!,0,0,COUNTA(#REF!)-2,1),NA())</definedName>
    <definedName name="Valores69b" localSheetId="3">IF(OFFSET(#REF!,0,0,COUNTA(#REF!)-2,1)=LOOKUP(2,1/ISNUMBER(#REF!),#REF!),OFFSET(#REF!,0,0,COUNTA(#REF!)-2,1),NA())</definedName>
    <definedName name="Valores69b" localSheetId="1">IF(OFFSET('[29]140 - Tabela 69'!$D$9,0,0,COUNTA('[29]140 - Tabela 69'!$R:$R)-2,1)=LOOKUP(2,1/ISNUMBER('[29]140 - Tabela 69'!$D:$D),'[29]140 - Tabela 69'!$D:$D),OFFSET('[29]140 - Tabela 69'!$R$9,0,0,COUNTA('[29]140 - Tabela 69'!$R:$R)-2,1),NA())</definedName>
    <definedName name="Valores69b" localSheetId="9">IF(OFFSET(#REF!,0,0,COUNTA(#REF!)-2,1)=LOOKUP(2,1/ISNUMBER(#REF!),#REF!),OFFSET(#REF!,0,0,COUNTA(#REF!)-2,1),NA())</definedName>
    <definedName name="Valores69b" localSheetId="5">IF(OFFSET('[29]140 - Tabela 69'!$D$9,0,0,COUNTA('[29]140 - Tabela 69'!$R:$R)-2,1)=LOOKUP(2,1/ISNUMBER('[29]140 - Tabela 69'!$D:$D),'[29]140 - Tabela 69'!$D:$D),OFFSET('[29]140 - Tabela 69'!$R$9,0,0,COUNTA('[29]140 - Tabela 69'!$R:$R)-2,1),NA())</definedName>
    <definedName name="Valores69b" localSheetId="4">IF(OFFSET(#REF!,0,0,COUNTA(#REF!)-2,1)=LOOKUP(2,1/ISNUMBER(#REF!),#REF!),OFFSET(#REF!,0,0,COUNTA(#REF!)-2,1),NA())</definedName>
    <definedName name="Valores69b">IF(OFFSET(#REF!,0,0,COUNTA(#REF!)-2,1)=LOOKUP(2,1/ISNUMBER(#REF!),#REF!),OFFSET(#REF!,0,0,COUNTA(#REF!)-2,1),NA())</definedName>
    <definedName name="Valores7" localSheetId="3">IF(OFFSET(#REF!,0,0,COUNTA(#REF!)-2,1)=LOOKUP(2,1/ISNUMBER(#REF!),#REF!),OFFSET(#REF!,0,0,COUNTA(#REF!)-2,1),NA())</definedName>
    <definedName name="Valores7" localSheetId="1">IF(OFFSET('[29]16 - Tabela 7'!$D$9,0,0,COUNTA('[29]16 - Tabela 7'!$E:$E)-2,1)=LOOKUP(2,1/ISNUMBER('[29]16 - Tabela 7'!$D:$D),'[29]16 - Tabela 7'!$D:$D),OFFSET('[29]16 - Tabela 7'!$E$9,0,0,COUNTA('[29]16 - Tabela 7'!$E:$E)-2,1),NA())</definedName>
    <definedName name="Valores7" localSheetId="9">IF(OFFSET(#REF!,0,0,COUNTA(#REF!)-2,1)=LOOKUP(2,1/ISNUMBER(#REF!),#REF!),OFFSET(#REF!,0,0,COUNTA(#REF!)-2,1),NA())</definedName>
    <definedName name="Valores7" localSheetId="5">IF(OFFSET('[29]16 - Tabela 7'!$D$9,0,0,COUNTA('[29]16 - Tabela 7'!$E:$E)-2,1)=LOOKUP(2,1/ISNUMBER('[29]16 - Tabela 7'!$D:$D),'[29]16 - Tabela 7'!$D:$D),OFFSET('[29]16 - Tabela 7'!$E$9,0,0,COUNTA('[29]16 - Tabela 7'!$E:$E)-2,1),NA())</definedName>
    <definedName name="Valores7" localSheetId="4">IF(OFFSET(#REF!,0,0,COUNTA(#REF!)-2,1)=LOOKUP(2,1/ISNUMBER(#REF!),#REF!),OFFSET(#REF!,0,0,COUNTA(#REF!)-2,1),NA())</definedName>
    <definedName name="Valores7">IF(OFFSET(#REF!,0,0,COUNTA(#REF!)-2,1)=LOOKUP(2,1/ISNUMBER(#REF!),#REF!),OFFSET(#REF!,0,0,COUNTA(#REF!)-2,1),NA())</definedName>
    <definedName name="Valores70a" localSheetId="3">IF(OFFSET(#REF!,0,0,COUNTA(#REF!)-2,1)=LOOKUP(2,1/ISNUMBER(#REF!),#REF!),OFFSET(#REF!,0,0,COUNTA(#REF!)-2,1),NA())</definedName>
    <definedName name="Valores70a" localSheetId="1">IF(OFFSET('[29]142 - Tabela 70'!$D$9,0,0,COUNTA('[29]142 - Tabela 70'!$E:$E)-2,1)=LOOKUP(2,1/ISNUMBER('[29]142 - Tabela 70'!$D:$D),'[29]142 - Tabela 70'!$D:$D),OFFSET('[29]142 - Tabela 70'!$E$9,0,0,COUNTA('[29]142 - Tabela 70'!$E:$E)-2,1),NA())</definedName>
    <definedName name="Valores70a" localSheetId="9">IF(OFFSET(#REF!,0,0,COUNTA(#REF!)-2,1)=LOOKUP(2,1/ISNUMBER(#REF!),#REF!),OFFSET(#REF!,0,0,COUNTA(#REF!)-2,1),NA())</definedName>
    <definedName name="Valores70a" localSheetId="5">IF(OFFSET('[29]142 - Tabela 70'!$D$9,0,0,COUNTA('[29]142 - Tabela 70'!$E:$E)-2,1)=LOOKUP(2,1/ISNUMBER('[29]142 - Tabela 70'!$D:$D),'[29]142 - Tabela 70'!$D:$D),OFFSET('[29]142 - Tabela 70'!$E$9,0,0,COUNTA('[29]142 - Tabela 70'!$E:$E)-2,1),NA())</definedName>
    <definedName name="Valores70a" localSheetId="4">IF(OFFSET(#REF!,0,0,COUNTA(#REF!)-2,1)=LOOKUP(2,1/ISNUMBER(#REF!),#REF!),OFFSET(#REF!,0,0,COUNTA(#REF!)-2,1),NA())</definedName>
    <definedName name="Valores70a">IF(OFFSET(#REF!,0,0,COUNTA(#REF!)-2,1)=LOOKUP(2,1/ISNUMBER(#REF!),#REF!),OFFSET(#REF!,0,0,COUNTA(#REF!)-2,1),NA())</definedName>
    <definedName name="Valores70b" localSheetId="3">IF(OFFSET(#REF!,0,0,COUNTA(#REF!)-2,1)=LOOKUP(2,1/ISNUMBER(#REF!),#REF!),OFFSET(#REF!,0,0,COUNTA(#REF!)-2,1),NA())</definedName>
    <definedName name="Valores70b" localSheetId="1">IF(OFFSET('[29]142 - Tabela 70'!$D$9,0,0,COUNTA('[29]142 - Tabela 70'!$R:$R)-2,1)=LOOKUP(2,1/ISNUMBER('[29]142 - Tabela 70'!$D:$D),'[29]142 - Tabela 70'!$D:$D),OFFSET('[29]142 - Tabela 70'!$R$9,0,0,COUNTA('[29]142 - Tabela 70'!$R:$R)-2,1),NA())</definedName>
    <definedName name="Valores70b" localSheetId="9">IF(OFFSET(#REF!,0,0,COUNTA(#REF!)-2,1)=LOOKUP(2,1/ISNUMBER(#REF!),#REF!),OFFSET(#REF!,0,0,COUNTA(#REF!)-2,1),NA())</definedName>
    <definedName name="Valores70b" localSheetId="5">IF(OFFSET('[29]142 - Tabela 70'!$D$9,0,0,COUNTA('[29]142 - Tabela 70'!$R:$R)-2,1)=LOOKUP(2,1/ISNUMBER('[29]142 - Tabela 70'!$D:$D),'[29]142 - Tabela 70'!$D:$D),OFFSET('[29]142 - Tabela 70'!$R$9,0,0,COUNTA('[29]142 - Tabela 70'!$R:$R)-2,1),NA())</definedName>
    <definedName name="Valores70b" localSheetId="4">IF(OFFSET(#REF!,0,0,COUNTA(#REF!)-2,1)=LOOKUP(2,1/ISNUMBER(#REF!),#REF!),OFFSET(#REF!,0,0,COUNTA(#REF!)-2,1),NA())</definedName>
    <definedName name="Valores70b">IF(OFFSET(#REF!,0,0,COUNTA(#REF!)-2,1)=LOOKUP(2,1/ISNUMBER(#REF!),#REF!),OFFSET(#REF!,0,0,COUNTA(#REF!)-2,1),NA())</definedName>
    <definedName name="Valores71a" localSheetId="3">IF(OFFSET(#REF!,0,0,COUNTA(#REF!)-2,1)=LOOKUP(2,1/ISNUMBER(#REF!),#REF!),OFFSET(#REF!,0,0,COUNTA(#REF!)-2,1),NA())</definedName>
    <definedName name="Valores71a" localSheetId="1">IF(OFFSET('[29]144 - Tabela 71'!$D$9,0,0,COUNTA('[29]144 - Tabela 71'!$E:$E)-2,1)=LOOKUP(2,1/ISNUMBER('[29]144 - Tabela 71'!$D:$D),'[29]144 - Tabela 71'!$D:$D),OFFSET('[29]144 - Tabela 71'!$E$9,0,0,COUNTA('[29]144 - Tabela 71'!$E:$E)-2,1),NA())</definedName>
    <definedName name="Valores71a" localSheetId="9">IF(OFFSET(#REF!,0,0,COUNTA(#REF!)-2,1)=LOOKUP(2,1/ISNUMBER(#REF!),#REF!),OFFSET(#REF!,0,0,COUNTA(#REF!)-2,1),NA())</definedName>
    <definedName name="Valores71a" localSheetId="5">IF(OFFSET('[29]144 - Tabela 71'!$D$9,0,0,COUNTA('[29]144 - Tabela 71'!$E:$E)-2,1)=LOOKUP(2,1/ISNUMBER('[29]144 - Tabela 71'!$D:$D),'[29]144 - Tabela 71'!$D:$D),OFFSET('[29]144 - Tabela 71'!$E$9,0,0,COUNTA('[29]144 - Tabela 71'!$E:$E)-2,1),NA())</definedName>
    <definedName name="Valores71a" localSheetId="4">IF(OFFSET(#REF!,0,0,COUNTA(#REF!)-2,1)=LOOKUP(2,1/ISNUMBER(#REF!),#REF!),OFFSET(#REF!,0,0,COUNTA(#REF!)-2,1),NA())</definedName>
    <definedName name="Valores71a">IF(OFFSET(#REF!,0,0,COUNTA(#REF!)-2,1)=LOOKUP(2,1/ISNUMBER(#REF!),#REF!),OFFSET(#REF!,0,0,COUNTA(#REF!)-2,1),NA())</definedName>
    <definedName name="Valores71b" localSheetId="3">IF(OFFSET(#REF!,0,0,COUNTA(#REF!)-2,1)=LOOKUP(2,1/ISNUMBER(#REF!),#REF!),OFFSET(#REF!,0,0,COUNTA(#REF!)-2,1),NA())</definedName>
    <definedName name="Valores71b" localSheetId="1">IF(OFFSET('[29]144 - Tabela 71'!$D$9,0,0,COUNTA('[29]144 - Tabela 71'!$R:$R)-2,1)=LOOKUP(2,1/ISNUMBER('[29]144 - Tabela 71'!$D:$D),'[29]144 - Tabela 71'!$D:$D),OFFSET('[29]144 - Tabela 71'!$R$9,0,0,COUNTA('[29]144 - Tabela 71'!$R:$R)-2,1),NA())</definedName>
    <definedName name="Valores71b" localSheetId="9">IF(OFFSET(#REF!,0,0,COUNTA(#REF!)-2,1)=LOOKUP(2,1/ISNUMBER(#REF!),#REF!),OFFSET(#REF!,0,0,COUNTA(#REF!)-2,1),NA())</definedName>
    <definedName name="Valores71b" localSheetId="5">IF(OFFSET('[29]144 - Tabela 71'!$D$9,0,0,COUNTA('[29]144 - Tabela 71'!$R:$R)-2,1)=LOOKUP(2,1/ISNUMBER('[29]144 - Tabela 71'!$D:$D),'[29]144 - Tabela 71'!$D:$D),OFFSET('[29]144 - Tabela 71'!$R$9,0,0,COUNTA('[29]144 - Tabela 71'!$R:$R)-2,1),NA())</definedName>
    <definedName name="Valores71b" localSheetId="4">IF(OFFSET(#REF!,0,0,COUNTA(#REF!)-2,1)=LOOKUP(2,1/ISNUMBER(#REF!),#REF!),OFFSET(#REF!,0,0,COUNTA(#REF!)-2,1),NA())</definedName>
    <definedName name="Valores71b">IF(OFFSET(#REF!,0,0,COUNTA(#REF!)-2,1)=LOOKUP(2,1/ISNUMBER(#REF!),#REF!),OFFSET(#REF!,0,0,COUNTA(#REF!)-2,1),NA())</definedName>
    <definedName name="Valores72a" localSheetId="3">IF(OFFSET(#REF!,0,0,COUNTA(#REF!)-2,1)=LOOKUP(2,1/ISNUMBER(#REF!),#REF!),OFFSET(#REF!,0,0,COUNTA(#REF!)-2,1),NA())</definedName>
    <definedName name="Valores72a" localSheetId="1">IF(OFFSET('[29]146 - Tabela 72'!$D$9,0,0,COUNTA('[29]146 - Tabela 72'!$E:$E)-2,1)=LOOKUP(2,1/ISNUMBER('[29]146 - Tabela 72'!$D:$D),'[29]146 - Tabela 72'!$D:$D),OFFSET('[29]146 - Tabela 72'!$E$9,0,0,COUNTA('[29]146 - Tabela 72'!$E:$E)-2,1),NA())</definedName>
    <definedName name="Valores72a" localSheetId="9">IF(OFFSET(#REF!,0,0,COUNTA(#REF!)-2,1)=LOOKUP(2,1/ISNUMBER(#REF!),#REF!),OFFSET(#REF!,0,0,COUNTA(#REF!)-2,1),NA())</definedName>
    <definedName name="Valores72a" localSheetId="5">IF(OFFSET('[29]146 - Tabela 72'!$D$9,0,0,COUNTA('[29]146 - Tabela 72'!$E:$E)-2,1)=LOOKUP(2,1/ISNUMBER('[29]146 - Tabela 72'!$D:$D),'[29]146 - Tabela 72'!$D:$D),OFFSET('[29]146 - Tabela 72'!$E$9,0,0,COUNTA('[29]146 - Tabela 72'!$E:$E)-2,1),NA())</definedName>
    <definedName name="Valores72a" localSheetId="4">IF(OFFSET(#REF!,0,0,COUNTA(#REF!)-2,1)=LOOKUP(2,1/ISNUMBER(#REF!),#REF!),OFFSET(#REF!,0,0,COUNTA(#REF!)-2,1),NA())</definedName>
    <definedName name="Valores72a">IF(OFFSET(#REF!,0,0,COUNTA(#REF!)-2,1)=LOOKUP(2,1/ISNUMBER(#REF!),#REF!),OFFSET(#REF!,0,0,COUNTA(#REF!)-2,1),NA())</definedName>
    <definedName name="Valores72b" localSheetId="3">IF(OFFSET(#REF!,0,0,COUNTA(#REF!)-2,1)=LOOKUP(2,1/ISNUMBER(#REF!),#REF!),OFFSET(#REF!,0,0,COUNTA(#REF!)-2,1),NA())</definedName>
    <definedName name="Valores72b" localSheetId="1">IF(OFFSET('[29]146 - Tabela 72'!$D$9,0,0,COUNTA('[29]146 - Tabela 72'!$R:$R)-2,1)=LOOKUP(2,1/ISNUMBER('[29]146 - Tabela 72'!$D:$D),'[29]146 - Tabela 72'!$D:$D),OFFSET('[29]146 - Tabela 72'!$R$9,0,0,COUNTA('[29]146 - Tabela 72'!$R:$R)-2,1),NA())</definedName>
    <definedName name="Valores72b" localSheetId="9">IF(OFFSET(#REF!,0,0,COUNTA(#REF!)-2,1)=LOOKUP(2,1/ISNUMBER(#REF!),#REF!),OFFSET(#REF!,0,0,COUNTA(#REF!)-2,1),NA())</definedName>
    <definedName name="Valores72b" localSheetId="5">IF(OFFSET('[29]146 - Tabela 72'!$D$9,0,0,COUNTA('[29]146 - Tabela 72'!$R:$R)-2,1)=LOOKUP(2,1/ISNUMBER('[29]146 - Tabela 72'!$D:$D),'[29]146 - Tabela 72'!$D:$D),OFFSET('[29]146 - Tabela 72'!$R$9,0,0,COUNTA('[29]146 - Tabela 72'!$R:$R)-2,1),NA())</definedName>
    <definedName name="Valores72b" localSheetId="4">IF(OFFSET(#REF!,0,0,COUNTA(#REF!)-2,1)=LOOKUP(2,1/ISNUMBER(#REF!),#REF!),OFFSET(#REF!,0,0,COUNTA(#REF!)-2,1),NA())</definedName>
    <definedName name="Valores72b">IF(OFFSET(#REF!,0,0,COUNTA(#REF!)-2,1)=LOOKUP(2,1/ISNUMBER(#REF!),#REF!),OFFSET(#REF!,0,0,COUNTA(#REF!)-2,1),NA())</definedName>
    <definedName name="Valores73a" localSheetId="3">IF(OFFSET(#REF!,0,0,COUNTA(#REF!)-2,1)=LOOKUP(2,1/ISNUMBER(#REF!),#REF!),OFFSET(#REF!,0,0,COUNTA(#REF!)-2,1),NA())</definedName>
    <definedName name="Valores73a" localSheetId="1">IF(OFFSET('[29]148 - Tabela 73'!$D$9,0,0,COUNTA('[29]148 - Tabela 73'!$E:$E)-2,1)=LOOKUP(2,1/ISNUMBER('[29]148 - Tabela 73'!$D:$D),'[29]148 - Tabela 73'!$D:$D),OFFSET('[29]148 - Tabela 73'!$E$9,0,0,COUNTA('[29]148 - Tabela 73'!$E:$E)-2,1),NA())</definedName>
    <definedName name="Valores73a" localSheetId="9">IF(OFFSET(#REF!,0,0,COUNTA(#REF!)-2,1)=LOOKUP(2,1/ISNUMBER(#REF!),#REF!),OFFSET(#REF!,0,0,COUNTA(#REF!)-2,1),NA())</definedName>
    <definedName name="Valores73a" localSheetId="5">IF(OFFSET('[29]148 - Tabela 73'!$D$9,0,0,COUNTA('[29]148 - Tabela 73'!$E:$E)-2,1)=LOOKUP(2,1/ISNUMBER('[29]148 - Tabela 73'!$D:$D),'[29]148 - Tabela 73'!$D:$D),OFFSET('[29]148 - Tabela 73'!$E$9,0,0,COUNTA('[29]148 - Tabela 73'!$E:$E)-2,1),NA())</definedName>
    <definedName name="Valores73a" localSheetId="4">IF(OFFSET(#REF!,0,0,COUNTA(#REF!)-2,1)=LOOKUP(2,1/ISNUMBER(#REF!),#REF!),OFFSET(#REF!,0,0,COUNTA(#REF!)-2,1),NA())</definedName>
    <definedName name="Valores73a">IF(OFFSET(#REF!,0,0,COUNTA(#REF!)-2,1)=LOOKUP(2,1/ISNUMBER(#REF!),#REF!),OFFSET(#REF!,0,0,COUNTA(#REF!)-2,1),NA())</definedName>
    <definedName name="Valores73b" localSheetId="3">IF(OFFSET(#REF!,0,0,COUNTA(#REF!)-2,1)=LOOKUP(2,1/ISNUMBER(#REF!),#REF!),OFFSET(#REF!,0,0,COUNTA(#REF!)-2,1),NA())</definedName>
    <definedName name="Valores73b" localSheetId="1">IF(OFFSET('[29]148 - Tabela 73'!$D$9,0,0,COUNTA('[29]148 - Tabela 73'!$R:$R)-2,1)=LOOKUP(2,1/ISNUMBER('[29]148 - Tabela 73'!$D:$D),'[29]148 - Tabela 73'!$D:$D),OFFSET('[29]148 - Tabela 73'!$R$9,0,0,COUNTA('[29]148 - Tabela 73'!$R:$R)-2,1),NA())</definedName>
    <definedName name="Valores73b" localSheetId="9">IF(OFFSET(#REF!,0,0,COUNTA(#REF!)-2,1)=LOOKUP(2,1/ISNUMBER(#REF!),#REF!),OFFSET(#REF!,0,0,COUNTA(#REF!)-2,1),NA())</definedName>
    <definedName name="Valores73b" localSheetId="5">IF(OFFSET('[29]148 - Tabela 73'!$D$9,0,0,COUNTA('[29]148 - Tabela 73'!$R:$R)-2,1)=LOOKUP(2,1/ISNUMBER('[29]148 - Tabela 73'!$D:$D),'[29]148 - Tabela 73'!$D:$D),OFFSET('[29]148 - Tabela 73'!$R$9,0,0,COUNTA('[29]148 - Tabela 73'!$R:$R)-2,1),NA())</definedName>
    <definedName name="Valores73b" localSheetId="4">IF(OFFSET(#REF!,0,0,COUNTA(#REF!)-2,1)=LOOKUP(2,1/ISNUMBER(#REF!),#REF!),OFFSET(#REF!,0,0,COUNTA(#REF!)-2,1),NA())</definedName>
    <definedName name="Valores73b">IF(OFFSET(#REF!,0,0,COUNTA(#REF!)-2,1)=LOOKUP(2,1/ISNUMBER(#REF!),#REF!),OFFSET(#REF!,0,0,COUNTA(#REF!)-2,1),NA())</definedName>
    <definedName name="Valores74" localSheetId="3">IF(OFFSET(#REF!,0,0,COUNTA(#REF!)-2,1)=LOOKUP(2,1/ISNUMBER(#REF!),#REF!),OFFSET(#REF!,0,0,COUNTA(#REF!)-2,1),NA())</definedName>
    <definedName name="Valores74" localSheetId="1">IF(OFFSET('[29]150 - Tabela 74'!$D$9,0,0,COUNTA('[29]150 - Tabela 74'!$E:$E)-2,1)=LOOKUP(2,1/ISNUMBER('[29]150 - Tabela 74'!$D:$D),'[29]150 - Tabela 74'!$D:$D),OFFSET('[29]150 - Tabela 74'!$E$9,0,0,COUNTA('[29]150 - Tabela 74'!$E:$E)-2,1),NA())</definedName>
    <definedName name="Valores74" localSheetId="9">IF(OFFSET(#REF!,0,0,COUNTA(#REF!)-2,1)=LOOKUP(2,1/ISNUMBER(#REF!),#REF!),OFFSET(#REF!,0,0,COUNTA(#REF!)-2,1),NA())</definedName>
    <definedName name="Valores74" localSheetId="5">IF(OFFSET('[29]150 - Tabela 74'!$D$9,0,0,COUNTA('[29]150 - Tabela 74'!$E:$E)-2,1)=LOOKUP(2,1/ISNUMBER('[29]150 - Tabela 74'!$D:$D),'[29]150 - Tabela 74'!$D:$D),OFFSET('[29]150 - Tabela 74'!$E$9,0,0,COUNTA('[29]150 - Tabela 74'!$E:$E)-2,1),NA())</definedName>
    <definedName name="Valores74" localSheetId="4">IF(OFFSET(#REF!,0,0,COUNTA(#REF!)-2,1)=LOOKUP(2,1/ISNUMBER(#REF!),#REF!),OFFSET(#REF!,0,0,COUNTA(#REF!)-2,1),NA())</definedName>
    <definedName name="Valores74">IF(OFFSET(#REF!,0,0,COUNTA(#REF!)-2,1)=LOOKUP(2,1/ISNUMBER(#REF!),#REF!),OFFSET(#REF!,0,0,COUNTA(#REF!)-2,1),NA())</definedName>
    <definedName name="Valores75" localSheetId="3">IF(OFFSET(#REF!,0,0,COUNTA(#REF!)-2,1)=LOOKUP(2,1/ISNUMBER(#REF!),#REF!),OFFSET(#REF!,0,0,COUNTA(#REF!)-2,1),NA())</definedName>
    <definedName name="Valores75" localSheetId="1">IF(OFFSET('[29]152 - Tabela 75'!$D$9,0,0,COUNTA('[29]152 - Tabela 75'!$E:$E)-2,1)=LOOKUP(2,1/ISNUMBER('[29]152 - Tabela 75'!$D:$D),'[29]152 - Tabela 75'!$D:$D),OFFSET('[29]152 - Tabela 75'!$E$9,0,0,COUNTA('[29]152 - Tabela 75'!$E:$E)-2,1),NA())</definedName>
    <definedName name="Valores75" localSheetId="9">IF(OFFSET(#REF!,0,0,COUNTA(#REF!)-2,1)=LOOKUP(2,1/ISNUMBER(#REF!),#REF!),OFFSET(#REF!,0,0,COUNTA(#REF!)-2,1),NA())</definedName>
    <definedName name="Valores75" localSheetId="5">IF(OFFSET('[29]152 - Tabela 75'!$D$9,0,0,COUNTA('[29]152 - Tabela 75'!$E:$E)-2,1)=LOOKUP(2,1/ISNUMBER('[29]152 - Tabela 75'!$D:$D),'[29]152 - Tabela 75'!$D:$D),OFFSET('[29]152 - Tabela 75'!$E$9,0,0,COUNTA('[29]152 - Tabela 75'!$E:$E)-2,1),NA())</definedName>
    <definedName name="Valores75" localSheetId="4">IF(OFFSET(#REF!,0,0,COUNTA(#REF!)-2,1)=LOOKUP(2,1/ISNUMBER(#REF!),#REF!),OFFSET(#REF!,0,0,COUNTA(#REF!)-2,1),NA())</definedName>
    <definedName name="Valores75">IF(OFFSET(#REF!,0,0,COUNTA(#REF!)-2,1)=LOOKUP(2,1/ISNUMBER(#REF!),#REF!),OFFSET(#REF!,0,0,COUNTA(#REF!)-2,1),NA())</definedName>
    <definedName name="Valores76" localSheetId="3">IF(OFFSET(#REF!,0,0,COUNTA(#REF!)-1,1)=LOOKUP(2,1/ISNUMBER(#REF!),#REF!),OFFSET(#REF!,0,0,COUNTA(#REF!)-1,1),NA())</definedName>
    <definedName name="Valores76" localSheetId="1">IF(OFFSET('[29]154 - Tabela 76'!$D$9,0,0,COUNTA('[29]154 - Tabela 76'!$E:$E)-1,1)=LOOKUP(2,1/ISNUMBER('[29]154 - Tabela 76'!$D:$D),'[29]154 - Tabela 76'!$D:$D),OFFSET('[29]154 - Tabela 76'!$E$9,0,0,COUNTA('[29]154 - Tabela 76'!$E:$E)-1,1),NA())</definedName>
    <definedName name="Valores76" localSheetId="9">IF(OFFSET(#REF!,0,0,COUNTA(#REF!)-1,1)=LOOKUP(2,1/ISNUMBER(#REF!),#REF!),OFFSET(#REF!,0,0,COUNTA(#REF!)-1,1),NA())</definedName>
    <definedName name="Valores76" localSheetId="5">IF(OFFSET('[29]154 - Tabela 76'!$D$9,0,0,COUNTA('[29]154 - Tabela 76'!$E:$E)-1,1)=LOOKUP(2,1/ISNUMBER('[29]154 - Tabela 76'!$D:$D),'[29]154 - Tabela 76'!$D:$D),OFFSET('[29]154 - Tabela 76'!$E$9,0,0,COUNTA('[29]154 - Tabela 76'!$E:$E)-1,1),NA())</definedName>
    <definedName name="Valores76" localSheetId="4">IF(OFFSET(#REF!,0,0,COUNTA(#REF!)-1,1)=LOOKUP(2,1/ISNUMBER(#REF!),#REF!),OFFSET(#REF!,0,0,COUNTA(#REF!)-1,1),NA())</definedName>
    <definedName name="Valores76">IF(OFFSET(#REF!,0,0,COUNTA(#REF!)-1,1)=LOOKUP(2,1/ISNUMBER(#REF!),#REF!),OFFSET(#REF!,0,0,COUNTA(#REF!)-1,1),NA())</definedName>
    <definedName name="Valores77" localSheetId="3">IF(OFFSET(#REF!,0,0,COUNTA(#REF!)-1,1)=LOOKUP(2,1/ISNUMBER(#REF!),#REF!),OFFSET(#REF!,0,0,COUNTA(#REF!)-1,1),NA())</definedName>
    <definedName name="Valores77" localSheetId="1">IF(OFFSET('[29]156 - Tabela 77'!$D$9,0,0,COUNTA('[29]156 - Tabela 77'!$E:$E)-1,1)=LOOKUP(2,1/ISNUMBER('[29]156 - Tabela 77'!$D:$D),'[29]156 - Tabela 77'!$D:$D),OFFSET('[29]156 - Tabela 77'!$E$9,0,0,COUNTA('[29]156 - Tabela 77'!$E:$E)-1,1),NA())</definedName>
    <definedName name="Valores77" localSheetId="9">IF(OFFSET(#REF!,0,0,COUNTA(#REF!)-1,1)=LOOKUP(2,1/ISNUMBER(#REF!),#REF!),OFFSET(#REF!,0,0,COUNTA(#REF!)-1,1),NA())</definedName>
    <definedName name="Valores77" localSheetId="5">IF(OFFSET('[29]156 - Tabela 77'!$D$9,0,0,COUNTA('[29]156 - Tabela 77'!$E:$E)-1,1)=LOOKUP(2,1/ISNUMBER('[29]156 - Tabela 77'!$D:$D),'[29]156 - Tabela 77'!$D:$D),OFFSET('[29]156 - Tabela 77'!$E$9,0,0,COUNTA('[29]156 - Tabela 77'!$E:$E)-1,1),NA())</definedName>
    <definedName name="Valores77" localSheetId="4">IF(OFFSET(#REF!,0,0,COUNTA(#REF!)-1,1)=LOOKUP(2,1/ISNUMBER(#REF!),#REF!),OFFSET(#REF!,0,0,COUNTA(#REF!)-1,1),NA())</definedName>
    <definedName name="Valores77">IF(OFFSET(#REF!,0,0,COUNTA(#REF!)-1,1)=LOOKUP(2,1/ISNUMBER(#REF!),#REF!),OFFSET(#REF!,0,0,COUNTA(#REF!)-1,1),NA())</definedName>
    <definedName name="Valores78" localSheetId="3">IF(OFFSET(#REF!,0,0,COUNTA(#REF!)-2,1)=LOOKUP(2,1/ISNUMBER(#REF!),#REF!),OFFSET(#REF!,0,0,COUNTA(#REF!)-2,1),NA())</definedName>
    <definedName name="Valores78" localSheetId="1">IF(OFFSET('[29]158 - Tabela 78'!$D$9,0,0,COUNTA('[29]158 - Tabela 78'!$E:$E)-2,1)=LOOKUP(2,1/ISNUMBER('[29]158 - Tabela 78'!$D:$D),'[29]158 - Tabela 78'!$D:$D),OFFSET('[29]158 - Tabela 78'!$E$9,0,0,COUNTA('[29]158 - Tabela 78'!$E:$E)-2,1),NA())</definedName>
    <definedName name="Valores78" localSheetId="9">IF(OFFSET(#REF!,0,0,COUNTA(#REF!)-2,1)=LOOKUP(2,1/ISNUMBER(#REF!),#REF!),OFFSET(#REF!,0,0,COUNTA(#REF!)-2,1),NA())</definedName>
    <definedName name="Valores78" localSheetId="5">IF(OFFSET('[29]158 - Tabela 78'!$D$9,0,0,COUNTA('[29]158 - Tabela 78'!$E:$E)-2,1)=LOOKUP(2,1/ISNUMBER('[29]158 - Tabela 78'!$D:$D),'[29]158 - Tabela 78'!$D:$D),OFFSET('[29]158 - Tabela 78'!$E$9,0,0,COUNTA('[29]158 - Tabela 78'!$E:$E)-2,1),NA())</definedName>
    <definedName name="Valores78" localSheetId="4">IF(OFFSET(#REF!,0,0,COUNTA(#REF!)-2,1)=LOOKUP(2,1/ISNUMBER(#REF!),#REF!),OFFSET(#REF!,0,0,COUNTA(#REF!)-2,1),NA())</definedName>
    <definedName name="Valores78">IF(OFFSET(#REF!,0,0,COUNTA(#REF!)-2,1)=LOOKUP(2,1/ISNUMBER(#REF!),#REF!),OFFSET(#REF!,0,0,COUNTA(#REF!)-2,1),NA())</definedName>
    <definedName name="Valores79" localSheetId="3">IF(OFFSET(#REF!,0,0,COUNTA(#REF!)-2,1)=LOOKUP(2,1/ISNUMBER(#REF!),#REF!),OFFSET(#REF!,0,0,COUNTA(#REF!)-2,1),NA())</definedName>
    <definedName name="Valores79" localSheetId="1">IF(OFFSET('[29]160 - Tabela 79'!$D$9,0,0,COUNTA('[29]160 - Tabela 79'!$E:$E)-2,1)=LOOKUP(2,1/ISNUMBER('[29]160 - Tabela 79'!$D:$D),'[29]160 - Tabela 79'!$D:$D),OFFSET('[29]160 - Tabela 79'!$E$9,0,0,COUNTA('[29]160 - Tabela 79'!$E:$E)-2,1),NA())</definedName>
    <definedName name="Valores79" localSheetId="9">IF(OFFSET(#REF!,0,0,COUNTA(#REF!)-2,1)=LOOKUP(2,1/ISNUMBER(#REF!),#REF!),OFFSET(#REF!,0,0,COUNTA(#REF!)-2,1),NA())</definedName>
    <definedName name="Valores79" localSheetId="5">IF(OFFSET('[29]160 - Tabela 79'!$D$9,0,0,COUNTA('[29]160 - Tabela 79'!$E:$E)-2,1)=LOOKUP(2,1/ISNUMBER('[29]160 - Tabela 79'!$D:$D),'[29]160 - Tabela 79'!$D:$D),OFFSET('[29]160 - Tabela 79'!$E$9,0,0,COUNTA('[29]160 - Tabela 79'!$E:$E)-2,1),NA())</definedName>
    <definedName name="Valores79" localSheetId="4">IF(OFFSET(#REF!,0,0,COUNTA(#REF!)-2,1)=LOOKUP(2,1/ISNUMBER(#REF!),#REF!),OFFSET(#REF!,0,0,COUNTA(#REF!)-2,1),NA())</definedName>
    <definedName name="Valores79">IF(OFFSET(#REF!,0,0,COUNTA(#REF!)-2,1)=LOOKUP(2,1/ISNUMBER(#REF!),#REF!),OFFSET(#REF!,0,0,COUNTA(#REF!)-2,1),NA())</definedName>
    <definedName name="Valores8" localSheetId="3">IF(OFFSET(#REF!,0,0,COUNTA(#REF!)-2,1)=LOOKUP(2,1/ISNUMBER(#REF!),#REF!),OFFSET(#REF!,0,0,COUNTA(#REF!)-2,1),NA())</definedName>
    <definedName name="Valores8" localSheetId="1">IF(OFFSET('[29]18 - Tabela 8'!$D$9,0,0,COUNTA('[29]18 - Tabela 8'!$E:$E)-2,1)=LOOKUP(2,1/ISNUMBER('[29]18 - Tabela 8'!$D:$D),'[29]18 - Tabela 8'!$D:$D),OFFSET('[29]18 - Tabela 8'!$E$9,0,0,COUNTA('[29]18 - Tabela 8'!$E:$E)-2,1),NA())</definedName>
    <definedName name="Valores8" localSheetId="9">IF(OFFSET(#REF!,0,0,COUNTA(#REF!)-2,1)=LOOKUP(2,1/ISNUMBER(#REF!),#REF!),OFFSET(#REF!,0,0,COUNTA(#REF!)-2,1),NA())</definedName>
    <definedName name="Valores8" localSheetId="5">IF(OFFSET('[29]18 - Tabela 8'!$D$9,0,0,COUNTA('[29]18 - Tabela 8'!$E:$E)-2,1)=LOOKUP(2,1/ISNUMBER('[29]18 - Tabela 8'!$D:$D),'[29]18 - Tabela 8'!$D:$D),OFFSET('[29]18 - Tabela 8'!$E$9,0,0,COUNTA('[29]18 - Tabela 8'!$E:$E)-2,1),NA())</definedName>
    <definedName name="Valores8" localSheetId="4">IF(OFFSET(#REF!,0,0,COUNTA(#REF!)-2,1)=LOOKUP(2,1/ISNUMBER(#REF!),#REF!),OFFSET(#REF!,0,0,COUNTA(#REF!)-2,1),NA())</definedName>
    <definedName name="Valores8">IF(OFFSET(#REF!,0,0,COUNTA(#REF!)-2,1)=LOOKUP(2,1/ISNUMBER(#REF!),#REF!),OFFSET(#REF!,0,0,COUNTA(#REF!)-2,1),NA())</definedName>
    <definedName name="Valores80" localSheetId="3">IF(OFFSET(#REF!,0,0,COUNTA(#REF!)-1,1)=LOOKUP(2,1/ISNUMBER(#REF!),#REF!),OFFSET(#REF!,0,0,COUNTA(#REF!)-1,1),NA())</definedName>
    <definedName name="Valores80" localSheetId="1">IF(OFFSET('[29]162 - Tabela 80'!$D$9,0,0,COUNTA('[29]162 - Tabela 80'!$E:$E)-1,1)=LOOKUP(2,1/ISNUMBER('[29]162 - Tabela 80'!$D:$D),'[29]162 - Tabela 80'!$D:$D),OFFSET('[29]162 - Tabela 80'!$E$9,0,0,COUNTA('[29]162 - Tabela 80'!$E:$E)-1,1),NA())</definedName>
    <definedName name="Valores80" localSheetId="9">IF(OFFSET(#REF!,0,0,COUNTA(#REF!)-1,1)=LOOKUP(2,1/ISNUMBER(#REF!),#REF!),OFFSET(#REF!,0,0,COUNTA(#REF!)-1,1),NA())</definedName>
    <definedName name="Valores80" localSheetId="5">IF(OFFSET('[29]162 - Tabela 80'!$D$9,0,0,COUNTA('[29]162 - Tabela 80'!$E:$E)-1,1)=LOOKUP(2,1/ISNUMBER('[29]162 - Tabela 80'!$D:$D),'[29]162 - Tabela 80'!$D:$D),OFFSET('[29]162 - Tabela 80'!$E$9,0,0,COUNTA('[29]162 - Tabela 80'!$E:$E)-1,1),NA())</definedName>
    <definedName name="Valores80" localSheetId="4">IF(OFFSET(#REF!,0,0,COUNTA(#REF!)-1,1)=LOOKUP(2,1/ISNUMBER(#REF!),#REF!),OFFSET(#REF!,0,0,COUNTA(#REF!)-1,1),NA())</definedName>
    <definedName name="Valores80">IF(OFFSET(#REF!,0,0,COUNTA(#REF!)-1,1)=LOOKUP(2,1/ISNUMBER(#REF!),#REF!),OFFSET(#REF!,0,0,COUNTA(#REF!)-1,1),NA())</definedName>
    <definedName name="Valores81" localSheetId="3">IF(OFFSET(#REF!,0,0,COUNTA(#REF!)-2,1)=LOOKUP(2,1/ISNUMBER(#REF!),#REF!),OFFSET(#REF!,0,0,COUNTA(#REF!)-2,1),NA())</definedName>
    <definedName name="Valores81" localSheetId="1">IF(OFFSET('[29]164 - Tabela 81'!$D$9,0,0,COUNTA('[29]164 - Tabela 81'!$E:$E)-2,1)=LOOKUP(2,1/ISNUMBER('[29]164 - Tabela 81'!$D:$D),'[29]164 - Tabela 81'!$D:$D),OFFSET('[29]164 - Tabela 81'!$E$9,0,0,COUNTA('[29]164 - Tabela 81'!$E:$E)-2,1),NA())</definedName>
    <definedName name="Valores81" localSheetId="9">IF(OFFSET(#REF!,0,0,COUNTA(#REF!)-2,1)=LOOKUP(2,1/ISNUMBER(#REF!),#REF!),OFFSET(#REF!,0,0,COUNTA(#REF!)-2,1),NA())</definedName>
    <definedName name="Valores81" localSheetId="5">IF(OFFSET('[29]164 - Tabela 81'!$D$9,0,0,COUNTA('[29]164 - Tabela 81'!$E:$E)-2,1)=LOOKUP(2,1/ISNUMBER('[29]164 - Tabela 81'!$D:$D),'[29]164 - Tabela 81'!$D:$D),OFFSET('[29]164 - Tabela 81'!$E$9,0,0,COUNTA('[29]164 - Tabela 81'!$E:$E)-2,1),NA())</definedName>
    <definedName name="Valores81" localSheetId="4">IF(OFFSET(#REF!,0,0,COUNTA(#REF!)-2,1)=LOOKUP(2,1/ISNUMBER(#REF!),#REF!),OFFSET(#REF!,0,0,COUNTA(#REF!)-2,1),NA())</definedName>
    <definedName name="Valores81">IF(OFFSET(#REF!,0,0,COUNTA(#REF!)-2,1)=LOOKUP(2,1/ISNUMBER(#REF!),#REF!),OFFSET(#REF!,0,0,COUNTA(#REF!)-2,1),NA())</definedName>
    <definedName name="Valores82" localSheetId="3">IF(OFFSET(#REF!,0,0,COUNTA(#REF!)-2,1)=LOOKUP(2,1/ISNUMBER(#REF!),#REF!),OFFSET(#REF!,0,0,COUNTA(#REF!)-2,1),NA())</definedName>
    <definedName name="Valores82" localSheetId="1">IF(OFFSET('[29]166 - Tabela 82'!$D$9,0,0,COUNTA('[29]166 - Tabela 82'!$E:$E)-2,1)=LOOKUP(2,1/ISNUMBER('[29]166 - Tabela 82'!$D:$D),'[29]166 - Tabela 82'!$D:$D),OFFSET('[29]166 - Tabela 82'!$E$9,0,0,COUNTA('[29]166 - Tabela 82'!$E:$E)-2,1),NA())</definedName>
    <definedName name="Valores82" localSheetId="9">IF(OFFSET(#REF!,0,0,COUNTA(#REF!)-2,1)=LOOKUP(2,1/ISNUMBER(#REF!),#REF!),OFFSET(#REF!,0,0,COUNTA(#REF!)-2,1),NA())</definedName>
    <definedName name="Valores82" localSheetId="5">IF(OFFSET('[29]166 - Tabela 82'!$D$9,0,0,COUNTA('[29]166 - Tabela 82'!$E:$E)-2,1)=LOOKUP(2,1/ISNUMBER('[29]166 - Tabela 82'!$D:$D),'[29]166 - Tabela 82'!$D:$D),OFFSET('[29]166 - Tabela 82'!$E$9,0,0,COUNTA('[29]166 - Tabela 82'!$E:$E)-2,1),NA())</definedName>
    <definedName name="Valores82" localSheetId="4">IF(OFFSET(#REF!,0,0,COUNTA(#REF!)-2,1)=LOOKUP(2,1/ISNUMBER(#REF!),#REF!),OFFSET(#REF!,0,0,COUNTA(#REF!)-2,1),NA())</definedName>
    <definedName name="Valores82">IF(OFFSET(#REF!,0,0,COUNTA(#REF!)-2,1)=LOOKUP(2,1/ISNUMBER(#REF!),#REF!),OFFSET(#REF!,0,0,COUNTA(#REF!)-2,1),NA())</definedName>
    <definedName name="Valores83" localSheetId="3">IF(OFFSET(#REF!,0,0,COUNTA(#REF!)-2,1)=LOOKUP(2,1/ISNUMBER(#REF!),#REF!),OFFSET(#REF!,0,0,COUNTA(#REF!)-2,1),NA())</definedName>
    <definedName name="Valores83" localSheetId="1">IF(OFFSET('[29]168 - Tabela 83'!$D$9,0,0,COUNTA('[29]168 - Tabela 83'!$E:$E)-2,1)=LOOKUP(2,1/ISNUMBER('[29]168 - Tabela 83'!$D:$D),'[29]168 - Tabela 83'!$D:$D),OFFSET('[29]168 - Tabela 83'!$E$9,0,0,COUNTA('[29]168 - Tabela 83'!$E:$E)-2,1),NA())</definedName>
    <definedName name="Valores83" localSheetId="9">IF(OFFSET(#REF!,0,0,COUNTA(#REF!)-2,1)=LOOKUP(2,1/ISNUMBER(#REF!),#REF!),OFFSET(#REF!,0,0,COUNTA(#REF!)-2,1),NA())</definedName>
    <definedName name="Valores83" localSheetId="5">IF(OFFSET('[29]168 - Tabela 83'!$D$9,0,0,COUNTA('[29]168 - Tabela 83'!$E:$E)-2,1)=LOOKUP(2,1/ISNUMBER('[29]168 - Tabela 83'!$D:$D),'[29]168 - Tabela 83'!$D:$D),OFFSET('[29]168 - Tabela 83'!$E$9,0,0,COUNTA('[29]168 - Tabela 83'!$E:$E)-2,1),NA())</definedName>
    <definedName name="Valores83" localSheetId="4">IF(OFFSET(#REF!,0,0,COUNTA(#REF!)-2,1)=LOOKUP(2,1/ISNUMBER(#REF!),#REF!),OFFSET(#REF!,0,0,COUNTA(#REF!)-2,1),NA())</definedName>
    <definedName name="Valores83">IF(OFFSET(#REF!,0,0,COUNTA(#REF!)-2,1)=LOOKUP(2,1/ISNUMBER(#REF!),#REF!),OFFSET(#REF!,0,0,COUNTA(#REF!)-2,1),NA())</definedName>
    <definedName name="Valores84" localSheetId="3">IF(OFFSET(#REF!,0,0,COUNTA(#REF!)-1,1)=LOOKUP(2,1/ISNUMBER(#REF!),#REF!),OFFSET(#REF!,0,0,COUNTA(#REF!)-1,1),NA())</definedName>
    <definedName name="Valores84" localSheetId="1">IF(OFFSET('[29]170 - Tabela 84'!$D$9,0,0,COUNTA('[29]170 - Tabela 84'!$E:$E)-1,1)=LOOKUP(2,1/ISNUMBER('[29]170 - Tabela 84'!$D:$D),'[29]170 - Tabela 84'!$D:$D),OFFSET('[29]170 - Tabela 84'!$E$9,0,0,COUNTA('[29]170 - Tabela 84'!$E:$E)-1,1),NA())</definedName>
    <definedName name="Valores84" localSheetId="9">IF(OFFSET(#REF!,0,0,COUNTA(#REF!)-1,1)=LOOKUP(2,1/ISNUMBER(#REF!),#REF!),OFFSET(#REF!,0,0,COUNTA(#REF!)-1,1),NA())</definedName>
    <definedName name="Valores84" localSheetId="5">IF(OFFSET('[29]170 - Tabela 84'!$D$9,0,0,COUNTA('[29]170 - Tabela 84'!$E:$E)-1,1)=LOOKUP(2,1/ISNUMBER('[29]170 - Tabela 84'!$D:$D),'[29]170 - Tabela 84'!$D:$D),OFFSET('[29]170 - Tabela 84'!$E$9,0,0,COUNTA('[29]170 - Tabela 84'!$E:$E)-1,1),NA())</definedName>
    <definedName name="Valores84" localSheetId="4">IF(OFFSET(#REF!,0,0,COUNTA(#REF!)-1,1)=LOOKUP(2,1/ISNUMBER(#REF!),#REF!),OFFSET(#REF!,0,0,COUNTA(#REF!)-1,1),NA())</definedName>
    <definedName name="Valores84">IF(OFFSET(#REF!,0,0,COUNTA(#REF!)-1,1)=LOOKUP(2,1/ISNUMBER(#REF!),#REF!),OFFSET(#REF!,0,0,COUNTA(#REF!)-1,1),NA())</definedName>
    <definedName name="Valores85" localSheetId="3">IF(OFFSET(#REF!,0,0,COUNTA(#REF!)-2,1)=LOOKUP(2,1/ISNUMBER(#REF!),#REF!),OFFSET(#REF!,0,0,COUNTA(#REF!)-2,1),NA())</definedName>
    <definedName name="Valores85" localSheetId="1">IF(OFFSET('[29]172 - Tabela 85'!$D$9,0,0,COUNTA('[29]172 - Tabela 85'!$E:$E)-2,1)=LOOKUP(2,1/ISNUMBER('[29]172 - Tabela 85'!$D:$D),'[29]172 - Tabela 85'!$D:$D),OFFSET('[29]172 - Tabela 85'!$E$9,0,0,COUNTA('[29]172 - Tabela 85'!$E:$E)-2,1),NA())</definedName>
    <definedName name="Valores85" localSheetId="9">IF(OFFSET(#REF!,0,0,COUNTA(#REF!)-2,1)=LOOKUP(2,1/ISNUMBER(#REF!),#REF!),OFFSET(#REF!,0,0,COUNTA(#REF!)-2,1),NA())</definedName>
    <definedName name="Valores85" localSheetId="5">IF(OFFSET('[29]172 - Tabela 85'!$D$9,0,0,COUNTA('[29]172 - Tabela 85'!$E:$E)-2,1)=LOOKUP(2,1/ISNUMBER('[29]172 - Tabela 85'!$D:$D),'[29]172 - Tabela 85'!$D:$D),OFFSET('[29]172 - Tabela 85'!$E$9,0,0,COUNTA('[29]172 - Tabela 85'!$E:$E)-2,1),NA())</definedName>
    <definedName name="Valores85" localSheetId="4">IF(OFFSET(#REF!,0,0,COUNTA(#REF!)-2,1)=LOOKUP(2,1/ISNUMBER(#REF!),#REF!),OFFSET(#REF!,0,0,COUNTA(#REF!)-2,1),NA())</definedName>
    <definedName name="Valores85">IF(OFFSET(#REF!,0,0,COUNTA(#REF!)-2,1)=LOOKUP(2,1/ISNUMBER(#REF!),#REF!),OFFSET(#REF!,0,0,COUNTA(#REF!)-2,1),NA())</definedName>
    <definedName name="Valores86" localSheetId="3">IF(OFFSET(#REF!,0,0,COUNTA(#REF!)-1,1)=LOOKUP(2,1/ISNUMBER(#REF!),#REF!),OFFSET(#REF!,0,0,COUNTA(#REF!)-1,1),NA())</definedName>
    <definedName name="Valores86" localSheetId="1">IF(OFFSET('[29]174 - Tabela 86'!$D$9,0,0,COUNTA('[29]174 - Tabela 86'!$E:$E)-1,1)=LOOKUP(2,1/ISNUMBER('[29]174 - Tabela 86'!$D:$D),'[29]174 - Tabela 86'!$D:$D),OFFSET('[29]174 - Tabela 86'!$E$9,0,0,COUNTA('[29]174 - Tabela 86'!$E:$E)-1,1),NA())</definedName>
    <definedName name="Valores86" localSheetId="9">IF(OFFSET(#REF!,0,0,COUNTA(#REF!)-1,1)=LOOKUP(2,1/ISNUMBER(#REF!),#REF!),OFFSET(#REF!,0,0,COUNTA(#REF!)-1,1),NA())</definedName>
    <definedName name="Valores86" localSheetId="5">IF(OFFSET('[29]174 - Tabela 86'!$D$9,0,0,COUNTA('[29]174 - Tabela 86'!$E:$E)-1,1)=LOOKUP(2,1/ISNUMBER('[29]174 - Tabela 86'!$D:$D),'[29]174 - Tabela 86'!$D:$D),OFFSET('[29]174 - Tabela 86'!$E$9,0,0,COUNTA('[29]174 - Tabela 86'!$E:$E)-1,1),NA())</definedName>
    <definedName name="Valores86" localSheetId="4">IF(OFFSET(#REF!,0,0,COUNTA(#REF!)-1,1)=LOOKUP(2,1/ISNUMBER(#REF!),#REF!),OFFSET(#REF!,0,0,COUNTA(#REF!)-1,1),NA())</definedName>
    <definedName name="Valores86">IF(OFFSET(#REF!,0,0,COUNTA(#REF!)-1,1)=LOOKUP(2,1/ISNUMBER(#REF!),#REF!),OFFSET(#REF!,0,0,COUNTA(#REF!)-1,1),NA())</definedName>
    <definedName name="Valores87" localSheetId="3">IF(OFFSET(#REF!,0,0,COUNTA(#REF!)-1,1)=LOOKUP(2,1/ISNUMBER(#REF!),#REF!),OFFSET(#REF!,0,0,COUNTA(#REF!)-1,1),NA())</definedName>
    <definedName name="Valores87" localSheetId="1">IF(OFFSET('[29]176 - Tabela 87'!$D$9,0,0,COUNTA('[29]176 - Tabela 87'!$E:$E)-1,1)=LOOKUP(2,1/ISNUMBER('[29]176 - Tabela 87'!$D:$D),'[29]176 - Tabela 87'!$D:$D),OFFSET('[29]176 - Tabela 87'!$E$9,0,0,COUNTA('[29]176 - Tabela 87'!$E:$E)-1,1),NA())</definedName>
    <definedName name="Valores87" localSheetId="9">IF(OFFSET(#REF!,0,0,COUNTA(#REF!)-1,1)=LOOKUP(2,1/ISNUMBER(#REF!),#REF!),OFFSET(#REF!,0,0,COUNTA(#REF!)-1,1),NA())</definedName>
    <definedName name="Valores87" localSheetId="5">IF(OFFSET('[29]176 - Tabela 87'!$D$9,0,0,COUNTA('[29]176 - Tabela 87'!$E:$E)-1,1)=LOOKUP(2,1/ISNUMBER('[29]176 - Tabela 87'!$D:$D),'[29]176 - Tabela 87'!$D:$D),OFFSET('[29]176 - Tabela 87'!$E$9,0,0,COUNTA('[29]176 - Tabela 87'!$E:$E)-1,1),NA())</definedName>
    <definedName name="Valores87" localSheetId="4">IF(OFFSET(#REF!,0,0,COUNTA(#REF!)-1,1)=LOOKUP(2,1/ISNUMBER(#REF!),#REF!),OFFSET(#REF!,0,0,COUNTA(#REF!)-1,1),NA())</definedName>
    <definedName name="Valores87">IF(OFFSET(#REF!,0,0,COUNTA(#REF!)-1,1)=LOOKUP(2,1/ISNUMBER(#REF!),#REF!),OFFSET(#REF!,0,0,COUNTA(#REF!)-1,1),NA())</definedName>
    <definedName name="Valores88" localSheetId="3">IF(OFFSET(#REF!,0,0,COUNTA(#REF!)-2,1)=LOOKUP(2,1/ISNUMBER(#REF!),#REF!),OFFSET(#REF!,0,0,COUNTA(#REF!)-2,1),NA())</definedName>
    <definedName name="Valores88" localSheetId="1">IF(OFFSET('[29]178 - Tabela 88'!$D$9,0,0,COUNTA('[29]178 - Tabela 88'!$E:$E)-2,1)=LOOKUP(2,1/ISNUMBER('[29]178 - Tabela 88'!$D:$D),'[29]178 - Tabela 88'!$D:$D),OFFSET('[29]178 - Tabela 88'!$E$9,0,0,COUNTA('[29]178 - Tabela 88'!$E:$E)-2,1),NA())</definedName>
    <definedName name="Valores88" localSheetId="9">IF(OFFSET(#REF!,0,0,COUNTA(#REF!)-2,1)=LOOKUP(2,1/ISNUMBER(#REF!),#REF!),OFFSET(#REF!,0,0,COUNTA(#REF!)-2,1),NA())</definedName>
    <definedName name="Valores88" localSheetId="5">IF(OFFSET('[29]178 - Tabela 88'!$D$9,0,0,COUNTA('[29]178 - Tabela 88'!$E:$E)-2,1)=LOOKUP(2,1/ISNUMBER('[29]178 - Tabela 88'!$D:$D),'[29]178 - Tabela 88'!$D:$D),OFFSET('[29]178 - Tabela 88'!$E$9,0,0,COUNTA('[29]178 - Tabela 88'!$E:$E)-2,1),NA())</definedName>
    <definedName name="Valores88" localSheetId="4">IF(OFFSET(#REF!,0,0,COUNTA(#REF!)-2,1)=LOOKUP(2,1/ISNUMBER(#REF!),#REF!),OFFSET(#REF!,0,0,COUNTA(#REF!)-2,1),NA())</definedName>
    <definedName name="Valores88">IF(OFFSET(#REF!,0,0,COUNTA(#REF!)-2,1)=LOOKUP(2,1/ISNUMBER(#REF!),#REF!),OFFSET(#REF!,0,0,COUNTA(#REF!)-2,1),NA())</definedName>
    <definedName name="Valores89" localSheetId="3">IF(OFFSET(#REF!,0,0,COUNTA(#REF!)-2,1)=LOOKUP(2,1/ISNUMBER(#REF!),#REF!),OFFSET(#REF!,0,0,COUNTA(#REF!)-2,1),NA())</definedName>
    <definedName name="Valores89" localSheetId="1">IF(OFFSET('[29]180 - Tabela 89'!$D$9,0,0,COUNTA('[29]180 - Tabela 89'!$E:$E)-2,1)=LOOKUP(2,1/ISNUMBER('[29]180 - Tabela 89'!$D:$D),'[29]180 - Tabela 89'!$D:$D),OFFSET('[29]180 - Tabela 89'!$E$9,0,0,COUNTA('[29]180 - Tabela 89'!$E:$E)-2,1),NA())</definedName>
    <definedName name="Valores89" localSheetId="9">IF(OFFSET(#REF!,0,0,COUNTA(#REF!)-2,1)=LOOKUP(2,1/ISNUMBER(#REF!),#REF!),OFFSET(#REF!,0,0,COUNTA(#REF!)-2,1),NA())</definedName>
    <definedName name="Valores89" localSheetId="5">IF(OFFSET('[29]180 - Tabela 89'!$D$9,0,0,COUNTA('[29]180 - Tabela 89'!$E:$E)-2,1)=LOOKUP(2,1/ISNUMBER('[29]180 - Tabela 89'!$D:$D),'[29]180 - Tabela 89'!$D:$D),OFFSET('[29]180 - Tabela 89'!$E$9,0,0,COUNTA('[29]180 - Tabela 89'!$E:$E)-2,1),NA())</definedName>
    <definedName name="Valores89" localSheetId="4">IF(OFFSET(#REF!,0,0,COUNTA(#REF!)-2,1)=LOOKUP(2,1/ISNUMBER(#REF!),#REF!),OFFSET(#REF!,0,0,COUNTA(#REF!)-2,1),NA())</definedName>
    <definedName name="Valores89">IF(OFFSET(#REF!,0,0,COUNTA(#REF!)-2,1)=LOOKUP(2,1/ISNUMBER(#REF!),#REF!),OFFSET(#REF!,0,0,COUNTA(#REF!)-2,1),NA())</definedName>
    <definedName name="Valores9" localSheetId="3">IF(OFFSET(#REF!,0,0,COUNTA(#REF!)-2,1)=LOOKUP(2,1/ISNUMBER(#REF!),#REF!),OFFSET(#REF!,0,0,COUNTA(#REF!)-2,1),NA())</definedName>
    <definedName name="Valores9" localSheetId="1">IF(OFFSET('[29]20 - Tabela 9'!$D$9,0,0,COUNTA('[29]20 - Tabela 9'!$E:$E)-2,1)=LOOKUP(2,1/ISNUMBER('[29]20 - Tabela 9'!$D:$D),'[29]20 - Tabela 9'!$D:$D),OFFSET('[29]20 - Tabela 9'!$E$9,0,0,COUNTA('[29]20 - Tabela 9'!$E:$E)-2,1),NA())</definedName>
    <definedName name="Valores9" localSheetId="9">IF(OFFSET(#REF!,0,0,COUNTA(#REF!)-2,1)=LOOKUP(2,1/ISNUMBER(#REF!),#REF!),OFFSET(#REF!,0,0,COUNTA(#REF!)-2,1),NA())</definedName>
    <definedName name="Valores9" localSheetId="5">IF(OFFSET('[29]20 - Tabela 9'!$D$9,0,0,COUNTA('[29]20 - Tabela 9'!$E:$E)-2,1)=LOOKUP(2,1/ISNUMBER('[29]20 - Tabela 9'!$D:$D),'[29]20 - Tabela 9'!$D:$D),OFFSET('[29]20 - Tabela 9'!$E$9,0,0,COUNTA('[29]20 - Tabela 9'!$E:$E)-2,1),NA())</definedName>
    <definedName name="Valores9" localSheetId="4">IF(OFFSET(#REF!,0,0,COUNTA(#REF!)-2,1)=LOOKUP(2,1/ISNUMBER(#REF!),#REF!),OFFSET(#REF!,0,0,COUNTA(#REF!)-2,1),NA())</definedName>
    <definedName name="Valores9">IF(OFFSET(#REF!,0,0,COUNTA(#REF!)-2,1)=LOOKUP(2,1/ISNUMBER(#REF!),#REF!),OFFSET(#REF!,0,0,COUNTA(#REF!)-2,1),NA())</definedName>
    <definedName name="Valores90" localSheetId="3">IF(OFFSET(#REF!,0,0,COUNTA(#REF!)-2,1)=LOOKUP(2,1/ISNUMBER(#REF!),#REF!),OFFSET(#REF!,0,0,COUNTA(#REF!)-2,1),NA())</definedName>
    <definedName name="Valores90" localSheetId="1">IF(OFFSET('[29]182 - Tabela 90'!$D$9,0,0,COUNTA('[29]182 - Tabela 90'!$E:$E)-2,1)=LOOKUP(2,1/ISNUMBER('[29]182 - Tabela 90'!$D:$D),'[29]182 - Tabela 90'!$D:$D),OFFSET('[29]182 - Tabela 90'!$E$9,0,0,COUNTA('[29]182 - Tabela 90'!$E:$E)-2,1),NA())</definedName>
    <definedName name="Valores90" localSheetId="9">IF(OFFSET(#REF!,0,0,COUNTA(#REF!)-2,1)=LOOKUP(2,1/ISNUMBER(#REF!),#REF!),OFFSET(#REF!,0,0,COUNTA(#REF!)-2,1),NA())</definedName>
    <definedName name="Valores90" localSheetId="5">IF(OFFSET('[29]182 - Tabela 90'!$D$9,0,0,COUNTA('[29]182 - Tabela 90'!$E:$E)-2,1)=LOOKUP(2,1/ISNUMBER('[29]182 - Tabela 90'!$D:$D),'[29]182 - Tabela 90'!$D:$D),OFFSET('[29]182 - Tabela 90'!$E$9,0,0,COUNTA('[29]182 - Tabela 90'!$E:$E)-2,1),NA())</definedName>
    <definedName name="Valores90" localSheetId="4">IF(OFFSET(#REF!,0,0,COUNTA(#REF!)-2,1)=LOOKUP(2,1/ISNUMBER(#REF!),#REF!),OFFSET(#REF!,0,0,COUNTA(#REF!)-2,1),NA())</definedName>
    <definedName name="Valores90">IF(OFFSET(#REF!,0,0,COUNTA(#REF!)-2,1)=LOOKUP(2,1/ISNUMBER(#REF!),#REF!),OFFSET(#REF!,0,0,COUNTA(#REF!)-2,1),NA())</definedName>
    <definedName name="Valores91" localSheetId="3">IF(OFFSET(#REF!,0,0,COUNTA(#REF!)-2,1)=LOOKUP(2,1/ISNUMBER(#REF!),#REF!),OFFSET(#REF!,0,0,COUNTA(#REF!)-2,1),NA())</definedName>
    <definedName name="Valores91" localSheetId="1">IF(OFFSET('[29]184 - Tabela 91'!$D$9,0,0,COUNTA('[29]184 - Tabela 91'!$E:$E)-2,1)=LOOKUP(2,1/ISNUMBER('[29]184 - Tabela 91'!$D:$D),'[29]184 - Tabela 91'!$D:$D),OFFSET('[29]184 - Tabela 91'!$E$9,0,0,COUNTA('[29]184 - Tabela 91'!$E:$E)-2,1),NA())</definedName>
    <definedName name="Valores91" localSheetId="9">IF(OFFSET(#REF!,0,0,COUNTA(#REF!)-2,1)=LOOKUP(2,1/ISNUMBER(#REF!),#REF!),OFFSET(#REF!,0,0,COUNTA(#REF!)-2,1),NA())</definedName>
    <definedName name="Valores91" localSheetId="5">IF(OFFSET('[29]184 - Tabela 91'!$D$9,0,0,COUNTA('[29]184 - Tabela 91'!$E:$E)-2,1)=LOOKUP(2,1/ISNUMBER('[29]184 - Tabela 91'!$D:$D),'[29]184 - Tabela 91'!$D:$D),OFFSET('[29]184 - Tabela 91'!$E$9,0,0,COUNTA('[29]184 - Tabela 91'!$E:$E)-2,1),NA())</definedName>
    <definedName name="Valores91" localSheetId="4">IF(OFFSET(#REF!,0,0,COUNTA(#REF!)-2,1)=LOOKUP(2,1/ISNUMBER(#REF!),#REF!),OFFSET(#REF!,0,0,COUNTA(#REF!)-2,1),NA())</definedName>
    <definedName name="Valores91">IF(OFFSET(#REF!,0,0,COUNTA(#REF!)-2,1)=LOOKUP(2,1/ISNUMBER(#REF!),#REF!),OFFSET(#REF!,0,0,COUNTA(#REF!)-2,1),NA())</definedName>
    <definedName name="Valores92" localSheetId="3">IF(OFFSET(#REF!,0,0,COUNTA(#REF!)-2,1)=LOOKUP(2,1/ISNUMBER(#REF!),#REF!),OFFSET(#REF!,0,0,COUNTA(#REF!)-2,1),NA())</definedName>
    <definedName name="Valores92" localSheetId="1">IF(OFFSET('[29]186 - Tabela 92'!$D$9,0,0,COUNTA('[29]186 - Tabela 92'!$E:$E)-2,1)=LOOKUP(2,1/ISNUMBER('[29]186 - Tabela 92'!$D:$D),'[29]186 - Tabela 92'!$D:$D),OFFSET('[29]186 - Tabela 92'!$E$9,0,0,COUNTA('[29]186 - Tabela 92'!$E:$E)-2,1),NA())</definedName>
    <definedName name="Valores92" localSheetId="9">IF(OFFSET(#REF!,0,0,COUNTA(#REF!)-2,1)=LOOKUP(2,1/ISNUMBER(#REF!),#REF!),OFFSET(#REF!,0,0,COUNTA(#REF!)-2,1),NA())</definedName>
    <definedName name="Valores92" localSheetId="5">IF(OFFSET('[29]186 - Tabela 92'!$D$9,0,0,COUNTA('[29]186 - Tabela 92'!$E:$E)-2,1)=LOOKUP(2,1/ISNUMBER('[29]186 - Tabela 92'!$D:$D),'[29]186 - Tabela 92'!$D:$D),OFFSET('[29]186 - Tabela 92'!$E$9,0,0,COUNTA('[29]186 - Tabela 92'!$E:$E)-2,1),NA())</definedName>
    <definedName name="Valores92" localSheetId="4">IF(OFFSET(#REF!,0,0,COUNTA(#REF!)-2,1)=LOOKUP(2,1/ISNUMBER(#REF!),#REF!),OFFSET(#REF!,0,0,COUNTA(#REF!)-2,1),NA())</definedName>
    <definedName name="Valores92">IF(OFFSET(#REF!,0,0,COUNTA(#REF!)-2,1)=LOOKUP(2,1/ISNUMBER(#REF!),#REF!),OFFSET(#REF!,0,0,COUNTA(#REF!)-2,1),NA())</definedName>
    <definedName name="Valores93" localSheetId="1">OFFSET('[30]188 - Tabela 93'!$E$9,0,0,COUNTA('[30]188 - Tabela 93'!$E:$E)-2,1)</definedName>
    <definedName name="Valores93" localSheetId="5">OFFSET('[30]188 - Tabela 93'!$E$9,0,0,COUNTA('[30]188 - Tabela 93'!$E:$E)-2,1)</definedName>
    <definedName name="Valores93">OFFSET('[30]188 - Tabela 93'!$E$9,0,0,COUNTA('[30]188 - Tabela 93'!$E:$E)-2,1)</definedName>
    <definedName name="Valores94" localSheetId="1">OFFSET('[30]190 - Tabela 94'!$E$9,0,0,COUNTA('[30]190 - Tabela 94'!$E:$E)-2,1)</definedName>
    <definedName name="Valores94" localSheetId="5">OFFSET('[30]190 - Tabela 94'!$E$9,0,0,COUNTA('[30]190 - Tabela 94'!$E:$E)-2,1)</definedName>
    <definedName name="Valores94">OFFSET('[30]190 - Tabela 94'!$E$9,0,0,COUNTA('[30]190 - Tabela 94'!$E:$E)-2,1)</definedName>
    <definedName name="Valores95" localSheetId="1">OFFSET('[30]192 - Tabela 95'!$E$9,0,0,COUNTA('[30]192 - Tabela 95'!$E:$E)-2,1)</definedName>
    <definedName name="Valores95" localSheetId="5">OFFSET('[30]192 - Tabela 95'!$E$9,0,0,COUNTA('[30]192 - Tabela 95'!$E:$E)-2,1)</definedName>
    <definedName name="Valores95">OFFSET('[30]192 - Tabela 95'!$E$9,0,0,COUNTA('[30]192 - Tabela 95'!$E:$E)-2,1)</definedName>
    <definedName name="Valores96" localSheetId="1">OFFSET('[30]194 - Tabela 96'!$E$9,0,0,COUNTA('[30]194 - Tabela 96'!$E:$E)-2,1)</definedName>
    <definedName name="Valores96" localSheetId="5">OFFSET('[30]194 - Tabela 96'!$E$9,0,0,COUNTA('[30]194 - Tabela 96'!$E:$E)-2,1)</definedName>
    <definedName name="Valores96">OFFSET('[30]194 - Tabela 96'!$E$9,0,0,COUNTA('[30]194 - Tabela 96'!$E:$E)-2,1)</definedName>
    <definedName name="Valores97" localSheetId="1">OFFSET('[30]196 - Tabela 97'!$E$9,0,0,COUNTA('[30]196 - Tabela 97'!$E:$E)-2,1)</definedName>
    <definedName name="Valores97" localSheetId="5">OFFSET('[30]196 - Tabela 97'!$E$9,0,0,COUNTA('[30]196 - Tabela 97'!$E:$E)-2,1)</definedName>
    <definedName name="Valores97">OFFSET('[30]196 - Tabela 97'!$E$9,0,0,COUNTA('[30]196 - Tabela 97'!$E:$E)-2,1)</definedName>
    <definedName name="Valores98" localSheetId="1">OFFSET('[30]198 - Tabela 98'!$E$9,0,0,COUNTA('[30]198 - Tabela 98'!$E:$E)-2,1)</definedName>
    <definedName name="Valores98" localSheetId="5">OFFSET('[30]198 - Tabela 98'!$E$9,0,0,COUNTA('[30]198 - Tabela 98'!$E:$E)-2,1)</definedName>
    <definedName name="Valores98">OFFSET('[30]198 - Tabela 98'!$E$9,0,0,COUNTA('[30]198 - Tabela 98'!$E:$E)-2,1)</definedName>
    <definedName name="Valores99" localSheetId="1">OFFSET('[30]200 - Tabela 99'!$E$9,0,0,COUNTA('[30]200 - Tabela 99'!$E:$E)-2,1)</definedName>
    <definedName name="Valores99" localSheetId="5">OFFSET('[30]200 - Tabela 99'!$E$9,0,0,COUNTA('[30]200 - Tabela 99'!$E:$E)-2,1)</definedName>
    <definedName name="Valores99">OFFSET('[30]200 - Tabela 99'!$E$9,0,0,COUNTA('[30]200 - Tabela 99'!$E:$E)-2,1)</definedName>
    <definedName name="Var_Nominal" localSheetId="3">#REF!</definedName>
    <definedName name="Var_Nominal" localSheetId="1">#REF!</definedName>
    <definedName name="Var_Nominal" localSheetId="9">#REF!</definedName>
    <definedName name="Var_Nominal" localSheetId="5">#REF!</definedName>
    <definedName name="Var_Nominal" localSheetId="4">#REF!</definedName>
    <definedName name="Var_Nominal">#REF!</definedName>
    <definedName name="VarNoAno">[32]Crescimento!$A$4:$FA$33</definedName>
    <definedName name="VerticalCond" localSheetId="3">#REF!</definedName>
    <definedName name="VerticalCond" localSheetId="1">#REF!</definedName>
    <definedName name="VerticalCond" localSheetId="9">#REF!</definedName>
    <definedName name="VerticalCond" localSheetId="5">#REF!</definedName>
    <definedName name="VerticalCond" localSheetId="4">#REF!</definedName>
    <definedName name="VerticalCond">#REF!</definedName>
    <definedName name="victims">[11]Crime!$I$25</definedName>
    <definedName name="viés___Utilização_da_faculdade_para_alterar_a_meta_para_a_Taxa_SELIC_entre_reuniões_do_COPOM." localSheetId="3">#REF!</definedName>
    <definedName name="viés___Utilização_da_faculdade_para_alterar_a_meta_para_a_Taxa_SELIC_entre_reuniões_do_COPOM." localSheetId="1">#REF!</definedName>
    <definedName name="viés___Utilização_da_faculdade_para_alterar_a_meta_para_a_Taxa_SELIC_entre_reuniões_do_COPOM." localSheetId="9">#REF!</definedName>
    <definedName name="viés___Utilização_da_faculdade_para_alterar_a_meta_para_a_Taxa_SELIC_entre_reuniões_do_COPOM." localSheetId="5">#REF!</definedName>
    <definedName name="viés___Utilização_da_faculdade_para_alterar_a_meta_para_a_Taxa_SELIC_entre_reuniões_do_COPOM." localSheetId="4">#REF!</definedName>
    <definedName name="viés___Utilização_da_faculdade_para_alterar_a_meta_para_a_Taxa_SELIC_entre_reuniões_do_COPOM.">#REF!</definedName>
    <definedName name="VoltarAgro" localSheetId="3">[33]!VoltarAgro</definedName>
    <definedName name="VoltarAgro" localSheetId="1">[33]!VoltarAgro</definedName>
    <definedName name="VoltarAgro" localSheetId="5">[33]!VoltarAgro</definedName>
    <definedName name="VoltarAgro" localSheetId="4">[33]!VoltarAgro</definedName>
    <definedName name="VoltarAgro">[33]!VoltarAgro</definedName>
    <definedName name="VoltarTransf" localSheetId="3">[33]!VoltarTransf</definedName>
    <definedName name="VoltarTransf" localSheetId="1">[33]!VoltarTransf</definedName>
    <definedName name="VoltarTransf" localSheetId="5">[33]!VoltarTransf</definedName>
    <definedName name="VoltarTransf" localSheetId="4">[33]!VoltarTransf</definedName>
    <definedName name="VoltarTransf">[33]!VoltarTransf</definedName>
    <definedName name="VOTOS" localSheetId="3">#REF!</definedName>
    <definedName name="VOTOS" localSheetId="1">#REF!</definedName>
    <definedName name="VOTOS" localSheetId="9">#REF!</definedName>
    <definedName name="VOTOS" localSheetId="5">#REF!</definedName>
    <definedName name="VOTOS" localSheetId="4">#REF!</definedName>
    <definedName name="VOTOS">#REF!</definedName>
    <definedName name="VP" localSheetId="3">#REF!</definedName>
    <definedName name="VP" localSheetId="1">#REF!</definedName>
    <definedName name="VP" localSheetId="5">#REF!</definedName>
    <definedName name="VP">#REF!</definedName>
    <definedName name="wrn.DIESP." localSheetId="3" hidden="1">{#N/A,#N/A,FALSE,"DIESP"}</definedName>
    <definedName name="wrn.DIESP." localSheetId="1" hidden="1">{#N/A,#N/A,FALSE,"DIESP"}</definedName>
    <definedName name="wrn.DIESP." localSheetId="9" hidden="1">{#N/A,#N/A,FALSE,"DIESP"}</definedName>
    <definedName name="wrn.DIESP." localSheetId="5" hidden="1">{#N/A,#N/A,FALSE,"DIESP"}</definedName>
    <definedName name="wrn.DIESP." localSheetId="4" hidden="1">{#N/A,#N/A,FALSE,"DIESP"}</definedName>
    <definedName name="wrn.DIESP." hidden="1">{#N/A,#N/A,FALSE,"DIESP"}</definedName>
    <definedName name="wrn.DIVIG." localSheetId="3" hidden="1">{#N/A,#N/A,FALSE,"DIVIG"}</definedName>
    <definedName name="wrn.DIVIG." localSheetId="1" hidden="1">{#N/A,#N/A,FALSE,"DIVIG"}</definedName>
    <definedName name="wrn.DIVIG." localSheetId="9" hidden="1">{#N/A,#N/A,FALSE,"DIVIG"}</definedName>
    <definedName name="wrn.DIVIG." localSheetId="5" hidden="1">{#N/A,#N/A,FALSE,"DIVIG"}</definedName>
    <definedName name="wrn.DIVIG." localSheetId="4" hidden="1">{#N/A,#N/A,FALSE,"DIVIG"}</definedName>
    <definedName name="wrn.DIVIG." hidden="1">{#N/A,#N/A,FALSE,"DIVIG"}</definedName>
    <definedName name="wrn.IAA." localSheetId="3" hidden="1">{#N/A,#N/A,FALSE,"IAA - Controlados pelo BB"}</definedName>
    <definedName name="wrn.IAA." localSheetId="1" hidden="1">{#N/A,#N/A,FALSE,"IAA - Controlados pelo BB"}</definedName>
    <definedName name="wrn.IAA." localSheetId="9" hidden="1">{#N/A,#N/A,FALSE,"IAA - Controlados pelo BB"}</definedName>
    <definedName name="wrn.IAA." localSheetId="5" hidden="1">{#N/A,#N/A,FALSE,"IAA - Controlados pelo BB"}</definedName>
    <definedName name="wrn.IAA." localSheetId="4" hidden="1">{#N/A,#N/A,FALSE,"IAA - Controlados pelo BB"}</definedName>
    <definedName name="wrn.IAA." hidden="1">{#N/A,#N/A,FALSE,"IAA - Controlados pelo BB"}</definedName>
    <definedName name="wrn.TOTAL." localSheetId="3" hidden="1">{#N/A,#N/A,FALSE,"TOTALIZAÇÃO POR EMPRESA"}</definedName>
    <definedName name="wrn.TOTAL." localSheetId="1" hidden="1">{#N/A,#N/A,FALSE,"TOTALIZAÇÃO POR EMPRESA"}</definedName>
    <definedName name="wrn.TOTAL." localSheetId="9" hidden="1">{#N/A,#N/A,FALSE,"TOTALIZAÇÃO POR EMPRESA"}</definedName>
    <definedName name="wrn.TOTAL." localSheetId="5" hidden="1">{#N/A,#N/A,FALSE,"TOTALIZAÇÃO POR EMPRESA"}</definedName>
    <definedName name="wrn.TOTAL." localSheetId="4" hidden="1">{#N/A,#N/A,FALSE,"TOTALIZAÇÃO POR EMPRESA"}</definedName>
    <definedName name="wrn.TOTAL." hidden="1">{#N/A,#N/A,FALSE,"TOTALIZAÇÃO POR EMPRESA"}</definedName>
    <definedName name="X" localSheetId="3">#REF!</definedName>
    <definedName name="X" localSheetId="1">#REF!</definedName>
    <definedName name="X" localSheetId="5">#REF!</definedName>
    <definedName name="X" localSheetId="4">#REF!</definedName>
    <definedName name="X">#REF!</definedName>
    <definedName name="xx" localSheetId="3">#REF!</definedName>
    <definedName name="xx" localSheetId="1">#REF!</definedName>
    <definedName name="xx" localSheetId="5">#REF!</definedName>
    <definedName name="xx">#REF!</definedName>
    <definedName name="XXXXXX" localSheetId="1" hidden="1">[12]EVAREBR!#REF!</definedName>
    <definedName name="XXXXXX" localSheetId="5" hidden="1">[12]EVAREBR!#REF!</definedName>
    <definedName name="XXXXXX" hidden="1">[12]EVAREBR!#REF!</definedName>
    <definedName name="zfgbvb" localSheetId="1">[1]PYRAMID!#REF!</definedName>
    <definedName name="zfgbvb" localSheetId="5">[1]PYRAMID!#REF!</definedName>
    <definedName name="zfgbvb">[1]PYRAMID!#REF!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R6" i="278" l="1"/>
  <c r="FQ16" i="278"/>
  <c r="D160" i="299"/>
  <c r="D161" i="299"/>
  <c r="D162" i="299"/>
  <c r="D163" i="299"/>
  <c r="D164" i="299"/>
  <c r="D165" i="299"/>
  <c r="D166" i="299"/>
  <c r="D167" i="299"/>
  <c r="D168" i="299"/>
  <c r="D169" i="299"/>
  <c r="K172" i="297"/>
  <c r="J172" i="297"/>
  <c r="FN44" i="278"/>
  <c r="FN41" i="278"/>
  <c r="FN40" i="278" s="1"/>
  <c r="FN42" i="278"/>
  <c r="FM40" i="278"/>
  <c r="FN36" i="278"/>
  <c r="FN37" i="278"/>
  <c r="FN35" i="278"/>
  <c r="FZ31" i="278"/>
  <c r="FZ32" i="278"/>
  <c r="FN22" i="278"/>
  <c r="FN24" i="278"/>
  <c r="FN25" i="278"/>
  <c r="FN26" i="278"/>
  <c r="FN27" i="278"/>
  <c r="FQ7" i="278"/>
  <c r="FQ8" i="278"/>
  <c r="FQ9" i="278"/>
  <c r="FQ10" i="278"/>
  <c r="FQ11" i="278"/>
  <c r="FQ12" i="278"/>
  <c r="FQ13" i="278"/>
  <c r="FQ14" i="278"/>
  <c r="FQ6" i="278"/>
  <c r="FO6" i="278"/>
  <c r="FO7" i="278"/>
  <c r="FO8" i="278"/>
  <c r="FO9" i="278"/>
  <c r="FO10" i="278"/>
  <c r="FO11" i="278"/>
  <c r="FO12" i="278"/>
  <c r="FO13" i="278"/>
  <c r="FO14" i="278"/>
  <c r="FO15" i="278"/>
  <c r="FO16" i="278"/>
  <c r="FO17" i="278"/>
  <c r="FO18" i="278"/>
  <c r="FO19" i="278"/>
  <c r="FO5" i="278"/>
  <c r="FN20" i="278"/>
  <c r="FN5" i="278"/>
  <c r="FN14" i="278"/>
  <c r="FN6" i="278"/>
  <c r="F189" i="290"/>
  <c r="F188" i="290"/>
  <c r="N172" i="290"/>
  <c r="M172" i="290"/>
  <c r="G172" i="290"/>
  <c r="E172" i="290"/>
  <c r="F172" i="290"/>
  <c r="N170" i="291"/>
  <c r="M170" i="291"/>
  <c r="L170" i="291"/>
  <c r="G172" i="291"/>
  <c r="F172" i="291"/>
  <c r="E172" i="291"/>
  <c r="D172" i="291"/>
  <c r="C172" i="291"/>
  <c r="K170" i="291"/>
  <c r="I170" i="291"/>
  <c r="J170" i="291"/>
  <c r="FM35" i="278"/>
  <c r="FM5" i="278"/>
  <c r="C175" i="291"/>
  <c r="K169" i="297"/>
  <c r="K170" i="297"/>
  <c r="K171" i="297"/>
  <c r="K168" i="297"/>
  <c r="K167" i="297"/>
  <c r="J171" i="297"/>
  <c r="J170" i="297"/>
  <c r="J169" i="297"/>
  <c r="J168" i="297"/>
  <c r="J167" i="297"/>
  <c r="FM48" i="278"/>
  <c r="FM49" i="278"/>
  <c r="FM50" i="278"/>
  <c r="FM44" i="278"/>
  <c r="FM42" i="278"/>
  <c r="FM41" i="278"/>
  <c r="FM37" i="278"/>
  <c r="FM36" i="278"/>
  <c r="FY32" i="278"/>
  <c r="FX32" i="278"/>
  <c r="FY31" i="278"/>
  <c r="FM24" i="278"/>
  <c r="FM22" i="278" s="1"/>
  <c r="FM25" i="278"/>
  <c r="FM26" i="278"/>
  <c r="FM27" i="278"/>
  <c r="FM6" i="278"/>
  <c r="FM14" i="278"/>
  <c r="M171" i="290"/>
  <c r="N171" i="290"/>
  <c r="E171" i="290"/>
  <c r="F171" i="290"/>
  <c r="D175" i="291"/>
  <c r="N169" i="291"/>
  <c r="M169" i="291"/>
  <c r="L169" i="291"/>
  <c r="K169" i="291"/>
  <c r="I169" i="291"/>
  <c r="J169" i="291"/>
  <c r="M170" i="290"/>
  <c r="N146" i="290"/>
  <c r="FK48" i="278"/>
  <c r="FL48" i="278"/>
  <c r="FK49" i="278"/>
  <c r="FL49" i="278"/>
  <c r="FK50" i="278"/>
  <c r="FL50" i="278"/>
  <c r="FK44" i="278"/>
  <c r="FL44" i="278"/>
  <c r="FK41" i="278"/>
  <c r="FK40" i="278" s="1"/>
  <c r="FL41" i="278"/>
  <c r="FL40" i="278" s="1"/>
  <c r="FK42" i="278"/>
  <c r="FL42" i="278"/>
  <c r="FK35" i="278"/>
  <c r="FL35" i="278"/>
  <c r="FK36" i="278"/>
  <c r="FL36" i="278"/>
  <c r="FK37" i="278"/>
  <c r="FL37" i="278"/>
  <c r="FW31" i="278"/>
  <c r="FX31" i="278"/>
  <c r="FW32" i="278"/>
  <c r="FK24" i="278"/>
  <c r="FK22" i="278" s="1"/>
  <c r="FL24" i="278"/>
  <c r="FL22" i="278" s="1"/>
  <c r="FK25" i="278"/>
  <c r="FL25" i="278"/>
  <c r="FK26" i="278"/>
  <c r="FL26" i="278"/>
  <c r="FK27" i="278"/>
  <c r="FL27" i="278"/>
  <c r="L167" i="291"/>
  <c r="M167" i="291"/>
  <c r="N167" i="291"/>
  <c r="L168" i="291"/>
  <c r="M168" i="291"/>
  <c r="N168" i="291"/>
  <c r="K167" i="291"/>
  <c r="K168" i="291"/>
  <c r="I168" i="291"/>
  <c r="J168" i="291"/>
  <c r="I167" i="291"/>
  <c r="J167" i="291"/>
  <c r="M169" i="290"/>
  <c r="N169" i="290"/>
  <c r="N170" i="290"/>
  <c r="E169" i="290"/>
  <c r="F169" i="290"/>
  <c r="E170" i="290"/>
  <c r="F170" i="290"/>
  <c r="FK14" i="278"/>
  <c r="FL14" i="278"/>
  <c r="FK6" i="278"/>
  <c r="FK5" i="278" s="1"/>
  <c r="FK20" i="278" s="1"/>
  <c r="FL6" i="278"/>
  <c r="FL5" i="278" s="1"/>
  <c r="FL20" i="278" s="1"/>
  <c r="N166" i="291"/>
  <c r="N17" i="291"/>
  <c r="N18" i="291"/>
  <c r="N19" i="291"/>
  <c r="N20" i="291"/>
  <c r="N21" i="291"/>
  <c r="N22" i="291"/>
  <c r="N23" i="291"/>
  <c r="N24" i="291"/>
  <c r="N25" i="291"/>
  <c r="N26" i="291"/>
  <c r="N27" i="291"/>
  <c r="N28" i="291"/>
  <c r="N29" i="291"/>
  <c r="N30" i="291"/>
  <c r="N31" i="291"/>
  <c r="N32" i="291"/>
  <c r="N33" i="291"/>
  <c r="N34" i="291"/>
  <c r="N35" i="291"/>
  <c r="N36" i="291"/>
  <c r="N37" i="291"/>
  <c r="N38" i="291"/>
  <c r="N39" i="291"/>
  <c r="N40" i="291"/>
  <c r="N41" i="291"/>
  <c r="N42" i="291"/>
  <c r="N43" i="291"/>
  <c r="N44" i="291"/>
  <c r="N45" i="291"/>
  <c r="N46" i="291"/>
  <c r="N47" i="291"/>
  <c r="N48" i="291"/>
  <c r="N49" i="291"/>
  <c r="N50" i="291"/>
  <c r="N51" i="291"/>
  <c r="N52" i="291"/>
  <c r="N53" i="291"/>
  <c r="N54" i="291"/>
  <c r="N55" i="291"/>
  <c r="N56" i="291"/>
  <c r="N57" i="291"/>
  <c r="N58" i="291"/>
  <c r="N59" i="291"/>
  <c r="N60" i="291"/>
  <c r="N61" i="291"/>
  <c r="N62" i="291"/>
  <c r="N63" i="291"/>
  <c r="N64" i="291"/>
  <c r="N65" i="291"/>
  <c r="N66" i="291"/>
  <c r="N67" i="291"/>
  <c r="N68" i="291"/>
  <c r="N69" i="291"/>
  <c r="N70" i="291"/>
  <c r="N71" i="291"/>
  <c r="N72" i="291"/>
  <c r="N73" i="291"/>
  <c r="N74" i="291"/>
  <c r="N75" i="291"/>
  <c r="N76" i="291"/>
  <c r="N77" i="291"/>
  <c r="N78" i="291"/>
  <c r="N79" i="291"/>
  <c r="N80" i="291"/>
  <c r="N81" i="291"/>
  <c r="N82" i="291"/>
  <c r="N83" i="291"/>
  <c r="N84" i="291"/>
  <c r="N85" i="291"/>
  <c r="N86" i="291"/>
  <c r="N87" i="291"/>
  <c r="N88" i="291"/>
  <c r="N89" i="291"/>
  <c r="N90" i="291"/>
  <c r="N91" i="291"/>
  <c r="N92" i="291"/>
  <c r="N93" i="291"/>
  <c r="N94" i="291"/>
  <c r="N95" i="291"/>
  <c r="N96" i="291"/>
  <c r="N97" i="291"/>
  <c r="N98" i="291"/>
  <c r="N99" i="291"/>
  <c r="N100" i="291"/>
  <c r="N101" i="291"/>
  <c r="N102" i="291"/>
  <c r="N103" i="291"/>
  <c r="N104" i="291"/>
  <c r="N105" i="291"/>
  <c r="N106" i="291"/>
  <c r="N107" i="291"/>
  <c r="N108" i="291"/>
  <c r="N109" i="291"/>
  <c r="N110" i="291"/>
  <c r="N111" i="291"/>
  <c r="N112" i="291"/>
  <c r="N113" i="291"/>
  <c r="N114" i="291"/>
  <c r="N115" i="291"/>
  <c r="N116" i="291"/>
  <c r="N117" i="291"/>
  <c r="N118" i="291"/>
  <c r="N119" i="291"/>
  <c r="N120" i="291"/>
  <c r="N121" i="291"/>
  <c r="N122" i="291"/>
  <c r="N123" i="291"/>
  <c r="N124" i="291"/>
  <c r="N125" i="291"/>
  <c r="N126" i="291"/>
  <c r="N127" i="291"/>
  <c r="N128" i="291"/>
  <c r="N129" i="291"/>
  <c r="N130" i="291"/>
  <c r="N131" i="291"/>
  <c r="N132" i="291"/>
  <c r="N133" i="291"/>
  <c r="N134" i="291"/>
  <c r="N135" i="291"/>
  <c r="N136" i="291"/>
  <c r="N137" i="291"/>
  <c r="N138" i="291"/>
  <c r="N139" i="291"/>
  <c r="N140" i="291"/>
  <c r="N141" i="291"/>
  <c r="N142" i="291"/>
  <c r="N143" i="291"/>
  <c r="N144" i="291"/>
  <c r="N145" i="291"/>
  <c r="N146" i="291"/>
  <c r="N147" i="291"/>
  <c r="N148" i="291"/>
  <c r="N149" i="291"/>
  <c r="N150" i="291"/>
  <c r="N151" i="291"/>
  <c r="N152" i="291"/>
  <c r="N153" i="291"/>
  <c r="N154" i="291"/>
  <c r="N155" i="291"/>
  <c r="N156" i="291"/>
  <c r="N157" i="291"/>
  <c r="N158" i="291"/>
  <c r="N159" i="291"/>
  <c r="N160" i="291"/>
  <c r="N161" i="291"/>
  <c r="N162" i="291"/>
  <c r="N163" i="291"/>
  <c r="N164" i="291"/>
  <c r="N165" i="291"/>
  <c r="M16" i="291"/>
  <c r="M17" i="291"/>
  <c r="M18" i="291"/>
  <c r="M19" i="291"/>
  <c r="M20" i="291"/>
  <c r="M21" i="291"/>
  <c r="M22" i="291"/>
  <c r="M23" i="291"/>
  <c r="M24" i="291"/>
  <c r="M25" i="291"/>
  <c r="M26" i="291"/>
  <c r="M27" i="291"/>
  <c r="M28" i="291"/>
  <c r="M29" i="291"/>
  <c r="M30" i="291"/>
  <c r="M31" i="291"/>
  <c r="M32" i="291"/>
  <c r="M33" i="291"/>
  <c r="M34" i="291"/>
  <c r="M35" i="291"/>
  <c r="M36" i="291"/>
  <c r="M37" i="291"/>
  <c r="M38" i="291"/>
  <c r="M39" i="291"/>
  <c r="M40" i="291"/>
  <c r="M41" i="291"/>
  <c r="M42" i="291"/>
  <c r="M43" i="291"/>
  <c r="M44" i="291"/>
  <c r="M45" i="291"/>
  <c r="M46" i="291"/>
  <c r="M47" i="291"/>
  <c r="M48" i="291"/>
  <c r="M49" i="291"/>
  <c r="M50" i="291"/>
  <c r="M51" i="291"/>
  <c r="M52" i="291"/>
  <c r="M53" i="291"/>
  <c r="M54" i="291"/>
  <c r="M55" i="291"/>
  <c r="M56" i="291"/>
  <c r="M57" i="291"/>
  <c r="M58" i="291"/>
  <c r="M59" i="291"/>
  <c r="M60" i="291"/>
  <c r="M61" i="291"/>
  <c r="M62" i="291"/>
  <c r="M63" i="291"/>
  <c r="M64" i="291"/>
  <c r="M65" i="291"/>
  <c r="M66" i="291"/>
  <c r="M67" i="291"/>
  <c r="M68" i="291"/>
  <c r="M69" i="291"/>
  <c r="M70" i="291"/>
  <c r="M71" i="291"/>
  <c r="M72" i="291"/>
  <c r="M73" i="291"/>
  <c r="M74" i="291"/>
  <c r="M75" i="291"/>
  <c r="M76" i="291"/>
  <c r="M77" i="291"/>
  <c r="M78" i="291"/>
  <c r="M79" i="291"/>
  <c r="M80" i="291"/>
  <c r="M81" i="291"/>
  <c r="M82" i="291"/>
  <c r="M83" i="291"/>
  <c r="M84" i="291"/>
  <c r="M85" i="291"/>
  <c r="M86" i="291"/>
  <c r="M87" i="291"/>
  <c r="M88" i="291"/>
  <c r="M89" i="291"/>
  <c r="M90" i="291"/>
  <c r="M91" i="291"/>
  <c r="M92" i="291"/>
  <c r="M93" i="291"/>
  <c r="M94" i="291"/>
  <c r="M95" i="291"/>
  <c r="M96" i="291"/>
  <c r="M97" i="291"/>
  <c r="M98" i="291"/>
  <c r="M99" i="291"/>
  <c r="M100" i="291"/>
  <c r="M101" i="291"/>
  <c r="M102" i="291"/>
  <c r="M103" i="291"/>
  <c r="M104" i="291"/>
  <c r="M105" i="291"/>
  <c r="M106" i="291"/>
  <c r="M107" i="291"/>
  <c r="M108" i="291"/>
  <c r="M109" i="291"/>
  <c r="M110" i="291"/>
  <c r="M111" i="291"/>
  <c r="M112" i="291"/>
  <c r="M113" i="291"/>
  <c r="M114" i="291"/>
  <c r="M115" i="291"/>
  <c r="M116" i="291"/>
  <c r="M117" i="291"/>
  <c r="M118" i="291"/>
  <c r="M119" i="291"/>
  <c r="M120" i="291"/>
  <c r="M121" i="291"/>
  <c r="M122" i="291"/>
  <c r="M123" i="291"/>
  <c r="M124" i="291"/>
  <c r="M125" i="291"/>
  <c r="M126" i="291"/>
  <c r="M127" i="291"/>
  <c r="M128" i="291"/>
  <c r="M129" i="291"/>
  <c r="M130" i="291"/>
  <c r="M131" i="291"/>
  <c r="M132" i="291"/>
  <c r="M133" i="291"/>
  <c r="M134" i="291"/>
  <c r="M135" i="291"/>
  <c r="M136" i="291"/>
  <c r="M137" i="291"/>
  <c r="M138" i="291"/>
  <c r="M139" i="291"/>
  <c r="M140" i="291"/>
  <c r="M141" i="291"/>
  <c r="M142" i="291"/>
  <c r="M143" i="291"/>
  <c r="M144" i="291"/>
  <c r="M145" i="291"/>
  <c r="M146" i="291"/>
  <c r="M147" i="291"/>
  <c r="M148" i="291"/>
  <c r="M149" i="291"/>
  <c r="M150" i="291"/>
  <c r="M151" i="291"/>
  <c r="M152" i="291"/>
  <c r="M153" i="291"/>
  <c r="M154" i="291"/>
  <c r="M155" i="291"/>
  <c r="M156" i="291"/>
  <c r="M157" i="291"/>
  <c r="M158" i="291"/>
  <c r="M159" i="291"/>
  <c r="M160" i="291"/>
  <c r="M161" i="291"/>
  <c r="M162" i="291"/>
  <c r="M163" i="291"/>
  <c r="M164" i="291"/>
  <c r="M165" i="291"/>
  <c r="M166" i="291"/>
  <c r="M15" i="291"/>
  <c r="I166" i="291"/>
  <c r="H172" i="291"/>
  <c r="H173" i="291"/>
  <c r="G171" i="290" l="1"/>
  <c r="FM20" i="278"/>
  <c r="FJ24" i="278"/>
  <c r="FJ25" i="278"/>
  <c r="FJ22" i="278" s="1"/>
  <c r="FJ26" i="278"/>
  <c r="FJ27" i="278"/>
  <c r="L166" i="291"/>
  <c r="FJ14" i="278"/>
  <c r="FJ6" i="278"/>
  <c r="FJ36" i="278" s="1"/>
  <c r="M168" i="290"/>
  <c r="N168" i="290"/>
  <c r="E168" i="290"/>
  <c r="F168" i="290"/>
  <c r="K166" i="291"/>
  <c r="L165" i="291"/>
  <c r="K165" i="291"/>
  <c r="I165" i="291"/>
  <c r="M167" i="290"/>
  <c r="N167" i="290"/>
  <c r="E167" i="290"/>
  <c r="F167" i="290"/>
  <c r="FI6" i="278"/>
  <c r="FI14" i="278"/>
  <c r="EW6" i="278"/>
  <c r="EW14" i="278"/>
  <c r="EW5" i="278"/>
  <c r="FI32" i="278" s="1"/>
  <c r="EB6" i="278"/>
  <c r="EB14" i="278"/>
  <c r="EA6" i="278"/>
  <c r="EA14" i="278"/>
  <c r="EC6" i="278"/>
  <c r="EC14" i="278"/>
  <c r="ED6" i="278"/>
  <c r="ED36" i="278" s="1"/>
  <c r="ED14" i="278"/>
  <c r="EE6" i="278"/>
  <c r="EE36" i="278" s="1"/>
  <c r="EE14" i="278"/>
  <c r="EF6" i="278"/>
  <c r="EF14" i="278"/>
  <c r="EG6" i="278"/>
  <c r="EG14" i="278"/>
  <c r="EH6" i="278"/>
  <c r="EH14" i="278"/>
  <c r="ET37" i="278" s="1"/>
  <c r="EH5" i="278"/>
  <c r="EI6" i="278"/>
  <c r="EI14" i="278"/>
  <c r="EJ6" i="278"/>
  <c r="EJ14" i="278"/>
  <c r="EJ5" i="278"/>
  <c r="EV32" i="278" s="1"/>
  <c r="EK6" i="278"/>
  <c r="EW36" i="278" s="1"/>
  <c r="EK14" i="278"/>
  <c r="EL6" i="278"/>
  <c r="EL5" i="278" s="1"/>
  <c r="EL14" i="278"/>
  <c r="EM6" i="278"/>
  <c r="EM14" i="278"/>
  <c r="EN6" i="278"/>
  <c r="EN14" i="278"/>
  <c r="EO6" i="278"/>
  <c r="EO14" i="278"/>
  <c r="EP6" i="278"/>
  <c r="EP14" i="278"/>
  <c r="FB37" i="278" s="1"/>
  <c r="EQ6" i="278"/>
  <c r="EQ14" i="278"/>
  <c r="ER6" i="278"/>
  <c r="ER14" i="278"/>
  <c r="ES6" i="278"/>
  <c r="ES36" i="278" s="1"/>
  <c r="ES14" i="278"/>
  <c r="ET6" i="278"/>
  <c r="ET5" i="278" s="1"/>
  <c r="ET14" i="278"/>
  <c r="EU6" i="278"/>
  <c r="EU14" i="278"/>
  <c r="EV6" i="278"/>
  <c r="EV36" i="278" s="1"/>
  <c r="EV14" i="278"/>
  <c r="EX6" i="278"/>
  <c r="EX14" i="278"/>
  <c r="EX37" i="278" s="1"/>
  <c r="EY6" i="278"/>
  <c r="EY14" i="278"/>
  <c r="EY5" i="278"/>
  <c r="EZ6" i="278"/>
  <c r="EZ14" i="278"/>
  <c r="FA6" i="278"/>
  <c r="FA5" i="278" s="1"/>
  <c r="FA14" i="278"/>
  <c r="FB6" i="278"/>
  <c r="FB5" i="278" s="1"/>
  <c r="FN32" i="278" s="1"/>
  <c r="FB14" i="278"/>
  <c r="FC6" i="278"/>
  <c r="FC14" i="278"/>
  <c r="FC5" i="278"/>
  <c r="FD6" i="278"/>
  <c r="FD14" i="278"/>
  <c r="FE6" i="278"/>
  <c r="FE5" i="278" s="1"/>
  <c r="FE14" i="278"/>
  <c r="FF6" i="278"/>
  <c r="FF14" i="278"/>
  <c r="FG6" i="278"/>
  <c r="FG14" i="278"/>
  <c r="FH6" i="278"/>
  <c r="FH14" i="278"/>
  <c r="FI24" i="278"/>
  <c r="FI25" i="278"/>
  <c r="FI26" i="278"/>
  <c r="FI27" i="278"/>
  <c r="FI22" i="278" s="1"/>
  <c r="K166" i="297"/>
  <c r="J166" i="297"/>
  <c r="K165" i="297"/>
  <c r="J165" i="297"/>
  <c r="K164" i="297"/>
  <c r="J164" i="297"/>
  <c r="K163" i="297"/>
  <c r="J163" i="297"/>
  <c r="K162" i="297"/>
  <c r="J162" i="297"/>
  <c r="K161" i="297"/>
  <c r="J161" i="297"/>
  <c r="K160" i="297"/>
  <c r="J160" i="297"/>
  <c r="K159" i="297"/>
  <c r="J159" i="297"/>
  <c r="K158" i="297"/>
  <c r="J158" i="297"/>
  <c r="K157" i="297"/>
  <c r="J157" i="297"/>
  <c r="K156" i="297"/>
  <c r="J156" i="297"/>
  <c r="K155" i="297"/>
  <c r="J155" i="297"/>
  <c r="K154" i="297"/>
  <c r="J154" i="297"/>
  <c r="K153" i="297"/>
  <c r="J153" i="297"/>
  <c r="K152" i="297"/>
  <c r="J152" i="297"/>
  <c r="K151" i="297"/>
  <c r="J151" i="297"/>
  <c r="K150" i="297"/>
  <c r="J150" i="297"/>
  <c r="K149" i="297"/>
  <c r="J149" i="297"/>
  <c r="K148" i="297"/>
  <c r="J148" i="297"/>
  <c r="K147" i="297"/>
  <c r="J147" i="297"/>
  <c r="K146" i="297"/>
  <c r="J146" i="297"/>
  <c r="K145" i="297"/>
  <c r="J145" i="297"/>
  <c r="K144" i="297"/>
  <c r="J144" i="297"/>
  <c r="K143" i="297"/>
  <c r="J143" i="297"/>
  <c r="K142" i="297"/>
  <c r="J142" i="297"/>
  <c r="K141" i="297"/>
  <c r="J141" i="297"/>
  <c r="K140" i="297"/>
  <c r="J140" i="297"/>
  <c r="K139" i="297"/>
  <c r="J139" i="297"/>
  <c r="K138" i="297"/>
  <c r="J138" i="297"/>
  <c r="K137" i="297"/>
  <c r="J137" i="297"/>
  <c r="K136" i="297"/>
  <c r="J136" i="297"/>
  <c r="K135" i="297"/>
  <c r="J135" i="297"/>
  <c r="K134" i="297"/>
  <c r="J134" i="297"/>
  <c r="K133" i="297"/>
  <c r="J133" i="297"/>
  <c r="K132" i="297"/>
  <c r="J132" i="297"/>
  <c r="K131" i="297"/>
  <c r="J131" i="297"/>
  <c r="K130" i="297"/>
  <c r="J130" i="297"/>
  <c r="K129" i="297"/>
  <c r="J129" i="297"/>
  <c r="K128" i="297"/>
  <c r="J128" i="297"/>
  <c r="K127" i="297"/>
  <c r="J127" i="297"/>
  <c r="K126" i="297"/>
  <c r="J126" i="297"/>
  <c r="K125" i="297"/>
  <c r="J125" i="297"/>
  <c r="K124" i="297"/>
  <c r="J124" i="297"/>
  <c r="K123" i="297"/>
  <c r="J123" i="297"/>
  <c r="K122" i="297"/>
  <c r="J122" i="297"/>
  <c r="K121" i="297"/>
  <c r="J121" i="297"/>
  <c r="K120" i="297"/>
  <c r="J120" i="297"/>
  <c r="K119" i="297"/>
  <c r="J119" i="297"/>
  <c r="K118" i="297"/>
  <c r="J118" i="297"/>
  <c r="K117" i="297"/>
  <c r="J117" i="297"/>
  <c r="K116" i="297"/>
  <c r="J116" i="297"/>
  <c r="K115" i="297"/>
  <c r="J115" i="297"/>
  <c r="K114" i="297"/>
  <c r="J114" i="297"/>
  <c r="K113" i="297"/>
  <c r="J113" i="297"/>
  <c r="K112" i="297"/>
  <c r="J112" i="297"/>
  <c r="K111" i="297"/>
  <c r="J111" i="297"/>
  <c r="K110" i="297"/>
  <c r="J110" i="297"/>
  <c r="K109" i="297"/>
  <c r="J109" i="297"/>
  <c r="K108" i="297"/>
  <c r="J108" i="297"/>
  <c r="K107" i="297"/>
  <c r="J107" i="297"/>
  <c r="K106" i="297"/>
  <c r="J106" i="297"/>
  <c r="K105" i="297"/>
  <c r="J105" i="297"/>
  <c r="K104" i="297"/>
  <c r="J104" i="297"/>
  <c r="K103" i="297"/>
  <c r="J103" i="297"/>
  <c r="K102" i="297"/>
  <c r="J102" i="297"/>
  <c r="K101" i="297"/>
  <c r="J101" i="297"/>
  <c r="K100" i="297"/>
  <c r="J100" i="297"/>
  <c r="K99" i="297"/>
  <c r="J99" i="297"/>
  <c r="K98" i="297"/>
  <c r="J98" i="297"/>
  <c r="K97" i="297"/>
  <c r="J97" i="297"/>
  <c r="K96" i="297"/>
  <c r="J96" i="297"/>
  <c r="K95" i="297"/>
  <c r="J95" i="297"/>
  <c r="K94" i="297"/>
  <c r="J94" i="297"/>
  <c r="K93" i="297"/>
  <c r="J93" i="297"/>
  <c r="K92" i="297"/>
  <c r="J92" i="297"/>
  <c r="K91" i="297"/>
  <c r="J91" i="297"/>
  <c r="K90" i="297"/>
  <c r="J90" i="297"/>
  <c r="K89" i="297"/>
  <c r="J89" i="297"/>
  <c r="K88" i="297"/>
  <c r="J88" i="297"/>
  <c r="K87" i="297"/>
  <c r="J87" i="297"/>
  <c r="K86" i="297"/>
  <c r="J86" i="297"/>
  <c r="K85" i="297"/>
  <c r="J85" i="297"/>
  <c r="K84" i="297"/>
  <c r="J84" i="297"/>
  <c r="K83" i="297"/>
  <c r="J83" i="297"/>
  <c r="K82" i="297"/>
  <c r="J82" i="297"/>
  <c r="K81" i="297"/>
  <c r="J81" i="297"/>
  <c r="K80" i="297"/>
  <c r="J80" i="297"/>
  <c r="K79" i="297"/>
  <c r="J79" i="297"/>
  <c r="K78" i="297"/>
  <c r="J78" i="297"/>
  <c r="K77" i="297"/>
  <c r="J77" i="297"/>
  <c r="K76" i="297"/>
  <c r="J76" i="297"/>
  <c r="K75" i="297"/>
  <c r="J75" i="297"/>
  <c r="K74" i="297"/>
  <c r="J74" i="297"/>
  <c r="K73" i="297"/>
  <c r="J73" i="297"/>
  <c r="K72" i="297"/>
  <c r="J72" i="297"/>
  <c r="K71" i="297"/>
  <c r="J71" i="297"/>
  <c r="K70" i="297"/>
  <c r="J70" i="297"/>
  <c r="K69" i="297"/>
  <c r="J69" i="297"/>
  <c r="K68" i="297"/>
  <c r="J68" i="297"/>
  <c r="K67" i="297"/>
  <c r="J67" i="297"/>
  <c r="K66" i="297"/>
  <c r="J66" i="297"/>
  <c r="K65" i="297"/>
  <c r="J65" i="297"/>
  <c r="K64" i="297"/>
  <c r="J64" i="297"/>
  <c r="K63" i="297"/>
  <c r="J63" i="297"/>
  <c r="K62" i="297"/>
  <c r="J62" i="297"/>
  <c r="K61" i="297"/>
  <c r="J61" i="297"/>
  <c r="K60" i="297"/>
  <c r="J60" i="297"/>
  <c r="K59" i="297"/>
  <c r="J59" i="297"/>
  <c r="K58" i="297"/>
  <c r="J58" i="297"/>
  <c r="K57" i="297"/>
  <c r="J57" i="297"/>
  <c r="K56" i="297"/>
  <c r="J56" i="297"/>
  <c r="K55" i="297"/>
  <c r="J55" i="297"/>
  <c r="K54" i="297"/>
  <c r="J54" i="297"/>
  <c r="K53" i="297"/>
  <c r="J53" i="297"/>
  <c r="K52" i="297"/>
  <c r="J52" i="297"/>
  <c r="K51" i="297"/>
  <c r="J51" i="297"/>
  <c r="K50" i="297"/>
  <c r="J50" i="297"/>
  <c r="K49" i="297"/>
  <c r="J49" i="297"/>
  <c r="K48" i="297"/>
  <c r="J48" i="297"/>
  <c r="K47" i="297"/>
  <c r="J47" i="297"/>
  <c r="K46" i="297"/>
  <c r="J46" i="297"/>
  <c r="K45" i="297"/>
  <c r="J45" i="297"/>
  <c r="K44" i="297"/>
  <c r="J44" i="297"/>
  <c r="K43" i="297"/>
  <c r="J43" i="297"/>
  <c r="K42" i="297"/>
  <c r="J42" i="297"/>
  <c r="K41" i="297"/>
  <c r="J41" i="297"/>
  <c r="K40" i="297"/>
  <c r="J40" i="297"/>
  <c r="K39" i="297"/>
  <c r="J39" i="297"/>
  <c r="K38" i="297"/>
  <c r="J38" i="297"/>
  <c r="K37" i="297"/>
  <c r="J37" i="297"/>
  <c r="K36" i="297"/>
  <c r="J36" i="297"/>
  <c r="K35" i="297"/>
  <c r="J35" i="297"/>
  <c r="K34" i="297"/>
  <c r="J34" i="297"/>
  <c r="K33" i="297"/>
  <c r="J33" i="297"/>
  <c r="K32" i="297"/>
  <c r="J32" i="297"/>
  <c r="K31" i="297"/>
  <c r="J31" i="297"/>
  <c r="K30" i="297"/>
  <c r="J30" i="297"/>
  <c r="K29" i="297"/>
  <c r="J29" i="297"/>
  <c r="K28" i="297"/>
  <c r="J28" i="297"/>
  <c r="K27" i="297"/>
  <c r="J27" i="297"/>
  <c r="K26" i="297"/>
  <c r="J26" i="297"/>
  <c r="K25" i="297"/>
  <c r="J25" i="297"/>
  <c r="K24" i="297"/>
  <c r="J24" i="297"/>
  <c r="K23" i="297"/>
  <c r="J23" i="297"/>
  <c r="K22" i="297"/>
  <c r="J22" i="297"/>
  <c r="K21" i="297"/>
  <c r="J21" i="297"/>
  <c r="K20" i="297"/>
  <c r="J20" i="297"/>
  <c r="K19" i="297"/>
  <c r="J19" i="297"/>
  <c r="K18" i="297"/>
  <c r="J18" i="297"/>
  <c r="K17" i="297"/>
  <c r="J17" i="297"/>
  <c r="K16" i="297"/>
  <c r="J16" i="297"/>
  <c r="K15" i="297"/>
  <c r="J15" i="297"/>
  <c r="K14" i="297"/>
  <c r="J14" i="297"/>
  <c r="K13" i="297"/>
  <c r="J13" i="297"/>
  <c r="K12" i="297"/>
  <c r="J12" i="297"/>
  <c r="K11" i="297"/>
  <c r="J11" i="297"/>
  <c r="K10" i="297"/>
  <c r="J10" i="297"/>
  <c r="K9" i="297"/>
  <c r="J9" i="297"/>
  <c r="K8" i="297"/>
  <c r="J8" i="297"/>
  <c r="K7" i="297"/>
  <c r="J7" i="297"/>
  <c r="K6" i="297"/>
  <c r="J6" i="297"/>
  <c r="K5" i="297"/>
  <c r="J5" i="297"/>
  <c r="L157" i="291"/>
  <c r="L158" i="291"/>
  <c r="L159" i="291"/>
  <c r="L160" i="291"/>
  <c r="L161" i="291"/>
  <c r="L162" i="291"/>
  <c r="L163" i="291"/>
  <c r="L164" i="291"/>
  <c r="I124" i="291"/>
  <c r="I164" i="291"/>
  <c r="I125" i="291"/>
  <c r="I4" i="291"/>
  <c r="I5" i="291"/>
  <c r="I6" i="291"/>
  <c r="I7" i="291"/>
  <c r="I8" i="291"/>
  <c r="I9" i="291"/>
  <c r="I10" i="291"/>
  <c r="I11" i="291"/>
  <c r="I12" i="291"/>
  <c r="I13" i="291"/>
  <c r="I14" i="291"/>
  <c r="I15" i="291"/>
  <c r="I16" i="291"/>
  <c r="J16" i="291" s="1"/>
  <c r="I17" i="291"/>
  <c r="J17" i="291" s="1"/>
  <c r="I18" i="291"/>
  <c r="J18" i="291" s="1"/>
  <c r="I19" i="291"/>
  <c r="J19" i="291" s="1"/>
  <c r="I20" i="291"/>
  <c r="J20" i="291" s="1"/>
  <c r="I21" i="291"/>
  <c r="J21" i="291" s="1"/>
  <c r="I22" i="291"/>
  <c r="J22" i="291" s="1"/>
  <c r="I23" i="291"/>
  <c r="I24" i="291"/>
  <c r="I25" i="291"/>
  <c r="J25" i="291" s="1"/>
  <c r="I26" i="291"/>
  <c r="I27" i="291"/>
  <c r="I28" i="291"/>
  <c r="I29" i="291"/>
  <c r="I30" i="291"/>
  <c r="I31" i="291"/>
  <c r="I32" i="291"/>
  <c r="J32" i="291" s="1"/>
  <c r="I33" i="291"/>
  <c r="I34" i="291"/>
  <c r="J34" i="291" s="1"/>
  <c r="I35" i="291"/>
  <c r="J35" i="291" s="1"/>
  <c r="I36" i="291"/>
  <c r="J36" i="291" s="1"/>
  <c r="I37" i="291"/>
  <c r="J37" i="291" s="1"/>
  <c r="I38" i="291"/>
  <c r="J38" i="291" s="1"/>
  <c r="I39" i="291"/>
  <c r="J39" i="291" s="1"/>
  <c r="I40" i="291"/>
  <c r="J40" i="291" s="1"/>
  <c r="I41" i="291"/>
  <c r="I42" i="291"/>
  <c r="I43" i="291"/>
  <c r="I44" i="291"/>
  <c r="J44" i="291" s="1"/>
  <c r="I45" i="291"/>
  <c r="J45" i="291" s="1"/>
  <c r="I46" i="291"/>
  <c r="I47" i="291"/>
  <c r="I48" i="291"/>
  <c r="J48" i="291" s="1"/>
  <c r="I49" i="291"/>
  <c r="I50" i="291"/>
  <c r="I51" i="291"/>
  <c r="J51" i="291" s="1"/>
  <c r="I52" i="291"/>
  <c r="J52" i="291" s="1"/>
  <c r="I53" i="291"/>
  <c r="I54" i="291"/>
  <c r="J54" i="291" s="1"/>
  <c r="I55" i="291"/>
  <c r="J55" i="291" s="1"/>
  <c r="I56" i="291"/>
  <c r="J56" i="291" s="1"/>
  <c r="I57" i="291"/>
  <c r="J57" i="291" s="1"/>
  <c r="I58" i="291"/>
  <c r="I59" i="291"/>
  <c r="J59" i="291" s="1"/>
  <c r="I60" i="291"/>
  <c r="I61" i="291"/>
  <c r="J61" i="291" s="1"/>
  <c r="I62" i="291"/>
  <c r="J62" i="291" s="1"/>
  <c r="I63" i="291"/>
  <c r="I64" i="291"/>
  <c r="J64" i="291" s="1"/>
  <c r="I65" i="291"/>
  <c r="I66" i="291"/>
  <c r="I67" i="291"/>
  <c r="I68" i="291"/>
  <c r="I69" i="291"/>
  <c r="J69" i="291" s="1"/>
  <c r="I70" i="291"/>
  <c r="J70" i="291" s="1"/>
  <c r="I71" i="291"/>
  <c r="J71" i="291" s="1"/>
  <c r="I72" i="291"/>
  <c r="J72" i="291" s="1"/>
  <c r="I73" i="291"/>
  <c r="J73" i="291" s="1"/>
  <c r="I74" i="291"/>
  <c r="J74" i="291" s="1"/>
  <c r="I75" i="291"/>
  <c r="I76" i="291"/>
  <c r="I77" i="291"/>
  <c r="J77" i="291" s="1"/>
  <c r="I78" i="291"/>
  <c r="I79" i="291"/>
  <c r="I80" i="291"/>
  <c r="I81" i="291"/>
  <c r="I82" i="291"/>
  <c r="I83" i="291"/>
  <c r="I84" i="291"/>
  <c r="I85" i="291"/>
  <c r="I86" i="291"/>
  <c r="I87" i="291"/>
  <c r="J87" i="291" s="1"/>
  <c r="I88" i="291"/>
  <c r="J88" i="291" s="1"/>
  <c r="I89" i="291"/>
  <c r="J89" i="291" s="1"/>
  <c r="I90" i="291"/>
  <c r="J90" i="291" s="1"/>
  <c r="I91" i="291"/>
  <c r="I92" i="291"/>
  <c r="J92" i="291" s="1"/>
  <c r="I93" i="291"/>
  <c r="I94" i="291"/>
  <c r="I95" i="291"/>
  <c r="I96" i="291"/>
  <c r="J96" i="291" s="1"/>
  <c r="I97" i="291"/>
  <c r="I98" i="291"/>
  <c r="I99" i="291"/>
  <c r="I100" i="291"/>
  <c r="I101" i="291"/>
  <c r="I102" i="291"/>
  <c r="I103" i="291"/>
  <c r="I104" i="291"/>
  <c r="I105" i="291"/>
  <c r="I106" i="291"/>
  <c r="I107" i="291"/>
  <c r="J107" i="291" s="1"/>
  <c r="I108" i="291"/>
  <c r="J108" i="291" s="1"/>
  <c r="I109" i="291"/>
  <c r="J109" i="291" s="1"/>
  <c r="I110" i="291"/>
  <c r="I111" i="291"/>
  <c r="I112" i="291"/>
  <c r="J112" i="291" s="1"/>
  <c r="I113" i="291"/>
  <c r="J113" i="291" s="1"/>
  <c r="I114" i="291"/>
  <c r="I115" i="291"/>
  <c r="I116" i="291"/>
  <c r="I117" i="291"/>
  <c r="I118" i="291"/>
  <c r="I119" i="291"/>
  <c r="I120" i="291"/>
  <c r="J120" i="291" s="1"/>
  <c r="I121" i="291"/>
  <c r="I122" i="291"/>
  <c r="I123" i="291"/>
  <c r="I126" i="291"/>
  <c r="I127" i="291"/>
  <c r="I128" i="291"/>
  <c r="I129" i="291"/>
  <c r="J129" i="291" s="1"/>
  <c r="I130" i="291"/>
  <c r="J130" i="291" s="1"/>
  <c r="I131" i="291"/>
  <c r="I132" i="291"/>
  <c r="J132" i="291" s="1"/>
  <c r="I133" i="291"/>
  <c r="J133" i="291" s="1"/>
  <c r="I134" i="291"/>
  <c r="I135" i="291"/>
  <c r="I136" i="291"/>
  <c r="I137" i="291"/>
  <c r="I138" i="291"/>
  <c r="I139" i="291"/>
  <c r="I140" i="291"/>
  <c r="I141" i="291"/>
  <c r="J141" i="291" s="1"/>
  <c r="I142" i="291"/>
  <c r="I143" i="291"/>
  <c r="I144" i="291"/>
  <c r="I145" i="291"/>
  <c r="I146" i="291"/>
  <c r="I147" i="291"/>
  <c r="J147" i="291" s="1"/>
  <c r="I148" i="291"/>
  <c r="J148" i="291" s="1"/>
  <c r="I149" i="291"/>
  <c r="J149" i="291" s="1"/>
  <c r="I150" i="291"/>
  <c r="J150" i="291" s="1"/>
  <c r="I151" i="291"/>
  <c r="I152" i="291"/>
  <c r="I153" i="291"/>
  <c r="I154" i="291"/>
  <c r="I155" i="291"/>
  <c r="I156" i="291"/>
  <c r="I157" i="291"/>
  <c r="I158" i="291"/>
  <c r="I159" i="291"/>
  <c r="J159" i="291" s="1"/>
  <c r="I160" i="291"/>
  <c r="I161" i="291"/>
  <c r="J161" i="291" s="1"/>
  <c r="I162" i="291"/>
  <c r="I163" i="291"/>
  <c r="I3" i="291"/>
  <c r="FH24" i="278"/>
  <c r="FH25" i="278"/>
  <c r="FH26" i="278"/>
  <c r="FH27" i="278"/>
  <c r="M166" i="290"/>
  <c r="N166" i="290"/>
  <c r="E166" i="290"/>
  <c r="F166" i="290"/>
  <c r="F154" i="290"/>
  <c r="K164" i="291"/>
  <c r="N156" i="290"/>
  <c r="N157" i="290"/>
  <c r="N158" i="290"/>
  <c r="N159" i="290"/>
  <c r="N160" i="290"/>
  <c r="N161" i="290"/>
  <c r="N162" i="290"/>
  <c r="N163" i="290"/>
  <c r="N164" i="290"/>
  <c r="N165" i="290"/>
  <c r="K3" i="291"/>
  <c r="K4" i="291"/>
  <c r="K5" i="291"/>
  <c r="K6" i="291"/>
  <c r="K7" i="291"/>
  <c r="K8" i="291"/>
  <c r="K9" i="291"/>
  <c r="K10" i="291"/>
  <c r="K11" i="291"/>
  <c r="K12" i="291"/>
  <c r="K13" i="291"/>
  <c r="K14" i="291"/>
  <c r="K15" i="291"/>
  <c r="K16" i="291"/>
  <c r="K17" i="291"/>
  <c r="K18" i="291"/>
  <c r="K19" i="291"/>
  <c r="K20" i="291"/>
  <c r="K21" i="291"/>
  <c r="K22" i="291"/>
  <c r="K23" i="291"/>
  <c r="K24" i="291"/>
  <c r="K25" i="291"/>
  <c r="K26" i="291"/>
  <c r="K27" i="291"/>
  <c r="K28" i="291"/>
  <c r="K29" i="291"/>
  <c r="K30" i="291"/>
  <c r="K31" i="291"/>
  <c r="K32" i="291"/>
  <c r="K33" i="291"/>
  <c r="K34" i="291"/>
  <c r="K35" i="291"/>
  <c r="K36" i="291"/>
  <c r="K37" i="291"/>
  <c r="K38" i="291"/>
  <c r="K39" i="291"/>
  <c r="K40" i="291"/>
  <c r="K41" i="291"/>
  <c r="K42" i="291"/>
  <c r="K43" i="291"/>
  <c r="K44" i="291"/>
  <c r="K45" i="291"/>
  <c r="K46" i="291"/>
  <c r="K47" i="291"/>
  <c r="K48" i="291"/>
  <c r="K49" i="291"/>
  <c r="K50" i="291"/>
  <c r="K51" i="291"/>
  <c r="K52" i="291"/>
  <c r="K53" i="291"/>
  <c r="K54" i="291"/>
  <c r="K55" i="291"/>
  <c r="K56" i="291"/>
  <c r="K57" i="291"/>
  <c r="K58" i="291"/>
  <c r="K59" i="291"/>
  <c r="K60" i="291"/>
  <c r="K61" i="291"/>
  <c r="K62" i="291"/>
  <c r="K63" i="291"/>
  <c r="K64" i="291"/>
  <c r="K65" i="291"/>
  <c r="K66" i="291"/>
  <c r="K67" i="291"/>
  <c r="K68" i="291"/>
  <c r="K69" i="291"/>
  <c r="K70" i="291"/>
  <c r="K71" i="291"/>
  <c r="K72" i="291"/>
  <c r="K73" i="291"/>
  <c r="K74" i="291"/>
  <c r="K75" i="291"/>
  <c r="K76" i="291"/>
  <c r="K77" i="291"/>
  <c r="K78" i="291"/>
  <c r="K79" i="291"/>
  <c r="K80" i="291"/>
  <c r="K81" i="291"/>
  <c r="K82" i="291"/>
  <c r="K83" i="291"/>
  <c r="K84" i="291"/>
  <c r="K85" i="291"/>
  <c r="K86" i="291"/>
  <c r="K87" i="291"/>
  <c r="K88" i="291"/>
  <c r="K89" i="291"/>
  <c r="K90" i="291"/>
  <c r="K91" i="291"/>
  <c r="K92" i="291"/>
  <c r="K93" i="291"/>
  <c r="K94" i="291"/>
  <c r="K95" i="291"/>
  <c r="K96" i="291"/>
  <c r="K97" i="291"/>
  <c r="K98" i="291"/>
  <c r="K99" i="291"/>
  <c r="K100" i="291"/>
  <c r="K101" i="291"/>
  <c r="K102" i="291"/>
  <c r="K103" i="291"/>
  <c r="K104" i="291"/>
  <c r="K105" i="291"/>
  <c r="K106" i="291"/>
  <c r="K107" i="291"/>
  <c r="K108" i="291"/>
  <c r="K109" i="291"/>
  <c r="K110" i="291"/>
  <c r="K111" i="291"/>
  <c r="K112" i="291"/>
  <c r="K113" i="291"/>
  <c r="K114" i="291"/>
  <c r="K115" i="291"/>
  <c r="K116" i="291"/>
  <c r="K117" i="291"/>
  <c r="K118" i="291"/>
  <c r="K119" i="291"/>
  <c r="K120" i="291"/>
  <c r="K121" i="291"/>
  <c r="K122" i="291"/>
  <c r="K123" i="291"/>
  <c r="K124" i="291"/>
  <c r="K125" i="291"/>
  <c r="K126" i="291"/>
  <c r="K127" i="291"/>
  <c r="K128" i="291"/>
  <c r="K129" i="291"/>
  <c r="K130" i="291"/>
  <c r="K131" i="291"/>
  <c r="K132" i="291"/>
  <c r="K133" i="291"/>
  <c r="K134" i="291"/>
  <c r="K135" i="291"/>
  <c r="K136" i="291"/>
  <c r="K137" i="291"/>
  <c r="K138" i="291"/>
  <c r="K139" i="291"/>
  <c r="K140" i="291"/>
  <c r="K141" i="291"/>
  <c r="K142" i="291"/>
  <c r="K143" i="291"/>
  <c r="K144" i="291"/>
  <c r="K145" i="291"/>
  <c r="K146" i="291"/>
  <c r="K147" i="291"/>
  <c r="K148" i="291"/>
  <c r="K149" i="291"/>
  <c r="K150" i="291"/>
  <c r="K151" i="291"/>
  <c r="K152" i="291"/>
  <c r="K153" i="291"/>
  <c r="K154" i="291"/>
  <c r="K155" i="291"/>
  <c r="K156" i="291"/>
  <c r="K157" i="291"/>
  <c r="K158" i="291"/>
  <c r="K159" i="291"/>
  <c r="K160" i="291"/>
  <c r="K161" i="291"/>
  <c r="K162" i="291"/>
  <c r="K163" i="291"/>
  <c r="M165" i="290"/>
  <c r="E165" i="290"/>
  <c r="F165" i="290"/>
  <c r="FG24" i="278"/>
  <c r="FG25" i="278"/>
  <c r="FG26" i="278"/>
  <c r="FG27" i="278"/>
  <c r="M164" i="290"/>
  <c r="E164" i="290"/>
  <c r="F164" i="290"/>
  <c r="FF24" i="278"/>
  <c r="FF25" i="278"/>
  <c r="FF26" i="278"/>
  <c r="FF27" i="278"/>
  <c r="J58" i="291"/>
  <c r="J117" i="291"/>
  <c r="J95" i="291"/>
  <c r="J91" i="291"/>
  <c r="M163" i="290"/>
  <c r="E163" i="290"/>
  <c r="F163" i="290"/>
  <c r="FE24" i="278"/>
  <c r="FE25" i="278"/>
  <c r="FE26" i="278"/>
  <c r="FE27" i="278"/>
  <c r="M162" i="290"/>
  <c r="M137" i="290"/>
  <c r="L188" i="290" s="1"/>
  <c r="O152" i="290"/>
  <c r="M161" i="290"/>
  <c r="N155" i="290"/>
  <c r="F162" i="290"/>
  <c r="E162" i="290"/>
  <c r="FD24" i="278"/>
  <c r="FD25" i="278"/>
  <c r="FD26" i="278"/>
  <c r="FD27" i="278"/>
  <c r="FD22" i="278"/>
  <c r="FC24" i="278"/>
  <c r="ED24" i="278"/>
  <c r="EE24" i="278"/>
  <c r="EF24" i="278"/>
  <c r="EG24" i="278"/>
  <c r="EH24" i="278"/>
  <c r="EH22" i="278" s="1"/>
  <c r="EI24" i="278"/>
  <c r="EJ24" i="278"/>
  <c r="EK24" i="278"/>
  <c r="EL24" i="278"/>
  <c r="EM24" i="278"/>
  <c r="EN24" i="278"/>
  <c r="EO24" i="278"/>
  <c r="EP24" i="278"/>
  <c r="EP22" i="278" s="1"/>
  <c r="EQ24" i="278"/>
  <c r="ER24" i="278"/>
  <c r="ES24" i="278"/>
  <c r="ET24" i="278"/>
  <c r="EU24" i="278"/>
  <c r="EV24" i="278"/>
  <c r="EW24" i="278"/>
  <c r="EX24" i="278"/>
  <c r="EX22" i="278" s="1"/>
  <c r="EY24" i="278"/>
  <c r="EZ24" i="278"/>
  <c r="FA24" i="278"/>
  <c r="FB24" i="278"/>
  <c r="ED25" i="278"/>
  <c r="EE25" i="278"/>
  <c r="EF25" i="278"/>
  <c r="EG25" i="278"/>
  <c r="EH25" i="278"/>
  <c r="EI25" i="278"/>
  <c r="EJ25" i="278"/>
  <c r="EK25" i="278"/>
  <c r="EL25" i="278"/>
  <c r="EM25" i="278"/>
  <c r="EN25" i="278"/>
  <c r="EO25" i="278"/>
  <c r="EP25" i="278"/>
  <c r="EQ25" i="278"/>
  <c r="ER25" i="278"/>
  <c r="ES25" i="278"/>
  <c r="ET25" i="278"/>
  <c r="EU25" i="278"/>
  <c r="EV25" i="278"/>
  <c r="EW25" i="278"/>
  <c r="EX25" i="278"/>
  <c r="EY25" i="278"/>
  <c r="EZ25" i="278"/>
  <c r="FA25" i="278"/>
  <c r="FB25" i="278"/>
  <c r="FC25" i="278"/>
  <c r="ED26" i="278"/>
  <c r="EE26" i="278"/>
  <c r="EE22" i="278" s="1"/>
  <c r="EF26" i="278"/>
  <c r="EG26" i="278"/>
  <c r="EH26" i="278"/>
  <c r="EI26" i="278"/>
  <c r="EJ26" i="278"/>
  <c r="EK26" i="278"/>
  <c r="EL26" i="278"/>
  <c r="EM26" i="278"/>
  <c r="EN26" i="278"/>
  <c r="EO26" i="278"/>
  <c r="EP26" i="278"/>
  <c r="EQ26" i="278"/>
  <c r="ER26" i="278"/>
  <c r="ES26" i="278"/>
  <c r="ET26" i="278"/>
  <c r="EU26" i="278"/>
  <c r="EV26" i="278"/>
  <c r="EW26" i="278"/>
  <c r="EX26" i="278"/>
  <c r="EY26" i="278"/>
  <c r="EZ26" i="278"/>
  <c r="FA26" i="278"/>
  <c r="FB26" i="278"/>
  <c r="FC26" i="278"/>
  <c r="ED27" i="278"/>
  <c r="EE27" i="278"/>
  <c r="EF27" i="278"/>
  <c r="EG27" i="278"/>
  <c r="EH27" i="278"/>
  <c r="EI27" i="278"/>
  <c r="EJ27" i="278"/>
  <c r="EK27" i="278"/>
  <c r="EL27" i="278"/>
  <c r="EM27" i="278"/>
  <c r="EN27" i="278"/>
  <c r="EO27" i="278"/>
  <c r="EP27" i="278"/>
  <c r="EQ27" i="278"/>
  <c r="ER27" i="278"/>
  <c r="ES27" i="278"/>
  <c r="ET27" i="278"/>
  <c r="EU27" i="278"/>
  <c r="EV27" i="278"/>
  <c r="EW27" i="278"/>
  <c r="EX27" i="278"/>
  <c r="EY27" i="278"/>
  <c r="EZ27" i="278"/>
  <c r="FA27" i="278"/>
  <c r="FB27" i="278"/>
  <c r="FC27" i="278"/>
  <c r="EA24" i="278"/>
  <c r="EB24" i="278"/>
  <c r="EC24" i="278"/>
  <c r="EA25" i="278"/>
  <c r="EB25" i="278"/>
  <c r="EC25" i="278"/>
  <c r="EA26" i="278"/>
  <c r="EB26" i="278"/>
  <c r="EC26" i="278"/>
  <c r="EA27" i="278"/>
  <c r="EB27" i="278"/>
  <c r="EC27" i="278"/>
  <c r="DZ27" i="278"/>
  <c r="DZ26" i="278"/>
  <c r="DZ25" i="278"/>
  <c r="DZ24" i="278"/>
  <c r="AV14" i="278"/>
  <c r="DL6" i="278"/>
  <c r="FC20" i="278"/>
  <c r="FB22" i="278"/>
  <c r="FN31" i="278"/>
  <c r="DZ22" i="278"/>
  <c r="E156" i="290"/>
  <c r="F156" i="290"/>
  <c r="E157" i="290"/>
  <c r="F157" i="290"/>
  <c r="G169" i="290" s="1"/>
  <c r="E158" i="290"/>
  <c r="F158" i="290"/>
  <c r="G170" i="290" s="1"/>
  <c r="E159" i="290"/>
  <c r="F159" i="290"/>
  <c r="E160" i="290"/>
  <c r="F160" i="290"/>
  <c r="E161" i="290"/>
  <c r="F161" i="290"/>
  <c r="M71" i="290"/>
  <c r="M155" i="290"/>
  <c r="M17" i="290"/>
  <c r="L178" i="290" s="1"/>
  <c r="M18" i="290"/>
  <c r="M19" i="290"/>
  <c r="M20" i="290"/>
  <c r="M21" i="290"/>
  <c r="M22" i="290"/>
  <c r="M23" i="290"/>
  <c r="M24" i="290"/>
  <c r="M25" i="290"/>
  <c r="M26" i="290"/>
  <c r="M27" i="290"/>
  <c r="M28" i="290"/>
  <c r="M29" i="290"/>
  <c r="L179" i="290" s="1"/>
  <c r="M30" i="290"/>
  <c r="M31" i="290"/>
  <c r="M32" i="290"/>
  <c r="M33" i="290"/>
  <c r="M34" i="290"/>
  <c r="M35" i="290"/>
  <c r="M36" i="290"/>
  <c r="M37" i="290"/>
  <c r="M38" i="290"/>
  <c r="M39" i="290"/>
  <c r="M40" i="290"/>
  <c r="M41" i="290"/>
  <c r="L180" i="290" s="1"/>
  <c r="M42" i="290"/>
  <c r="M43" i="290"/>
  <c r="M44" i="290"/>
  <c r="M45" i="290"/>
  <c r="M46" i="290"/>
  <c r="M47" i="290"/>
  <c r="M48" i="290"/>
  <c r="M49" i="290"/>
  <c r="M50" i="290"/>
  <c r="M51" i="290"/>
  <c r="M52" i="290"/>
  <c r="M53" i="290"/>
  <c r="L181" i="290" s="1"/>
  <c r="M54" i="290"/>
  <c r="M55" i="290"/>
  <c r="M56" i="290"/>
  <c r="M57" i="290"/>
  <c r="M58" i="290"/>
  <c r="M59" i="290"/>
  <c r="M60" i="290"/>
  <c r="M61" i="290"/>
  <c r="M62" i="290"/>
  <c r="M63" i="290"/>
  <c r="M64" i="290"/>
  <c r="M65" i="290"/>
  <c r="L182" i="290" s="1"/>
  <c r="M66" i="290"/>
  <c r="M67" i="290"/>
  <c r="M68" i="290"/>
  <c r="M69" i="290"/>
  <c r="M70" i="290"/>
  <c r="M72" i="290"/>
  <c r="M73" i="290"/>
  <c r="M74" i="290"/>
  <c r="M75" i="290"/>
  <c r="M76" i="290"/>
  <c r="M77" i="290"/>
  <c r="L183" i="290" s="1"/>
  <c r="M78" i="290"/>
  <c r="M79" i="290"/>
  <c r="M80" i="290"/>
  <c r="M81" i="290"/>
  <c r="M82" i="290"/>
  <c r="M83" i="290"/>
  <c r="M84" i="290"/>
  <c r="M85" i="290"/>
  <c r="M86" i="290"/>
  <c r="M87" i="290"/>
  <c r="M88" i="290"/>
  <c r="M89" i="290"/>
  <c r="L184" i="290" s="1"/>
  <c r="M90" i="290"/>
  <c r="M91" i="290"/>
  <c r="M92" i="290"/>
  <c r="M93" i="290"/>
  <c r="M94" i="290"/>
  <c r="M95" i="290"/>
  <c r="M96" i="290"/>
  <c r="M97" i="290"/>
  <c r="M98" i="290"/>
  <c r="M99" i="290"/>
  <c r="M100" i="290"/>
  <c r="M101" i="290"/>
  <c r="L185" i="290" s="1"/>
  <c r="M102" i="290"/>
  <c r="M103" i="290"/>
  <c r="M104" i="290"/>
  <c r="M105" i="290"/>
  <c r="M106" i="290"/>
  <c r="M107" i="290"/>
  <c r="M108" i="290"/>
  <c r="M109" i="290"/>
  <c r="M110" i="290"/>
  <c r="M111" i="290"/>
  <c r="M112" i="290"/>
  <c r="M113" i="290"/>
  <c r="L186" i="290" s="1"/>
  <c r="M114" i="290"/>
  <c r="M115" i="290"/>
  <c r="M116" i="290"/>
  <c r="M117" i="290"/>
  <c r="M118" i="290"/>
  <c r="M119" i="290"/>
  <c r="M120" i="290"/>
  <c r="M121" i="290"/>
  <c r="M122" i="290"/>
  <c r="M123" i="290"/>
  <c r="M124" i="290"/>
  <c r="M125" i="290"/>
  <c r="L187" i="290" s="1"/>
  <c r="M126" i="290"/>
  <c r="M127" i="290"/>
  <c r="M128" i="290"/>
  <c r="M129" i="290"/>
  <c r="M130" i="290"/>
  <c r="M131" i="290"/>
  <c r="M132" i="290"/>
  <c r="M133" i="290"/>
  <c r="M134" i="290"/>
  <c r="M135" i="290"/>
  <c r="M136" i="290"/>
  <c r="M138" i="290"/>
  <c r="M139" i="290"/>
  <c r="M140" i="290"/>
  <c r="M141" i="290"/>
  <c r="M142" i="290"/>
  <c r="M143" i="290"/>
  <c r="M144" i="290"/>
  <c r="M145" i="290"/>
  <c r="M146" i="290"/>
  <c r="M147" i="290"/>
  <c r="M148" i="290"/>
  <c r="M149" i="290"/>
  <c r="L189" i="290" s="1"/>
  <c r="M150" i="290"/>
  <c r="M151" i="290"/>
  <c r="M152" i="290"/>
  <c r="M153" i="290"/>
  <c r="M154" i="290"/>
  <c r="M156" i="290"/>
  <c r="M157" i="290"/>
  <c r="M158" i="290"/>
  <c r="M159" i="290"/>
  <c r="M160" i="290"/>
  <c r="FB20" i="278"/>
  <c r="DZ14" i="278"/>
  <c r="DZ6" i="278"/>
  <c r="C22" i="278"/>
  <c r="C5" i="278" s="1"/>
  <c r="C20" i="278" s="1"/>
  <c r="FF36" i="278"/>
  <c r="AV6" i="278"/>
  <c r="FC36" i="278"/>
  <c r="ET36" i="278"/>
  <c r="ER36" i="278"/>
  <c r="EU36" i="278"/>
  <c r="O155" i="290"/>
  <c r="F155" i="290"/>
  <c r="G167" i="290" s="1"/>
  <c r="E155" i="290"/>
  <c r="N154" i="290"/>
  <c r="E154" i="290"/>
  <c r="N153" i="290"/>
  <c r="F153" i="290"/>
  <c r="G165" i="290" s="1"/>
  <c r="E153" i="290"/>
  <c r="N152" i="290"/>
  <c r="F152" i="290"/>
  <c r="G164" i="290" s="1"/>
  <c r="E152" i="290"/>
  <c r="N151" i="290"/>
  <c r="F151" i="290"/>
  <c r="E151" i="290"/>
  <c r="N150" i="290"/>
  <c r="F150" i="290"/>
  <c r="E150" i="290"/>
  <c r="O149" i="290"/>
  <c r="N149" i="290"/>
  <c r="F149" i="290"/>
  <c r="E149" i="290"/>
  <c r="P148" i="290"/>
  <c r="N148" i="290"/>
  <c r="F148" i="290"/>
  <c r="E148" i="290"/>
  <c r="P147" i="290"/>
  <c r="N147" i="290"/>
  <c r="F147" i="290"/>
  <c r="G159" i="290" s="1"/>
  <c r="E147" i="290"/>
  <c r="F146" i="290"/>
  <c r="E146" i="290"/>
  <c r="F145" i="290"/>
  <c r="E145" i="290"/>
  <c r="F144" i="290"/>
  <c r="E144" i="290"/>
  <c r="F143" i="290"/>
  <c r="E143" i="290"/>
  <c r="F142" i="290"/>
  <c r="G154" i="290" s="1"/>
  <c r="F130" i="290"/>
  <c r="E142" i="290"/>
  <c r="F141" i="290"/>
  <c r="E141" i="290"/>
  <c r="F140" i="290"/>
  <c r="E140" i="290"/>
  <c r="F139" i="290"/>
  <c r="E139" i="290"/>
  <c r="F138" i="290"/>
  <c r="F126" i="290"/>
  <c r="E138" i="290"/>
  <c r="F137" i="290"/>
  <c r="E137" i="290"/>
  <c r="F136" i="290"/>
  <c r="E136" i="290"/>
  <c r="F135" i="290"/>
  <c r="E135" i="290"/>
  <c r="F134" i="290"/>
  <c r="F122" i="290"/>
  <c r="G122" i="290" s="1"/>
  <c r="E134" i="290"/>
  <c r="F133" i="290"/>
  <c r="E133" i="290"/>
  <c r="P132" i="290"/>
  <c r="O132" i="290"/>
  <c r="F132" i="290"/>
  <c r="E132" i="290"/>
  <c r="F131" i="290"/>
  <c r="E131" i="290"/>
  <c r="E130" i="290"/>
  <c r="F129" i="290"/>
  <c r="E129" i="290"/>
  <c r="F128" i="290"/>
  <c r="E128" i="290"/>
  <c r="F127" i="290"/>
  <c r="E127" i="290"/>
  <c r="E126" i="290"/>
  <c r="F125" i="290"/>
  <c r="E125" i="290"/>
  <c r="F124" i="290"/>
  <c r="E124" i="290"/>
  <c r="F123" i="290"/>
  <c r="E123" i="290"/>
  <c r="E122" i="290"/>
  <c r="F121" i="290"/>
  <c r="E121" i="290"/>
  <c r="F120" i="290"/>
  <c r="E120" i="290"/>
  <c r="F119" i="290"/>
  <c r="E119" i="290"/>
  <c r="F118" i="290"/>
  <c r="G118" i="290" s="1"/>
  <c r="E118" i="290"/>
  <c r="F117" i="290"/>
  <c r="E117" i="290"/>
  <c r="F116" i="290"/>
  <c r="E116" i="290"/>
  <c r="F115" i="290"/>
  <c r="E115" i="290"/>
  <c r="F114" i="290"/>
  <c r="E114" i="290"/>
  <c r="F113" i="290"/>
  <c r="E113" i="290"/>
  <c r="F112" i="290"/>
  <c r="E112" i="290"/>
  <c r="F111" i="290"/>
  <c r="E111" i="290"/>
  <c r="F110" i="290"/>
  <c r="E110" i="290"/>
  <c r="F109" i="290"/>
  <c r="E109" i="290"/>
  <c r="F108" i="290"/>
  <c r="E108" i="290"/>
  <c r="F107" i="290"/>
  <c r="E107" i="290"/>
  <c r="F106" i="290"/>
  <c r="E106" i="290"/>
  <c r="F105" i="290"/>
  <c r="E105" i="290"/>
  <c r="F104" i="290"/>
  <c r="E104" i="290"/>
  <c r="F103" i="290"/>
  <c r="E103" i="290"/>
  <c r="F102" i="290"/>
  <c r="E102" i="290"/>
  <c r="F101" i="290"/>
  <c r="E101" i="290"/>
  <c r="F100" i="290"/>
  <c r="E100" i="290"/>
  <c r="F99" i="290"/>
  <c r="E99" i="290"/>
  <c r="F98" i="290"/>
  <c r="E98" i="290"/>
  <c r="F97" i="290"/>
  <c r="E97" i="290"/>
  <c r="F96" i="290"/>
  <c r="E96" i="290"/>
  <c r="F95" i="290"/>
  <c r="E95" i="290"/>
  <c r="F94" i="290"/>
  <c r="G94" i="290" s="1"/>
  <c r="E94" i="290"/>
  <c r="F93" i="290"/>
  <c r="E93" i="290"/>
  <c r="F92" i="290"/>
  <c r="E92" i="290"/>
  <c r="F91" i="290"/>
  <c r="E91" i="290"/>
  <c r="F90" i="290"/>
  <c r="G90" i="290" s="1"/>
  <c r="E90" i="290"/>
  <c r="F89" i="290"/>
  <c r="E89" i="290"/>
  <c r="F88" i="290"/>
  <c r="E88" i="290"/>
  <c r="F87" i="290"/>
  <c r="E87" i="290"/>
  <c r="F86" i="290"/>
  <c r="G86" i="290" s="1"/>
  <c r="E86" i="290"/>
  <c r="F85" i="290"/>
  <c r="E85" i="290"/>
  <c r="F84" i="290"/>
  <c r="E84" i="290"/>
  <c r="F83" i="290"/>
  <c r="E83" i="290"/>
  <c r="F82" i="290"/>
  <c r="G82" i="290" s="1"/>
  <c r="E82" i="290"/>
  <c r="F81" i="290"/>
  <c r="E81" i="290"/>
  <c r="F80" i="290"/>
  <c r="E80" i="290"/>
  <c r="F79" i="290"/>
  <c r="E79" i="290"/>
  <c r="F78" i="290"/>
  <c r="E78" i="290"/>
  <c r="F77" i="290"/>
  <c r="E77" i="290"/>
  <c r="F76" i="290"/>
  <c r="E76" i="290"/>
  <c r="F75" i="290"/>
  <c r="E75" i="290"/>
  <c r="F74" i="290"/>
  <c r="E74" i="290"/>
  <c r="F73" i="290"/>
  <c r="E73" i="290"/>
  <c r="F72" i="290"/>
  <c r="E72" i="290"/>
  <c r="F71" i="290"/>
  <c r="E71" i="290"/>
  <c r="F70" i="290"/>
  <c r="G70" i="290" s="1"/>
  <c r="E70" i="290"/>
  <c r="F69" i="290"/>
  <c r="E69" i="290"/>
  <c r="F68" i="290"/>
  <c r="E68" i="290"/>
  <c r="F67" i="290"/>
  <c r="E67" i="290"/>
  <c r="F66" i="290"/>
  <c r="G78" i="290" s="1"/>
  <c r="E66" i="290"/>
  <c r="F65" i="290"/>
  <c r="E65" i="290"/>
  <c r="F64" i="290"/>
  <c r="E64" i="290"/>
  <c r="F63" i="290"/>
  <c r="E63" i="290"/>
  <c r="F62" i="290"/>
  <c r="G62" i="290" s="1"/>
  <c r="E62" i="290"/>
  <c r="F61" i="290"/>
  <c r="E61" i="290"/>
  <c r="F60" i="290"/>
  <c r="E60" i="290"/>
  <c r="F59" i="290"/>
  <c r="E59" i="290"/>
  <c r="F58" i="290"/>
  <c r="E58" i="290"/>
  <c r="F57" i="290"/>
  <c r="E57" i="290"/>
  <c r="F56" i="290"/>
  <c r="E56" i="290"/>
  <c r="F55" i="290"/>
  <c r="E55" i="290"/>
  <c r="F54" i="290"/>
  <c r="E54" i="290"/>
  <c r="F53" i="290"/>
  <c r="E53" i="290"/>
  <c r="F52" i="290"/>
  <c r="E52" i="290"/>
  <c r="F51" i="290"/>
  <c r="E51" i="290"/>
  <c r="F50" i="290"/>
  <c r="E50" i="290"/>
  <c r="F49" i="290"/>
  <c r="E49" i="290"/>
  <c r="F48" i="290"/>
  <c r="E48" i="290"/>
  <c r="F47" i="290"/>
  <c r="E47" i="290"/>
  <c r="F46" i="290"/>
  <c r="E46" i="290"/>
  <c r="F45" i="290"/>
  <c r="E45" i="290"/>
  <c r="F44" i="290"/>
  <c r="E44" i="290"/>
  <c r="F43" i="290"/>
  <c r="E43" i="290"/>
  <c r="F42" i="290"/>
  <c r="E42" i="290"/>
  <c r="F41" i="290"/>
  <c r="E41" i="290"/>
  <c r="F40" i="290"/>
  <c r="E40" i="290"/>
  <c r="F39" i="290"/>
  <c r="E39" i="290"/>
  <c r="F38" i="290"/>
  <c r="E38" i="290"/>
  <c r="F37" i="290"/>
  <c r="E37" i="290"/>
  <c r="F36" i="290"/>
  <c r="E36" i="290"/>
  <c r="F35" i="290"/>
  <c r="E35" i="290"/>
  <c r="F34" i="290"/>
  <c r="E34" i="290"/>
  <c r="F33" i="290"/>
  <c r="E33" i="290"/>
  <c r="F32" i="290"/>
  <c r="E32" i="290"/>
  <c r="F31" i="290"/>
  <c r="E31" i="290"/>
  <c r="F30" i="290"/>
  <c r="G30" i="290" s="1"/>
  <c r="E30" i="290"/>
  <c r="F29" i="290"/>
  <c r="E29" i="290"/>
  <c r="F28" i="290"/>
  <c r="E28" i="290"/>
  <c r="F27" i="290"/>
  <c r="E27" i="290"/>
  <c r="F26" i="290"/>
  <c r="E26" i="290"/>
  <c r="F25" i="290"/>
  <c r="E25" i="290"/>
  <c r="F24" i="290"/>
  <c r="E24" i="290"/>
  <c r="F23" i="290"/>
  <c r="E23" i="290"/>
  <c r="F22" i="290"/>
  <c r="G22" i="290" s="1"/>
  <c r="E22" i="290"/>
  <c r="F21" i="290"/>
  <c r="E21" i="290"/>
  <c r="F20" i="290"/>
  <c r="E20" i="290"/>
  <c r="F19" i="290"/>
  <c r="E19" i="290"/>
  <c r="F18" i="290"/>
  <c r="E18" i="290"/>
  <c r="F17" i="290"/>
  <c r="E17" i="290"/>
  <c r="F16" i="290"/>
  <c r="E16" i="290"/>
  <c r="F15" i="290"/>
  <c r="E15" i="290"/>
  <c r="F14" i="290"/>
  <c r="E14" i="290"/>
  <c r="F13" i="290"/>
  <c r="E13" i="290"/>
  <c r="F12" i="290"/>
  <c r="E12" i="290"/>
  <c r="F11" i="290"/>
  <c r="E11" i="290"/>
  <c r="F10" i="290"/>
  <c r="E10" i="290"/>
  <c r="F9" i="290"/>
  <c r="E9" i="290"/>
  <c r="F8" i="290"/>
  <c r="E8" i="290"/>
  <c r="F7" i="290"/>
  <c r="E7" i="290"/>
  <c r="F6" i="290"/>
  <c r="E6" i="290"/>
  <c r="F5" i="290"/>
  <c r="G17" i="290" s="1"/>
  <c r="F178" i="290" s="1"/>
  <c r="E5" i="290"/>
  <c r="EV31" i="278"/>
  <c r="G119" i="290"/>
  <c r="G57" i="290"/>
  <c r="G109" i="290"/>
  <c r="G97" i="290"/>
  <c r="G18" i="290"/>
  <c r="G26" i="290"/>
  <c r="DY27" i="278"/>
  <c r="DX27" i="278"/>
  <c r="DW27" i="278"/>
  <c r="DV27" i="278"/>
  <c r="DU27" i="278"/>
  <c r="DT27" i="278"/>
  <c r="DS27" i="278"/>
  <c r="DR27" i="278"/>
  <c r="DQ27" i="278"/>
  <c r="DP27" i="278"/>
  <c r="DO27" i="278"/>
  <c r="DN27" i="278"/>
  <c r="DM27" i="278"/>
  <c r="DL27" i="278"/>
  <c r="DK27" i="278"/>
  <c r="DJ27" i="278"/>
  <c r="DI27" i="278"/>
  <c r="DH27" i="278"/>
  <c r="DG27" i="278"/>
  <c r="DF27" i="278"/>
  <c r="DE27" i="278"/>
  <c r="DD27" i="278"/>
  <c r="DC27" i="278"/>
  <c r="DB27" i="278"/>
  <c r="DA27" i="278"/>
  <c r="CZ27" i="278"/>
  <c r="CY27" i="278"/>
  <c r="CX27" i="278"/>
  <c r="CW27" i="278"/>
  <c r="CV27" i="278"/>
  <c r="CU27" i="278"/>
  <c r="CT27" i="278"/>
  <c r="CS27" i="278"/>
  <c r="CR27" i="278"/>
  <c r="CQ27" i="278"/>
  <c r="CP27" i="278"/>
  <c r="CO27" i="278"/>
  <c r="CN27" i="278"/>
  <c r="CM27" i="278"/>
  <c r="CL27" i="278"/>
  <c r="CK27" i="278"/>
  <c r="CJ27" i="278"/>
  <c r="CI27" i="278"/>
  <c r="CH27" i="278"/>
  <c r="CG27" i="278"/>
  <c r="CF27" i="278"/>
  <c r="CE27" i="278"/>
  <c r="CD27" i="278"/>
  <c r="CC27" i="278"/>
  <c r="CB27" i="278"/>
  <c r="CA27" i="278"/>
  <c r="BZ27" i="278"/>
  <c r="BY27" i="278"/>
  <c r="BX27" i="278"/>
  <c r="BW27" i="278"/>
  <c r="BV27" i="278"/>
  <c r="BU27" i="278"/>
  <c r="BT27" i="278"/>
  <c r="BS27" i="278"/>
  <c r="BR27" i="278"/>
  <c r="BQ27" i="278"/>
  <c r="BP27" i="278"/>
  <c r="BO27" i="278"/>
  <c r="BN27" i="278"/>
  <c r="BM27" i="278"/>
  <c r="BL27" i="278"/>
  <c r="BK27" i="278"/>
  <c r="BJ27" i="278"/>
  <c r="BI27" i="278"/>
  <c r="BH27" i="278"/>
  <c r="BG27" i="278"/>
  <c r="BF27" i="278"/>
  <c r="BE27" i="278"/>
  <c r="BD27" i="278"/>
  <c r="BC27" i="278"/>
  <c r="BB27" i="278"/>
  <c r="BA27" i="278"/>
  <c r="AZ27" i="278"/>
  <c r="AY27" i="278"/>
  <c r="AX27" i="278"/>
  <c r="AW27" i="278"/>
  <c r="AV27" i="278"/>
  <c r="DY26" i="278"/>
  <c r="DX26" i="278"/>
  <c r="DX22" i="278" s="1"/>
  <c r="DW26" i="278"/>
  <c r="DV26" i="278"/>
  <c r="DU26" i="278"/>
  <c r="DT26" i="278"/>
  <c r="DS26" i="278"/>
  <c r="DR26" i="278"/>
  <c r="DQ26" i="278"/>
  <c r="DP26" i="278"/>
  <c r="DP22" i="278" s="1"/>
  <c r="DO26" i="278"/>
  <c r="DO22" i="278" s="1"/>
  <c r="DN26" i="278"/>
  <c r="DM26" i="278"/>
  <c r="DL26" i="278"/>
  <c r="DK26" i="278"/>
  <c r="DJ26" i="278"/>
  <c r="DI26" i="278"/>
  <c r="DH26" i="278"/>
  <c r="DG26" i="278"/>
  <c r="DF26" i="278"/>
  <c r="DE26" i="278"/>
  <c r="DD26" i="278"/>
  <c r="DC26" i="278"/>
  <c r="DB26" i="278"/>
  <c r="DA26" i="278"/>
  <c r="CZ26" i="278"/>
  <c r="CY26" i="278"/>
  <c r="CX26" i="278"/>
  <c r="CW26" i="278"/>
  <c r="CV26" i="278"/>
  <c r="CU26" i="278"/>
  <c r="CT26" i="278"/>
  <c r="CS26" i="278"/>
  <c r="CR26" i="278"/>
  <c r="CQ26" i="278"/>
  <c r="CP26" i="278"/>
  <c r="CO26" i="278"/>
  <c r="CN26" i="278"/>
  <c r="CM26" i="278"/>
  <c r="CL26" i="278"/>
  <c r="CK26" i="278"/>
  <c r="CJ26" i="278"/>
  <c r="CI26" i="278"/>
  <c r="CH26" i="278"/>
  <c r="CG26" i="278"/>
  <c r="CF26" i="278"/>
  <c r="CE26" i="278"/>
  <c r="CD26" i="278"/>
  <c r="CC26" i="278"/>
  <c r="CB26" i="278"/>
  <c r="CA26" i="278"/>
  <c r="BZ26" i="278"/>
  <c r="BY26" i="278"/>
  <c r="BX26" i="278"/>
  <c r="BW26" i="278"/>
  <c r="BV26" i="278"/>
  <c r="BU26" i="278"/>
  <c r="BT26" i="278"/>
  <c r="BT22" i="278" s="1"/>
  <c r="BS26" i="278"/>
  <c r="BR26" i="278"/>
  <c r="BQ26" i="278"/>
  <c r="BP26" i="278"/>
  <c r="BO26" i="278"/>
  <c r="BN26" i="278"/>
  <c r="BM26" i="278"/>
  <c r="BL26" i="278"/>
  <c r="BK26" i="278"/>
  <c r="BJ26" i="278"/>
  <c r="BI26" i="278"/>
  <c r="BH26" i="278"/>
  <c r="BG26" i="278"/>
  <c r="BF26" i="278"/>
  <c r="BE26" i="278"/>
  <c r="BD26" i="278"/>
  <c r="BC26" i="278"/>
  <c r="BB26" i="278"/>
  <c r="BA26" i="278"/>
  <c r="AZ26" i="278"/>
  <c r="AY26" i="278"/>
  <c r="AX26" i="278"/>
  <c r="AW26" i="278"/>
  <c r="AV26" i="278"/>
  <c r="DY25" i="278"/>
  <c r="DX25" i="278"/>
  <c r="DW25" i="278"/>
  <c r="DV25" i="278"/>
  <c r="DU25" i="278"/>
  <c r="DT25" i="278"/>
  <c r="DS25" i="278"/>
  <c r="DR25" i="278"/>
  <c r="DQ25" i="278"/>
  <c r="DQ22" i="278" s="1"/>
  <c r="DP25" i="278"/>
  <c r="DO25" i="278"/>
  <c r="DN25" i="278"/>
  <c r="DM25" i="278"/>
  <c r="DL25" i="278"/>
  <c r="DK25" i="278"/>
  <c r="DJ25" i="278"/>
  <c r="DI25" i="278"/>
  <c r="DH25" i="278"/>
  <c r="DG25" i="278"/>
  <c r="DF25" i="278"/>
  <c r="DE25" i="278"/>
  <c r="DD25" i="278"/>
  <c r="DC25" i="278"/>
  <c r="DB25" i="278"/>
  <c r="DA25" i="278"/>
  <c r="CZ25" i="278"/>
  <c r="CY25" i="278"/>
  <c r="CX25" i="278"/>
  <c r="CW25" i="278"/>
  <c r="CV25" i="278"/>
  <c r="CU25" i="278"/>
  <c r="CT25" i="278"/>
  <c r="CS25" i="278"/>
  <c r="CR25" i="278"/>
  <c r="CQ25" i="278"/>
  <c r="CP25" i="278"/>
  <c r="CO25" i="278"/>
  <c r="CN25" i="278"/>
  <c r="CM25" i="278"/>
  <c r="CL25" i="278"/>
  <c r="CK25" i="278"/>
  <c r="CJ25" i="278"/>
  <c r="CI25" i="278"/>
  <c r="CH25" i="278"/>
  <c r="CG25" i="278"/>
  <c r="CF25" i="278"/>
  <c r="CE25" i="278"/>
  <c r="CD25" i="278"/>
  <c r="CC25" i="278"/>
  <c r="CB25" i="278"/>
  <c r="CA25" i="278"/>
  <c r="BZ25" i="278"/>
  <c r="BY25" i="278"/>
  <c r="BX25" i="278"/>
  <c r="BW25" i="278"/>
  <c r="BV25" i="278"/>
  <c r="BU25" i="278"/>
  <c r="BT25" i="278"/>
  <c r="BS25" i="278"/>
  <c r="BR25" i="278"/>
  <c r="BQ25" i="278"/>
  <c r="BP25" i="278"/>
  <c r="BO25" i="278"/>
  <c r="BN25" i="278"/>
  <c r="BM25" i="278"/>
  <c r="BL25" i="278"/>
  <c r="BK25" i="278"/>
  <c r="BJ25" i="278"/>
  <c r="BI25" i="278"/>
  <c r="BH25" i="278"/>
  <c r="BG25" i="278"/>
  <c r="BF25" i="278"/>
  <c r="BE25" i="278"/>
  <c r="BD25" i="278"/>
  <c r="BC25" i="278"/>
  <c r="BB25" i="278"/>
  <c r="BA25" i="278"/>
  <c r="AZ25" i="278"/>
  <c r="AY25" i="278"/>
  <c r="AX25" i="278"/>
  <c r="AW25" i="278"/>
  <c r="AV25" i="278"/>
  <c r="DY24" i="278"/>
  <c r="DX24" i="278"/>
  <c r="DW24" i="278"/>
  <c r="DV24" i="278"/>
  <c r="DU24" i="278"/>
  <c r="DT24" i="278"/>
  <c r="DT22" i="278" s="1"/>
  <c r="DS24" i="278"/>
  <c r="DR24" i="278"/>
  <c r="DQ24" i="278"/>
  <c r="DP24" i="278"/>
  <c r="DO24" i="278"/>
  <c r="DN24" i="278"/>
  <c r="DM24" i="278"/>
  <c r="DL24" i="278"/>
  <c r="DK24" i="278"/>
  <c r="DJ24" i="278"/>
  <c r="DI24" i="278"/>
  <c r="DH24" i="278"/>
  <c r="DG24" i="278"/>
  <c r="DF24" i="278"/>
  <c r="DE24" i="278"/>
  <c r="DD24" i="278"/>
  <c r="DC24" i="278"/>
  <c r="DB24" i="278"/>
  <c r="DA24" i="278"/>
  <c r="CZ24" i="278"/>
  <c r="CY24" i="278"/>
  <c r="CX24" i="278"/>
  <c r="CW24" i="278"/>
  <c r="CV24" i="278"/>
  <c r="CU24" i="278"/>
  <c r="CT24" i="278"/>
  <c r="CS24" i="278"/>
  <c r="CR24" i="278"/>
  <c r="CQ24" i="278"/>
  <c r="CP24" i="278"/>
  <c r="CO24" i="278"/>
  <c r="CN24" i="278"/>
  <c r="CM24" i="278"/>
  <c r="CL24" i="278"/>
  <c r="CK24" i="278"/>
  <c r="CJ24" i="278"/>
  <c r="CI24" i="278"/>
  <c r="CH24" i="278"/>
  <c r="CG24" i="278"/>
  <c r="CF24" i="278"/>
  <c r="CE24" i="278"/>
  <c r="CD24" i="278"/>
  <c r="CC24" i="278"/>
  <c r="CB24" i="278"/>
  <c r="CA24" i="278"/>
  <c r="BZ24" i="278"/>
  <c r="BY24" i="278"/>
  <c r="BX24" i="278"/>
  <c r="BW24" i="278"/>
  <c r="BW22" i="278" s="1"/>
  <c r="BV24" i="278"/>
  <c r="BU24" i="278"/>
  <c r="BT24" i="278"/>
  <c r="BS24" i="278"/>
  <c r="BR24" i="278"/>
  <c r="BQ24" i="278"/>
  <c r="BP24" i="278"/>
  <c r="BP22" i="278" s="1"/>
  <c r="BO24" i="278"/>
  <c r="BN24" i="278"/>
  <c r="BM24" i="278"/>
  <c r="BL24" i="278"/>
  <c r="BK24" i="278"/>
  <c r="BJ24" i="278"/>
  <c r="BI24" i="278"/>
  <c r="BH24" i="278"/>
  <c r="BG24" i="278"/>
  <c r="BF24" i="278"/>
  <c r="BE24" i="278"/>
  <c r="BD24" i="278"/>
  <c r="BC24" i="278"/>
  <c r="BB24" i="278"/>
  <c r="BA24" i="278"/>
  <c r="AZ24" i="278"/>
  <c r="AY24" i="278"/>
  <c r="AX24" i="278"/>
  <c r="AW24" i="278"/>
  <c r="AV24" i="278"/>
  <c r="AU22" i="278"/>
  <c r="AU5" i="278"/>
  <c r="AU20" i="278"/>
  <c r="AT22" i="278"/>
  <c r="AT5" i="278"/>
  <c r="AT20" i="278" s="1"/>
  <c r="AS22" i="278"/>
  <c r="AS5" i="278" s="1"/>
  <c r="AS20" i="278" s="1"/>
  <c r="AR22" i="278"/>
  <c r="AR5" i="278"/>
  <c r="AR20" i="278"/>
  <c r="AQ22" i="278"/>
  <c r="AQ5" i="278"/>
  <c r="AQ20" i="278" s="1"/>
  <c r="AP22" i="278"/>
  <c r="AP5" i="278"/>
  <c r="AP20" i="278"/>
  <c r="AO22" i="278"/>
  <c r="AO5" i="278"/>
  <c r="AO20" i="278" s="1"/>
  <c r="AN22" i="278"/>
  <c r="AN5" i="278"/>
  <c r="AN20" i="278" s="1"/>
  <c r="AM22" i="278"/>
  <c r="AM5" i="278" s="1"/>
  <c r="AM20" i="278" s="1"/>
  <c r="AL22" i="278"/>
  <c r="AL5" i="278"/>
  <c r="AL20" i="278" s="1"/>
  <c r="AK22" i="278"/>
  <c r="AK5" i="278" s="1"/>
  <c r="AK20" i="278" s="1"/>
  <c r="AJ22" i="278"/>
  <c r="AJ5" i="278"/>
  <c r="AJ20" i="278" s="1"/>
  <c r="AI22" i="278"/>
  <c r="AI5" i="278" s="1"/>
  <c r="AI20" i="278" s="1"/>
  <c r="AH22" i="278"/>
  <c r="AH5" i="278" s="1"/>
  <c r="AH20" i="278" s="1"/>
  <c r="AG22" i="278"/>
  <c r="AG5" i="278"/>
  <c r="AG20" i="278"/>
  <c r="AF22" i="278"/>
  <c r="AF5" i="278" s="1"/>
  <c r="AF20" i="278" s="1"/>
  <c r="AE22" i="278"/>
  <c r="AE5" i="278" s="1"/>
  <c r="AE20" i="278" s="1"/>
  <c r="AD22" i="278"/>
  <c r="AD5" i="278"/>
  <c r="AD20" i="278" s="1"/>
  <c r="AC22" i="278"/>
  <c r="AC5" i="278" s="1"/>
  <c r="AC20" i="278" s="1"/>
  <c r="AB22" i="278"/>
  <c r="AB5" i="278"/>
  <c r="AB20" i="278" s="1"/>
  <c r="AA22" i="278"/>
  <c r="AA5" i="278" s="1"/>
  <c r="AA20" i="278" s="1"/>
  <c r="Z22" i="278"/>
  <c r="Z5" i="278"/>
  <c r="Z20" i="278" s="1"/>
  <c r="Y22" i="278"/>
  <c r="Y5" i="278"/>
  <c r="Y20" i="278"/>
  <c r="X22" i="278"/>
  <c r="X5" i="278"/>
  <c r="X20" i="278" s="1"/>
  <c r="W22" i="278"/>
  <c r="W5" i="278" s="1"/>
  <c r="W20" i="278"/>
  <c r="V22" i="278"/>
  <c r="V5" i="278" s="1"/>
  <c r="V20" i="278" s="1"/>
  <c r="U22" i="278"/>
  <c r="U5" i="278" s="1"/>
  <c r="U20" i="278" s="1"/>
  <c r="T22" i="278"/>
  <c r="T5" i="278" s="1"/>
  <c r="T20" i="278"/>
  <c r="S22" i="278"/>
  <c r="S5" i="278"/>
  <c r="S20" i="278" s="1"/>
  <c r="R22" i="278"/>
  <c r="R5" i="278" s="1"/>
  <c r="R20" i="278" s="1"/>
  <c r="Q22" i="278"/>
  <c r="Q5" i="278"/>
  <c r="Q20" i="278"/>
  <c r="P22" i="278"/>
  <c r="P5" i="278"/>
  <c r="P20" i="278" s="1"/>
  <c r="O22" i="278"/>
  <c r="O5" i="278"/>
  <c r="O20" i="278" s="1"/>
  <c r="N22" i="278"/>
  <c r="N5" i="278"/>
  <c r="N20" i="278" s="1"/>
  <c r="M22" i="278"/>
  <c r="M5" i="278" s="1"/>
  <c r="M20" i="278"/>
  <c r="L22" i="278"/>
  <c r="L5" i="278"/>
  <c r="L20" i="278" s="1"/>
  <c r="K22" i="278"/>
  <c r="K5" i="278"/>
  <c r="K20" i="278" s="1"/>
  <c r="J22" i="278"/>
  <c r="J5" i="278"/>
  <c r="J20" i="278"/>
  <c r="I22" i="278"/>
  <c r="I5" i="278" s="1"/>
  <c r="I20" i="278" s="1"/>
  <c r="H22" i="278"/>
  <c r="H5" i="278"/>
  <c r="H20" i="278" s="1"/>
  <c r="G22" i="278"/>
  <c r="G5" i="278" s="1"/>
  <c r="G20" i="278" s="1"/>
  <c r="F22" i="278"/>
  <c r="F5" i="278"/>
  <c r="F20" i="278" s="1"/>
  <c r="E22" i="278"/>
  <c r="E5" i="278" s="1"/>
  <c r="E20" i="278"/>
  <c r="D22" i="278"/>
  <c r="D5" i="278" s="1"/>
  <c r="D20" i="278" s="1"/>
  <c r="DY14" i="278"/>
  <c r="DX14" i="278"/>
  <c r="DW14" i="278"/>
  <c r="DV14" i="278"/>
  <c r="DU14" i="278"/>
  <c r="DT14" i="278"/>
  <c r="DS14" i="278"/>
  <c r="DR14" i="278"/>
  <c r="DQ14" i="278"/>
  <c r="DP14" i="278"/>
  <c r="EB37" i="278" s="1"/>
  <c r="DO14" i="278"/>
  <c r="DN14" i="278"/>
  <c r="DM14" i="278"/>
  <c r="DL14" i="278"/>
  <c r="DK14" i="278"/>
  <c r="DW37" i="278" s="1"/>
  <c r="DJ14" i="278"/>
  <c r="DI14" i="278"/>
  <c r="DH14" i="278"/>
  <c r="DT32" i="278" s="1"/>
  <c r="DG14" i="278"/>
  <c r="DF14" i="278"/>
  <c r="DE14" i="278"/>
  <c r="DD14" i="278"/>
  <c r="DC14" i="278"/>
  <c r="DC37" i="278" s="1"/>
  <c r="DB14" i="278"/>
  <c r="DA14" i="278"/>
  <c r="DA20" i="278" s="1"/>
  <c r="CZ14" i="278"/>
  <c r="CY14" i="278"/>
  <c r="CX14" i="278"/>
  <c r="CW14" i="278"/>
  <c r="CV14" i="278"/>
  <c r="CU14" i="278"/>
  <c r="DG37" i="278" s="1"/>
  <c r="CT14" i="278"/>
  <c r="DF32" i="278" s="1"/>
  <c r="CS14" i="278"/>
  <c r="CR14" i="278"/>
  <c r="CR20" i="278" s="1"/>
  <c r="CQ14" i="278"/>
  <c r="CP14" i="278"/>
  <c r="CO14" i="278"/>
  <c r="CN14" i="278"/>
  <c r="CM14" i="278"/>
  <c r="CL14" i="278"/>
  <c r="CK14" i="278"/>
  <c r="CJ14" i="278"/>
  <c r="CI14" i="278"/>
  <c r="CH14" i="278"/>
  <c r="CG14" i="278"/>
  <c r="CF14" i="278"/>
  <c r="CE14" i="278"/>
  <c r="CE37" i="278" s="1"/>
  <c r="CD14" i="278"/>
  <c r="CP37" i="278" s="1"/>
  <c r="CC14" i="278"/>
  <c r="CB14" i="278"/>
  <c r="CB20" i="278" s="1"/>
  <c r="CA14" i="278"/>
  <c r="BZ14" i="278"/>
  <c r="BY14" i="278"/>
  <c r="BX14" i="278"/>
  <c r="BW14" i="278"/>
  <c r="BV14" i="278"/>
  <c r="BU14" i="278"/>
  <c r="BT14" i="278"/>
  <c r="BS14" i="278"/>
  <c r="BR14" i="278"/>
  <c r="BQ14" i="278"/>
  <c r="BP14" i="278"/>
  <c r="CB37" i="278" s="1"/>
  <c r="BO14" i="278"/>
  <c r="CA37" i="278" s="1"/>
  <c r="BN14" i="278"/>
  <c r="BN37" i="278" s="1"/>
  <c r="BM14" i="278"/>
  <c r="BL14" i="278"/>
  <c r="BK14" i="278"/>
  <c r="BJ14" i="278"/>
  <c r="BI14" i="278"/>
  <c r="BH14" i="278"/>
  <c r="BG14" i="278"/>
  <c r="BF14" i="278"/>
  <c r="BE14" i="278"/>
  <c r="BD14" i="278"/>
  <c r="BC14" i="278"/>
  <c r="BB14" i="278"/>
  <c r="BA14" i="278"/>
  <c r="AZ14" i="278"/>
  <c r="AY14" i="278"/>
  <c r="AX14" i="278"/>
  <c r="AW14" i="278"/>
  <c r="DY6" i="278"/>
  <c r="DY5" i="278" s="1"/>
  <c r="DX6" i="278"/>
  <c r="DW6" i="278"/>
  <c r="DV6" i="278"/>
  <c r="DU6" i="278"/>
  <c r="DU36" i="278" s="1"/>
  <c r="DT6" i="278"/>
  <c r="DS6" i="278"/>
  <c r="DS5" i="278" s="1"/>
  <c r="EE32" i="278" s="1"/>
  <c r="DR6" i="278"/>
  <c r="DQ6" i="278"/>
  <c r="EC31" i="278" s="1"/>
  <c r="DP6" i="278"/>
  <c r="DO6" i="278"/>
  <c r="DN6" i="278"/>
  <c r="DZ36" i="278" s="1"/>
  <c r="DM6" i="278"/>
  <c r="DK6" i="278"/>
  <c r="DJ6" i="278"/>
  <c r="DJ5" i="278" s="1"/>
  <c r="DI6" i="278"/>
  <c r="DU31" i="278" s="1"/>
  <c r="DH6" i="278"/>
  <c r="DH5" i="278" s="1"/>
  <c r="DG6" i="278"/>
  <c r="DF6" i="278"/>
  <c r="DE6" i="278"/>
  <c r="DD6" i="278"/>
  <c r="DD5" i="278" s="1"/>
  <c r="DC6" i="278"/>
  <c r="DB6" i="278"/>
  <c r="DA6" i="278"/>
  <c r="CZ6" i="278"/>
  <c r="CZ5" i="278" s="1"/>
  <c r="CY6" i="278"/>
  <c r="CX6" i="278"/>
  <c r="CW6" i="278"/>
  <c r="CV6" i="278"/>
  <c r="CV36" i="278" s="1"/>
  <c r="CV41" i="278" s="1"/>
  <c r="CU6" i="278"/>
  <c r="DG36" i="278" s="1"/>
  <c r="CT6" i="278"/>
  <c r="CT5" i="278" s="1"/>
  <c r="CS6" i="278"/>
  <c r="CR6" i="278"/>
  <c r="CR5" i="278" s="1"/>
  <c r="DD32" i="278" s="1"/>
  <c r="CQ6" i="278"/>
  <c r="CP6" i="278"/>
  <c r="CO6" i="278"/>
  <c r="CN6" i="278"/>
  <c r="CM6" i="278"/>
  <c r="CL6" i="278"/>
  <c r="CK6" i="278"/>
  <c r="CJ6" i="278"/>
  <c r="CI6" i="278"/>
  <c r="CH6" i="278"/>
  <c r="CG6" i="278"/>
  <c r="CF6" i="278"/>
  <c r="CE6" i="278"/>
  <c r="CQ36" i="278" s="1"/>
  <c r="CD6" i="278"/>
  <c r="CC6" i="278"/>
  <c r="CB6" i="278"/>
  <c r="CA6" i="278"/>
  <c r="BZ6" i="278"/>
  <c r="BY6" i="278"/>
  <c r="BX6" i="278"/>
  <c r="BW6" i="278"/>
  <c r="BW5" i="278" s="1"/>
  <c r="BW35" i="278" s="1"/>
  <c r="BV6" i="278"/>
  <c r="BU6" i="278"/>
  <c r="BT6" i="278"/>
  <c r="BT5" i="278" s="1"/>
  <c r="BS6" i="278"/>
  <c r="BR6" i="278"/>
  <c r="BQ6" i="278"/>
  <c r="BP6" i="278"/>
  <c r="BP5" i="278" s="1"/>
  <c r="BP35" i="278" s="1"/>
  <c r="BO6" i="278"/>
  <c r="BN6" i="278"/>
  <c r="BM6" i="278"/>
  <c r="BM5" i="278" s="1"/>
  <c r="BL6" i="278"/>
  <c r="BK6" i="278"/>
  <c r="BJ6" i="278"/>
  <c r="BI6" i="278"/>
  <c r="BH6" i="278"/>
  <c r="BG6" i="278"/>
  <c r="BF6" i="278"/>
  <c r="BE6" i="278"/>
  <c r="BE5" i="278" s="1"/>
  <c r="BD6" i="278"/>
  <c r="BD5" i="278" s="1"/>
  <c r="BC6" i="278"/>
  <c r="BB6" i="278"/>
  <c r="BA6" i="278"/>
  <c r="AZ6" i="278"/>
  <c r="AY6" i="278"/>
  <c r="AX6" i="278"/>
  <c r="AW6" i="278"/>
  <c r="AW5" i="278" s="1"/>
  <c r="BI31" i="278" s="1"/>
  <c r="DK35" i="277"/>
  <c r="CU35" i="277"/>
  <c r="CE35" i="277"/>
  <c r="DY26" i="277"/>
  <c r="DX26" i="277"/>
  <c r="DW26" i="277"/>
  <c r="DV26" i="277"/>
  <c r="DU26" i="277"/>
  <c r="DT26" i="277"/>
  <c r="DS26" i="277"/>
  <c r="DR26" i="277"/>
  <c r="DQ26" i="277"/>
  <c r="DP26" i="277"/>
  <c r="DO26" i="277"/>
  <c r="DN26" i="277"/>
  <c r="DM26" i="277"/>
  <c r="DL26" i="277"/>
  <c r="DK26" i="277"/>
  <c r="DJ26" i="277"/>
  <c r="DI26" i="277"/>
  <c r="DH26" i="277"/>
  <c r="DG26" i="277"/>
  <c r="DF26" i="277"/>
  <c r="DE26" i="277"/>
  <c r="DD26" i="277"/>
  <c r="DC26" i="277"/>
  <c r="DB26" i="277"/>
  <c r="DA26" i="277"/>
  <c r="CZ26" i="277"/>
  <c r="CY26" i="277"/>
  <c r="CX26" i="277"/>
  <c r="CW26" i="277"/>
  <c r="CV26" i="277"/>
  <c r="CU26" i="277"/>
  <c r="CT26" i="277"/>
  <c r="CS26" i="277"/>
  <c r="CR26" i="277"/>
  <c r="CQ26" i="277"/>
  <c r="CP26" i="277"/>
  <c r="CO26" i="277"/>
  <c r="CN26" i="277"/>
  <c r="CM26" i="277"/>
  <c r="CL26" i="277"/>
  <c r="CK26" i="277"/>
  <c r="CJ26" i="277"/>
  <c r="CI26" i="277"/>
  <c r="CH26" i="277"/>
  <c r="CG26" i="277"/>
  <c r="CF26" i="277"/>
  <c r="CE26" i="277"/>
  <c r="CD26" i="277"/>
  <c r="CC26" i="277"/>
  <c r="CB26" i="277"/>
  <c r="CA26" i="277"/>
  <c r="BZ26" i="277"/>
  <c r="BY26" i="277"/>
  <c r="BX26" i="277"/>
  <c r="BW26" i="277"/>
  <c r="BV26" i="277"/>
  <c r="BU26" i="277"/>
  <c r="BT26" i="277"/>
  <c r="BS26" i="277"/>
  <c r="BR26" i="277"/>
  <c r="BQ26" i="277"/>
  <c r="BP26" i="277"/>
  <c r="BO26" i="277"/>
  <c r="BN26" i="277"/>
  <c r="BM26" i="277"/>
  <c r="BL26" i="277"/>
  <c r="BK26" i="277"/>
  <c r="BJ26" i="277"/>
  <c r="BI26" i="277"/>
  <c r="BH26" i="277"/>
  <c r="BG26" i="277"/>
  <c r="BF26" i="277"/>
  <c r="BE26" i="277"/>
  <c r="BD26" i="277"/>
  <c r="BC26" i="277"/>
  <c r="BB26" i="277"/>
  <c r="BA26" i="277"/>
  <c r="AZ26" i="277"/>
  <c r="AY26" i="277"/>
  <c r="AX26" i="277"/>
  <c r="AW26" i="277"/>
  <c r="AV26" i="277"/>
  <c r="DY25" i="277"/>
  <c r="DX25" i="277"/>
  <c r="DW25" i="277"/>
  <c r="DV25" i="277"/>
  <c r="DU25" i="277"/>
  <c r="DT25" i="277"/>
  <c r="DS25" i="277"/>
  <c r="DR25" i="277"/>
  <c r="DQ25" i="277"/>
  <c r="DP25" i="277"/>
  <c r="DO25" i="277"/>
  <c r="DN25" i="277"/>
  <c r="DM25" i="277"/>
  <c r="DL25" i="277"/>
  <c r="DK25" i="277"/>
  <c r="DJ25" i="277"/>
  <c r="DI25" i="277"/>
  <c r="DH25" i="277"/>
  <c r="DG25" i="277"/>
  <c r="DF25" i="277"/>
  <c r="DE25" i="277"/>
  <c r="DD25" i="277"/>
  <c r="DC25" i="277"/>
  <c r="DB25" i="277"/>
  <c r="DA25" i="277"/>
  <c r="CZ25" i="277"/>
  <c r="CY25" i="277"/>
  <c r="CX25" i="277"/>
  <c r="CW25" i="277"/>
  <c r="CV25" i="277"/>
  <c r="CU25" i="277"/>
  <c r="CT25" i="277"/>
  <c r="CS25" i="277"/>
  <c r="CR25" i="277"/>
  <c r="CQ25" i="277"/>
  <c r="CP25" i="277"/>
  <c r="CO25" i="277"/>
  <c r="CN25" i="277"/>
  <c r="CM25" i="277"/>
  <c r="CL25" i="277"/>
  <c r="CK25" i="277"/>
  <c r="CJ25" i="277"/>
  <c r="CI25" i="277"/>
  <c r="CH25" i="277"/>
  <c r="CG25" i="277"/>
  <c r="CF25" i="277"/>
  <c r="CE25" i="277"/>
  <c r="CD25" i="277"/>
  <c r="CC25" i="277"/>
  <c r="CB25" i="277"/>
  <c r="CA25" i="277"/>
  <c r="BZ25" i="277"/>
  <c r="BY25" i="277"/>
  <c r="BX25" i="277"/>
  <c r="BW25" i="277"/>
  <c r="BV25" i="277"/>
  <c r="BU25" i="277"/>
  <c r="BT25" i="277"/>
  <c r="BS25" i="277"/>
  <c r="BR25" i="277"/>
  <c r="BQ25" i="277"/>
  <c r="BP25" i="277"/>
  <c r="BO25" i="277"/>
  <c r="BN25" i="277"/>
  <c r="BM25" i="277"/>
  <c r="BL25" i="277"/>
  <c r="BK25" i="277"/>
  <c r="BJ25" i="277"/>
  <c r="BI25" i="277"/>
  <c r="BH25" i="277"/>
  <c r="BG25" i="277"/>
  <c r="BF25" i="277"/>
  <c r="BE25" i="277"/>
  <c r="BD25" i="277"/>
  <c r="BC25" i="277"/>
  <c r="BB25" i="277"/>
  <c r="BA25" i="277"/>
  <c r="AZ25" i="277"/>
  <c r="AY25" i="277"/>
  <c r="AX25" i="277"/>
  <c r="AW25" i="277"/>
  <c r="AV25" i="277"/>
  <c r="DY24" i="277"/>
  <c r="DY21" i="277"/>
  <c r="DX24" i="277"/>
  <c r="DW24" i="277"/>
  <c r="DV24" i="277"/>
  <c r="DU24" i="277"/>
  <c r="DU21" i="277"/>
  <c r="DT24" i="277"/>
  <c r="DS24" i="277"/>
  <c r="DR24" i="277"/>
  <c r="DQ24" i="277"/>
  <c r="DQ21" i="277"/>
  <c r="DP24" i="277"/>
  <c r="DO24" i="277"/>
  <c r="DN24" i="277"/>
  <c r="DM24" i="277"/>
  <c r="DM21" i="277"/>
  <c r="DL24" i="277"/>
  <c r="DK24" i="277"/>
  <c r="DJ24" i="277"/>
  <c r="DI24" i="277"/>
  <c r="DI21" i="277"/>
  <c r="DH24" i="277"/>
  <c r="DG24" i="277"/>
  <c r="DF24" i="277"/>
  <c r="DE24" i="277"/>
  <c r="DE21" i="277"/>
  <c r="DD24" i="277"/>
  <c r="DC24" i="277"/>
  <c r="DB24" i="277"/>
  <c r="DA24" i="277"/>
  <c r="DA21" i="277"/>
  <c r="CZ24" i="277"/>
  <c r="CY24" i="277"/>
  <c r="CX24" i="277"/>
  <c r="CW24" i="277"/>
  <c r="CW21" i="277"/>
  <c r="CV24" i="277"/>
  <c r="CU24" i="277"/>
  <c r="CT24" i="277"/>
  <c r="CS24" i="277"/>
  <c r="CS21" i="277"/>
  <c r="CR24" i="277"/>
  <c r="CQ24" i="277"/>
  <c r="CP24" i="277"/>
  <c r="CO24" i="277"/>
  <c r="CO21" i="277"/>
  <c r="CN24" i="277"/>
  <c r="CM24" i="277"/>
  <c r="CL24" i="277"/>
  <c r="CK24" i="277"/>
  <c r="CK21" i="277"/>
  <c r="CJ24" i="277"/>
  <c r="CI24" i="277"/>
  <c r="CH24" i="277"/>
  <c r="CG24" i="277"/>
  <c r="CG21" i="277"/>
  <c r="CF24" i="277"/>
  <c r="CE24" i="277"/>
  <c r="CD24" i="277"/>
  <c r="CC24" i="277"/>
  <c r="CC21" i="277"/>
  <c r="CB24" i="277"/>
  <c r="CA24" i="277"/>
  <c r="BZ24" i="277"/>
  <c r="BY24" i="277"/>
  <c r="BY21" i="277"/>
  <c r="BX24" i="277"/>
  <c r="BW24" i="277"/>
  <c r="BV24" i="277"/>
  <c r="BU24" i="277"/>
  <c r="BU21" i="277"/>
  <c r="BT24" i="277"/>
  <c r="BS24" i="277"/>
  <c r="BR24" i="277"/>
  <c r="BQ24" i="277"/>
  <c r="BQ21" i="277"/>
  <c r="BP24" i="277"/>
  <c r="BO24" i="277"/>
  <c r="BN24" i="277"/>
  <c r="BM24" i="277"/>
  <c r="BM21" i="277"/>
  <c r="BL24" i="277"/>
  <c r="BK24" i="277"/>
  <c r="BJ24" i="277"/>
  <c r="BI24" i="277"/>
  <c r="BI21" i="277"/>
  <c r="BH24" i="277"/>
  <c r="BG24" i="277"/>
  <c r="BF24" i="277"/>
  <c r="BE24" i="277"/>
  <c r="BE21" i="277"/>
  <c r="BD24" i="277"/>
  <c r="BC24" i="277"/>
  <c r="BB24" i="277"/>
  <c r="BA24" i="277"/>
  <c r="BA21" i="277"/>
  <c r="AZ24" i="277"/>
  <c r="AY24" i="277"/>
  <c r="AX24" i="277"/>
  <c r="AW24" i="277"/>
  <c r="AW21" i="277"/>
  <c r="AV24" i="277"/>
  <c r="DY23" i="277"/>
  <c r="DX23" i="277"/>
  <c r="DX21" i="277"/>
  <c r="DW23" i="277"/>
  <c r="DV23" i="277"/>
  <c r="DU23" i="277"/>
  <c r="DT23" i="277"/>
  <c r="DT21" i="277"/>
  <c r="DS23" i="277"/>
  <c r="DS21" i="277"/>
  <c r="DR23" i="277"/>
  <c r="DQ23" i="277"/>
  <c r="DP23" i="277"/>
  <c r="DP21" i="277"/>
  <c r="DO23" i="277"/>
  <c r="DN23" i="277"/>
  <c r="DM23" i="277"/>
  <c r="DL23" i="277"/>
  <c r="DL21" i="277"/>
  <c r="DK23" i="277"/>
  <c r="DK21" i="277"/>
  <c r="DJ23" i="277"/>
  <c r="DI23" i="277"/>
  <c r="DH23" i="277"/>
  <c r="DH21" i="277"/>
  <c r="DG23" i="277"/>
  <c r="DF23" i="277"/>
  <c r="DE23" i="277"/>
  <c r="DD23" i="277"/>
  <c r="DD21" i="277"/>
  <c r="DC23" i="277"/>
  <c r="DC21" i="277"/>
  <c r="DB23" i="277"/>
  <c r="DA23" i="277"/>
  <c r="CZ23" i="277"/>
  <c r="CZ21" i="277"/>
  <c r="CY23" i="277"/>
  <c r="CX23" i="277"/>
  <c r="CW23" i="277"/>
  <c r="CV23" i="277"/>
  <c r="CV21" i="277"/>
  <c r="CU23" i="277"/>
  <c r="CU21" i="277"/>
  <c r="CT23" i="277"/>
  <c r="CS23" i="277"/>
  <c r="CR23" i="277"/>
  <c r="CR21" i="277"/>
  <c r="CQ23" i="277"/>
  <c r="CP23" i="277"/>
  <c r="CO23" i="277"/>
  <c r="CN23" i="277"/>
  <c r="CN21" i="277"/>
  <c r="CM23" i="277"/>
  <c r="CM21" i="277"/>
  <c r="CL23" i="277"/>
  <c r="CK23" i="277"/>
  <c r="CJ23" i="277"/>
  <c r="CJ21" i="277"/>
  <c r="CI23" i="277"/>
  <c r="CH23" i="277"/>
  <c r="CG23" i="277"/>
  <c r="CF23" i="277"/>
  <c r="CF21" i="277"/>
  <c r="CE23" i="277"/>
  <c r="CE21" i="277"/>
  <c r="CD23" i="277"/>
  <c r="CC23" i="277"/>
  <c r="CB23" i="277"/>
  <c r="CB21" i="277"/>
  <c r="CA23" i="277"/>
  <c r="BZ23" i="277"/>
  <c r="BY23" i="277"/>
  <c r="BX23" i="277"/>
  <c r="BX21" i="277"/>
  <c r="BW23" i="277"/>
  <c r="BW21" i="277"/>
  <c r="BV23" i="277"/>
  <c r="BU23" i="277"/>
  <c r="BT23" i="277"/>
  <c r="BT21" i="277"/>
  <c r="BS23" i="277"/>
  <c r="BR23" i="277"/>
  <c r="BQ23" i="277"/>
  <c r="BP23" i="277"/>
  <c r="BP21" i="277"/>
  <c r="BO23" i="277"/>
  <c r="BO21" i="277"/>
  <c r="BN23" i="277"/>
  <c r="BM23" i="277"/>
  <c r="BL23" i="277"/>
  <c r="BL21" i="277"/>
  <c r="BK23" i="277"/>
  <c r="BJ23" i="277"/>
  <c r="BI23" i="277"/>
  <c r="BH23" i="277"/>
  <c r="BH21" i="277"/>
  <c r="BG23" i="277"/>
  <c r="BG21" i="277"/>
  <c r="BF23" i="277"/>
  <c r="BE23" i="277"/>
  <c r="BD23" i="277"/>
  <c r="BD21" i="277"/>
  <c r="BC23" i="277"/>
  <c r="BB23" i="277"/>
  <c r="BA23" i="277"/>
  <c r="AZ23" i="277"/>
  <c r="AZ21" i="277"/>
  <c r="AY23" i="277"/>
  <c r="AY21" i="277"/>
  <c r="AX23" i="277"/>
  <c r="AW23" i="277"/>
  <c r="AV23" i="277"/>
  <c r="AV21" i="277"/>
  <c r="DW21" i="277"/>
  <c r="DV21" i="277"/>
  <c r="DR21" i="277"/>
  <c r="DO21" i="277"/>
  <c r="DN21" i="277"/>
  <c r="DJ21" i="277"/>
  <c r="DG21" i="277"/>
  <c r="DF21" i="277"/>
  <c r="DB21" i="277"/>
  <c r="CY21" i="277"/>
  <c r="CX21" i="277"/>
  <c r="CT21" i="277"/>
  <c r="CQ21" i="277"/>
  <c r="CP21" i="277"/>
  <c r="CL21" i="277"/>
  <c r="CI21" i="277"/>
  <c r="CH21" i="277"/>
  <c r="CD21" i="277"/>
  <c r="CA21" i="277"/>
  <c r="BZ21" i="277"/>
  <c r="BV21" i="277"/>
  <c r="BS21" i="277"/>
  <c r="BR21" i="277"/>
  <c r="BN21" i="277"/>
  <c r="BK21" i="277"/>
  <c r="BJ21" i="277"/>
  <c r="BF21" i="277"/>
  <c r="BC21" i="277"/>
  <c r="BB21" i="277"/>
  <c r="AX21" i="277"/>
  <c r="AU21" i="277"/>
  <c r="AU4" i="277"/>
  <c r="AU19" i="277"/>
  <c r="AT21" i="277"/>
  <c r="AT4" i="277"/>
  <c r="AT19" i="277"/>
  <c r="AS21" i="277"/>
  <c r="AR21" i="277"/>
  <c r="AQ21" i="277"/>
  <c r="AQ4" i="277"/>
  <c r="AQ19" i="277"/>
  <c r="AP21" i="277"/>
  <c r="AP4" i="277"/>
  <c r="AO21" i="277"/>
  <c r="AN21" i="277"/>
  <c r="AM21" i="277"/>
  <c r="AM4" i="277"/>
  <c r="AM19" i="277"/>
  <c r="AL21" i="277"/>
  <c r="AL4" i="277"/>
  <c r="AL19" i="277"/>
  <c r="AK21" i="277"/>
  <c r="AJ21" i="277"/>
  <c r="AI21" i="277"/>
  <c r="AI4" i="277"/>
  <c r="AI19" i="277"/>
  <c r="AH21" i="277"/>
  <c r="AH4" i="277"/>
  <c r="AH19" i="277"/>
  <c r="AG21" i="277"/>
  <c r="AF21" i="277"/>
  <c r="AE21" i="277"/>
  <c r="AE4" i="277"/>
  <c r="AE19" i="277"/>
  <c r="AD21" i="277"/>
  <c r="AD4" i="277"/>
  <c r="AD19" i="277"/>
  <c r="AC21" i="277"/>
  <c r="AB21" i="277"/>
  <c r="AA21" i="277"/>
  <c r="AA4" i="277"/>
  <c r="AA19" i="277"/>
  <c r="Z21" i="277"/>
  <c r="Z4" i="277"/>
  <c r="Z19" i="277"/>
  <c r="Y21" i="277"/>
  <c r="X21" i="277"/>
  <c r="W21" i="277"/>
  <c r="W4" i="277"/>
  <c r="W19" i="277"/>
  <c r="V21" i="277"/>
  <c r="V4" i="277"/>
  <c r="V19" i="277"/>
  <c r="U21" i="277"/>
  <c r="T21" i="277"/>
  <c r="S21" i="277"/>
  <c r="S4" i="277"/>
  <c r="S19" i="277"/>
  <c r="R21" i="277"/>
  <c r="R4" i="277"/>
  <c r="R19" i="277"/>
  <c r="Q21" i="277"/>
  <c r="P21" i="277"/>
  <c r="O21" i="277"/>
  <c r="O4" i="277"/>
  <c r="O19" i="277"/>
  <c r="N21" i="277"/>
  <c r="N4" i="277"/>
  <c r="N19" i="277"/>
  <c r="M21" i="277"/>
  <c r="L21" i="277"/>
  <c r="K21" i="277"/>
  <c r="K4" i="277"/>
  <c r="K19" i="277"/>
  <c r="J21" i="277"/>
  <c r="J4" i="277"/>
  <c r="I21" i="277"/>
  <c r="H21" i="277"/>
  <c r="G21" i="277"/>
  <c r="G4" i="277"/>
  <c r="G19" i="277"/>
  <c r="F21" i="277"/>
  <c r="F4" i="277"/>
  <c r="F19" i="277"/>
  <c r="E21" i="277"/>
  <c r="D21" i="277"/>
  <c r="C21" i="277"/>
  <c r="C4" i="277"/>
  <c r="C19" i="277"/>
  <c r="AP19" i="277"/>
  <c r="J19" i="277"/>
  <c r="EL18" i="277"/>
  <c r="EK18" i="277"/>
  <c r="EI18" i="277"/>
  <c r="EH18" i="277"/>
  <c r="EF18" i="277"/>
  <c r="EE18" i="277"/>
  <c r="EC18" i="277"/>
  <c r="EB18" i="277"/>
  <c r="EL17" i="277"/>
  <c r="EK17" i="277"/>
  <c r="EI17" i="277"/>
  <c r="EH17" i="277"/>
  <c r="EF17" i="277"/>
  <c r="EE17" i="277"/>
  <c r="EC17" i="277"/>
  <c r="EB17" i="277"/>
  <c r="EL16" i="277"/>
  <c r="EK16" i="277"/>
  <c r="EI16" i="277"/>
  <c r="EH16" i="277"/>
  <c r="EF16" i="277"/>
  <c r="EE16" i="277"/>
  <c r="EC16" i="277"/>
  <c r="EB16" i="277"/>
  <c r="EL15" i="277"/>
  <c r="EK15" i="277"/>
  <c r="EI15" i="277"/>
  <c r="EH15" i="277"/>
  <c r="EF15" i="277"/>
  <c r="EE15" i="277"/>
  <c r="EC15" i="277"/>
  <c r="EB15" i="277"/>
  <c r="EL14" i="277"/>
  <c r="EK14" i="277"/>
  <c r="EI14" i="277"/>
  <c r="EH14" i="277"/>
  <c r="EF14" i="277"/>
  <c r="EE14" i="277"/>
  <c r="EC14" i="277"/>
  <c r="EB14" i="277"/>
  <c r="DY13" i="277"/>
  <c r="EL13" i="277"/>
  <c r="DX13" i="277"/>
  <c r="DW13" i="277"/>
  <c r="DV13" i="277"/>
  <c r="DU13" i="277"/>
  <c r="DU36" i="277"/>
  <c r="DT13" i="277"/>
  <c r="DS13" i="277"/>
  <c r="DR13" i="277"/>
  <c r="DQ13" i="277"/>
  <c r="DP13" i="277"/>
  <c r="DO13" i="277"/>
  <c r="DN13" i="277"/>
  <c r="DM13" i="277"/>
  <c r="DL13" i="277"/>
  <c r="DK13" i="277"/>
  <c r="DJ13" i="277"/>
  <c r="DI13" i="277"/>
  <c r="DH13" i="277"/>
  <c r="DG13" i="277"/>
  <c r="DF13" i="277"/>
  <c r="DE13" i="277"/>
  <c r="DE36" i="277"/>
  <c r="DD13" i="277"/>
  <c r="DC13" i="277"/>
  <c r="DB13" i="277"/>
  <c r="DA13" i="277"/>
  <c r="DM36" i="277"/>
  <c r="CZ13" i="277"/>
  <c r="CY13" i="277"/>
  <c r="CX13" i="277"/>
  <c r="CW13" i="277"/>
  <c r="CV13" i="277"/>
  <c r="CU13" i="277"/>
  <c r="CT13" i="277"/>
  <c r="CS13" i="277"/>
  <c r="CR13" i="277"/>
  <c r="CQ13" i="277"/>
  <c r="CP13" i="277"/>
  <c r="CO13" i="277"/>
  <c r="CO36" i="277"/>
  <c r="CN13" i="277"/>
  <c r="CM13" i="277"/>
  <c r="CL13" i="277"/>
  <c r="CK13" i="277"/>
  <c r="CJ13" i="277"/>
  <c r="CI13" i="277"/>
  <c r="CH13" i="277"/>
  <c r="CG13" i="277"/>
  <c r="CF13" i="277"/>
  <c r="CE13" i="277"/>
  <c r="CD13" i="277"/>
  <c r="CC13" i="277"/>
  <c r="CB13" i="277"/>
  <c r="CA13" i="277"/>
  <c r="BZ13" i="277"/>
  <c r="BY13" i="277"/>
  <c r="BY36" i="277"/>
  <c r="BX13" i="277"/>
  <c r="BW13" i="277"/>
  <c r="BV13" i="277"/>
  <c r="BU13" i="277"/>
  <c r="BT13" i="277"/>
  <c r="BS13" i="277"/>
  <c r="BR13" i="277"/>
  <c r="BQ13" i="277"/>
  <c r="BP13" i="277"/>
  <c r="BO13" i="277"/>
  <c r="BN13" i="277"/>
  <c r="BM13" i="277"/>
  <c r="BL13" i="277"/>
  <c r="BK13" i="277"/>
  <c r="BJ13" i="277"/>
  <c r="BI13" i="277"/>
  <c r="BI36" i="277"/>
  <c r="BH13" i="277"/>
  <c r="BG13" i="277"/>
  <c r="BF13" i="277"/>
  <c r="BE13" i="277"/>
  <c r="BD13" i="277"/>
  <c r="BC13" i="277"/>
  <c r="BB13" i="277"/>
  <c r="BA13" i="277"/>
  <c r="AZ13" i="277"/>
  <c r="AY13" i="277"/>
  <c r="AX13" i="277"/>
  <c r="AW13" i="277"/>
  <c r="AV13" i="277"/>
  <c r="EL12" i="277"/>
  <c r="EK12" i="277"/>
  <c r="EI12" i="277"/>
  <c r="EH12" i="277"/>
  <c r="EF12" i="277"/>
  <c r="EE12" i="277"/>
  <c r="EC12" i="277"/>
  <c r="EB12" i="277"/>
  <c r="EL11" i="277"/>
  <c r="EK11" i="277"/>
  <c r="EI11" i="277"/>
  <c r="EH11" i="277"/>
  <c r="EF11" i="277"/>
  <c r="EE11" i="277"/>
  <c r="EC11" i="277"/>
  <c r="EB11" i="277"/>
  <c r="EL10" i="277"/>
  <c r="EK10" i="277"/>
  <c r="EI10" i="277"/>
  <c r="EH10" i="277"/>
  <c r="EF10" i="277"/>
  <c r="EE10" i="277"/>
  <c r="EC10" i="277"/>
  <c r="EB10" i="277"/>
  <c r="EL9" i="277"/>
  <c r="EK9" i="277"/>
  <c r="EI9" i="277"/>
  <c r="EH9" i="277"/>
  <c r="EF9" i="277"/>
  <c r="EE9" i="277"/>
  <c r="EC9" i="277"/>
  <c r="EB9" i="277"/>
  <c r="EL8" i="277"/>
  <c r="EK8" i="277"/>
  <c r="EI8" i="277"/>
  <c r="EH8" i="277"/>
  <c r="EF8" i="277"/>
  <c r="EE8" i="277"/>
  <c r="EC8" i="277"/>
  <c r="EB8" i="277"/>
  <c r="EL7" i="277"/>
  <c r="EK7" i="277"/>
  <c r="EI7" i="277"/>
  <c r="EH7" i="277"/>
  <c r="EF7" i="277"/>
  <c r="EE7" i="277"/>
  <c r="EC7" i="277"/>
  <c r="EB7" i="277"/>
  <c r="EL6" i="277"/>
  <c r="EK6" i="277"/>
  <c r="EI6" i="277"/>
  <c r="EH6" i="277"/>
  <c r="EF6" i="277"/>
  <c r="EE6" i="277"/>
  <c r="EC6" i="277"/>
  <c r="EB6" i="277"/>
  <c r="DY5" i="277"/>
  <c r="DY4" i="277"/>
  <c r="DX5" i="277"/>
  <c r="DW5" i="277"/>
  <c r="DV5" i="277"/>
  <c r="DU5" i="277"/>
  <c r="DU4" i="277"/>
  <c r="DT5" i="277"/>
  <c r="DT4" i="277"/>
  <c r="DS5" i="277"/>
  <c r="DS35" i="277"/>
  <c r="DR5" i="277"/>
  <c r="DR4" i="277"/>
  <c r="DR19" i="277"/>
  <c r="DQ5" i="277"/>
  <c r="DQ4" i="277"/>
  <c r="DP5" i="277"/>
  <c r="DO5" i="277"/>
  <c r="DN5" i="277"/>
  <c r="DM5" i="277"/>
  <c r="DM4" i="277"/>
  <c r="DL5" i="277"/>
  <c r="DL4" i="277"/>
  <c r="DX31" i="277"/>
  <c r="DK5" i="277"/>
  <c r="DJ5" i="277"/>
  <c r="DJ4" i="277"/>
  <c r="DI5" i="277"/>
  <c r="DI4" i="277"/>
  <c r="DH5" i="277"/>
  <c r="DG5" i="277"/>
  <c r="DF5" i="277"/>
  <c r="DE5" i="277"/>
  <c r="DE4" i="277"/>
  <c r="DD5" i="277"/>
  <c r="DD4" i="277"/>
  <c r="DC5" i="277"/>
  <c r="DC35" i="277"/>
  <c r="DB5" i="277"/>
  <c r="DB4" i="277"/>
  <c r="DA5" i="277"/>
  <c r="DA4" i="277"/>
  <c r="CZ5" i="277"/>
  <c r="EF5" i="277"/>
  <c r="CY5" i="277"/>
  <c r="CX5" i="277"/>
  <c r="CW5" i="277"/>
  <c r="CW4" i="277"/>
  <c r="CV5" i="277"/>
  <c r="CV4" i="277"/>
  <c r="CU5" i="277"/>
  <c r="CT5" i="277"/>
  <c r="CT4" i="277"/>
  <c r="CS5" i="277"/>
  <c r="CS4" i="277"/>
  <c r="CR5" i="277"/>
  <c r="CQ5" i="277"/>
  <c r="CP5" i="277"/>
  <c r="CO5" i="277"/>
  <c r="CO4" i="277"/>
  <c r="CN5" i="277"/>
  <c r="CN4" i="277"/>
  <c r="CZ31" i="277"/>
  <c r="CM5" i="277"/>
  <c r="CM35" i="277"/>
  <c r="CL5" i="277"/>
  <c r="CL4" i="277"/>
  <c r="CL19" i="277"/>
  <c r="CK5" i="277"/>
  <c r="CK4" i="277"/>
  <c r="CJ5" i="277"/>
  <c r="CI5" i="277"/>
  <c r="CH5" i="277"/>
  <c r="CG5" i="277"/>
  <c r="CG4" i="277"/>
  <c r="CF5" i="277"/>
  <c r="CF4" i="277"/>
  <c r="CR31" i="277"/>
  <c r="CE5" i="277"/>
  <c r="CD5" i="277"/>
  <c r="CD35" i="277"/>
  <c r="CC5" i="277"/>
  <c r="CC4" i="277"/>
  <c r="CB5" i="277"/>
  <c r="CA5" i="277"/>
  <c r="BZ5" i="277"/>
  <c r="BY5" i="277"/>
  <c r="BY4" i="277"/>
  <c r="BX5" i="277"/>
  <c r="BX4" i="277"/>
  <c r="BW5" i="277"/>
  <c r="BW35" i="277"/>
  <c r="BV5" i="277"/>
  <c r="BU5" i="277"/>
  <c r="BU4" i="277"/>
  <c r="BU34" i="277"/>
  <c r="BT5" i="277"/>
  <c r="BS5" i="277"/>
  <c r="BR5" i="277"/>
  <c r="BQ5" i="277"/>
  <c r="BQ4" i="277"/>
  <c r="BP5" i="277"/>
  <c r="BP4" i="277"/>
  <c r="BO5" i="277"/>
  <c r="BO35" i="277"/>
  <c r="BN5" i="277"/>
  <c r="BM5" i="277"/>
  <c r="BM4" i="277"/>
  <c r="BL5" i="277"/>
  <c r="BK5" i="277"/>
  <c r="BJ5" i="277"/>
  <c r="BI5" i="277"/>
  <c r="BI4" i="277"/>
  <c r="BH5" i="277"/>
  <c r="BH4" i="277"/>
  <c r="BG5" i="277"/>
  <c r="BF5" i="277"/>
  <c r="BE5" i="277"/>
  <c r="BE4" i="277"/>
  <c r="BD5" i="277"/>
  <c r="BC5" i="277"/>
  <c r="BB5" i="277"/>
  <c r="BA5" i="277"/>
  <c r="BA4" i="277"/>
  <c r="BM31" i="277"/>
  <c r="AZ5" i="277"/>
  <c r="AZ4" i="277"/>
  <c r="BL30" i="277"/>
  <c r="AY5" i="277"/>
  <c r="AX5" i="277"/>
  <c r="AW5" i="277"/>
  <c r="AW4" i="277"/>
  <c r="AV5" i="277"/>
  <c r="DX4" i="277"/>
  <c r="DP4" i="277"/>
  <c r="DH4" i="277"/>
  <c r="CZ4" i="277"/>
  <c r="CR4" i="277"/>
  <c r="CJ4" i="277"/>
  <c r="CB4" i="277"/>
  <c r="BT4" i="277"/>
  <c r="BL4" i="277"/>
  <c r="BD4" i="277"/>
  <c r="AV4" i="277"/>
  <c r="AS4" i="277"/>
  <c r="AS19" i="277"/>
  <c r="AR4" i="277"/>
  <c r="AR19" i="277"/>
  <c r="AO4" i="277"/>
  <c r="AO19" i="277"/>
  <c r="AN4" i="277"/>
  <c r="AN19" i="277"/>
  <c r="AK4" i="277"/>
  <c r="AK19" i="277"/>
  <c r="AJ4" i="277"/>
  <c r="AJ19" i="277"/>
  <c r="AG4" i="277"/>
  <c r="AG19" i="277"/>
  <c r="AF4" i="277"/>
  <c r="AF19" i="277"/>
  <c r="AC4" i="277"/>
  <c r="AC19" i="277"/>
  <c r="AB4" i="277"/>
  <c r="AB19" i="277"/>
  <c r="Y4" i="277"/>
  <c r="Y19" i="277"/>
  <c r="X4" i="277"/>
  <c r="X19" i="277"/>
  <c r="U4" i="277"/>
  <c r="U19" i="277"/>
  <c r="T4" i="277"/>
  <c r="T19" i="277"/>
  <c r="Q4" i="277"/>
  <c r="Q19" i="277"/>
  <c r="P4" i="277"/>
  <c r="P19" i="277"/>
  <c r="M4" i="277"/>
  <c r="M19" i="277"/>
  <c r="L4" i="277"/>
  <c r="L19" i="277"/>
  <c r="I4" i="277"/>
  <c r="I19" i="277"/>
  <c r="H4" i="277"/>
  <c r="H19" i="277"/>
  <c r="E4" i="277"/>
  <c r="E19" i="277"/>
  <c r="D4" i="277"/>
  <c r="D19" i="277"/>
  <c r="CA5" i="278"/>
  <c r="EG37" i="278"/>
  <c r="EA37" i="278"/>
  <c r="EL37" i="278"/>
  <c r="EJ36" i="278"/>
  <c r="EG36" i="278"/>
  <c r="CI5" i="278"/>
  <c r="CU32" i="278" s="1"/>
  <c r="DC5" i="278"/>
  <c r="CM5" i="278"/>
  <c r="CY32" i="278" s="1"/>
  <c r="BS5" i="278"/>
  <c r="BS20" i="278"/>
  <c r="BE22" i="278"/>
  <c r="CQ5" i="278"/>
  <c r="CE5" i="278"/>
  <c r="CE35" i="278" s="1"/>
  <c r="CY5" i="278"/>
  <c r="CY20" i="278" s="1"/>
  <c r="CJ5" i="278"/>
  <c r="CV32" i="278"/>
  <c r="BC5" i="278"/>
  <c r="BC20" i="278" s="1"/>
  <c r="DK5" i="278"/>
  <c r="DW32" i="278" s="1"/>
  <c r="DW42" i="278" s="1"/>
  <c r="BZ5" i="278"/>
  <c r="BK5" i="278"/>
  <c r="BK20" i="278"/>
  <c r="BF5" i="278"/>
  <c r="BR31" i="278" s="1"/>
  <c r="BF20" i="278"/>
  <c r="BV22" i="278"/>
  <c r="BV5" i="278"/>
  <c r="CH32" i="278" s="1"/>
  <c r="CH42" i="278" s="1"/>
  <c r="DI5" i="278"/>
  <c r="DJ22" i="278"/>
  <c r="DZ5" i="278"/>
  <c r="EL32" i="278" s="1"/>
  <c r="BL5" i="278"/>
  <c r="BL20" i="278" s="1"/>
  <c r="DX5" i="278"/>
  <c r="EJ35" i="278" s="1"/>
  <c r="CH37" i="278"/>
  <c r="DF37" i="278"/>
  <c r="AV5" i="278"/>
  <c r="AV20" i="278" s="1"/>
  <c r="CB5" i="278"/>
  <c r="CN31" i="278" s="1"/>
  <c r="CV5" i="278"/>
  <c r="CV35" i="278" s="1"/>
  <c r="BZ37" i="278"/>
  <c r="BD22" i="278"/>
  <c r="BX22" i="278"/>
  <c r="CF22" i="278"/>
  <c r="CJ22" i="278"/>
  <c r="DD22" i="278"/>
  <c r="DL22" i="278"/>
  <c r="BN22" i="278"/>
  <c r="DB22" i="278"/>
  <c r="DF22" i="278"/>
  <c r="DN22" i="278"/>
  <c r="DL36" i="278"/>
  <c r="DX36" i="278"/>
  <c r="BI36" i="278"/>
  <c r="BI41" i="278" s="1"/>
  <c r="CS49" i="278"/>
  <c r="CT49" i="278" s="1"/>
  <c r="CU49" i="278" s="1"/>
  <c r="CW36" i="278"/>
  <c r="DE36" i="278"/>
  <c r="BK37" i="278"/>
  <c r="BO37" i="278"/>
  <c r="CM37" i="278"/>
  <c r="CQ37" i="278"/>
  <c r="CU37" i="278"/>
  <c r="CU42" i="278" s="1"/>
  <c r="CY37" i="278"/>
  <c r="DK37" i="278"/>
  <c r="DS37" i="278"/>
  <c r="DJ36" i="278"/>
  <c r="DN36" i="278"/>
  <c r="DR5" i="278"/>
  <c r="ED32" i="278" s="1"/>
  <c r="BX37" i="278"/>
  <c r="BI5" i="278"/>
  <c r="BI35" i="278" s="1"/>
  <c r="BU5" i="278"/>
  <c r="CG31" i="278"/>
  <c r="CC5" i="278"/>
  <c r="CC20" i="278" s="1"/>
  <c r="CG5" i="278"/>
  <c r="CK5" i="278"/>
  <c r="CK20" i="278" s="1"/>
  <c r="CS5" i="278"/>
  <c r="CS48" i="278" s="1"/>
  <c r="CT48" i="278" s="1"/>
  <c r="DA5" i="278"/>
  <c r="DG5" i="278"/>
  <c r="DQ5" i="278"/>
  <c r="BW36" i="278"/>
  <c r="CA36" i="278"/>
  <c r="CE36" i="278"/>
  <c r="CI36" i="278"/>
  <c r="CY36" i="278"/>
  <c r="DC36" i="278"/>
  <c r="DO36" i="278"/>
  <c r="DS36" i="278"/>
  <c r="CK37" i="278"/>
  <c r="CS50" i="278"/>
  <c r="BM34" i="277"/>
  <c r="CC34" i="277"/>
  <c r="CK34" i="277"/>
  <c r="DA34" i="277"/>
  <c r="DU31" i="277"/>
  <c r="DU41" i="277"/>
  <c r="DI34" i="277"/>
  <c r="DQ34" i="277"/>
  <c r="EC4" i="277"/>
  <c r="CJ31" i="277"/>
  <c r="DP31" i="277"/>
  <c r="BL34" i="277"/>
  <c r="CJ34" i="277"/>
  <c r="DX34" i="277"/>
  <c r="BQ36" i="277"/>
  <c r="CG36" i="277"/>
  <c r="BZ35" i="277"/>
  <c r="CH35" i="277"/>
  <c r="DV35" i="277"/>
  <c r="EE5" i="277"/>
  <c r="CT19" i="277"/>
  <c r="EB13" i="277"/>
  <c r="CL35" i="277"/>
  <c r="DB35" i="277"/>
  <c r="DR35" i="277"/>
  <c r="CB34" i="277"/>
  <c r="DH34" i="277"/>
  <c r="CW36" i="277"/>
  <c r="BK35" i="277"/>
  <c r="BS35" i="277"/>
  <c r="CA35" i="277"/>
  <c r="CI35" i="277"/>
  <c r="CQ35" i="277"/>
  <c r="CY35" i="277"/>
  <c r="DG35" i="277"/>
  <c r="DO35" i="277"/>
  <c r="DW35" i="277"/>
  <c r="EH13" i="277"/>
  <c r="BT34" i="277"/>
  <c r="CR34" i="277"/>
  <c r="DP34" i="277"/>
  <c r="CT35" i="277"/>
  <c r="DJ35" i="277"/>
  <c r="CZ34" i="277"/>
  <c r="EF4" i="277"/>
  <c r="BJ30" i="277"/>
  <c r="BJ40" i="277"/>
  <c r="AX4" i="277"/>
  <c r="BJ35" i="277"/>
  <c r="BJ4" i="277"/>
  <c r="BJ34" i="277"/>
  <c r="CS47" i="277"/>
  <c r="CT47" i="277"/>
  <c r="EH4" i="277"/>
  <c r="EB4" i="277"/>
  <c r="EL4" i="277"/>
  <c r="EK4" i="277"/>
  <c r="BL31" i="277"/>
  <c r="BV35" i="277"/>
  <c r="BB4" i="277"/>
  <c r="BN31" i="277"/>
  <c r="BH34" i="277"/>
  <c r="BT30" i="277"/>
  <c r="BX34" i="277"/>
  <c r="CJ30" i="277"/>
  <c r="CV34" i="277"/>
  <c r="DH30" i="277"/>
  <c r="DL34" i="277"/>
  <c r="DX30" i="277"/>
  <c r="BJ31" i="277"/>
  <c r="BJ36" i="277"/>
  <c r="BR36" i="277"/>
  <c r="BZ36" i="277"/>
  <c r="CT31" i="277"/>
  <c r="CH36" i="277"/>
  <c r="CP36" i="277"/>
  <c r="DB36" i="277"/>
  <c r="DN31" i="277"/>
  <c r="DJ36" i="277"/>
  <c r="DV31" i="277"/>
  <c r="DN36" i="277"/>
  <c r="DV36" i="277"/>
  <c r="DB19" i="277"/>
  <c r="BT31" i="277"/>
  <c r="CS34" i="277"/>
  <c r="DY34" i="277"/>
  <c r="EI4" i="277"/>
  <c r="BR30" i="277"/>
  <c r="BR40" i="277"/>
  <c r="BF4" i="277"/>
  <c r="BF19" i="277"/>
  <c r="BR35" i="277"/>
  <c r="BP34" i="277"/>
  <c r="CB30" i="277"/>
  <c r="CF34" i="277"/>
  <c r="CR30" i="277"/>
  <c r="CN34" i="277"/>
  <c r="CZ30" i="277"/>
  <c r="DD34" i="277"/>
  <c r="DP30" i="277"/>
  <c r="DT34" i="277"/>
  <c r="BH30" i="277"/>
  <c r="BP30" i="277"/>
  <c r="BN36" i="277"/>
  <c r="BV36" i="277"/>
  <c r="CD36" i="277"/>
  <c r="CL36" i="277"/>
  <c r="CX31" i="277"/>
  <c r="CT36" i="277"/>
  <c r="DF31" i="277"/>
  <c r="CX36" i="277"/>
  <c r="DF36" i="277"/>
  <c r="DR36" i="277"/>
  <c r="BI34" i="277"/>
  <c r="BU31" i="277"/>
  <c r="BQ34" i="277"/>
  <c r="CC31" i="277"/>
  <c r="BY34" i="277"/>
  <c r="CK31" i="277"/>
  <c r="CG34" i="277"/>
  <c r="CS31" i="277"/>
  <c r="CO34" i="277"/>
  <c r="DA31" i="277"/>
  <c r="CW34" i="277"/>
  <c r="DI31" i="277"/>
  <c r="DE34" i="277"/>
  <c r="DQ31" i="277"/>
  <c r="DM34" i="277"/>
  <c r="DY31" i="277"/>
  <c r="DU34" i="277"/>
  <c r="EE4" i="277"/>
  <c r="BI30" i="277"/>
  <c r="BM30" i="277"/>
  <c r="BQ30" i="277"/>
  <c r="BI35" i="277"/>
  <c r="BU30" i="277"/>
  <c r="BU40" i="277"/>
  <c r="BM35" i="277"/>
  <c r="BY30" i="277"/>
  <c r="BQ35" i="277"/>
  <c r="CC30" i="277"/>
  <c r="CC40" i="277"/>
  <c r="BU35" i="277"/>
  <c r="CG30" i="277"/>
  <c r="BY35" i="277"/>
  <c r="CK30" i="277"/>
  <c r="CK40" i="277"/>
  <c r="CC35" i="277"/>
  <c r="CO30" i="277"/>
  <c r="CG35" i="277"/>
  <c r="CS30" i="277"/>
  <c r="CS40" i="277"/>
  <c r="CK35" i="277"/>
  <c r="CW30" i="277"/>
  <c r="CO35" i="277"/>
  <c r="DA30" i="277"/>
  <c r="DA40" i="277"/>
  <c r="CS48" i="277"/>
  <c r="CT48" i="277"/>
  <c r="CU48" i="277"/>
  <c r="CV48" i="277"/>
  <c r="CW48" i="277"/>
  <c r="CX48" i="277"/>
  <c r="CY48" i="277"/>
  <c r="CZ48" i="277"/>
  <c r="DA48" i="277"/>
  <c r="DB48" i="277"/>
  <c r="DC48" i="277"/>
  <c r="DD48" i="277"/>
  <c r="DE48" i="277"/>
  <c r="DF48" i="277"/>
  <c r="DG48" i="277"/>
  <c r="DH48" i="277"/>
  <c r="DI48" i="277"/>
  <c r="DJ48" i="277"/>
  <c r="DK48" i="277"/>
  <c r="DL48" i="277"/>
  <c r="DM48" i="277"/>
  <c r="DN48" i="277"/>
  <c r="DO48" i="277"/>
  <c r="DP48" i="277"/>
  <c r="DQ48" i="277"/>
  <c r="DR48" i="277"/>
  <c r="DS48" i="277"/>
  <c r="DT48" i="277"/>
  <c r="DU48" i="277"/>
  <c r="DV48" i="277"/>
  <c r="DW48" i="277"/>
  <c r="DX48" i="277"/>
  <c r="DY48" i="277"/>
  <c r="CS35" i="277"/>
  <c r="DE30" i="277"/>
  <c r="CW35" i="277"/>
  <c r="DI30" i="277"/>
  <c r="DA35" i="277"/>
  <c r="DM30" i="277"/>
  <c r="DE35" i="277"/>
  <c r="DQ30" i="277"/>
  <c r="DI35" i="277"/>
  <c r="DU30" i="277"/>
  <c r="DM35" i="277"/>
  <c r="DY30" i="277"/>
  <c r="DQ35" i="277"/>
  <c r="DU35" i="277"/>
  <c r="DY35" i="277"/>
  <c r="EI5" i="277"/>
  <c r="EC5" i="277"/>
  <c r="EL5" i="277"/>
  <c r="EH5" i="277"/>
  <c r="EB5" i="277"/>
  <c r="EK5" i="277"/>
  <c r="AX19" i="277"/>
  <c r="DJ19" i="277"/>
  <c r="CB31" i="277"/>
  <c r="DH31" i="277"/>
  <c r="BN35" i="277"/>
  <c r="BK36" i="277"/>
  <c r="BS36" i="277"/>
  <c r="CA36" i="277"/>
  <c r="CM36" i="277"/>
  <c r="CU36" i="277"/>
  <c r="DC36" i="277"/>
  <c r="DK36" i="277"/>
  <c r="DS36" i="277"/>
  <c r="BN4" i="277"/>
  <c r="BN34" i="277"/>
  <c r="BR4" i="277"/>
  <c r="BR34" i="277"/>
  <c r="BV4" i="277"/>
  <c r="CH30" i="277"/>
  <c r="CH40" i="277"/>
  <c r="BZ4" i="277"/>
  <c r="CL34" i="277"/>
  <c r="CD4" i="277"/>
  <c r="CD34" i="277"/>
  <c r="CH4" i="277"/>
  <c r="CP4" i="277"/>
  <c r="CP19" i="277"/>
  <c r="CX4" i="277"/>
  <c r="CX34" i="277"/>
  <c r="DF4" i="277"/>
  <c r="DF34" i="277"/>
  <c r="DN4" i="277"/>
  <c r="DN34" i="277"/>
  <c r="DV4" i="277"/>
  <c r="DV34" i="277"/>
  <c r="AV19" i="277"/>
  <c r="AZ19" i="277"/>
  <c r="BD19" i="277"/>
  <c r="BH36" i="277"/>
  <c r="BH19" i="277"/>
  <c r="BL36" i="277"/>
  <c r="BL19" i="277"/>
  <c r="BP36" i="277"/>
  <c r="BP19" i="277"/>
  <c r="BT36" i="277"/>
  <c r="BT19" i="277"/>
  <c r="BX36" i="277"/>
  <c r="BX19" i="277"/>
  <c r="CB36" i="277"/>
  <c r="CB19" i="277"/>
  <c r="CF36" i="277"/>
  <c r="CF19" i="277"/>
  <c r="CJ36" i="277"/>
  <c r="CJ41" i="277"/>
  <c r="CJ19" i="277"/>
  <c r="CN36" i="277"/>
  <c r="CN19" i="277"/>
  <c r="CR36" i="277"/>
  <c r="CR41" i="277"/>
  <c r="CR19" i="277"/>
  <c r="CV36" i="277"/>
  <c r="CV19" i="277"/>
  <c r="CZ36" i="277"/>
  <c r="CZ41" i="277"/>
  <c r="EE13" i="277"/>
  <c r="CZ19" i="277"/>
  <c r="DD36" i="277"/>
  <c r="DD19" i="277"/>
  <c r="DH36" i="277"/>
  <c r="DH19" i="277"/>
  <c r="DL36" i="277"/>
  <c r="DL19" i="277"/>
  <c r="DP36" i="277"/>
  <c r="DP41" i="277"/>
  <c r="DP19" i="277"/>
  <c r="EF13" i="277"/>
  <c r="DC30" i="277"/>
  <c r="DC40" i="277"/>
  <c r="BH31" i="277"/>
  <c r="BP31" i="277"/>
  <c r="BX31" i="277"/>
  <c r="CF31" i="277"/>
  <c r="CF41" i="277"/>
  <c r="CN31" i="277"/>
  <c r="CV31" i="277"/>
  <c r="DD31" i="277"/>
  <c r="DL31" i="277"/>
  <c r="DT31" i="277"/>
  <c r="CP35" i="277"/>
  <c r="CX35" i="277"/>
  <c r="DF35" i="277"/>
  <c r="DN35" i="277"/>
  <c r="CD30" i="277"/>
  <c r="CD40" i="277"/>
  <c r="CT30" i="277"/>
  <c r="CT40" i="277"/>
  <c r="CX30" i="277"/>
  <c r="CX40" i="277"/>
  <c r="DF30" i="277"/>
  <c r="DN30" i="277"/>
  <c r="DV30" i="277"/>
  <c r="DV40" i="277"/>
  <c r="BO36" i="277"/>
  <c r="BW36" i="277"/>
  <c r="CE36" i="277"/>
  <c r="CI36" i="277"/>
  <c r="CQ36" i="277"/>
  <c r="CY36" i="277"/>
  <c r="DG36" i="277"/>
  <c r="DO36" i="277"/>
  <c r="DW36" i="277"/>
  <c r="AY4" i="277"/>
  <c r="BK30" i="277"/>
  <c r="BC4" i="277"/>
  <c r="BO30" i="277"/>
  <c r="BO40" i="277"/>
  <c r="BG4" i="277"/>
  <c r="BS30" i="277"/>
  <c r="BS40" i="277"/>
  <c r="BK4" i="277"/>
  <c r="BW30" i="277"/>
  <c r="BW40" i="277"/>
  <c r="BO4" i="277"/>
  <c r="BO19" i="277"/>
  <c r="BS4" i="277"/>
  <c r="CE31" i="277"/>
  <c r="BW4" i="277"/>
  <c r="BW19" i="277"/>
  <c r="CA4" i="277"/>
  <c r="CE4" i="277"/>
  <c r="CQ31" i="277"/>
  <c r="CI4" i="277"/>
  <c r="CU30" i="277"/>
  <c r="CU40" i="277"/>
  <c r="CM4" i="277"/>
  <c r="CQ4" i="277"/>
  <c r="CU4" i="277"/>
  <c r="CU19" i="277"/>
  <c r="CY4" i="277"/>
  <c r="DC4" i="277"/>
  <c r="DG4" i="277"/>
  <c r="DK4" i="277"/>
  <c r="DK19" i="277"/>
  <c r="DO4" i="277"/>
  <c r="DS4" i="277"/>
  <c r="DS19" i="277"/>
  <c r="DW4" i="277"/>
  <c r="DW19" i="277"/>
  <c r="BH35" i="277"/>
  <c r="BL35" i="277"/>
  <c r="BL40" i="277"/>
  <c r="BP35" i="277"/>
  <c r="BT35" i="277"/>
  <c r="BX35" i="277"/>
  <c r="CB35" i="277"/>
  <c r="CF35" i="277"/>
  <c r="CJ35" i="277"/>
  <c r="CN35" i="277"/>
  <c r="CR35" i="277"/>
  <c r="CV35" i="277"/>
  <c r="CZ35" i="277"/>
  <c r="DD35" i="277"/>
  <c r="DH35" i="277"/>
  <c r="DL35" i="277"/>
  <c r="DP35" i="277"/>
  <c r="DT35" i="277"/>
  <c r="DX35" i="277"/>
  <c r="AW19" i="277"/>
  <c r="BA19" i="277"/>
  <c r="BE19" i="277"/>
  <c r="BI19" i="277"/>
  <c r="BM19" i="277"/>
  <c r="BM36" i="277"/>
  <c r="BM41" i="277"/>
  <c r="BQ19" i="277"/>
  <c r="BU19" i="277"/>
  <c r="BU36" i="277"/>
  <c r="BY19" i="277"/>
  <c r="CC19" i="277"/>
  <c r="CC36" i="277"/>
  <c r="CG19" i="277"/>
  <c r="CK19" i="277"/>
  <c r="CK36" i="277"/>
  <c r="CO19" i="277"/>
  <c r="CS49" i="277"/>
  <c r="CT49" i="277"/>
  <c r="CU49" i="277"/>
  <c r="CV49" i="277"/>
  <c r="CW49" i="277"/>
  <c r="CX49" i="277"/>
  <c r="CY49" i="277"/>
  <c r="CZ49" i="277"/>
  <c r="DA49" i="277"/>
  <c r="DB49" i="277"/>
  <c r="DC49" i="277"/>
  <c r="DD49" i="277"/>
  <c r="DE49" i="277"/>
  <c r="DF49" i="277"/>
  <c r="DG49" i="277"/>
  <c r="DH49" i="277"/>
  <c r="DI49" i="277"/>
  <c r="DJ49" i="277"/>
  <c r="DK49" i="277"/>
  <c r="DL49" i="277"/>
  <c r="DM49" i="277"/>
  <c r="DN49" i="277"/>
  <c r="DO49" i="277"/>
  <c r="DP49" i="277"/>
  <c r="DQ49" i="277"/>
  <c r="DR49" i="277"/>
  <c r="DS49" i="277"/>
  <c r="DT49" i="277"/>
  <c r="DU49" i="277"/>
  <c r="DV49" i="277"/>
  <c r="DW49" i="277"/>
  <c r="DX49" i="277"/>
  <c r="DY49" i="277"/>
  <c r="CS19" i="277"/>
  <c r="CS36" i="277"/>
  <c r="CW19" i="277"/>
  <c r="DA19" i="277"/>
  <c r="DA36" i="277"/>
  <c r="DE19" i="277"/>
  <c r="DI19" i="277"/>
  <c r="DM19" i="277"/>
  <c r="DQ19" i="277"/>
  <c r="DU19" i="277"/>
  <c r="DY19" i="277"/>
  <c r="BC19" i="277"/>
  <c r="BK19" i="277"/>
  <c r="BS19" i="277"/>
  <c r="CI19" i="277"/>
  <c r="CQ19" i="277"/>
  <c r="CY19" i="277"/>
  <c r="DO19" i="277"/>
  <c r="BX30" i="277"/>
  <c r="BX40" i="277"/>
  <c r="CF30" i="277"/>
  <c r="CN30" i="277"/>
  <c r="CV30" i="277"/>
  <c r="DD30" i="277"/>
  <c r="DD40" i="277"/>
  <c r="DL30" i="277"/>
  <c r="DT30" i="277"/>
  <c r="BI31" i="277"/>
  <c r="BI41" i="277"/>
  <c r="BQ31" i="277"/>
  <c r="BQ41" i="277"/>
  <c r="BY31" i="277"/>
  <c r="BY41" i="277"/>
  <c r="CG31" i="277"/>
  <c r="CG41" i="277"/>
  <c r="CO31" i="277"/>
  <c r="CO41" i="277"/>
  <c r="CW31" i="277"/>
  <c r="CW41" i="277"/>
  <c r="DE31" i="277"/>
  <c r="DE41" i="277"/>
  <c r="DM31" i="277"/>
  <c r="DM41" i="277"/>
  <c r="DT36" i="277"/>
  <c r="DX36" i="277"/>
  <c r="DX41" i="277"/>
  <c r="EC13" i="277"/>
  <c r="EI13" i="277"/>
  <c r="DT19" i="277"/>
  <c r="DX19" i="277"/>
  <c r="DI36" i="277"/>
  <c r="DQ36" i="277"/>
  <c r="DY36" i="277"/>
  <c r="EK13" i="277"/>
  <c r="AF129" i="267"/>
  <c r="AK212" i="269"/>
  <c r="AJ209" i="269"/>
  <c r="AK209" i="269"/>
  <c r="AJ210" i="269"/>
  <c r="AK210" i="269"/>
  <c r="AJ211" i="269"/>
  <c r="AK211" i="269"/>
  <c r="AJ212" i="269"/>
  <c r="AJ213" i="269"/>
  <c r="AK213" i="269"/>
  <c r="AJ214" i="269"/>
  <c r="AK214" i="269"/>
  <c r="AJ208" i="269"/>
  <c r="AK208" i="269"/>
  <c r="CU31" i="278"/>
  <c r="ED31" i="278"/>
  <c r="EL31" i="278"/>
  <c r="EC32" i="278"/>
  <c r="DS20" i="278"/>
  <c r="CE31" i="278"/>
  <c r="CE41" i="278" s="1"/>
  <c r="CQ20" i="278"/>
  <c r="CE32" i="278"/>
  <c r="CE42" i="278" s="1"/>
  <c r="DC31" i="278"/>
  <c r="CI31" i="278"/>
  <c r="CI32" i="278"/>
  <c r="CI35" i="278"/>
  <c r="CJ20" i="278"/>
  <c r="CV31" i="278"/>
  <c r="BZ20" i="278"/>
  <c r="CT20" i="278"/>
  <c r="DF31" i="278"/>
  <c r="BP31" i="278"/>
  <c r="BV20" i="278"/>
  <c r="CH31" i="278"/>
  <c r="AW20" i="278"/>
  <c r="DR20" i="278"/>
  <c r="DS31" i="278"/>
  <c r="DS41" i="278" s="1"/>
  <c r="DM32" i="278"/>
  <c r="BU20" i="278"/>
  <c r="CG32" i="278"/>
  <c r="DM31" i="278"/>
  <c r="CS31" i="278"/>
  <c r="DS35" i="278"/>
  <c r="CV40" i="277"/>
  <c r="CV39" i="277"/>
  <c r="CE41" i="277"/>
  <c r="BX41" i="277"/>
  <c r="CH34" i="277"/>
  <c r="DM40" i="277"/>
  <c r="DM39" i="277"/>
  <c r="DE40" i="277"/>
  <c r="DE39" i="277"/>
  <c r="DQ41" i="277"/>
  <c r="BU41" i="277"/>
  <c r="BU43" i="277"/>
  <c r="BR31" i="277"/>
  <c r="BR41" i="277"/>
  <c r="BR43" i="277"/>
  <c r="DB34" i="277"/>
  <c r="BJ19" i="277"/>
  <c r="BX39" i="277"/>
  <c r="CQ41" i="277"/>
  <c r="BK40" i="277"/>
  <c r="BK39" i="277"/>
  <c r="CV41" i="277"/>
  <c r="BP41" i="277"/>
  <c r="DF41" i="277"/>
  <c r="BR19" i="277"/>
  <c r="BJ41" i="277"/>
  <c r="BJ43" i="277"/>
  <c r="DL40" i="277"/>
  <c r="CF40" i="277"/>
  <c r="CF39" i="277"/>
  <c r="DF40" i="277"/>
  <c r="CN41" i="277"/>
  <c r="BH41" i="277"/>
  <c r="DN19" i="277"/>
  <c r="BN41" i="277"/>
  <c r="DG34" i="277"/>
  <c r="CA34" i="277"/>
  <c r="DS31" i="277"/>
  <c r="DS41" i="277"/>
  <c r="CA31" i="277"/>
  <c r="CA41" i="277"/>
  <c r="DT41" i="277"/>
  <c r="AY19" i="277"/>
  <c r="DA41" i="277"/>
  <c r="DA43" i="277"/>
  <c r="CK41" i="277"/>
  <c r="CK43" i="277"/>
  <c r="DM43" i="277"/>
  <c r="DT40" i="277"/>
  <c r="DT39" i="277"/>
  <c r="CN40" i="277"/>
  <c r="CN39" i="277"/>
  <c r="DS34" i="277"/>
  <c r="DC34" i="277"/>
  <c r="DO30" i="277"/>
  <c r="DO40" i="277"/>
  <c r="CM34" i="277"/>
  <c r="CY30" i="277"/>
  <c r="CY40" i="277"/>
  <c r="BW34" i="277"/>
  <c r="CI30" i="277"/>
  <c r="CI40" i="277"/>
  <c r="DC19" i="277"/>
  <c r="BG19" i="277"/>
  <c r="DL41" i="277"/>
  <c r="DL43" i="277"/>
  <c r="CF43" i="277"/>
  <c r="DS30" i="277"/>
  <c r="DS40" i="277"/>
  <c r="DS39" i="277"/>
  <c r="CM30" i="277"/>
  <c r="CM40" i="277"/>
  <c r="CP34" i="277"/>
  <c r="BV34" i="277"/>
  <c r="DO31" i="277"/>
  <c r="DO41" i="277"/>
  <c r="CY31" i="277"/>
  <c r="CY41" i="277"/>
  <c r="CY43" i="277"/>
  <c r="BO31" i="277"/>
  <c r="BO41" i="277"/>
  <c r="BO43" i="277"/>
  <c r="DB30" i="277"/>
  <c r="DB40" i="277"/>
  <c r="CD19" i="277"/>
  <c r="CW40" i="277"/>
  <c r="CW39" i="277"/>
  <c r="CO40" i="277"/>
  <c r="CO39" i="277"/>
  <c r="CG40" i="277"/>
  <c r="CG39" i="277"/>
  <c r="BY40" i="277"/>
  <c r="BY39" i="277"/>
  <c r="BQ40" i="277"/>
  <c r="BQ39" i="277"/>
  <c r="CX41" i="277"/>
  <c r="CX43" i="277"/>
  <c r="CH31" i="277"/>
  <c r="CH41" i="277"/>
  <c r="CH43" i="277"/>
  <c r="DP40" i="277"/>
  <c r="DP39" i="277"/>
  <c r="CR40" i="277"/>
  <c r="CR39" i="277"/>
  <c r="DN41" i="277"/>
  <c r="DB31" i="277"/>
  <c r="DB41" i="277"/>
  <c r="BV31" i="277"/>
  <c r="BV41" i="277"/>
  <c r="DX40" i="277"/>
  <c r="DX39" i="277"/>
  <c r="CJ40" i="277"/>
  <c r="CJ39" i="277"/>
  <c r="BQ43" i="277"/>
  <c r="DW34" i="277"/>
  <c r="CQ34" i="277"/>
  <c r="BK34" i="277"/>
  <c r="DC31" i="277"/>
  <c r="DC41" i="277"/>
  <c r="DC43" i="277"/>
  <c r="CN43" i="277"/>
  <c r="BZ34" i="277"/>
  <c r="DJ30" i="277"/>
  <c r="DJ40" i="277"/>
  <c r="BZ30" i="277"/>
  <c r="BZ40" i="277"/>
  <c r="DU40" i="277"/>
  <c r="CX19" i="277"/>
  <c r="BT41" i="277"/>
  <c r="CT41" i="277"/>
  <c r="CT43" i="277"/>
  <c r="BL41" i="277"/>
  <c r="BL43" i="277"/>
  <c r="BJ39" i="277"/>
  <c r="BY43" i="277"/>
  <c r="DL39" i="277"/>
  <c r="DG19" i="277"/>
  <c r="CA19" i="277"/>
  <c r="DO34" i="277"/>
  <c r="CY34" i="277"/>
  <c r="CI34" i="277"/>
  <c r="BS34" i="277"/>
  <c r="CM19" i="277"/>
  <c r="DK31" i="277"/>
  <c r="DK41" i="277"/>
  <c r="CU31" i="277"/>
  <c r="CU41" i="277"/>
  <c r="CU43" i="277"/>
  <c r="CI31" i="277"/>
  <c r="CI41" i="277"/>
  <c r="BS31" i="277"/>
  <c r="BS41" i="277"/>
  <c r="BS43" i="277"/>
  <c r="DN40" i="277"/>
  <c r="CL30" i="277"/>
  <c r="CL40" i="277"/>
  <c r="DD41" i="277"/>
  <c r="DD43" i="277"/>
  <c r="BX43" i="277"/>
  <c r="DK30" i="277"/>
  <c r="DK40" i="277"/>
  <c r="DK39" i="277"/>
  <c r="CE30" i="277"/>
  <c r="CE40" i="277"/>
  <c r="CE39" i="277"/>
  <c r="CP30" i="277"/>
  <c r="CP40" i="277"/>
  <c r="DH41" i="277"/>
  <c r="DY40" i="277"/>
  <c r="DQ40" i="277"/>
  <c r="DQ39" i="277"/>
  <c r="DI40" i="277"/>
  <c r="BM40" i="277"/>
  <c r="BM39" i="277"/>
  <c r="DY41" i="277"/>
  <c r="DY43" i="277"/>
  <c r="DI41" i="277"/>
  <c r="DI43" i="277"/>
  <c r="CS41" i="277"/>
  <c r="CS43" i="277"/>
  <c r="CC41" i="277"/>
  <c r="CC43" i="277"/>
  <c r="BV19" i="277"/>
  <c r="DF19" i="277"/>
  <c r="DJ31" i="277"/>
  <c r="DJ41" i="277"/>
  <c r="DJ43" i="277"/>
  <c r="BP40" i="277"/>
  <c r="BP39" i="277"/>
  <c r="CH19" i="277"/>
  <c r="BZ19" i="277"/>
  <c r="CD31" i="277"/>
  <c r="CD41" i="277"/>
  <c r="CD43" i="277"/>
  <c r="BB19" i="277"/>
  <c r="BN30" i="277"/>
  <c r="BN40" i="277"/>
  <c r="BN39" i="277"/>
  <c r="DJ34" i="277"/>
  <c r="BV30" i="277"/>
  <c r="BV40" i="277"/>
  <c r="BV39" i="277"/>
  <c r="CW43" i="277"/>
  <c r="DK34" i="277"/>
  <c r="DW30" i="277"/>
  <c r="DW40" i="277"/>
  <c r="CU34" i="277"/>
  <c r="DG30" i="277"/>
  <c r="DG40" i="277"/>
  <c r="CE34" i="277"/>
  <c r="CQ30" i="277"/>
  <c r="CQ40" i="277"/>
  <c r="CQ39" i="277"/>
  <c r="BO34" i="277"/>
  <c r="CA30" i="277"/>
  <c r="CA40" i="277"/>
  <c r="CA39" i="277"/>
  <c r="CE19" i="277"/>
  <c r="BK31" i="277"/>
  <c r="BK41" i="277"/>
  <c r="CD39" i="277"/>
  <c r="BP43" i="277"/>
  <c r="DC39" i="277"/>
  <c r="DW31" i="277"/>
  <c r="DW41" i="277"/>
  <c r="DG31" i="277"/>
  <c r="DG41" i="277"/>
  <c r="DG43" i="277"/>
  <c r="CM31" i="277"/>
  <c r="CM41" i="277"/>
  <c r="CM43" i="277"/>
  <c r="BW31" i="277"/>
  <c r="BW41" i="277"/>
  <c r="BW43" i="277"/>
  <c r="DR30" i="277"/>
  <c r="DR40" i="277"/>
  <c r="CB41" i="277"/>
  <c r="DA39" i="277"/>
  <c r="CS39" i="277"/>
  <c r="CK39" i="277"/>
  <c r="CC39" i="277"/>
  <c r="BU39" i="277"/>
  <c r="BI40" i="277"/>
  <c r="BI39" i="277"/>
  <c r="DR31" i="277"/>
  <c r="DR41" i="277"/>
  <c r="DF43" i="277"/>
  <c r="CP31" i="277"/>
  <c r="CP41" i="277"/>
  <c r="CP43" i="277"/>
  <c r="BZ31" i="277"/>
  <c r="BZ41" i="277"/>
  <c r="BZ43" i="277"/>
  <c r="BH40" i="277"/>
  <c r="CZ40" i="277"/>
  <c r="CZ39" i="277"/>
  <c r="CB40" i="277"/>
  <c r="CB39" i="277"/>
  <c r="DR34" i="277"/>
  <c r="DV19" i="277"/>
  <c r="DV41" i="277"/>
  <c r="DV43" i="277"/>
  <c r="CL31" i="277"/>
  <c r="CL41" i="277"/>
  <c r="CL43" i="277"/>
  <c r="DH40" i="277"/>
  <c r="DH39" i="277"/>
  <c r="BT40" i="277"/>
  <c r="BT39" i="277"/>
  <c r="CU47" i="277"/>
  <c r="CV47" i="277"/>
  <c r="CW47" i="277"/>
  <c r="CX47" i="277"/>
  <c r="CY47" i="277"/>
  <c r="CZ47" i="277"/>
  <c r="DA47" i="277"/>
  <c r="DB47" i="277"/>
  <c r="DC47" i="277"/>
  <c r="DD47" i="277"/>
  <c r="DE47" i="277"/>
  <c r="DF47" i="277"/>
  <c r="DG47" i="277"/>
  <c r="DH47" i="277"/>
  <c r="DI47" i="277"/>
  <c r="DJ47" i="277"/>
  <c r="DK47" i="277"/>
  <c r="DL47" i="277"/>
  <c r="DM47" i="277"/>
  <c r="DN47" i="277"/>
  <c r="DO47" i="277"/>
  <c r="DP47" i="277"/>
  <c r="DQ47" i="277"/>
  <c r="DR47" i="277"/>
  <c r="DS47" i="277"/>
  <c r="DT47" i="277"/>
  <c r="DU47" i="277"/>
  <c r="DV47" i="277"/>
  <c r="DW47" i="277"/>
  <c r="DX47" i="277"/>
  <c r="DY47" i="277"/>
  <c r="CT34" i="277"/>
  <c r="BN19" i="277"/>
  <c r="AH213" i="268"/>
  <c r="AH215" i="268"/>
  <c r="AH209" i="268"/>
  <c r="AG210" i="268"/>
  <c r="AH210" i="268"/>
  <c r="AG211" i="268"/>
  <c r="AH211" i="268"/>
  <c r="AG212" i="268"/>
  <c r="AH212" i="268"/>
  <c r="AG213" i="268"/>
  <c r="AG214" i="268"/>
  <c r="AH214" i="268"/>
  <c r="AG215" i="268"/>
  <c r="AG209" i="268"/>
  <c r="CB43" i="277"/>
  <c r="DN39" i="277"/>
  <c r="BH39" i="277"/>
  <c r="DR43" i="277"/>
  <c r="CH39" i="277"/>
  <c r="CX39" i="277"/>
  <c r="BR39" i="277"/>
  <c r="DW43" i="277"/>
  <c r="BK43" i="277"/>
  <c r="CI43" i="277"/>
  <c r="DE43" i="277"/>
  <c r="DB43" i="277"/>
  <c r="DO43" i="277"/>
  <c r="DF39" i="277"/>
  <c r="CV43" i="277"/>
  <c r="BW39" i="277"/>
  <c r="DH43" i="277"/>
  <c r="DK43" i="277"/>
  <c r="DU39" i="277"/>
  <c r="DU43" i="277"/>
  <c r="CU39" i="277"/>
  <c r="BV43" i="277"/>
  <c r="CM39" i="277"/>
  <c r="CT39" i="277"/>
  <c r="BS39" i="277"/>
  <c r="DP43" i="277"/>
  <c r="DS43" i="277"/>
  <c r="CO43" i="277"/>
  <c r="CZ43" i="277"/>
  <c r="BO39" i="277"/>
  <c r="DW39" i="277"/>
  <c r="DI39" i="277"/>
  <c r="CP39" i="277"/>
  <c r="BZ39" i="277"/>
  <c r="DV39" i="277"/>
  <c r="CI39" i="277"/>
  <c r="DO39" i="277"/>
  <c r="BH43" i="277"/>
  <c r="DD39" i="277"/>
  <c r="BM43" i="277"/>
  <c r="CE43" i="277"/>
  <c r="BT43" i="277"/>
  <c r="DJ39" i="277"/>
  <c r="DN43" i="277"/>
  <c r="DB39" i="277"/>
  <c r="CG43" i="277"/>
  <c r="DT43" i="277"/>
  <c r="CJ43" i="277"/>
  <c r="CQ43" i="277"/>
  <c r="BL39" i="277"/>
  <c r="DR39" i="277"/>
  <c r="DG39" i="277"/>
  <c r="DY39" i="277"/>
  <c r="CL39" i="277"/>
  <c r="BI43" i="277"/>
  <c r="CY39" i="277"/>
  <c r="DQ43" i="277"/>
  <c r="CA43" i="277"/>
  <c r="CR43" i="277"/>
  <c r="BN43" i="277"/>
  <c r="DX43" i="277"/>
  <c r="P130" i="244"/>
  <c r="O130" i="244"/>
  <c r="G132" i="244"/>
  <c r="H133" i="244"/>
  <c r="G133" i="244"/>
  <c r="H132" i="244"/>
  <c r="I207" i="269"/>
  <c r="E207" i="269"/>
  <c r="F206" i="269"/>
  <c r="B206" i="269"/>
  <c r="F205" i="269"/>
  <c r="B205" i="269"/>
  <c r="M204" i="269"/>
  <c r="M203" i="269"/>
  <c r="F203" i="269"/>
  <c r="B203" i="269"/>
  <c r="M202" i="269"/>
  <c r="M201" i="269"/>
  <c r="I200" i="269"/>
  <c r="H200" i="269"/>
  <c r="H207" i="269"/>
  <c r="G200" i="269"/>
  <c r="G207" i="269"/>
  <c r="F200" i="269"/>
  <c r="F207" i="269"/>
  <c r="E200" i="269"/>
  <c r="D200" i="269"/>
  <c r="D207" i="269"/>
  <c r="C200" i="269"/>
  <c r="C207" i="269"/>
  <c r="B200" i="269"/>
  <c r="B207" i="269"/>
  <c r="M199" i="269"/>
  <c r="I199" i="269"/>
  <c r="I206" i="269"/>
  <c r="H199" i="269"/>
  <c r="H206" i="269"/>
  <c r="G199" i="269"/>
  <c r="G206" i="269"/>
  <c r="H212" i="269"/>
  <c r="F199" i="269"/>
  <c r="E199" i="269"/>
  <c r="E206" i="269"/>
  <c r="D199" i="269"/>
  <c r="D206" i="269"/>
  <c r="C199" i="269"/>
  <c r="C206" i="269"/>
  <c r="E212" i="269"/>
  <c r="B199" i="269"/>
  <c r="I198" i="269"/>
  <c r="I205" i="269"/>
  <c r="H198" i="269"/>
  <c r="H205" i="269"/>
  <c r="G198" i="269"/>
  <c r="G205" i="269"/>
  <c r="H211" i="269"/>
  <c r="F198" i="269"/>
  <c r="E198" i="269"/>
  <c r="E205" i="269"/>
  <c r="D198" i="269"/>
  <c r="D205" i="269"/>
  <c r="C198" i="269"/>
  <c r="C205" i="269"/>
  <c r="E211" i="269"/>
  <c r="B198" i="269"/>
  <c r="I197" i="269"/>
  <c r="I204" i="269"/>
  <c r="H197" i="269"/>
  <c r="H204" i="269"/>
  <c r="G197" i="269"/>
  <c r="G204" i="269"/>
  <c r="F197" i="269"/>
  <c r="F204" i="269"/>
  <c r="E197" i="269"/>
  <c r="E204" i="269"/>
  <c r="D197" i="269"/>
  <c r="D204" i="269"/>
  <c r="C197" i="269"/>
  <c r="C204" i="269"/>
  <c r="E210" i="269"/>
  <c r="B197" i="269"/>
  <c r="B204" i="269"/>
  <c r="I196" i="269"/>
  <c r="I203" i="269"/>
  <c r="H196" i="269"/>
  <c r="H203" i="269"/>
  <c r="G196" i="269"/>
  <c r="G203" i="269"/>
  <c r="F196" i="269"/>
  <c r="E196" i="269"/>
  <c r="E203" i="269"/>
  <c r="D196" i="269"/>
  <c r="D203" i="269"/>
  <c r="C196" i="269"/>
  <c r="C203" i="269"/>
  <c r="E209" i="269"/>
  <c r="B196" i="269"/>
  <c r="Z193" i="269"/>
  <c r="Y193" i="269"/>
  <c r="Z192" i="269"/>
  <c r="Y192" i="269"/>
  <c r="Z191" i="269"/>
  <c r="Y191" i="269"/>
  <c r="J191" i="269"/>
  <c r="Z190" i="269"/>
  <c r="Y190" i="269"/>
  <c r="V190" i="269"/>
  <c r="J190" i="269"/>
  <c r="U190" i="269"/>
  <c r="Z189" i="269"/>
  <c r="Y189" i="269"/>
  <c r="V189" i="269"/>
  <c r="U189" i="269"/>
  <c r="K189" i="269"/>
  <c r="J189" i="269"/>
  <c r="S189" i="269"/>
  <c r="Z188" i="269"/>
  <c r="Y188" i="269"/>
  <c r="W188" i="269"/>
  <c r="J188" i="269"/>
  <c r="V188" i="269"/>
  <c r="Z187" i="269"/>
  <c r="Y187" i="269"/>
  <c r="V187" i="269"/>
  <c r="U187" i="269"/>
  <c r="K187" i="269"/>
  <c r="J187" i="269"/>
  <c r="S187" i="269"/>
  <c r="Z186" i="269"/>
  <c r="Y186" i="269"/>
  <c r="W186" i="269"/>
  <c r="J186" i="269"/>
  <c r="V186" i="269"/>
  <c r="Z185" i="269"/>
  <c r="Y185" i="269"/>
  <c r="V185" i="269"/>
  <c r="U185" i="269"/>
  <c r="K185" i="269"/>
  <c r="J185" i="269"/>
  <c r="S185" i="269"/>
  <c r="Z184" i="269"/>
  <c r="Y184" i="269"/>
  <c r="W184" i="269"/>
  <c r="J184" i="269"/>
  <c r="V184" i="269"/>
  <c r="Z183" i="269"/>
  <c r="Y183" i="269"/>
  <c r="V183" i="269"/>
  <c r="U183" i="269"/>
  <c r="K183" i="269"/>
  <c r="J183" i="269"/>
  <c r="S183" i="269"/>
  <c r="Z182" i="269"/>
  <c r="Y182" i="269"/>
  <c r="W182" i="269"/>
  <c r="J182" i="269"/>
  <c r="V182" i="269"/>
  <c r="Z181" i="269"/>
  <c r="Y181" i="269"/>
  <c r="V181" i="269"/>
  <c r="U181" i="269"/>
  <c r="J181" i="269"/>
  <c r="S181" i="269"/>
  <c r="Z180" i="269"/>
  <c r="Y180" i="269"/>
  <c r="W180" i="269"/>
  <c r="J180" i="269"/>
  <c r="V180" i="269"/>
  <c r="Z179" i="269"/>
  <c r="Y179" i="269"/>
  <c r="S179" i="269"/>
  <c r="J179" i="269"/>
  <c r="W179" i="269"/>
  <c r="Z178" i="269"/>
  <c r="Y178" i="269"/>
  <c r="U178" i="269"/>
  <c r="J178" i="269"/>
  <c r="Z177" i="269"/>
  <c r="Y177" i="269"/>
  <c r="W177" i="269"/>
  <c r="V177" i="269"/>
  <c r="J177" i="269"/>
  <c r="U177" i="269"/>
  <c r="Z176" i="269"/>
  <c r="Y176" i="269"/>
  <c r="W176" i="269"/>
  <c r="J176" i="269"/>
  <c r="V176" i="269"/>
  <c r="Z175" i="269"/>
  <c r="Y175" i="269"/>
  <c r="J175" i="269"/>
  <c r="W175" i="269"/>
  <c r="Z174" i="269"/>
  <c r="Y174" i="269"/>
  <c r="J174" i="269"/>
  <c r="Z173" i="269"/>
  <c r="Y173" i="269"/>
  <c r="W173" i="269"/>
  <c r="V173" i="269"/>
  <c r="J173" i="269"/>
  <c r="U173" i="269"/>
  <c r="Z172" i="269"/>
  <c r="Y172" i="269"/>
  <c r="W172" i="269"/>
  <c r="J172" i="269"/>
  <c r="V172" i="269"/>
  <c r="Z171" i="269"/>
  <c r="Y171" i="269"/>
  <c r="J171" i="269"/>
  <c r="W171" i="269"/>
  <c r="Z170" i="269"/>
  <c r="Y170" i="269"/>
  <c r="U170" i="269"/>
  <c r="J170" i="269"/>
  <c r="Z169" i="269"/>
  <c r="Y169" i="269"/>
  <c r="W169" i="269"/>
  <c r="V169" i="269"/>
  <c r="U169" i="269"/>
  <c r="J169" i="269"/>
  <c r="S169" i="269"/>
  <c r="Z168" i="269"/>
  <c r="Y168" i="269"/>
  <c r="J168" i="269"/>
  <c r="Z167" i="269"/>
  <c r="Y167" i="269"/>
  <c r="U167" i="269"/>
  <c r="J167" i="269"/>
  <c r="V167" i="269"/>
  <c r="Z166" i="269"/>
  <c r="Y166" i="269"/>
  <c r="W166" i="269"/>
  <c r="V166" i="269"/>
  <c r="J166" i="269"/>
  <c r="U166" i="269"/>
  <c r="Z165" i="269"/>
  <c r="Y165" i="269"/>
  <c r="W165" i="269"/>
  <c r="V165" i="269"/>
  <c r="J165" i="269"/>
  <c r="U165" i="269"/>
  <c r="Z164" i="269"/>
  <c r="Y164" i="269"/>
  <c r="J164" i="269"/>
  <c r="Z163" i="269"/>
  <c r="Y163" i="269"/>
  <c r="V163" i="269"/>
  <c r="U163" i="269"/>
  <c r="J163" i="269"/>
  <c r="Z162" i="269"/>
  <c r="Y162" i="269"/>
  <c r="W162" i="269"/>
  <c r="V162" i="269"/>
  <c r="J162" i="269"/>
  <c r="U162" i="269"/>
  <c r="Z161" i="269"/>
  <c r="Y161" i="269"/>
  <c r="W161" i="269"/>
  <c r="V161" i="269"/>
  <c r="J161" i="269"/>
  <c r="U161" i="269"/>
  <c r="Z160" i="269"/>
  <c r="Y160" i="269"/>
  <c r="U160" i="269"/>
  <c r="S160" i="269"/>
  <c r="J160" i="269"/>
  <c r="Z159" i="269"/>
  <c r="Y159" i="269"/>
  <c r="V159" i="269"/>
  <c r="J159" i="269"/>
  <c r="Z158" i="269"/>
  <c r="Y158" i="269"/>
  <c r="V158" i="269"/>
  <c r="J158" i="269"/>
  <c r="Z157" i="269"/>
  <c r="Y157" i="269"/>
  <c r="W157" i="269"/>
  <c r="V157" i="269"/>
  <c r="S157" i="269"/>
  <c r="J157" i="269"/>
  <c r="U157" i="269"/>
  <c r="Z156" i="269"/>
  <c r="Y156" i="269"/>
  <c r="U156" i="269"/>
  <c r="J156" i="269"/>
  <c r="Z155" i="269"/>
  <c r="Y155" i="269"/>
  <c r="S155" i="269"/>
  <c r="J155" i="269"/>
  <c r="W155" i="269"/>
  <c r="Z154" i="269"/>
  <c r="Y154" i="269"/>
  <c r="W154" i="269"/>
  <c r="V154" i="269"/>
  <c r="S154" i="269"/>
  <c r="J154" i="269"/>
  <c r="Z153" i="269"/>
  <c r="Y153" i="269"/>
  <c r="U153" i="269"/>
  <c r="J153" i="269"/>
  <c r="Z152" i="269"/>
  <c r="Y152" i="269"/>
  <c r="J152" i="269"/>
  <c r="P162" i="269"/>
  <c r="Q162" i="269"/>
  <c r="Z151" i="269"/>
  <c r="Y151" i="269"/>
  <c r="W151" i="269"/>
  <c r="V151" i="269"/>
  <c r="J151" i="269"/>
  <c r="U151" i="269"/>
  <c r="Z150" i="269"/>
  <c r="Y150" i="269"/>
  <c r="W150" i="269"/>
  <c r="V150" i="269"/>
  <c r="S150" i="269"/>
  <c r="J150" i="269"/>
  <c r="Z149" i="269"/>
  <c r="Y149" i="269"/>
  <c r="J149" i="269"/>
  <c r="U149" i="269"/>
  <c r="Z148" i="269"/>
  <c r="Y148" i="269"/>
  <c r="V148" i="269"/>
  <c r="U148" i="269"/>
  <c r="J148" i="269"/>
  <c r="Z147" i="269"/>
  <c r="Y147" i="269"/>
  <c r="W147" i="269"/>
  <c r="V147" i="269"/>
  <c r="J147" i="269"/>
  <c r="U147" i="269"/>
  <c r="Z146" i="269"/>
  <c r="Y146" i="269"/>
  <c r="W146" i="269"/>
  <c r="V146" i="269"/>
  <c r="S146" i="269"/>
  <c r="J146" i="269"/>
  <c r="J197" i="269"/>
  <c r="J204" i="269"/>
  <c r="Z145" i="269"/>
  <c r="Y145" i="269"/>
  <c r="S145" i="269"/>
  <c r="J145" i="269"/>
  <c r="U145" i="269"/>
  <c r="Z144" i="269"/>
  <c r="Y144" i="269"/>
  <c r="V144" i="269"/>
  <c r="U144" i="269"/>
  <c r="J144" i="269"/>
  <c r="Z143" i="269"/>
  <c r="Y143" i="269"/>
  <c r="W143" i="269"/>
  <c r="V143" i="269"/>
  <c r="J143" i="269"/>
  <c r="Z142" i="269"/>
  <c r="Y142" i="269"/>
  <c r="W142" i="269"/>
  <c r="V142" i="269"/>
  <c r="S142" i="269"/>
  <c r="J142" i="269"/>
  <c r="U142" i="269"/>
  <c r="Z141" i="269"/>
  <c r="Y141" i="269"/>
  <c r="U141" i="269"/>
  <c r="S141" i="269"/>
  <c r="J141" i="269"/>
  <c r="Z140" i="269"/>
  <c r="Y140" i="269"/>
  <c r="J140" i="269"/>
  <c r="Z139" i="269"/>
  <c r="Y139" i="269"/>
  <c r="W139" i="269"/>
  <c r="V139" i="269"/>
  <c r="J139" i="269"/>
  <c r="Z138" i="269"/>
  <c r="Y138" i="269"/>
  <c r="W138" i="269"/>
  <c r="V138" i="269"/>
  <c r="S138" i="269"/>
  <c r="J138" i="269"/>
  <c r="U138" i="269"/>
  <c r="Z137" i="269"/>
  <c r="Y137" i="269"/>
  <c r="U137" i="269"/>
  <c r="J137" i="269"/>
  <c r="Z136" i="269"/>
  <c r="Y136" i="269"/>
  <c r="P136" i="269"/>
  <c r="Q136" i="269"/>
  <c r="J136" i="269"/>
  <c r="P139" i="269"/>
  <c r="Q139" i="269"/>
  <c r="Z135" i="269"/>
  <c r="Y135" i="269"/>
  <c r="W135" i="269"/>
  <c r="V135" i="269"/>
  <c r="P135" i="269"/>
  <c r="Q135" i="269"/>
  <c r="J135" i="269"/>
  <c r="P146" i="269"/>
  <c r="Q146" i="269"/>
  <c r="Z134" i="269"/>
  <c r="Y134" i="269"/>
  <c r="W134" i="269"/>
  <c r="V134" i="269"/>
  <c r="S134" i="269"/>
  <c r="J134" i="269"/>
  <c r="Z133" i="269"/>
  <c r="Y133" i="269"/>
  <c r="W133" i="269"/>
  <c r="U133" i="269"/>
  <c r="S133" i="269"/>
  <c r="J133" i="269"/>
  <c r="V133" i="269"/>
  <c r="Z132" i="269"/>
  <c r="Y132" i="269"/>
  <c r="W132" i="269"/>
  <c r="U132" i="269"/>
  <c r="S132" i="269"/>
  <c r="J132" i="269"/>
  <c r="V132" i="269"/>
  <c r="Z131" i="269"/>
  <c r="Y131" i="269"/>
  <c r="W131" i="269"/>
  <c r="U131" i="269"/>
  <c r="S131" i="269"/>
  <c r="P131" i="269"/>
  <c r="J131" i="269"/>
  <c r="Z130" i="269"/>
  <c r="Y130" i="269"/>
  <c r="W130" i="269"/>
  <c r="U130" i="269"/>
  <c r="S130" i="269"/>
  <c r="P130" i="269"/>
  <c r="J130" i="269"/>
  <c r="V130" i="269"/>
  <c r="Z129" i="269"/>
  <c r="Y129" i="269"/>
  <c r="W129" i="269"/>
  <c r="U129" i="269"/>
  <c r="S129" i="269"/>
  <c r="P129" i="269"/>
  <c r="J129" i="269"/>
  <c r="V129" i="269"/>
  <c r="Z128" i="269"/>
  <c r="Y128" i="269"/>
  <c r="W128" i="269"/>
  <c r="U128" i="269"/>
  <c r="S128" i="269"/>
  <c r="P128" i="269"/>
  <c r="J128" i="269"/>
  <c r="V128" i="269"/>
  <c r="Z127" i="269"/>
  <c r="Y127" i="269"/>
  <c r="W127" i="269"/>
  <c r="U127" i="269"/>
  <c r="S127" i="269"/>
  <c r="P127" i="269"/>
  <c r="J127" i="269"/>
  <c r="Z126" i="269"/>
  <c r="Y126" i="269"/>
  <c r="W126" i="269"/>
  <c r="U126" i="269"/>
  <c r="S126" i="269"/>
  <c r="P126" i="269"/>
  <c r="J126" i="269"/>
  <c r="V126" i="269"/>
  <c r="Z125" i="269"/>
  <c r="Y125" i="269"/>
  <c r="W125" i="269"/>
  <c r="U125" i="269"/>
  <c r="S125" i="269"/>
  <c r="P125" i="269"/>
  <c r="J125" i="269"/>
  <c r="V125" i="269"/>
  <c r="Z124" i="269"/>
  <c r="Y124" i="269"/>
  <c r="W124" i="269"/>
  <c r="U124" i="269"/>
  <c r="S124" i="269"/>
  <c r="P124" i="269"/>
  <c r="J124" i="269"/>
  <c r="V124" i="269"/>
  <c r="Z123" i="269"/>
  <c r="Y123" i="269"/>
  <c r="W123" i="269"/>
  <c r="U123" i="269"/>
  <c r="S123" i="269"/>
  <c r="P123" i="269"/>
  <c r="J123" i="269"/>
  <c r="P134" i="269"/>
  <c r="Q134" i="269"/>
  <c r="Z122" i="269"/>
  <c r="Y122" i="269"/>
  <c r="W122" i="269"/>
  <c r="U122" i="269"/>
  <c r="S122" i="269"/>
  <c r="P122" i="269"/>
  <c r="J122" i="269"/>
  <c r="P133" i="269"/>
  <c r="Z121" i="269"/>
  <c r="Y121" i="269"/>
  <c r="W121" i="269"/>
  <c r="U121" i="269"/>
  <c r="S121" i="269"/>
  <c r="P121" i="269"/>
  <c r="J121" i="269"/>
  <c r="P132" i="269"/>
  <c r="Z120" i="269"/>
  <c r="Y120" i="269"/>
  <c r="W120" i="269"/>
  <c r="U120" i="269"/>
  <c r="S120" i="269"/>
  <c r="P120" i="269"/>
  <c r="J120" i="269"/>
  <c r="V120" i="269"/>
  <c r="Z119" i="269"/>
  <c r="Y119" i="269"/>
  <c r="W119" i="269"/>
  <c r="U119" i="269"/>
  <c r="S119" i="269"/>
  <c r="P119" i="269"/>
  <c r="J119" i="269"/>
  <c r="V119" i="269"/>
  <c r="Z118" i="269"/>
  <c r="Y118" i="269"/>
  <c r="W118" i="269"/>
  <c r="U118" i="269"/>
  <c r="S118" i="269"/>
  <c r="P118" i="269"/>
  <c r="J118" i="269"/>
  <c r="V118" i="269"/>
  <c r="Z117" i="269"/>
  <c r="Y117" i="269"/>
  <c r="W117" i="269"/>
  <c r="U117" i="269"/>
  <c r="S117" i="269"/>
  <c r="P117" i="269"/>
  <c r="J117" i="269"/>
  <c r="V117" i="269"/>
  <c r="Z116" i="269"/>
  <c r="Y116" i="269"/>
  <c r="W116" i="269"/>
  <c r="U116" i="269"/>
  <c r="S116" i="269"/>
  <c r="P116" i="269"/>
  <c r="J116" i="269"/>
  <c r="V116" i="269"/>
  <c r="Z115" i="269"/>
  <c r="Y115" i="269"/>
  <c r="W115" i="269"/>
  <c r="U115" i="269"/>
  <c r="S115" i="269"/>
  <c r="P115" i="269"/>
  <c r="J115" i="269"/>
  <c r="V115" i="269"/>
  <c r="Z114" i="269"/>
  <c r="Y114" i="269"/>
  <c r="W114" i="269"/>
  <c r="U114" i="269"/>
  <c r="S114" i="269"/>
  <c r="P114" i="269"/>
  <c r="J114" i="269"/>
  <c r="V114" i="269"/>
  <c r="Z113" i="269"/>
  <c r="Y113" i="269"/>
  <c r="W113" i="269"/>
  <c r="U113" i="269"/>
  <c r="S113" i="269"/>
  <c r="P113" i="269"/>
  <c r="J113" i="269"/>
  <c r="V113" i="269"/>
  <c r="Z112" i="269"/>
  <c r="Y112" i="269"/>
  <c r="W112" i="269"/>
  <c r="U112" i="269"/>
  <c r="S112" i="269"/>
  <c r="P112" i="269"/>
  <c r="J112" i="269"/>
  <c r="V112" i="269"/>
  <c r="Z111" i="269"/>
  <c r="Y111" i="269"/>
  <c r="W111" i="269"/>
  <c r="U111" i="269"/>
  <c r="S111" i="269"/>
  <c r="P111" i="269"/>
  <c r="J111" i="269"/>
  <c r="V111" i="269"/>
  <c r="Z110" i="269"/>
  <c r="Y110" i="269"/>
  <c r="W110" i="269"/>
  <c r="U110" i="269"/>
  <c r="S110" i="269"/>
  <c r="P110" i="269"/>
  <c r="J110" i="269"/>
  <c r="V110" i="269"/>
  <c r="Z109" i="269"/>
  <c r="Y109" i="269"/>
  <c r="W109" i="269"/>
  <c r="U109" i="269"/>
  <c r="S109" i="269"/>
  <c r="P109" i="269"/>
  <c r="J109" i="269"/>
  <c r="V109" i="269"/>
  <c r="Z108" i="269"/>
  <c r="Y108" i="269"/>
  <c r="W108" i="269"/>
  <c r="U108" i="269"/>
  <c r="S108" i="269"/>
  <c r="P108" i="269"/>
  <c r="J108" i="269"/>
  <c r="V108" i="269"/>
  <c r="Z107" i="269"/>
  <c r="Y107" i="269"/>
  <c r="W107" i="269"/>
  <c r="U107" i="269"/>
  <c r="S107" i="269"/>
  <c r="P107" i="269"/>
  <c r="J107" i="269"/>
  <c r="V107" i="269"/>
  <c r="Z106" i="269"/>
  <c r="Y106" i="269"/>
  <c r="W106" i="269"/>
  <c r="U106" i="269"/>
  <c r="S106" i="269"/>
  <c r="P106" i="269"/>
  <c r="J106" i="269"/>
  <c r="V106" i="269"/>
  <c r="Z105" i="269"/>
  <c r="Y105" i="269"/>
  <c r="W105" i="269"/>
  <c r="U105" i="269"/>
  <c r="S105" i="269"/>
  <c r="P105" i="269"/>
  <c r="J105" i="269"/>
  <c r="V105" i="269"/>
  <c r="Z104" i="269"/>
  <c r="Y104" i="269"/>
  <c r="W104" i="269"/>
  <c r="U104" i="269"/>
  <c r="S104" i="269"/>
  <c r="P104" i="269"/>
  <c r="J104" i="269"/>
  <c r="V104" i="269"/>
  <c r="Z103" i="269"/>
  <c r="Y103" i="269"/>
  <c r="W103" i="269"/>
  <c r="U103" i="269"/>
  <c r="S103" i="269"/>
  <c r="P103" i="269"/>
  <c r="J103" i="269"/>
  <c r="V103" i="269"/>
  <c r="Z102" i="269"/>
  <c r="Y102" i="269"/>
  <c r="W102" i="269"/>
  <c r="U102" i="269"/>
  <c r="S102" i="269"/>
  <c r="P102" i="269"/>
  <c r="J102" i="269"/>
  <c r="V102" i="269"/>
  <c r="Z101" i="269"/>
  <c r="Y101" i="269"/>
  <c r="W101" i="269"/>
  <c r="U101" i="269"/>
  <c r="S101" i="269"/>
  <c r="P101" i="269"/>
  <c r="J101" i="269"/>
  <c r="V101" i="269"/>
  <c r="Z100" i="269"/>
  <c r="Y100" i="269"/>
  <c r="W100" i="269"/>
  <c r="U100" i="269"/>
  <c r="S100" i="269"/>
  <c r="P100" i="269"/>
  <c r="J100" i="269"/>
  <c r="V100" i="269"/>
  <c r="Z99" i="269"/>
  <c r="Y99" i="269"/>
  <c r="W99" i="269"/>
  <c r="U99" i="269"/>
  <c r="S99" i="269"/>
  <c r="P99" i="269"/>
  <c r="J99" i="269"/>
  <c r="V99" i="269"/>
  <c r="Z98" i="269"/>
  <c r="Y98" i="269"/>
  <c r="W98" i="269"/>
  <c r="U98" i="269"/>
  <c r="S98" i="269"/>
  <c r="P98" i="269"/>
  <c r="J98" i="269"/>
  <c r="V98" i="269"/>
  <c r="Z97" i="269"/>
  <c r="Y97" i="269"/>
  <c r="W97" i="269"/>
  <c r="U97" i="269"/>
  <c r="S97" i="269"/>
  <c r="P97" i="269"/>
  <c r="J97" i="269"/>
  <c r="V97" i="269"/>
  <c r="Z96" i="269"/>
  <c r="Y96" i="269"/>
  <c r="W96" i="269"/>
  <c r="U96" i="269"/>
  <c r="S96" i="269"/>
  <c r="P96" i="269"/>
  <c r="J96" i="269"/>
  <c r="V96" i="269"/>
  <c r="Z95" i="269"/>
  <c r="Y95" i="269"/>
  <c r="W95" i="269"/>
  <c r="U95" i="269"/>
  <c r="S95" i="269"/>
  <c r="P95" i="269"/>
  <c r="J95" i="269"/>
  <c r="V95" i="269"/>
  <c r="Z94" i="269"/>
  <c r="Y94" i="269"/>
  <c r="W94" i="269"/>
  <c r="U94" i="269"/>
  <c r="S94" i="269"/>
  <c r="P94" i="269"/>
  <c r="J94" i="269"/>
  <c r="V94" i="269"/>
  <c r="Z93" i="269"/>
  <c r="Y93" i="269"/>
  <c r="W93" i="269"/>
  <c r="U93" i="269"/>
  <c r="S93" i="269"/>
  <c r="P93" i="269"/>
  <c r="J93" i="269"/>
  <c r="V93" i="269"/>
  <c r="Z92" i="269"/>
  <c r="Y92" i="269"/>
  <c r="W92" i="269"/>
  <c r="U92" i="269"/>
  <c r="S92" i="269"/>
  <c r="P92" i="269"/>
  <c r="J92" i="269"/>
  <c r="V92" i="269"/>
  <c r="Z91" i="269"/>
  <c r="Y91" i="269"/>
  <c r="W91" i="269"/>
  <c r="U91" i="269"/>
  <c r="S91" i="269"/>
  <c r="P91" i="269"/>
  <c r="J91" i="269"/>
  <c r="V91" i="269"/>
  <c r="Z90" i="269"/>
  <c r="Y90" i="269"/>
  <c r="W90" i="269"/>
  <c r="U90" i="269"/>
  <c r="S90" i="269"/>
  <c r="P90" i="269"/>
  <c r="J90" i="269"/>
  <c r="V90" i="269"/>
  <c r="Z89" i="269"/>
  <c r="Y89" i="269"/>
  <c r="W89" i="269"/>
  <c r="U89" i="269"/>
  <c r="S89" i="269"/>
  <c r="P89" i="269"/>
  <c r="J89" i="269"/>
  <c r="V89" i="269"/>
  <c r="Z88" i="269"/>
  <c r="Y88" i="269"/>
  <c r="W88" i="269"/>
  <c r="U88" i="269"/>
  <c r="S88" i="269"/>
  <c r="P88" i="269"/>
  <c r="J88" i="269"/>
  <c r="V88" i="269"/>
  <c r="Z87" i="269"/>
  <c r="Y87" i="269"/>
  <c r="W87" i="269"/>
  <c r="U87" i="269"/>
  <c r="S87" i="269"/>
  <c r="P87" i="269"/>
  <c r="J87" i="269"/>
  <c r="V87" i="269"/>
  <c r="Z86" i="269"/>
  <c r="Y86" i="269"/>
  <c r="W86" i="269"/>
  <c r="U86" i="269"/>
  <c r="S86" i="269"/>
  <c r="P86" i="269"/>
  <c r="J86" i="269"/>
  <c r="V86" i="269"/>
  <c r="Z85" i="269"/>
  <c r="Y85" i="269"/>
  <c r="W85" i="269"/>
  <c r="U85" i="269"/>
  <c r="S85" i="269"/>
  <c r="P85" i="269"/>
  <c r="J85" i="269"/>
  <c r="V85" i="269"/>
  <c r="Z84" i="269"/>
  <c r="Y84" i="269"/>
  <c r="W84" i="269"/>
  <c r="U84" i="269"/>
  <c r="S84" i="269"/>
  <c r="P84" i="269"/>
  <c r="J84" i="269"/>
  <c r="V84" i="269"/>
  <c r="Z83" i="269"/>
  <c r="Y83" i="269"/>
  <c r="W83" i="269"/>
  <c r="U83" i="269"/>
  <c r="S83" i="269"/>
  <c r="P83" i="269"/>
  <c r="J83" i="269"/>
  <c r="V83" i="269"/>
  <c r="Z82" i="269"/>
  <c r="Y82" i="269"/>
  <c r="W82" i="269"/>
  <c r="U82" i="269"/>
  <c r="S82" i="269"/>
  <c r="P82" i="269"/>
  <c r="J82" i="269"/>
  <c r="V82" i="269"/>
  <c r="Z81" i="269"/>
  <c r="Y81" i="269"/>
  <c r="W81" i="269"/>
  <c r="U81" i="269"/>
  <c r="S81" i="269"/>
  <c r="P81" i="269"/>
  <c r="J81" i="269"/>
  <c r="V81" i="269"/>
  <c r="Z80" i="269"/>
  <c r="Y80" i="269"/>
  <c r="W80" i="269"/>
  <c r="U80" i="269"/>
  <c r="S80" i="269"/>
  <c r="P80" i="269"/>
  <c r="J80" i="269"/>
  <c r="V80" i="269"/>
  <c r="Z79" i="269"/>
  <c r="Y79" i="269"/>
  <c r="W79" i="269"/>
  <c r="U79" i="269"/>
  <c r="S79" i="269"/>
  <c r="P79" i="269"/>
  <c r="J79" i="269"/>
  <c r="V79" i="269"/>
  <c r="Z78" i="269"/>
  <c r="Y78" i="269"/>
  <c r="W78" i="269"/>
  <c r="U78" i="269"/>
  <c r="S78" i="269"/>
  <c r="P78" i="269"/>
  <c r="J78" i="269"/>
  <c r="V78" i="269"/>
  <c r="Z77" i="269"/>
  <c r="Y77" i="269"/>
  <c r="W77" i="269"/>
  <c r="U77" i="269"/>
  <c r="S77" i="269"/>
  <c r="P77" i="269"/>
  <c r="J77" i="269"/>
  <c r="V77" i="269"/>
  <c r="Z76" i="269"/>
  <c r="Y76" i="269"/>
  <c r="W76" i="269"/>
  <c r="U76" i="269"/>
  <c r="S76" i="269"/>
  <c r="P76" i="269"/>
  <c r="J76" i="269"/>
  <c r="V76" i="269"/>
  <c r="Z75" i="269"/>
  <c r="Y75" i="269"/>
  <c r="W75" i="269"/>
  <c r="U75" i="269"/>
  <c r="S75" i="269"/>
  <c r="P75" i="269"/>
  <c r="J75" i="269"/>
  <c r="V75" i="269"/>
  <c r="Z74" i="269"/>
  <c r="Y74" i="269"/>
  <c r="W74" i="269"/>
  <c r="U74" i="269"/>
  <c r="S74" i="269"/>
  <c r="P74" i="269"/>
  <c r="J74" i="269"/>
  <c r="V74" i="269"/>
  <c r="Z73" i="269"/>
  <c r="Y73" i="269"/>
  <c r="W73" i="269"/>
  <c r="U73" i="269"/>
  <c r="S73" i="269"/>
  <c r="P73" i="269"/>
  <c r="J73" i="269"/>
  <c r="V73" i="269"/>
  <c r="Z72" i="269"/>
  <c r="Y72" i="269"/>
  <c r="W72" i="269"/>
  <c r="U72" i="269"/>
  <c r="S72" i="269"/>
  <c r="P72" i="269"/>
  <c r="J72" i="269"/>
  <c r="V72" i="269"/>
  <c r="Z71" i="269"/>
  <c r="Y71" i="269"/>
  <c r="W71" i="269"/>
  <c r="U71" i="269"/>
  <c r="S71" i="269"/>
  <c r="P71" i="269"/>
  <c r="J71" i="269"/>
  <c r="V71" i="269"/>
  <c r="Z70" i="269"/>
  <c r="Y70" i="269"/>
  <c r="W70" i="269"/>
  <c r="U70" i="269"/>
  <c r="S70" i="269"/>
  <c r="P70" i="269"/>
  <c r="J70" i="269"/>
  <c r="V70" i="269"/>
  <c r="Z69" i="269"/>
  <c r="Y69" i="269"/>
  <c r="W69" i="269"/>
  <c r="U69" i="269"/>
  <c r="S69" i="269"/>
  <c r="P69" i="269"/>
  <c r="J69" i="269"/>
  <c r="V69" i="269"/>
  <c r="Z68" i="269"/>
  <c r="Y68" i="269"/>
  <c r="W68" i="269"/>
  <c r="U68" i="269"/>
  <c r="S68" i="269"/>
  <c r="P68" i="269"/>
  <c r="J68" i="269"/>
  <c r="V68" i="269"/>
  <c r="Z67" i="269"/>
  <c r="Y67" i="269"/>
  <c r="W67" i="269"/>
  <c r="U67" i="269"/>
  <c r="S67" i="269"/>
  <c r="P67" i="269"/>
  <c r="J67" i="269"/>
  <c r="V67" i="269"/>
  <c r="Z66" i="269"/>
  <c r="Y66" i="269"/>
  <c r="W66" i="269"/>
  <c r="U66" i="269"/>
  <c r="S66" i="269"/>
  <c r="P66" i="269"/>
  <c r="J66" i="269"/>
  <c r="V66" i="269"/>
  <c r="Z65" i="269"/>
  <c r="Y65" i="269"/>
  <c r="W65" i="269"/>
  <c r="U65" i="269"/>
  <c r="S65" i="269"/>
  <c r="P65" i="269"/>
  <c r="J65" i="269"/>
  <c r="V65" i="269"/>
  <c r="Z64" i="269"/>
  <c r="Y64" i="269"/>
  <c r="W64" i="269"/>
  <c r="U64" i="269"/>
  <c r="S64" i="269"/>
  <c r="P64" i="269"/>
  <c r="J64" i="269"/>
  <c r="V64" i="269"/>
  <c r="Z63" i="269"/>
  <c r="Y63" i="269"/>
  <c r="W63" i="269"/>
  <c r="U63" i="269"/>
  <c r="S63" i="269"/>
  <c r="P63" i="269"/>
  <c r="J63" i="269"/>
  <c r="V63" i="269"/>
  <c r="Z62" i="269"/>
  <c r="Y62" i="269"/>
  <c r="W62" i="269"/>
  <c r="U62" i="269"/>
  <c r="S62" i="269"/>
  <c r="P62" i="269"/>
  <c r="J62" i="269"/>
  <c r="V62" i="269"/>
  <c r="Z61" i="269"/>
  <c r="Y61" i="269"/>
  <c r="W61" i="269"/>
  <c r="U61" i="269"/>
  <c r="S61" i="269"/>
  <c r="P61" i="269"/>
  <c r="J61" i="269"/>
  <c r="V61" i="269"/>
  <c r="Z60" i="269"/>
  <c r="Y60" i="269"/>
  <c r="W60" i="269"/>
  <c r="U60" i="269"/>
  <c r="S60" i="269"/>
  <c r="P60" i="269"/>
  <c r="J60" i="269"/>
  <c r="V60" i="269"/>
  <c r="Z59" i="269"/>
  <c r="Y59" i="269"/>
  <c r="W59" i="269"/>
  <c r="U59" i="269"/>
  <c r="S59" i="269"/>
  <c r="P59" i="269"/>
  <c r="J59" i="269"/>
  <c r="V59" i="269"/>
  <c r="Z58" i="269"/>
  <c r="Y58" i="269"/>
  <c r="W58" i="269"/>
  <c r="U58" i="269"/>
  <c r="S58" i="269"/>
  <c r="P58" i="269"/>
  <c r="J58" i="269"/>
  <c r="V58" i="269"/>
  <c r="Z57" i="269"/>
  <c r="Y57" i="269"/>
  <c r="W57" i="269"/>
  <c r="U57" i="269"/>
  <c r="S57" i="269"/>
  <c r="P57" i="269"/>
  <c r="J57" i="269"/>
  <c r="V57" i="269"/>
  <c r="Z56" i="269"/>
  <c r="Y56" i="269"/>
  <c r="W56" i="269"/>
  <c r="U56" i="269"/>
  <c r="S56" i="269"/>
  <c r="P56" i="269"/>
  <c r="J56" i="269"/>
  <c r="V56" i="269"/>
  <c r="Z55" i="269"/>
  <c r="Y55" i="269"/>
  <c r="W55" i="269"/>
  <c r="U55" i="269"/>
  <c r="S55" i="269"/>
  <c r="P55" i="269"/>
  <c r="J55" i="269"/>
  <c r="V55" i="269"/>
  <c r="Z54" i="269"/>
  <c r="Y54" i="269"/>
  <c r="W54" i="269"/>
  <c r="U54" i="269"/>
  <c r="S54" i="269"/>
  <c r="P54" i="269"/>
  <c r="J54" i="269"/>
  <c r="V54" i="269"/>
  <c r="Z53" i="269"/>
  <c r="Y53" i="269"/>
  <c r="W53" i="269"/>
  <c r="U53" i="269"/>
  <c r="S53" i="269"/>
  <c r="P53" i="269"/>
  <c r="J53" i="269"/>
  <c r="V53" i="269"/>
  <c r="Z52" i="269"/>
  <c r="Y52" i="269"/>
  <c r="W52" i="269"/>
  <c r="U52" i="269"/>
  <c r="S52" i="269"/>
  <c r="P52" i="269"/>
  <c r="J52" i="269"/>
  <c r="V52" i="269"/>
  <c r="Z51" i="269"/>
  <c r="Y51" i="269"/>
  <c r="W51" i="269"/>
  <c r="U51" i="269"/>
  <c r="S51" i="269"/>
  <c r="P51" i="269"/>
  <c r="J51" i="269"/>
  <c r="V51" i="269"/>
  <c r="Z50" i="269"/>
  <c r="Y50" i="269"/>
  <c r="W50" i="269"/>
  <c r="U50" i="269"/>
  <c r="S50" i="269"/>
  <c r="P50" i="269"/>
  <c r="J50" i="269"/>
  <c r="V50" i="269"/>
  <c r="Z49" i="269"/>
  <c r="Y49" i="269"/>
  <c r="W49" i="269"/>
  <c r="U49" i="269"/>
  <c r="S49" i="269"/>
  <c r="P49" i="269"/>
  <c r="J49" i="269"/>
  <c r="V49" i="269"/>
  <c r="Z48" i="269"/>
  <c r="Y48" i="269"/>
  <c r="W48" i="269"/>
  <c r="U48" i="269"/>
  <c r="S48" i="269"/>
  <c r="P48" i="269"/>
  <c r="J48" i="269"/>
  <c r="V48" i="269"/>
  <c r="Z47" i="269"/>
  <c r="Y47" i="269"/>
  <c r="W47" i="269"/>
  <c r="U47" i="269"/>
  <c r="S47" i="269"/>
  <c r="P47" i="269"/>
  <c r="J47" i="269"/>
  <c r="V47" i="269"/>
  <c r="Z46" i="269"/>
  <c r="Y46" i="269"/>
  <c r="W46" i="269"/>
  <c r="U46" i="269"/>
  <c r="S46" i="269"/>
  <c r="P46" i="269"/>
  <c r="J46" i="269"/>
  <c r="V46" i="269"/>
  <c r="Z45" i="269"/>
  <c r="Y45" i="269"/>
  <c r="W45" i="269"/>
  <c r="U45" i="269"/>
  <c r="S45" i="269"/>
  <c r="P45" i="269"/>
  <c r="J45" i="269"/>
  <c r="V45" i="269"/>
  <c r="Z44" i="269"/>
  <c r="Y44" i="269"/>
  <c r="W44" i="269"/>
  <c r="U44" i="269"/>
  <c r="S44" i="269"/>
  <c r="P44" i="269"/>
  <c r="J44" i="269"/>
  <c r="V44" i="269"/>
  <c r="Z43" i="269"/>
  <c r="Y43" i="269"/>
  <c r="W43" i="269"/>
  <c r="U43" i="269"/>
  <c r="S43" i="269"/>
  <c r="P43" i="269"/>
  <c r="J43" i="269"/>
  <c r="V43" i="269"/>
  <c r="Z42" i="269"/>
  <c r="Y42" i="269"/>
  <c r="W42" i="269"/>
  <c r="U42" i="269"/>
  <c r="S42" i="269"/>
  <c r="P42" i="269"/>
  <c r="J42" i="269"/>
  <c r="V42" i="269"/>
  <c r="Z41" i="269"/>
  <c r="Y41" i="269"/>
  <c r="W41" i="269"/>
  <c r="U41" i="269"/>
  <c r="S41" i="269"/>
  <c r="P41" i="269"/>
  <c r="J41" i="269"/>
  <c r="V41" i="269"/>
  <c r="Z40" i="269"/>
  <c r="Y40" i="269"/>
  <c r="W40" i="269"/>
  <c r="U40" i="269"/>
  <c r="S40" i="269"/>
  <c r="P40" i="269"/>
  <c r="J40" i="269"/>
  <c r="V40" i="269"/>
  <c r="Z39" i="269"/>
  <c r="Y39" i="269"/>
  <c r="W39" i="269"/>
  <c r="U39" i="269"/>
  <c r="S39" i="269"/>
  <c r="P39" i="269"/>
  <c r="J39" i="269"/>
  <c r="V39" i="269"/>
  <c r="Z38" i="269"/>
  <c r="Y38" i="269"/>
  <c r="W38" i="269"/>
  <c r="U38" i="269"/>
  <c r="S38" i="269"/>
  <c r="P38" i="269"/>
  <c r="J38" i="269"/>
  <c r="V38" i="269"/>
  <c r="Z37" i="269"/>
  <c r="Y37" i="269"/>
  <c r="W37" i="269"/>
  <c r="U37" i="269"/>
  <c r="S37" i="269"/>
  <c r="P37" i="269"/>
  <c r="J37" i="269"/>
  <c r="V37" i="269"/>
  <c r="Z36" i="269"/>
  <c r="Y36" i="269"/>
  <c r="W36" i="269"/>
  <c r="U36" i="269"/>
  <c r="S36" i="269"/>
  <c r="P36" i="269"/>
  <c r="J36" i="269"/>
  <c r="V36" i="269"/>
  <c r="Z35" i="269"/>
  <c r="Y35" i="269"/>
  <c r="W35" i="269"/>
  <c r="U35" i="269"/>
  <c r="S35" i="269"/>
  <c r="P35" i="269"/>
  <c r="J35" i="269"/>
  <c r="V35" i="269"/>
  <c r="Z34" i="269"/>
  <c r="Y34" i="269"/>
  <c r="W34" i="269"/>
  <c r="U34" i="269"/>
  <c r="S34" i="269"/>
  <c r="P34" i="269"/>
  <c r="J34" i="269"/>
  <c r="V34" i="269"/>
  <c r="Z33" i="269"/>
  <c r="Y33" i="269"/>
  <c r="W33" i="269"/>
  <c r="U33" i="269"/>
  <c r="S33" i="269"/>
  <c r="P33" i="269"/>
  <c r="J33" i="269"/>
  <c r="V33" i="269"/>
  <c r="Z32" i="269"/>
  <c r="Y32" i="269"/>
  <c r="W32" i="269"/>
  <c r="U32" i="269"/>
  <c r="S32" i="269"/>
  <c r="P32" i="269"/>
  <c r="J32" i="269"/>
  <c r="V32" i="269"/>
  <c r="Z31" i="269"/>
  <c r="Y31" i="269"/>
  <c r="W31" i="269"/>
  <c r="U31" i="269"/>
  <c r="S31" i="269"/>
  <c r="P31" i="269"/>
  <c r="J31" i="269"/>
  <c r="V31" i="269"/>
  <c r="Z30" i="269"/>
  <c r="Y30" i="269"/>
  <c r="W30" i="269"/>
  <c r="U30" i="269"/>
  <c r="P30" i="269"/>
  <c r="J30" i="269"/>
  <c r="V30" i="269"/>
  <c r="Z29" i="269"/>
  <c r="Y29" i="269"/>
  <c r="W29" i="269"/>
  <c r="U29" i="269"/>
  <c r="J29" i="269"/>
  <c r="V29" i="269"/>
  <c r="Z28" i="269"/>
  <c r="Y28" i="269"/>
  <c r="W28" i="269"/>
  <c r="U28" i="269"/>
  <c r="J28" i="269"/>
  <c r="V28" i="269"/>
  <c r="Z27" i="269"/>
  <c r="Y27" i="269"/>
  <c r="W27" i="269"/>
  <c r="U27" i="269"/>
  <c r="S27" i="269"/>
  <c r="J27" i="269"/>
  <c r="V27" i="269"/>
  <c r="Z26" i="269"/>
  <c r="Y26" i="269"/>
  <c r="W26" i="269"/>
  <c r="U26" i="269"/>
  <c r="P26" i="269"/>
  <c r="J26" i="269"/>
  <c r="V26" i="269"/>
  <c r="Z25" i="269"/>
  <c r="Y25" i="269"/>
  <c r="W25" i="269"/>
  <c r="U25" i="269"/>
  <c r="S25" i="269"/>
  <c r="J25" i="269"/>
  <c r="V25" i="269"/>
  <c r="Z24" i="269"/>
  <c r="Y24" i="269"/>
  <c r="W24" i="269"/>
  <c r="U24" i="269"/>
  <c r="J24" i="269"/>
  <c r="V24" i="269"/>
  <c r="Z23" i="269"/>
  <c r="Y23" i="269"/>
  <c r="W23" i="269"/>
  <c r="U23" i="269"/>
  <c r="S23" i="269"/>
  <c r="J23" i="269"/>
  <c r="V23" i="269"/>
  <c r="Z22" i="269"/>
  <c r="Y22" i="269"/>
  <c r="W22" i="269"/>
  <c r="U22" i="269"/>
  <c r="J22" i="269"/>
  <c r="V22" i="269"/>
  <c r="Z21" i="269"/>
  <c r="Y21" i="269"/>
  <c r="W21" i="269"/>
  <c r="U21" i="269"/>
  <c r="S21" i="269"/>
  <c r="J21" i="269"/>
  <c r="V21" i="269"/>
  <c r="Z20" i="269"/>
  <c r="Y20" i="269"/>
  <c r="W20" i="269"/>
  <c r="U20" i="269"/>
  <c r="J20" i="269"/>
  <c r="V20" i="269"/>
  <c r="Z19" i="269"/>
  <c r="Y19" i="269"/>
  <c r="S19" i="269"/>
  <c r="J19" i="269"/>
  <c r="V19" i="269"/>
  <c r="Z18" i="269"/>
  <c r="Y18" i="269"/>
  <c r="S18" i="269"/>
  <c r="J18" i="269"/>
  <c r="W18" i="269"/>
  <c r="Z17" i="269"/>
  <c r="Y17" i="269"/>
  <c r="S17" i="269"/>
  <c r="J17" i="269"/>
  <c r="W17" i="269"/>
  <c r="Z16" i="269"/>
  <c r="Y16" i="269"/>
  <c r="J16" i="269"/>
  <c r="S28" i="269"/>
  <c r="Z15" i="269"/>
  <c r="Y15" i="269"/>
  <c r="S15" i="269"/>
  <c r="J15" i="269"/>
  <c r="W15" i="269"/>
  <c r="Z14" i="269"/>
  <c r="Y14" i="269"/>
  <c r="S14" i="269"/>
  <c r="J14" i="269"/>
  <c r="W14" i="269"/>
  <c r="Z13" i="269"/>
  <c r="Y13" i="269"/>
  <c r="V13" i="269"/>
  <c r="U13" i="269"/>
  <c r="J13" i="269"/>
  <c r="W13" i="269"/>
  <c r="Z12" i="269"/>
  <c r="Y12" i="269"/>
  <c r="J12" i="269"/>
  <c r="S24" i="269"/>
  <c r="Z11" i="269"/>
  <c r="Y11" i="269"/>
  <c r="J11" i="269"/>
  <c r="Z10" i="269"/>
  <c r="Y10" i="269"/>
  <c r="J10" i="269"/>
  <c r="P20" i="269"/>
  <c r="Z9" i="269"/>
  <c r="Y9" i="269"/>
  <c r="J9" i="269"/>
  <c r="Z8" i="269"/>
  <c r="Y8" i="269"/>
  <c r="J8" i="269"/>
  <c r="S20" i="269"/>
  <c r="Z7" i="269"/>
  <c r="Y7" i="269"/>
  <c r="J7" i="269"/>
  <c r="Z6" i="269"/>
  <c r="Y6" i="269"/>
  <c r="J6" i="269"/>
  <c r="Z5" i="269"/>
  <c r="Y5" i="269"/>
  <c r="J5" i="269"/>
  <c r="Z4" i="269"/>
  <c r="Y4" i="269"/>
  <c r="J4" i="269"/>
  <c r="S16" i="269"/>
  <c r="Z3" i="269"/>
  <c r="Y3" i="269"/>
  <c r="J3" i="269"/>
  <c r="Z2" i="269"/>
  <c r="Y2" i="269"/>
  <c r="J2" i="269"/>
  <c r="P22" i="269"/>
  <c r="S140" i="269"/>
  <c r="W140" i="269"/>
  <c r="P152" i="269"/>
  <c r="Q152" i="269"/>
  <c r="S174" i="269"/>
  <c r="W174" i="269"/>
  <c r="P185" i="269"/>
  <c r="Q185" i="269"/>
  <c r="V174" i="269"/>
  <c r="P174" i="269"/>
  <c r="Q174" i="269"/>
  <c r="U174" i="269"/>
  <c r="S191" i="269"/>
  <c r="W191" i="269"/>
  <c r="V191" i="269"/>
  <c r="P191" i="269"/>
  <c r="R191" i="269"/>
  <c r="U14" i="269"/>
  <c r="U15" i="269"/>
  <c r="U16" i="269"/>
  <c r="U17" i="269"/>
  <c r="U18" i="269"/>
  <c r="U19" i="269"/>
  <c r="P21" i="269"/>
  <c r="S22" i="269"/>
  <c r="P25" i="269"/>
  <c r="S26" i="269"/>
  <c r="P29" i="269"/>
  <c r="S30" i="269"/>
  <c r="U136" i="269"/>
  <c r="W137" i="269"/>
  <c r="V137" i="269"/>
  <c r="P137" i="269"/>
  <c r="Q137" i="269"/>
  <c r="P150" i="269"/>
  <c r="Q150" i="269"/>
  <c r="P140" i="269"/>
  <c r="Q140" i="269"/>
  <c r="S144" i="269"/>
  <c r="W144" i="269"/>
  <c r="S149" i="269"/>
  <c r="P151" i="269"/>
  <c r="Q151" i="269"/>
  <c r="U152" i="269"/>
  <c r="S165" i="269"/>
  <c r="W153" i="269"/>
  <c r="V153" i="269"/>
  <c r="P153" i="269"/>
  <c r="Q153" i="269"/>
  <c r="S158" i="269"/>
  <c r="J198" i="269"/>
  <c r="J205" i="269"/>
  <c r="P169" i="269"/>
  <c r="W158" i="269"/>
  <c r="P158" i="269"/>
  <c r="Q158" i="269"/>
  <c r="W164" i="269"/>
  <c r="V164" i="269"/>
  <c r="P164" i="269"/>
  <c r="Q164" i="269"/>
  <c r="S176" i="269"/>
  <c r="U164" i="269"/>
  <c r="P167" i="269"/>
  <c r="Q167" i="269"/>
  <c r="W168" i="269"/>
  <c r="V168" i="269"/>
  <c r="P168" i="269"/>
  <c r="Q168" i="269"/>
  <c r="S180" i="269"/>
  <c r="U168" i="269"/>
  <c r="S168" i="269"/>
  <c r="U191" i="269"/>
  <c r="V14" i="269"/>
  <c r="V15" i="269"/>
  <c r="V16" i="269"/>
  <c r="P24" i="269"/>
  <c r="P28" i="269"/>
  <c r="S29" i="269"/>
  <c r="P138" i="269"/>
  <c r="Q138" i="269"/>
  <c r="P142" i="269"/>
  <c r="Q142" i="269"/>
  <c r="V136" i="269"/>
  <c r="S137" i="269"/>
  <c r="U140" i="269"/>
  <c r="W141" i="269"/>
  <c r="V141" i="269"/>
  <c r="P141" i="269"/>
  <c r="Q141" i="269"/>
  <c r="P154" i="269"/>
  <c r="Q154" i="269"/>
  <c r="P144" i="269"/>
  <c r="Q144" i="269"/>
  <c r="S148" i="269"/>
  <c r="W148" i="269"/>
  <c r="V152" i="269"/>
  <c r="S153" i="269"/>
  <c r="P155" i="269"/>
  <c r="Q155" i="269"/>
  <c r="U158" i="269"/>
  <c r="S159" i="269"/>
  <c r="W159" i="269"/>
  <c r="S171" i="269"/>
  <c r="U159" i="269"/>
  <c r="P159" i="269"/>
  <c r="Q159" i="269"/>
  <c r="S164" i="269"/>
  <c r="P13" i="269"/>
  <c r="P147" i="269"/>
  <c r="Q147" i="269"/>
  <c r="W149" i="269"/>
  <c r="S161" i="269"/>
  <c r="V149" i="269"/>
  <c r="P149" i="269"/>
  <c r="Q149" i="269"/>
  <c r="V17" i="269"/>
  <c r="V18" i="269"/>
  <c r="W19" i="269"/>
  <c r="P14" i="269"/>
  <c r="P15" i="269"/>
  <c r="P16" i="269"/>
  <c r="W16" i="269"/>
  <c r="P17" i="269"/>
  <c r="P18" i="269"/>
  <c r="P19" i="269"/>
  <c r="P23" i="269"/>
  <c r="P27" i="269"/>
  <c r="S136" i="269"/>
  <c r="W136" i="269"/>
  <c r="V140" i="269"/>
  <c r="P143" i="269"/>
  <c r="Q143" i="269"/>
  <c r="W145" i="269"/>
  <c r="V145" i="269"/>
  <c r="P145" i="269"/>
  <c r="Q145" i="269"/>
  <c r="P148" i="269"/>
  <c r="Q148" i="269"/>
  <c r="P163" i="269"/>
  <c r="Q163" i="269"/>
  <c r="S152" i="269"/>
  <c r="W152" i="269"/>
  <c r="S156" i="269"/>
  <c r="P166" i="269"/>
  <c r="Q166" i="269"/>
  <c r="P173" i="269"/>
  <c r="Q173" i="269"/>
  <c r="S178" i="269"/>
  <c r="W178" i="269"/>
  <c r="P189" i="269"/>
  <c r="Q189" i="269"/>
  <c r="V178" i="269"/>
  <c r="P178" i="269"/>
  <c r="Q178" i="269"/>
  <c r="H209" i="269"/>
  <c r="H210" i="269"/>
  <c r="V121" i="269"/>
  <c r="V122" i="269"/>
  <c r="V123" i="269"/>
  <c r="V127" i="269"/>
  <c r="V131" i="269"/>
  <c r="J196" i="269"/>
  <c r="J203" i="269"/>
  <c r="U134" i="269"/>
  <c r="S135" i="269"/>
  <c r="S139" i="269"/>
  <c r="S143" i="269"/>
  <c r="U146" i="269"/>
  <c r="S147" i="269"/>
  <c r="P161" i="269"/>
  <c r="Q161" i="269"/>
  <c r="U150" i="269"/>
  <c r="S151" i="269"/>
  <c r="P165" i="269"/>
  <c r="Q165" i="269"/>
  <c r="U154" i="269"/>
  <c r="U155" i="269"/>
  <c r="V156" i="269"/>
  <c r="P156" i="269"/>
  <c r="Q156" i="269"/>
  <c r="W156" i="269"/>
  <c r="P157" i="269"/>
  <c r="Q157" i="269"/>
  <c r="S163" i="269"/>
  <c r="W163" i="269"/>
  <c r="S170" i="269"/>
  <c r="J199" i="269"/>
  <c r="J206" i="269"/>
  <c r="W170" i="269"/>
  <c r="P181" i="269"/>
  <c r="V170" i="269"/>
  <c r="P170" i="269"/>
  <c r="Q170" i="269"/>
  <c r="S175" i="269"/>
  <c r="U135" i="269"/>
  <c r="U139" i="269"/>
  <c r="U143" i="269"/>
  <c r="V155" i="269"/>
  <c r="W160" i="269"/>
  <c r="V160" i="269"/>
  <c r="P160" i="269"/>
  <c r="Q160" i="269"/>
  <c r="S172" i="269"/>
  <c r="S167" i="269"/>
  <c r="W167" i="269"/>
  <c r="P177" i="269"/>
  <c r="Q177" i="269"/>
  <c r="E213" i="269"/>
  <c r="H213" i="269"/>
  <c r="U171" i="269"/>
  <c r="U175" i="269"/>
  <c r="U179" i="269"/>
  <c r="S182" i="269"/>
  <c r="P183" i="269"/>
  <c r="Q183" i="269"/>
  <c r="S184" i="269"/>
  <c r="S186" i="269"/>
  <c r="P187" i="269"/>
  <c r="Q187" i="269"/>
  <c r="S188" i="269"/>
  <c r="W190" i="269"/>
  <c r="J192" i="269"/>
  <c r="S162" i="269"/>
  <c r="S166" i="269"/>
  <c r="P171" i="269"/>
  <c r="Q171" i="269"/>
  <c r="V171" i="269"/>
  <c r="U172" i="269"/>
  <c r="S173" i="269"/>
  <c r="P175" i="269"/>
  <c r="Q175" i="269"/>
  <c r="V175" i="269"/>
  <c r="U176" i="269"/>
  <c r="S177" i="269"/>
  <c r="P179" i="269"/>
  <c r="Q179" i="269"/>
  <c r="V179" i="269"/>
  <c r="U180" i="269"/>
  <c r="W181" i="269"/>
  <c r="K182" i="269"/>
  <c r="U182" i="269"/>
  <c r="W183" i="269"/>
  <c r="K184" i="269"/>
  <c r="U184" i="269"/>
  <c r="W185" i="269"/>
  <c r="K186" i="269"/>
  <c r="U186" i="269"/>
  <c r="W187" i="269"/>
  <c r="K188" i="269"/>
  <c r="U188" i="269"/>
  <c r="W189" i="269"/>
  <c r="K190" i="269"/>
  <c r="S190" i="269"/>
  <c r="J193" i="269"/>
  <c r="J200" i="269"/>
  <c r="J207" i="269"/>
  <c r="P172" i="269"/>
  <c r="Q172" i="269"/>
  <c r="P176" i="269"/>
  <c r="Q176" i="269"/>
  <c r="P180" i="269"/>
  <c r="Q180" i="269"/>
  <c r="P182" i="269"/>
  <c r="Q182" i="269"/>
  <c r="P184" i="269"/>
  <c r="Q184" i="269"/>
  <c r="P186" i="269"/>
  <c r="Q186" i="269"/>
  <c r="P188" i="269"/>
  <c r="Q188" i="269"/>
  <c r="P190" i="269"/>
  <c r="Q190" i="269"/>
  <c r="R190" i="269"/>
  <c r="M200" i="269"/>
  <c r="V193" i="269"/>
  <c r="P193" i="269"/>
  <c r="R193" i="269"/>
  <c r="U193" i="269"/>
  <c r="S193" i="269"/>
  <c r="W193" i="269"/>
  <c r="W192" i="269"/>
  <c r="V192" i="269"/>
  <c r="P192" i="269"/>
  <c r="R192" i="269"/>
  <c r="U192" i="269"/>
  <c r="S192" i="269"/>
  <c r="Q181" i="269"/>
  <c r="N181" i="269"/>
  <c r="M205" i="269"/>
  <c r="N169" i="269"/>
  <c r="Q169" i="269"/>
  <c r="N205" i="269"/>
  <c r="O205" i="269"/>
  <c r="N199" i="269"/>
  <c r="O199" i="269"/>
  <c r="N202" i="269"/>
  <c r="O202" i="269"/>
  <c r="N204" i="269"/>
  <c r="O204" i="269"/>
  <c r="N203" i="269"/>
  <c r="O203" i="269"/>
  <c r="N201" i="269"/>
  <c r="O201" i="269"/>
  <c r="N200" i="269"/>
  <c r="O200" i="269"/>
  <c r="M204" i="268"/>
  <c r="M203" i="268"/>
  <c r="M202" i="268"/>
  <c r="M201" i="268"/>
  <c r="I200" i="268"/>
  <c r="I207" i="268"/>
  <c r="H200" i="268"/>
  <c r="H207" i="268"/>
  <c r="G200" i="268"/>
  <c r="G207" i="268"/>
  <c r="G213" i="268"/>
  <c r="F200" i="268"/>
  <c r="F207" i="268"/>
  <c r="E200" i="268"/>
  <c r="E207" i="268"/>
  <c r="D200" i="268"/>
  <c r="D207" i="268"/>
  <c r="C200" i="268"/>
  <c r="C207" i="268"/>
  <c r="E213" i="268"/>
  <c r="B200" i="268"/>
  <c r="B207" i="268"/>
  <c r="M199" i="268"/>
  <c r="I199" i="268"/>
  <c r="I206" i="268"/>
  <c r="H199" i="268"/>
  <c r="H206" i="268"/>
  <c r="G199" i="268"/>
  <c r="G206" i="268"/>
  <c r="F199" i="268"/>
  <c r="F206" i="268"/>
  <c r="E199" i="268"/>
  <c r="E206" i="268"/>
  <c r="D199" i="268"/>
  <c r="D206" i="268"/>
  <c r="C199" i="268"/>
  <c r="C206" i="268"/>
  <c r="E212" i="268"/>
  <c r="B199" i="268"/>
  <c r="B206" i="268"/>
  <c r="I198" i="268"/>
  <c r="I205" i="268"/>
  <c r="H198" i="268"/>
  <c r="H205" i="268"/>
  <c r="G198" i="268"/>
  <c r="G205" i="268"/>
  <c r="F198" i="268"/>
  <c r="F205" i="268"/>
  <c r="E198" i="268"/>
  <c r="E205" i="268"/>
  <c r="D198" i="268"/>
  <c r="D205" i="268"/>
  <c r="C198" i="268"/>
  <c r="C205" i="268"/>
  <c r="E211" i="268"/>
  <c r="B198" i="268"/>
  <c r="B205" i="268"/>
  <c r="I197" i="268"/>
  <c r="I204" i="268"/>
  <c r="H197" i="268"/>
  <c r="H204" i="268"/>
  <c r="G197" i="268"/>
  <c r="G204" i="268"/>
  <c r="F197" i="268"/>
  <c r="F204" i="268"/>
  <c r="E197" i="268"/>
  <c r="E204" i="268"/>
  <c r="D197" i="268"/>
  <c r="D204" i="268"/>
  <c r="C197" i="268"/>
  <c r="C204" i="268"/>
  <c r="E210" i="268"/>
  <c r="B197" i="268"/>
  <c r="B204" i="268"/>
  <c r="I196" i="268"/>
  <c r="I203" i="268"/>
  <c r="H196" i="268"/>
  <c r="H203" i="268"/>
  <c r="G196" i="268"/>
  <c r="G203" i="268"/>
  <c r="F196" i="268"/>
  <c r="F203" i="268"/>
  <c r="E196" i="268"/>
  <c r="E203" i="268"/>
  <c r="D196" i="268"/>
  <c r="D203" i="268"/>
  <c r="C196" i="268"/>
  <c r="C203" i="268"/>
  <c r="E209" i="268"/>
  <c r="B196" i="268"/>
  <c r="B203" i="268"/>
  <c r="Y193" i="268"/>
  <c r="X193" i="268"/>
  <c r="Y192" i="268"/>
  <c r="X192" i="268"/>
  <c r="Y191" i="268"/>
  <c r="X191" i="268"/>
  <c r="Y190" i="268"/>
  <c r="X190" i="268"/>
  <c r="J190" i="268"/>
  <c r="T190" i="268"/>
  <c r="Y189" i="268"/>
  <c r="X189" i="268"/>
  <c r="J189" i="268"/>
  <c r="T189" i="268"/>
  <c r="Y188" i="268"/>
  <c r="X188" i="268"/>
  <c r="J188" i="268"/>
  <c r="V188" i="268"/>
  <c r="Y187" i="268"/>
  <c r="X187" i="268"/>
  <c r="J187" i="268"/>
  <c r="T187" i="268"/>
  <c r="Y186" i="268"/>
  <c r="X186" i="268"/>
  <c r="V186" i="268"/>
  <c r="J186" i="268"/>
  <c r="R186" i="268"/>
  <c r="Y185" i="268"/>
  <c r="X185" i="268"/>
  <c r="T185" i="268"/>
  <c r="J185" i="268"/>
  <c r="M187" i="268"/>
  <c r="Y184" i="268"/>
  <c r="X184" i="268"/>
  <c r="J184" i="268"/>
  <c r="R184" i="268"/>
  <c r="Y183" i="268"/>
  <c r="X183" i="268"/>
  <c r="U183" i="268"/>
  <c r="J183" i="268"/>
  <c r="V183" i="268"/>
  <c r="Y182" i="268"/>
  <c r="X182" i="268"/>
  <c r="J182" i="268"/>
  <c r="T182" i="268"/>
  <c r="Y181" i="268"/>
  <c r="X181" i="268"/>
  <c r="T181" i="268"/>
  <c r="M181" i="268"/>
  <c r="J181" i="268"/>
  <c r="U181" i="268"/>
  <c r="Y180" i="268"/>
  <c r="X180" i="268"/>
  <c r="V180" i="268"/>
  <c r="J180" i="268"/>
  <c r="R180" i="268"/>
  <c r="Y179" i="268"/>
  <c r="X179" i="268"/>
  <c r="U179" i="268"/>
  <c r="J179" i="268"/>
  <c r="T179" i="268"/>
  <c r="Y178" i="268"/>
  <c r="X178" i="268"/>
  <c r="V178" i="268"/>
  <c r="T178" i="268"/>
  <c r="M178" i="268"/>
  <c r="J178" i="268"/>
  <c r="U178" i="268"/>
  <c r="Y177" i="268"/>
  <c r="X177" i="268"/>
  <c r="V177" i="268"/>
  <c r="J177" i="268"/>
  <c r="Y176" i="268"/>
  <c r="X176" i="268"/>
  <c r="U176" i="268"/>
  <c r="J176" i="268"/>
  <c r="T176" i="268"/>
  <c r="Y175" i="268"/>
  <c r="X175" i="268"/>
  <c r="V175" i="268"/>
  <c r="T175" i="268"/>
  <c r="M175" i="268"/>
  <c r="J175" i="268"/>
  <c r="U175" i="268"/>
  <c r="Y174" i="268"/>
  <c r="X174" i="268"/>
  <c r="V174" i="268"/>
  <c r="J174" i="268"/>
  <c r="Y173" i="268"/>
  <c r="X173" i="268"/>
  <c r="U173" i="268"/>
  <c r="J173" i="268"/>
  <c r="T173" i="268"/>
  <c r="Y172" i="268"/>
  <c r="X172" i="268"/>
  <c r="V172" i="268"/>
  <c r="T172" i="268"/>
  <c r="M172" i="268"/>
  <c r="J172" i="268"/>
  <c r="U172" i="268"/>
  <c r="Y171" i="268"/>
  <c r="X171" i="268"/>
  <c r="V171" i="268"/>
  <c r="J171" i="268"/>
  <c r="Y170" i="268"/>
  <c r="X170" i="268"/>
  <c r="U170" i="268"/>
  <c r="J170" i="268"/>
  <c r="T170" i="268"/>
  <c r="Y169" i="268"/>
  <c r="X169" i="268"/>
  <c r="V169" i="268"/>
  <c r="T169" i="268"/>
  <c r="M169" i="268"/>
  <c r="J169" i="268"/>
  <c r="U169" i="268"/>
  <c r="Y168" i="268"/>
  <c r="X168" i="268"/>
  <c r="V168" i="268"/>
  <c r="J168" i="268"/>
  <c r="R168" i="268"/>
  <c r="Y167" i="268"/>
  <c r="X167" i="268"/>
  <c r="U167" i="268"/>
  <c r="J167" i="268"/>
  <c r="T167" i="268"/>
  <c r="Y166" i="268"/>
  <c r="X166" i="268"/>
  <c r="V166" i="268"/>
  <c r="U166" i="268"/>
  <c r="T166" i="268"/>
  <c r="M166" i="268"/>
  <c r="J166" i="268"/>
  <c r="Y165" i="268"/>
  <c r="X165" i="268"/>
  <c r="V165" i="268"/>
  <c r="J165" i="268"/>
  <c r="T165" i="268"/>
  <c r="Y164" i="268"/>
  <c r="X164" i="268"/>
  <c r="U164" i="268"/>
  <c r="O164" i="268"/>
  <c r="P164" i="268"/>
  <c r="J164" i="268"/>
  <c r="T164" i="268"/>
  <c r="Y163" i="268"/>
  <c r="X163" i="268"/>
  <c r="V163" i="268"/>
  <c r="U163" i="268"/>
  <c r="T163" i="268"/>
  <c r="M163" i="268"/>
  <c r="J163" i="268"/>
  <c r="Y162" i="268"/>
  <c r="X162" i="268"/>
  <c r="V162" i="268"/>
  <c r="T162" i="268"/>
  <c r="J162" i="268"/>
  <c r="Y161" i="268"/>
  <c r="X161" i="268"/>
  <c r="U161" i="268"/>
  <c r="O161" i="268"/>
  <c r="P161" i="268"/>
  <c r="J161" i="268"/>
  <c r="T161" i="268"/>
  <c r="Y160" i="268"/>
  <c r="X160" i="268"/>
  <c r="V160" i="268"/>
  <c r="U160" i="268"/>
  <c r="T160" i="268"/>
  <c r="J160" i="268"/>
  <c r="Y159" i="268"/>
  <c r="X159" i="268"/>
  <c r="R159" i="268"/>
  <c r="J159" i="268"/>
  <c r="M160" i="268"/>
  <c r="Y158" i="268"/>
  <c r="X158" i="268"/>
  <c r="T158" i="268"/>
  <c r="J158" i="268"/>
  <c r="Y157" i="268"/>
  <c r="X157" i="268"/>
  <c r="V157" i="268"/>
  <c r="U157" i="268"/>
  <c r="T157" i="268"/>
  <c r="O157" i="268"/>
  <c r="P157" i="268"/>
  <c r="J157" i="268"/>
  <c r="R157" i="268"/>
  <c r="Y156" i="268"/>
  <c r="X156" i="268"/>
  <c r="T156" i="268"/>
  <c r="J156" i="268"/>
  <c r="Y155" i="268"/>
  <c r="X155" i="268"/>
  <c r="R155" i="268"/>
  <c r="J155" i="268"/>
  <c r="Y154" i="268"/>
  <c r="X154" i="268"/>
  <c r="U154" i="268"/>
  <c r="O154" i="268"/>
  <c r="P154" i="268"/>
  <c r="J154" i="268"/>
  <c r="R154" i="268"/>
  <c r="Y153" i="268"/>
  <c r="X153" i="268"/>
  <c r="U153" i="268"/>
  <c r="R153" i="268"/>
  <c r="O153" i="268"/>
  <c r="P153" i="268"/>
  <c r="J153" i="268"/>
  <c r="V153" i="268"/>
  <c r="Y152" i="268"/>
  <c r="X152" i="268"/>
  <c r="V152" i="268"/>
  <c r="J152" i="268"/>
  <c r="T152" i="268"/>
  <c r="Y151" i="268"/>
  <c r="X151" i="268"/>
  <c r="U151" i="268"/>
  <c r="O151" i="268"/>
  <c r="P151" i="268"/>
  <c r="J151" i="268"/>
  <c r="Y150" i="268"/>
  <c r="X150" i="268"/>
  <c r="U150" i="268"/>
  <c r="O150" i="268"/>
  <c r="P150" i="268"/>
  <c r="J150" i="268"/>
  <c r="V150" i="268"/>
  <c r="Y149" i="268"/>
  <c r="X149" i="268"/>
  <c r="V149" i="268"/>
  <c r="J149" i="268"/>
  <c r="Y148" i="268"/>
  <c r="X148" i="268"/>
  <c r="U148" i="268"/>
  <c r="O148" i="268"/>
  <c r="P148" i="268"/>
  <c r="J148" i="268"/>
  <c r="R148" i="268"/>
  <c r="Y147" i="268"/>
  <c r="X147" i="268"/>
  <c r="U147" i="268"/>
  <c r="R147" i="268"/>
  <c r="O147" i="268"/>
  <c r="P147" i="268"/>
  <c r="J147" i="268"/>
  <c r="V147" i="268"/>
  <c r="Y146" i="268"/>
  <c r="X146" i="268"/>
  <c r="V146" i="268"/>
  <c r="J146" i="268"/>
  <c r="T146" i="268"/>
  <c r="Y145" i="268"/>
  <c r="X145" i="268"/>
  <c r="U145" i="268"/>
  <c r="O145" i="268"/>
  <c r="P145" i="268"/>
  <c r="J145" i="268"/>
  <c r="T145" i="268"/>
  <c r="Y144" i="268"/>
  <c r="X144" i="268"/>
  <c r="V144" i="268"/>
  <c r="T144" i="268"/>
  <c r="J144" i="268"/>
  <c r="Y143" i="268"/>
  <c r="X143" i="268"/>
  <c r="U143" i="268"/>
  <c r="J143" i="268"/>
  <c r="V143" i="268"/>
  <c r="Y142" i="268"/>
  <c r="X142" i="268"/>
  <c r="V142" i="268"/>
  <c r="T142" i="268"/>
  <c r="J142" i="268"/>
  <c r="Y141" i="268"/>
  <c r="X141" i="268"/>
  <c r="U141" i="268"/>
  <c r="J141" i="268"/>
  <c r="T141" i="268"/>
  <c r="Y140" i="268"/>
  <c r="X140" i="268"/>
  <c r="V140" i="268"/>
  <c r="T140" i="268"/>
  <c r="J140" i="268"/>
  <c r="Y139" i="268"/>
  <c r="X139" i="268"/>
  <c r="U139" i="268"/>
  <c r="J139" i="268"/>
  <c r="V139" i="268"/>
  <c r="Y138" i="268"/>
  <c r="X138" i="268"/>
  <c r="V138" i="268"/>
  <c r="T138" i="268"/>
  <c r="J138" i="268"/>
  <c r="R150" i="268"/>
  <c r="Y137" i="268"/>
  <c r="X137" i="268"/>
  <c r="U137" i="268"/>
  <c r="J137" i="268"/>
  <c r="T137" i="268"/>
  <c r="Y136" i="268"/>
  <c r="X136" i="268"/>
  <c r="V136" i="268"/>
  <c r="T136" i="268"/>
  <c r="J136" i="268"/>
  <c r="Y135" i="268"/>
  <c r="X135" i="268"/>
  <c r="U135" i="268"/>
  <c r="J135" i="268"/>
  <c r="V135" i="268"/>
  <c r="Y134" i="268"/>
  <c r="X134" i="268"/>
  <c r="V134" i="268"/>
  <c r="T134" i="268"/>
  <c r="J134" i="268"/>
  <c r="Y133" i="268"/>
  <c r="X133" i="268"/>
  <c r="J133" i="268"/>
  <c r="Y132" i="268"/>
  <c r="X132" i="268"/>
  <c r="J132" i="268"/>
  <c r="Y131" i="268"/>
  <c r="X131" i="268"/>
  <c r="U131" i="268"/>
  <c r="J131" i="268"/>
  <c r="R143" i="268"/>
  <c r="Y130" i="268"/>
  <c r="X130" i="268"/>
  <c r="U130" i="268"/>
  <c r="J130" i="268"/>
  <c r="Y129" i="268"/>
  <c r="X129" i="268"/>
  <c r="J129" i="268"/>
  <c r="Y128" i="268"/>
  <c r="X128" i="268"/>
  <c r="J128" i="268"/>
  <c r="Y127" i="268"/>
  <c r="X127" i="268"/>
  <c r="U127" i="268"/>
  <c r="J127" i="268"/>
  <c r="R139" i="268"/>
  <c r="Y126" i="268"/>
  <c r="X126" i="268"/>
  <c r="U126" i="268"/>
  <c r="J126" i="268"/>
  <c r="Y125" i="268"/>
  <c r="X125" i="268"/>
  <c r="J125" i="268"/>
  <c r="Y124" i="268"/>
  <c r="X124" i="268"/>
  <c r="J124" i="268"/>
  <c r="Y123" i="268"/>
  <c r="X123" i="268"/>
  <c r="J123" i="268"/>
  <c r="Y122" i="268"/>
  <c r="X122" i="268"/>
  <c r="J122" i="268"/>
  <c r="Y121" i="268"/>
  <c r="X121" i="268"/>
  <c r="J121" i="268"/>
  <c r="Y120" i="268"/>
  <c r="X120" i="268"/>
  <c r="J120" i="268"/>
  <c r="Y119" i="268"/>
  <c r="X119" i="268"/>
  <c r="J119" i="268"/>
  <c r="Y118" i="268"/>
  <c r="X118" i="268"/>
  <c r="J118" i="268"/>
  <c r="Y117" i="268"/>
  <c r="X117" i="268"/>
  <c r="J117" i="268"/>
  <c r="Y116" i="268"/>
  <c r="X116" i="268"/>
  <c r="J116" i="268"/>
  <c r="Y115" i="268"/>
  <c r="X115" i="268"/>
  <c r="U115" i="268"/>
  <c r="J115" i="268"/>
  <c r="Y114" i="268"/>
  <c r="X114" i="268"/>
  <c r="J114" i="268"/>
  <c r="U114" i="268"/>
  <c r="Y113" i="268"/>
  <c r="X113" i="268"/>
  <c r="J113" i="268"/>
  <c r="U113" i="268"/>
  <c r="Y112" i="268"/>
  <c r="X112" i="268"/>
  <c r="U112" i="268"/>
  <c r="J112" i="268"/>
  <c r="Y111" i="268"/>
  <c r="X111" i="268"/>
  <c r="U111" i="268"/>
  <c r="J111" i="268"/>
  <c r="Y110" i="268"/>
  <c r="X110" i="268"/>
  <c r="J110" i="268"/>
  <c r="U110" i="268"/>
  <c r="Y109" i="268"/>
  <c r="X109" i="268"/>
  <c r="T109" i="268"/>
  <c r="J109" i="268"/>
  <c r="U109" i="268"/>
  <c r="Y108" i="268"/>
  <c r="X108" i="268"/>
  <c r="J108" i="268"/>
  <c r="U108" i="268"/>
  <c r="Y107" i="268"/>
  <c r="X107" i="268"/>
  <c r="T107" i="268"/>
  <c r="J107" i="268"/>
  <c r="U107" i="268"/>
  <c r="Y106" i="268"/>
  <c r="X106" i="268"/>
  <c r="J106" i="268"/>
  <c r="U106" i="268"/>
  <c r="Y105" i="268"/>
  <c r="X105" i="268"/>
  <c r="T105" i="268"/>
  <c r="J105" i="268"/>
  <c r="U105" i="268"/>
  <c r="Y104" i="268"/>
  <c r="X104" i="268"/>
  <c r="J104" i="268"/>
  <c r="U104" i="268"/>
  <c r="Y103" i="268"/>
  <c r="X103" i="268"/>
  <c r="T103" i="268"/>
  <c r="J103" i="268"/>
  <c r="U103" i="268"/>
  <c r="Y102" i="268"/>
  <c r="X102" i="268"/>
  <c r="J102" i="268"/>
  <c r="U102" i="268"/>
  <c r="Y101" i="268"/>
  <c r="X101" i="268"/>
  <c r="T101" i="268"/>
  <c r="J101" i="268"/>
  <c r="U101" i="268"/>
  <c r="Y100" i="268"/>
  <c r="X100" i="268"/>
  <c r="J100" i="268"/>
  <c r="U100" i="268"/>
  <c r="Y99" i="268"/>
  <c r="X99" i="268"/>
  <c r="T99" i="268"/>
  <c r="J99" i="268"/>
  <c r="U99" i="268"/>
  <c r="Y98" i="268"/>
  <c r="X98" i="268"/>
  <c r="J98" i="268"/>
  <c r="U98" i="268"/>
  <c r="Y97" i="268"/>
  <c r="X97" i="268"/>
  <c r="T97" i="268"/>
  <c r="J97" i="268"/>
  <c r="U97" i="268"/>
  <c r="Y96" i="268"/>
  <c r="X96" i="268"/>
  <c r="J96" i="268"/>
  <c r="U96" i="268"/>
  <c r="Y95" i="268"/>
  <c r="X95" i="268"/>
  <c r="T95" i="268"/>
  <c r="J95" i="268"/>
  <c r="U95" i="268"/>
  <c r="Y94" i="268"/>
  <c r="X94" i="268"/>
  <c r="J94" i="268"/>
  <c r="U94" i="268"/>
  <c r="Y93" i="268"/>
  <c r="X93" i="268"/>
  <c r="T93" i="268"/>
  <c r="J93" i="268"/>
  <c r="U93" i="268"/>
  <c r="Y92" i="268"/>
  <c r="X92" i="268"/>
  <c r="J92" i="268"/>
  <c r="U92" i="268"/>
  <c r="Y91" i="268"/>
  <c r="X91" i="268"/>
  <c r="T91" i="268"/>
  <c r="J91" i="268"/>
  <c r="U91" i="268"/>
  <c r="Y90" i="268"/>
  <c r="X90" i="268"/>
  <c r="J90" i="268"/>
  <c r="U90" i="268"/>
  <c r="Y89" i="268"/>
  <c r="X89" i="268"/>
  <c r="T89" i="268"/>
  <c r="J89" i="268"/>
  <c r="U89" i="268"/>
  <c r="Y88" i="268"/>
  <c r="X88" i="268"/>
  <c r="T88" i="268"/>
  <c r="O88" i="268"/>
  <c r="J88" i="268"/>
  <c r="V88" i="268"/>
  <c r="Y87" i="268"/>
  <c r="X87" i="268"/>
  <c r="V87" i="268"/>
  <c r="T87" i="268"/>
  <c r="O87" i="268"/>
  <c r="J87" i="268"/>
  <c r="U87" i="268"/>
  <c r="Y86" i="268"/>
  <c r="X86" i="268"/>
  <c r="V86" i="268"/>
  <c r="T86" i="268"/>
  <c r="O86" i="268"/>
  <c r="J86" i="268"/>
  <c r="U86" i="268"/>
  <c r="Y85" i="268"/>
  <c r="X85" i="268"/>
  <c r="V85" i="268"/>
  <c r="T85" i="268"/>
  <c r="O85" i="268"/>
  <c r="J85" i="268"/>
  <c r="U85" i="268"/>
  <c r="Y84" i="268"/>
  <c r="X84" i="268"/>
  <c r="V84" i="268"/>
  <c r="T84" i="268"/>
  <c r="O84" i="268"/>
  <c r="J84" i="268"/>
  <c r="U84" i="268"/>
  <c r="Y83" i="268"/>
  <c r="X83" i="268"/>
  <c r="V83" i="268"/>
  <c r="T83" i="268"/>
  <c r="O83" i="268"/>
  <c r="J83" i="268"/>
  <c r="U83" i="268"/>
  <c r="Y82" i="268"/>
  <c r="X82" i="268"/>
  <c r="V82" i="268"/>
  <c r="T82" i="268"/>
  <c r="O82" i="268"/>
  <c r="J82" i="268"/>
  <c r="U82" i="268"/>
  <c r="Y81" i="268"/>
  <c r="X81" i="268"/>
  <c r="V81" i="268"/>
  <c r="T81" i="268"/>
  <c r="O81" i="268"/>
  <c r="J81" i="268"/>
  <c r="U81" i="268"/>
  <c r="Y80" i="268"/>
  <c r="X80" i="268"/>
  <c r="V80" i="268"/>
  <c r="T80" i="268"/>
  <c r="O80" i="268"/>
  <c r="J80" i="268"/>
  <c r="U80" i="268"/>
  <c r="Y79" i="268"/>
  <c r="X79" i="268"/>
  <c r="V79" i="268"/>
  <c r="T79" i="268"/>
  <c r="O79" i="268"/>
  <c r="J79" i="268"/>
  <c r="U79" i="268"/>
  <c r="Y78" i="268"/>
  <c r="X78" i="268"/>
  <c r="V78" i="268"/>
  <c r="T78" i="268"/>
  <c r="O78" i="268"/>
  <c r="J78" i="268"/>
  <c r="U78" i="268"/>
  <c r="Y77" i="268"/>
  <c r="X77" i="268"/>
  <c r="V77" i="268"/>
  <c r="T77" i="268"/>
  <c r="O77" i="268"/>
  <c r="J77" i="268"/>
  <c r="U77" i="268"/>
  <c r="Y76" i="268"/>
  <c r="X76" i="268"/>
  <c r="V76" i="268"/>
  <c r="T76" i="268"/>
  <c r="O76" i="268"/>
  <c r="J76" i="268"/>
  <c r="U76" i="268"/>
  <c r="Y75" i="268"/>
  <c r="X75" i="268"/>
  <c r="V75" i="268"/>
  <c r="T75" i="268"/>
  <c r="O75" i="268"/>
  <c r="J75" i="268"/>
  <c r="U75" i="268"/>
  <c r="Y74" i="268"/>
  <c r="X74" i="268"/>
  <c r="V74" i="268"/>
  <c r="T74" i="268"/>
  <c r="O74" i="268"/>
  <c r="J74" i="268"/>
  <c r="U74" i="268"/>
  <c r="Y73" i="268"/>
  <c r="X73" i="268"/>
  <c r="V73" i="268"/>
  <c r="T73" i="268"/>
  <c r="O73" i="268"/>
  <c r="J73" i="268"/>
  <c r="U73" i="268"/>
  <c r="Y72" i="268"/>
  <c r="X72" i="268"/>
  <c r="V72" i="268"/>
  <c r="T72" i="268"/>
  <c r="O72" i="268"/>
  <c r="J72" i="268"/>
  <c r="U72" i="268"/>
  <c r="Y71" i="268"/>
  <c r="X71" i="268"/>
  <c r="V71" i="268"/>
  <c r="T71" i="268"/>
  <c r="O71" i="268"/>
  <c r="J71" i="268"/>
  <c r="U71" i="268"/>
  <c r="Y70" i="268"/>
  <c r="X70" i="268"/>
  <c r="V70" i="268"/>
  <c r="T70" i="268"/>
  <c r="O70" i="268"/>
  <c r="J70" i="268"/>
  <c r="U70" i="268"/>
  <c r="Y69" i="268"/>
  <c r="X69" i="268"/>
  <c r="V69" i="268"/>
  <c r="T69" i="268"/>
  <c r="O69" i="268"/>
  <c r="J69" i="268"/>
  <c r="U69" i="268"/>
  <c r="Y68" i="268"/>
  <c r="X68" i="268"/>
  <c r="V68" i="268"/>
  <c r="T68" i="268"/>
  <c r="O68" i="268"/>
  <c r="J68" i="268"/>
  <c r="U68" i="268"/>
  <c r="Y67" i="268"/>
  <c r="X67" i="268"/>
  <c r="V67" i="268"/>
  <c r="T67" i="268"/>
  <c r="O67" i="268"/>
  <c r="J67" i="268"/>
  <c r="U67" i="268"/>
  <c r="Y66" i="268"/>
  <c r="X66" i="268"/>
  <c r="V66" i="268"/>
  <c r="T66" i="268"/>
  <c r="O66" i="268"/>
  <c r="J66" i="268"/>
  <c r="U66" i="268"/>
  <c r="Y65" i="268"/>
  <c r="X65" i="268"/>
  <c r="V65" i="268"/>
  <c r="T65" i="268"/>
  <c r="O65" i="268"/>
  <c r="J65" i="268"/>
  <c r="U65" i="268"/>
  <c r="Y64" i="268"/>
  <c r="X64" i="268"/>
  <c r="V64" i="268"/>
  <c r="T64" i="268"/>
  <c r="R64" i="268"/>
  <c r="O64" i="268"/>
  <c r="J64" i="268"/>
  <c r="U64" i="268"/>
  <c r="Y63" i="268"/>
  <c r="X63" i="268"/>
  <c r="V63" i="268"/>
  <c r="T63" i="268"/>
  <c r="R63" i="268"/>
  <c r="O63" i="268"/>
  <c r="J63" i="268"/>
  <c r="U63" i="268"/>
  <c r="Y62" i="268"/>
  <c r="X62" i="268"/>
  <c r="V62" i="268"/>
  <c r="T62" i="268"/>
  <c r="R62" i="268"/>
  <c r="O62" i="268"/>
  <c r="J62" i="268"/>
  <c r="U62" i="268"/>
  <c r="Y61" i="268"/>
  <c r="X61" i="268"/>
  <c r="V61" i="268"/>
  <c r="T61" i="268"/>
  <c r="R61" i="268"/>
  <c r="O61" i="268"/>
  <c r="J61" i="268"/>
  <c r="U61" i="268"/>
  <c r="Y60" i="268"/>
  <c r="X60" i="268"/>
  <c r="V60" i="268"/>
  <c r="T60" i="268"/>
  <c r="R60" i="268"/>
  <c r="O60" i="268"/>
  <c r="J60" i="268"/>
  <c r="U60" i="268"/>
  <c r="Y59" i="268"/>
  <c r="X59" i="268"/>
  <c r="V59" i="268"/>
  <c r="T59" i="268"/>
  <c r="R59" i="268"/>
  <c r="O59" i="268"/>
  <c r="J59" i="268"/>
  <c r="U59" i="268"/>
  <c r="Y58" i="268"/>
  <c r="X58" i="268"/>
  <c r="V58" i="268"/>
  <c r="T58" i="268"/>
  <c r="R58" i="268"/>
  <c r="O58" i="268"/>
  <c r="J58" i="268"/>
  <c r="U58" i="268"/>
  <c r="Y57" i="268"/>
  <c r="X57" i="268"/>
  <c r="V57" i="268"/>
  <c r="T57" i="268"/>
  <c r="R57" i="268"/>
  <c r="O57" i="268"/>
  <c r="J57" i="268"/>
  <c r="U57" i="268"/>
  <c r="Y56" i="268"/>
  <c r="X56" i="268"/>
  <c r="V56" i="268"/>
  <c r="T56" i="268"/>
  <c r="R56" i="268"/>
  <c r="O56" i="268"/>
  <c r="J56" i="268"/>
  <c r="U56" i="268"/>
  <c r="Y55" i="268"/>
  <c r="X55" i="268"/>
  <c r="V55" i="268"/>
  <c r="T55" i="268"/>
  <c r="R55" i="268"/>
  <c r="O55" i="268"/>
  <c r="J55" i="268"/>
  <c r="U55" i="268"/>
  <c r="Y54" i="268"/>
  <c r="X54" i="268"/>
  <c r="V54" i="268"/>
  <c r="T54" i="268"/>
  <c r="R54" i="268"/>
  <c r="O54" i="268"/>
  <c r="J54" i="268"/>
  <c r="U54" i="268"/>
  <c r="Y53" i="268"/>
  <c r="X53" i="268"/>
  <c r="V53" i="268"/>
  <c r="T53" i="268"/>
  <c r="R53" i="268"/>
  <c r="O53" i="268"/>
  <c r="J53" i="268"/>
  <c r="U53" i="268"/>
  <c r="Y52" i="268"/>
  <c r="X52" i="268"/>
  <c r="V52" i="268"/>
  <c r="T52" i="268"/>
  <c r="R52" i="268"/>
  <c r="O52" i="268"/>
  <c r="J52" i="268"/>
  <c r="U52" i="268"/>
  <c r="Y51" i="268"/>
  <c r="X51" i="268"/>
  <c r="V51" i="268"/>
  <c r="T51" i="268"/>
  <c r="R51" i="268"/>
  <c r="O51" i="268"/>
  <c r="J51" i="268"/>
  <c r="U51" i="268"/>
  <c r="Y50" i="268"/>
  <c r="X50" i="268"/>
  <c r="V50" i="268"/>
  <c r="T50" i="268"/>
  <c r="R50" i="268"/>
  <c r="O50" i="268"/>
  <c r="J50" i="268"/>
  <c r="U50" i="268"/>
  <c r="Y49" i="268"/>
  <c r="X49" i="268"/>
  <c r="V49" i="268"/>
  <c r="T49" i="268"/>
  <c r="R49" i="268"/>
  <c r="O49" i="268"/>
  <c r="J49" i="268"/>
  <c r="U49" i="268"/>
  <c r="Y48" i="268"/>
  <c r="X48" i="268"/>
  <c r="V48" i="268"/>
  <c r="T48" i="268"/>
  <c r="R48" i="268"/>
  <c r="O48" i="268"/>
  <c r="J48" i="268"/>
  <c r="U48" i="268"/>
  <c r="Y47" i="268"/>
  <c r="X47" i="268"/>
  <c r="V47" i="268"/>
  <c r="T47" i="268"/>
  <c r="R47" i="268"/>
  <c r="O47" i="268"/>
  <c r="J47" i="268"/>
  <c r="U47" i="268"/>
  <c r="Y46" i="268"/>
  <c r="X46" i="268"/>
  <c r="V46" i="268"/>
  <c r="T46" i="268"/>
  <c r="R46" i="268"/>
  <c r="O46" i="268"/>
  <c r="J46" i="268"/>
  <c r="U46" i="268"/>
  <c r="Y45" i="268"/>
  <c r="X45" i="268"/>
  <c r="V45" i="268"/>
  <c r="T45" i="268"/>
  <c r="R45" i="268"/>
  <c r="O45" i="268"/>
  <c r="J45" i="268"/>
  <c r="U45" i="268"/>
  <c r="Y44" i="268"/>
  <c r="X44" i="268"/>
  <c r="V44" i="268"/>
  <c r="T44" i="268"/>
  <c r="R44" i="268"/>
  <c r="O44" i="268"/>
  <c r="J44" i="268"/>
  <c r="U44" i="268"/>
  <c r="Y43" i="268"/>
  <c r="X43" i="268"/>
  <c r="V43" i="268"/>
  <c r="T43" i="268"/>
  <c r="R43" i="268"/>
  <c r="O43" i="268"/>
  <c r="J43" i="268"/>
  <c r="U43" i="268"/>
  <c r="Y42" i="268"/>
  <c r="X42" i="268"/>
  <c r="V42" i="268"/>
  <c r="T42" i="268"/>
  <c r="R42" i="268"/>
  <c r="O42" i="268"/>
  <c r="J42" i="268"/>
  <c r="U42" i="268"/>
  <c r="Y41" i="268"/>
  <c r="X41" i="268"/>
  <c r="V41" i="268"/>
  <c r="T41" i="268"/>
  <c r="R41" i="268"/>
  <c r="O41" i="268"/>
  <c r="J41" i="268"/>
  <c r="U41" i="268"/>
  <c r="Y40" i="268"/>
  <c r="X40" i="268"/>
  <c r="V40" i="268"/>
  <c r="T40" i="268"/>
  <c r="R40" i="268"/>
  <c r="O40" i="268"/>
  <c r="J40" i="268"/>
  <c r="U40" i="268"/>
  <c r="Y39" i="268"/>
  <c r="X39" i="268"/>
  <c r="V39" i="268"/>
  <c r="T39" i="268"/>
  <c r="R39" i="268"/>
  <c r="O39" i="268"/>
  <c r="J39" i="268"/>
  <c r="U39" i="268"/>
  <c r="Y38" i="268"/>
  <c r="X38" i="268"/>
  <c r="V38" i="268"/>
  <c r="T38" i="268"/>
  <c r="R38" i="268"/>
  <c r="O38" i="268"/>
  <c r="J38" i="268"/>
  <c r="U38" i="268"/>
  <c r="Y37" i="268"/>
  <c r="X37" i="268"/>
  <c r="V37" i="268"/>
  <c r="T37" i="268"/>
  <c r="R37" i="268"/>
  <c r="O37" i="268"/>
  <c r="J37" i="268"/>
  <c r="U37" i="268"/>
  <c r="Y36" i="268"/>
  <c r="X36" i="268"/>
  <c r="V36" i="268"/>
  <c r="T36" i="268"/>
  <c r="R36" i="268"/>
  <c r="O36" i="268"/>
  <c r="J36" i="268"/>
  <c r="U36" i="268"/>
  <c r="Y35" i="268"/>
  <c r="X35" i="268"/>
  <c r="V35" i="268"/>
  <c r="T35" i="268"/>
  <c r="R35" i="268"/>
  <c r="O35" i="268"/>
  <c r="J35" i="268"/>
  <c r="U35" i="268"/>
  <c r="Y34" i="268"/>
  <c r="X34" i="268"/>
  <c r="V34" i="268"/>
  <c r="T34" i="268"/>
  <c r="R34" i="268"/>
  <c r="O34" i="268"/>
  <c r="J34" i="268"/>
  <c r="U34" i="268"/>
  <c r="Y33" i="268"/>
  <c r="X33" i="268"/>
  <c r="V33" i="268"/>
  <c r="T33" i="268"/>
  <c r="R33" i="268"/>
  <c r="O33" i="268"/>
  <c r="J33" i="268"/>
  <c r="U33" i="268"/>
  <c r="Y32" i="268"/>
  <c r="X32" i="268"/>
  <c r="V32" i="268"/>
  <c r="T32" i="268"/>
  <c r="R32" i="268"/>
  <c r="O32" i="268"/>
  <c r="J32" i="268"/>
  <c r="U32" i="268"/>
  <c r="Y31" i="268"/>
  <c r="X31" i="268"/>
  <c r="V31" i="268"/>
  <c r="T31" i="268"/>
  <c r="R31" i="268"/>
  <c r="O31" i="268"/>
  <c r="J31" i="268"/>
  <c r="U31" i="268"/>
  <c r="Y30" i="268"/>
  <c r="X30" i="268"/>
  <c r="V30" i="268"/>
  <c r="T30" i="268"/>
  <c r="R30" i="268"/>
  <c r="O30" i="268"/>
  <c r="J30" i="268"/>
  <c r="U30" i="268"/>
  <c r="Y29" i="268"/>
  <c r="X29" i="268"/>
  <c r="V29" i="268"/>
  <c r="T29" i="268"/>
  <c r="R29" i="268"/>
  <c r="O29" i="268"/>
  <c r="J29" i="268"/>
  <c r="U29" i="268"/>
  <c r="Y28" i="268"/>
  <c r="X28" i="268"/>
  <c r="V28" i="268"/>
  <c r="T28" i="268"/>
  <c r="R28" i="268"/>
  <c r="O28" i="268"/>
  <c r="J28" i="268"/>
  <c r="U28" i="268"/>
  <c r="Y27" i="268"/>
  <c r="X27" i="268"/>
  <c r="V27" i="268"/>
  <c r="T27" i="268"/>
  <c r="R27" i="268"/>
  <c r="O27" i="268"/>
  <c r="J27" i="268"/>
  <c r="U27" i="268"/>
  <c r="Y26" i="268"/>
  <c r="X26" i="268"/>
  <c r="V26" i="268"/>
  <c r="T26" i="268"/>
  <c r="R26" i="268"/>
  <c r="O26" i="268"/>
  <c r="J26" i="268"/>
  <c r="U26" i="268"/>
  <c r="Y25" i="268"/>
  <c r="X25" i="268"/>
  <c r="V25" i="268"/>
  <c r="T25" i="268"/>
  <c r="O25" i="268"/>
  <c r="J25" i="268"/>
  <c r="U25" i="268"/>
  <c r="Y24" i="268"/>
  <c r="X24" i="268"/>
  <c r="V24" i="268"/>
  <c r="T24" i="268"/>
  <c r="J24" i="268"/>
  <c r="U24" i="268"/>
  <c r="Y23" i="268"/>
  <c r="X23" i="268"/>
  <c r="V23" i="268"/>
  <c r="T23" i="268"/>
  <c r="J23" i="268"/>
  <c r="U23" i="268"/>
  <c r="Y22" i="268"/>
  <c r="X22" i="268"/>
  <c r="V22" i="268"/>
  <c r="T22" i="268"/>
  <c r="R22" i="268"/>
  <c r="J22" i="268"/>
  <c r="U22" i="268"/>
  <c r="Y21" i="268"/>
  <c r="X21" i="268"/>
  <c r="V21" i="268"/>
  <c r="T21" i="268"/>
  <c r="J21" i="268"/>
  <c r="U21" i="268"/>
  <c r="Y20" i="268"/>
  <c r="X20" i="268"/>
  <c r="V20" i="268"/>
  <c r="T20" i="268"/>
  <c r="J20" i="268"/>
  <c r="U20" i="268"/>
  <c r="Y19" i="268"/>
  <c r="X19" i="268"/>
  <c r="V19" i="268"/>
  <c r="T19" i="268"/>
  <c r="J19" i="268"/>
  <c r="U19" i="268"/>
  <c r="Y18" i="268"/>
  <c r="X18" i="268"/>
  <c r="V18" i="268"/>
  <c r="T18" i="268"/>
  <c r="R18" i="268"/>
  <c r="J18" i="268"/>
  <c r="U18" i="268"/>
  <c r="Y17" i="268"/>
  <c r="X17" i="268"/>
  <c r="V17" i="268"/>
  <c r="T17" i="268"/>
  <c r="J17" i="268"/>
  <c r="U17" i="268"/>
  <c r="Y16" i="268"/>
  <c r="X16" i="268"/>
  <c r="V16" i="268"/>
  <c r="T16" i="268"/>
  <c r="J16" i="268"/>
  <c r="U16" i="268"/>
  <c r="Y15" i="268"/>
  <c r="X15" i="268"/>
  <c r="V15" i="268"/>
  <c r="T15" i="268"/>
  <c r="J15" i="268"/>
  <c r="U15" i="268"/>
  <c r="Y14" i="268"/>
  <c r="X14" i="268"/>
  <c r="V14" i="268"/>
  <c r="T14" i="268"/>
  <c r="R14" i="268"/>
  <c r="J14" i="268"/>
  <c r="U14" i="268"/>
  <c r="Y13" i="268"/>
  <c r="X13" i="268"/>
  <c r="J13" i="268"/>
  <c r="O21" i="268"/>
  <c r="Y12" i="268"/>
  <c r="X12" i="268"/>
  <c r="J12" i="268"/>
  <c r="R24" i="268"/>
  <c r="Y11" i="268"/>
  <c r="X11" i="268"/>
  <c r="J11" i="268"/>
  <c r="R23" i="268"/>
  <c r="Y10" i="268"/>
  <c r="X10" i="268"/>
  <c r="J10" i="268"/>
  <c r="Y9" i="268"/>
  <c r="X9" i="268"/>
  <c r="J9" i="268"/>
  <c r="O17" i="268"/>
  <c r="Y8" i="268"/>
  <c r="X8" i="268"/>
  <c r="J8" i="268"/>
  <c r="R20" i="268"/>
  <c r="Y7" i="268"/>
  <c r="X7" i="268"/>
  <c r="J7" i="268"/>
  <c r="R19" i="268"/>
  <c r="Y6" i="268"/>
  <c r="X6" i="268"/>
  <c r="J6" i="268"/>
  <c r="Y5" i="268"/>
  <c r="X5" i="268"/>
  <c r="J5" i="268"/>
  <c r="O16" i="268"/>
  <c r="Y4" i="268"/>
  <c r="X4" i="268"/>
  <c r="J4" i="268"/>
  <c r="R16" i="268"/>
  <c r="Y3" i="268"/>
  <c r="X3" i="268"/>
  <c r="J3" i="268"/>
  <c r="R15" i="268"/>
  <c r="Y2" i="268"/>
  <c r="X2" i="268"/>
  <c r="J2" i="268"/>
  <c r="O23" i="268"/>
  <c r="O13" i="268"/>
  <c r="R17" i="268"/>
  <c r="R21" i="268"/>
  <c r="R25" i="268"/>
  <c r="R65" i="268"/>
  <c r="R66" i="268"/>
  <c r="R67" i="268"/>
  <c r="R68" i="268"/>
  <c r="R69" i="268"/>
  <c r="R70" i="268"/>
  <c r="R71" i="268"/>
  <c r="R72" i="268"/>
  <c r="R73" i="268"/>
  <c r="R74" i="268"/>
  <c r="R75" i="268"/>
  <c r="R76" i="268"/>
  <c r="R77" i="268"/>
  <c r="R78" i="268"/>
  <c r="R79" i="268"/>
  <c r="R80" i="268"/>
  <c r="R81" i="268"/>
  <c r="R82" i="268"/>
  <c r="R83" i="268"/>
  <c r="R84" i="268"/>
  <c r="R85" i="268"/>
  <c r="R86" i="268"/>
  <c r="R87" i="268"/>
  <c r="R88" i="268"/>
  <c r="R90" i="268"/>
  <c r="R92" i="268"/>
  <c r="R94" i="268"/>
  <c r="R96" i="268"/>
  <c r="R98" i="268"/>
  <c r="R100" i="268"/>
  <c r="R102" i="268"/>
  <c r="R104" i="268"/>
  <c r="R106" i="268"/>
  <c r="R108" i="268"/>
  <c r="R110" i="268"/>
  <c r="V111" i="268"/>
  <c r="O111" i="268"/>
  <c r="T111" i="268"/>
  <c r="R114" i="268"/>
  <c r="V115" i="268"/>
  <c r="O115" i="268"/>
  <c r="T115" i="268"/>
  <c r="V13" i="268"/>
  <c r="O15" i="268"/>
  <c r="O19" i="268"/>
  <c r="O20" i="268"/>
  <c r="O24" i="268"/>
  <c r="T13" i="268"/>
  <c r="V89" i="268"/>
  <c r="O89" i="268"/>
  <c r="T90" i="268"/>
  <c r="V91" i="268"/>
  <c r="O91" i="268"/>
  <c r="T92" i="268"/>
  <c r="V93" i="268"/>
  <c r="O93" i="268"/>
  <c r="T94" i="268"/>
  <c r="V95" i="268"/>
  <c r="O95" i="268"/>
  <c r="T96" i="268"/>
  <c r="V97" i="268"/>
  <c r="O97" i="268"/>
  <c r="T98" i="268"/>
  <c r="V99" i="268"/>
  <c r="O99" i="268"/>
  <c r="T100" i="268"/>
  <c r="V101" i="268"/>
  <c r="O101" i="268"/>
  <c r="T102" i="268"/>
  <c r="V103" i="268"/>
  <c r="O103" i="268"/>
  <c r="T104" i="268"/>
  <c r="V105" i="268"/>
  <c r="O105" i="268"/>
  <c r="T106" i="268"/>
  <c r="V107" i="268"/>
  <c r="O107" i="268"/>
  <c r="T108" i="268"/>
  <c r="V109" i="268"/>
  <c r="O109" i="268"/>
  <c r="R111" i="268"/>
  <c r="V112" i="268"/>
  <c r="O112" i="268"/>
  <c r="T112" i="268"/>
  <c r="R115" i="268"/>
  <c r="V116" i="268"/>
  <c r="O116" i="268"/>
  <c r="R116" i="268"/>
  <c r="R128" i="268"/>
  <c r="U116" i="268"/>
  <c r="V117" i="268"/>
  <c r="O117" i="268"/>
  <c r="U117" i="268"/>
  <c r="R117" i="268"/>
  <c r="V118" i="268"/>
  <c r="O118" i="268"/>
  <c r="R130" i="268"/>
  <c r="R118" i="268"/>
  <c r="U118" i="268"/>
  <c r="V119" i="268"/>
  <c r="O119" i="268"/>
  <c r="U119" i="268"/>
  <c r="R119" i="268"/>
  <c r="V120" i="268"/>
  <c r="O120" i="268"/>
  <c r="R120" i="268"/>
  <c r="R132" i="268"/>
  <c r="U120" i="268"/>
  <c r="V121" i="268"/>
  <c r="O121" i="268"/>
  <c r="U121" i="268"/>
  <c r="R121" i="268"/>
  <c r="V122" i="268"/>
  <c r="O122" i="268"/>
  <c r="R122" i="268"/>
  <c r="U122" i="268"/>
  <c r="T123" i="268"/>
  <c r="V123" i="268"/>
  <c r="O123" i="268"/>
  <c r="R135" i="268"/>
  <c r="R123" i="268"/>
  <c r="T125" i="268"/>
  <c r="V125" i="268"/>
  <c r="O125" i="268"/>
  <c r="R137" i="268"/>
  <c r="R125" i="268"/>
  <c r="O135" i="268"/>
  <c r="P135" i="268"/>
  <c r="O14" i="268"/>
  <c r="O18" i="268"/>
  <c r="O22" i="268"/>
  <c r="U13" i="268"/>
  <c r="U88" i="268"/>
  <c r="R89" i="268"/>
  <c r="R91" i="268"/>
  <c r="R93" i="268"/>
  <c r="R95" i="268"/>
  <c r="R97" i="268"/>
  <c r="R99" i="268"/>
  <c r="R101" i="268"/>
  <c r="R103" i="268"/>
  <c r="R105" i="268"/>
  <c r="R107" i="268"/>
  <c r="R109" i="268"/>
  <c r="R112" i="268"/>
  <c r="V113" i="268"/>
  <c r="O113" i="268"/>
  <c r="T113" i="268"/>
  <c r="T116" i="268"/>
  <c r="T117" i="268"/>
  <c r="T118" i="268"/>
  <c r="T119" i="268"/>
  <c r="T120" i="268"/>
  <c r="T121" i="268"/>
  <c r="T122" i="268"/>
  <c r="U123" i="268"/>
  <c r="R124" i="268"/>
  <c r="U125" i="268"/>
  <c r="V90" i="268"/>
  <c r="O90" i="268"/>
  <c r="V92" i="268"/>
  <c r="O92" i="268"/>
  <c r="V94" i="268"/>
  <c r="O94" i="268"/>
  <c r="V96" i="268"/>
  <c r="O96" i="268"/>
  <c r="V98" i="268"/>
  <c r="O98" i="268"/>
  <c r="V100" i="268"/>
  <c r="O100" i="268"/>
  <c r="V102" i="268"/>
  <c r="O102" i="268"/>
  <c r="V104" i="268"/>
  <c r="O104" i="268"/>
  <c r="V106" i="268"/>
  <c r="O106" i="268"/>
  <c r="V108" i="268"/>
  <c r="O108" i="268"/>
  <c r="V110" i="268"/>
  <c r="O110" i="268"/>
  <c r="T110" i="268"/>
  <c r="R113" i="268"/>
  <c r="R126" i="268"/>
  <c r="V114" i="268"/>
  <c r="O114" i="268"/>
  <c r="T114" i="268"/>
  <c r="T124" i="268"/>
  <c r="V124" i="268"/>
  <c r="O124" i="268"/>
  <c r="R127" i="268"/>
  <c r="T128" i="268"/>
  <c r="V128" i="268"/>
  <c r="O128" i="268"/>
  <c r="R131" i="268"/>
  <c r="T132" i="268"/>
  <c r="V132" i="268"/>
  <c r="O132" i="268"/>
  <c r="O160" i="268"/>
  <c r="P160" i="268"/>
  <c r="R161" i="268"/>
  <c r="M151" i="268"/>
  <c r="R149" i="268"/>
  <c r="U149" i="268"/>
  <c r="O149" i="268"/>
  <c r="P149" i="268"/>
  <c r="T151" i="268"/>
  <c r="V151" i="268"/>
  <c r="O166" i="268"/>
  <c r="P166" i="268"/>
  <c r="V155" i="268"/>
  <c r="M157" i="268"/>
  <c r="T155" i="268"/>
  <c r="O155" i="268"/>
  <c r="P155" i="268"/>
  <c r="V159" i="268"/>
  <c r="T129" i="268"/>
  <c r="V129" i="268"/>
  <c r="O129" i="268"/>
  <c r="T133" i="268"/>
  <c r="V133" i="268"/>
  <c r="O133" i="268"/>
  <c r="O137" i="268"/>
  <c r="P137" i="268"/>
  <c r="O139" i="268"/>
  <c r="P139" i="268"/>
  <c r="O141" i="268"/>
  <c r="P141" i="268"/>
  <c r="O143" i="268"/>
  <c r="P143" i="268"/>
  <c r="U124" i="268"/>
  <c r="T126" i="268"/>
  <c r="V126" i="268"/>
  <c r="O126" i="268"/>
  <c r="U128" i="268"/>
  <c r="R129" i="268"/>
  <c r="T130" i="268"/>
  <c r="V130" i="268"/>
  <c r="O130" i="268"/>
  <c r="U132" i="268"/>
  <c r="R133" i="268"/>
  <c r="J196" i="268"/>
  <c r="J203" i="268"/>
  <c r="R134" i="268"/>
  <c r="U134" i="268"/>
  <c r="O134" i="268"/>
  <c r="P134" i="268"/>
  <c r="U136" i="268"/>
  <c r="O136" i="268"/>
  <c r="P136" i="268"/>
  <c r="R136" i="268"/>
  <c r="R138" i="268"/>
  <c r="U138" i="268"/>
  <c r="O138" i="268"/>
  <c r="P138" i="268"/>
  <c r="U140" i="268"/>
  <c r="O140" i="268"/>
  <c r="P140" i="268"/>
  <c r="R140" i="268"/>
  <c r="R141" i="268"/>
  <c r="R142" i="268"/>
  <c r="U142" i="268"/>
  <c r="O142" i="268"/>
  <c r="P142" i="268"/>
  <c r="U144" i="268"/>
  <c r="O144" i="268"/>
  <c r="P144" i="268"/>
  <c r="R156" i="268"/>
  <c r="R144" i="268"/>
  <c r="R145" i="268"/>
  <c r="J197" i="268"/>
  <c r="J204" i="268"/>
  <c r="M148" i="268"/>
  <c r="R146" i="268"/>
  <c r="R158" i="268"/>
  <c r="U146" i="268"/>
  <c r="O146" i="268"/>
  <c r="P146" i="268"/>
  <c r="T148" i="268"/>
  <c r="V148" i="268"/>
  <c r="T149" i="268"/>
  <c r="R151" i="268"/>
  <c r="O163" i="268"/>
  <c r="P163" i="268"/>
  <c r="R164" i="268"/>
  <c r="M154" i="268"/>
  <c r="R152" i="268"/>
  <c r="U152" i="268"/>
  <c r="O152" i="268"/>
  <c r="P152" i="268"/>
  <c r="T154" i="268"/>
  <c r="V154" i="268"/>
  <c r="U155" i="268"/>
  <c r="O158" i="268"/>
  <c r="P158" i="268"/>
  <c r="U159" i="268"/>
  <c r="O159" i="268"/>
  <c r="P159" i="268"/>
  <c r="O170" i="268"/>
  <c r="P170" i="268"/>
  <c r="T159" i="268"/>
  <c r="R167" i="268"/>
  <c r="T127" i="268"/>
  <c r="V127" i="268"/>
  <c r="O127" i="268"/>
  <c r="U129" i="268"/>
  <c r="T131" i="268"/>
  <c r="V131" i="268"/>
  <c r="O131" i="268"/>
  <c r="U133" i="268"/>
  <c r="T135" i="268"/>
  <c r="V137" i="268"/>
  <c r="T139" i="268"/>
  <c r="V141" i="268"/>
  <c r="T143" i="268"/>
  <c r="V145" i="268"/>
  <c r="T147" i="268"/>
  <c r="T150" i="268"/>
  <c r="T153" i="268"/>
  <c r="R160" i="268"/>
  <c r="R163" i="268"/>
  <c r="R166" i="268"/>
  <c r="R171" i="268"/>
  <c r="R177" i="268"/>
  <c r="G209" i="268"/>
  <c r="G210" i="268"/>
  <c r="G211" i="268"/>
  <c r="G212" i="268"/>
  <c r="U156" i="268"/>
  <c r="O156" i="268"/>
  <c r="P156" i="268"/>
  <c r="O167" i="268"/>
  <c r="P167" i="268"/>
  <c r="V156" i="268"/>
  <c r="O169" i="268"/>
  <c r="P169" i="268"/>
  <c r="R170" i="268"/>
  <c r="J198" i="268"/>
  <c r="J205" i="268"/>
  <c r="V158" i="268"/>
  <c r="U158" i="268"/>
  <c r="R162" i="268"/>
  <c r="U162" i="268"/>
  <c r="O162" i="268"/>
  <c r="P162" i="268"/>
  <c r="O173" i="268"/>
  <c r="P173" i="268"/>
  <c r="R165" i="268"/>
  <c r="U165" i="268"/>
  <c r="O165" i="268"/>
  <c r="P165" i="268"/>
  <c r="O176" i="268"/>
  <c r="P176" i="268"/>
  <c r="R174" i="268"/>
  <c r="T168" i="268"/>
  <c r="T171" i="268"/>
  <c r="T174" i="268"/>
  <c r="T177" i="268"/>
  <c r="O179" i="268"/>
  <c r="P179" i="268"/>
  <c r="T180" i="268"/>
  <c r="V181" i="268"/>
  <c r="O182" i="268"/>
  <c r="P182" i="268"/>
  <c r="U182" i="268"/>
  <c r="R183" i="268"/>
  <c r="M184" i="268"/>
  <c r="T184" i="268"/>
  <c r="V185" i="268"/>
  <c r="K186" i="268"/>
  <c r="T186" i="268"/>
  <c r="O187" i="268"/>
  <c r="P187" i="268"/>
  <c r="U187" i="268"/>
  <c r="R188" i="268"/>
  <c r="O189" i="268"/>
  <c r="P189" i="268"/>
  <c r="U189" i="268"/>
  <c r="U190" i="268"/>
  <c r="J191" i="268"/>
  <c r="V161" i="268"/>
  <c r="V164" i="268"/>
  <c r="V167" i="268"/>
  <c r="O168" i="268"/>
  <c r="P168" i="268"/>
  <c r="U168" i="268"/>
  <c r="R169" i="268"/>
  <c r="V170" i="268"/>
  <c r="O171" i="268"/>
  <c r="P171" i="268"/>
  <c r="U171" i="268"/>
  <c r="R172" i="268"/>
  <c r="V173" i="268"/>
  <c r="O174" i="268"/>
  <c r="P174" i="268"/>
  <c r="U174" i="268"/>
  <c r="R175" i="268"/>
  <c r="V176" i="268"/>
  <c r="O177" i="268"/>
  <c r="P177" i="268"/>
  <c r="U177" i="268"/>
  <c r="R178" i="268"/>
  <c r="V179" i="268"/>
  <c r="O180" i="268"/>
  <c r="P180" i="268"/>
  <c r="U180" i="268"/>
  <c r="R181" i="268"/>
  <c r="V182" i="268"/>
  <c r="K183" i="268"/>
  <c r="T183" i="268"/>
  <c r="O184" i="268"/>
  <c r="P184" i="268"/>
  <c r="U184" i="268"/>
  <c r="R185" i="268"/>
  <c r="O186" i="268"/>
  <c r="P186" i="268"/>
  <c r="U186" i="268"/>
  <c r="V187" i="268"/>
  <c r="K188" i="268"/>
  <c r="T188" i="268"/>
  <c r="V189" i="268"/>
  <c r="K190" i="268"/>
  <c r="V190" i="268"/>
  <c r="J192" i="268"/>
  <c r="R173" i="268"/>
  <c r="R176" i="268"/>
  <c r="R179" i="268"/>
  <c r="R182" i="268"/>
  <c r="O183" i="268"/>
  <c r="P183" i="268"/>
  <c r="V184" i="268"/>
  <c r="K185" i="268"/>
  <c r="K187" i="268"/>
  <c r="R187" i="268"/>
  <c r="O188" i="268"/>
  <c r="P188" i="268"/>
  <c r="U188" i="268"/>
  <c r="R189" i="268"/>
  <c r="M190" i="268"/>
  <c r="R190" i="268"/>
  <c r="J193" i="268"/>
  <c r="J199" i="268"/>
  <c r="J206" i="268"/>
  <c r="J200" i="268"/>
  <c r="J207" i="268"/>
  <c r="O172" i="268"/>
  <c r="P172" i="268"/>
  <c r="O175" i="268"/>
  <c r="P175" i="268"/>
  <c r="O178" i="268"/>
  <c r="P178" i="268"/>
  <c r="O181" i="268"/>
  <c r="P181" i="268"/>
  <c r="K184" i="268"/>
  <c r="O185" i="268"/>
  <c r="P185" i="268"/>
  <c r="U185" i="268"/>
  <c r="K189" i="268"/>
  <c r="O190" i="268"/>
  <c r="P190" i="268"/>
  <c r="Q190" i="268"/>
  <c r="M200" i="268"/>
  <c r="V192" i="268"/>
  <c r="U192" i="268"/>
  <c r="O192" i="268"/>
  <c r="Q192" i="268"/>
  <c r="T192" i="268"/>
  <c r="R192" i="268"/>
  <c r="U193" i="268"/>
  <c r="O193" i="268"/>
  <c r="Q193" i="268"/>
  <c r="T193" i="268"/>
  <c r="R193" i="268"/>
  <c r="V193" i="268"/>
  <c r="R191" i="268"/>
  <c r="V191" i="268"/>
  <c r="U191" i="268"/>
  <c r="O191" i="268"/>
  <c r="Q191" i="268"/>
  <c r="T191" i="268"/>
  <c r="M205" i="268"/>
  <c r="N200" i="268"/>
  <c r="O200" i="268"/>
  <c r="N205" i="268"/>
  <c r="O205" i="268"/>
  <c r="N202" i="268"/>
  <c r="O202" i="268"/>
  <c r="N203" i="268"/>
  <c r="O203" i="268"/>
  <c r="N199" i="268"/>
  <c r="O199" i="268"/>
  <c r="N201" i="268"/>
  <c r="O201" i="268"/>
  <c r="N204" i="268"/>
  <c r="O204" i="268"/>
  <c r="AC147" i="267"/>
  <c r="AC146" i="267"/>
  <c r="AC145" i="267"/>
  <c r="AC144" i="267"/>
  <c r="AC143" i="267"/>
  <c r="AC142" i="267"/>
  <c r="AC141" i="267"/>
  <c r="AC140" i="267"/>
  <c r="AC139" i="267"/>
  <c r="AC138" i="267"/>
  <c r="AC137" i="267"/>
  <c r="M137" i="267"/>
  <c r="N137" i="267"/>
  <c r="AC136" i="267"/>
  <c r="N136" i="267"/>
  <c r="M136" i="267"/>
  <c r="AC135" i="267"/>
  <c r="N135" i="267"/>
  <c r="AC134" i="267"/>
  <c r="M134" i="267"/>
  <c r="N134" i="267"/>
  <c r="AC133" i="267"/>
  <c r="M133" i="267"/>
  <c r="N133" i="267"/>
  <c r="AC132" i="267"/>
  <c r="N132" i="267"/>
  <c r="AC131" i="267"/>
  <c r="M131" i="267"/>
  <c r="N131" i="267"/>
  <c r="K131" i="267"/>
  <c r="AC130" i="267"/>
  <c r="M130" i="267"/>
  <c r="N130" i="267"/>
  <c r="K130" i="267"/>
  <c r="AC129" i="267"/>
  <c r="Y129" i="267"/>
  <c r="Z129" i="267"/>
  <c r="N129" i="267"/>
  <c r="H129" i="267"/>
  <c r="AD129" i="267"/>
  <c r="G129" i="267"/>
  <c r="AC128" i="267"/>
  <c r="Y128" i="267"/>
  <c r="M128" i="267"/>
  <c r="N128" i="267"/>
  <c r="K128" i="267"/>
  <c r="H128" i="267"/>
  <c r="AD128" i="267"/>
  <c r="G128" i="267"/>
  <c r="AC127" i="267"/>
  <c r="N127" i="267"/>
  <c r="M127" i="267"/>
  <c r="K127" i="267"/>
  <c r="H127" i="267"/>
  <c r="Y127" i="267"/>
  <c r="G127" i="267"/>
  <c r="AC126" i="267"/>
  <c r="W126" i="267"/>
  <c r="S126" i="267"/>
  <c r="N126" i="267"/>
  <c r="H126" i="267"/>
  <c r="AD126" i="267"/>
  <c r="G126" i="267"/>
  <c r="AC125" i="267"/>
  <c r="S125" i="267"/>
  <c r="M125" i="267"/>
  <c r="N125" i="267"/>
  <c r="K125" i="267"/>
  <c r="H125" i="267"/>
  <c r="U125" i="267"/>
  <c r="G125" i="267"/>
  <c r="AC124" i="267"/>
  <c r="S124" i="267"/>
  <c r="M124" i="267"/>
  <c r="N124" i="267"/>
  <c r="K124" i="267"/>
  <c r="H124" i="267"/>
  <c r="AD124" i="267"/>
  <c r="G124" i="267"/>
  <c r="AC123" i="267"/>
  <c r="N123" i="267"/>
  <c r="H123" i="267"/>
  <c r="AD123" i="267"/>
  <c r="G123" i="267"/>
  <c r="AC122" i="267"/>
  <c r="M122" i="267"/>
  <c r="N122" i="267"/>
  <c r="K122" i="267"/>
  <c r="H122" i="267"/>
  <c r="AD122" i="267"/>
  <c r="G122" i="267"/>
  <c r="AC121" i="267"/>
  <c r="M121" i="267"/>
  <c r="N121" i="267"/>
  <c r="O121" i="267"/>
  <c r="K121" i="267"/>
  <c r="H121" i="267"/>
  <c r="AD121" i="267"/>
  <c r="G121" i="267"/>
  <c r="AC120" i="267"/>
  <c r="H120" i="267"/>
  <c r="G120" i="267"/>
  <c r="AC119" i="267"/>
  <c r="H119" i="267"/>
  <c r="AD119" i="267"/>
  <c r="G119" i="267"/>
  <c r="AC118" i="267"/>
  <c r="H118" i="267"/>
  <c r="AD118" i="267"/>
  <c r="G118" i="267"/>
  <c r="AC117" i="267"/>
  <c r="H117" i="267"/>
  <c r="AD117" i="267"/>
  <c r="G117" i="267"/>
  <c r="AC116" i="267"/>
  <c r="H116" i="267"/>
  <c r="AD116" i="267"/>
  <c r="G116" i="267"/>
  <c r="AC115" i="267"/>
  <c r="H115" i="267"/>
  <c r="AD115" i="267"/>
  <c r="G115" i="267"/>
  <c r="AD114" i="267"/>
  <c r="AI114" i="267"/>
  <c r="AC114" i="267"/>
  <c r="H114" i="267"/>
  <c r="G114" i="267"/>
  <c r="AD113" i="267"/>
  <c r="AC113" i="267"/>
  <c r="H113" i="267"/>
  <c r="G113" i="267"/>
  <c r="AD112" i="267"/>
  <c r="AC112" i="267"/>
  <c r="H112" i="267"/>
  <c r="G112" i="267"/>
  <c r="AC111" i="267"/>
  <c r="H111" i="267"/>
  <c r="AD111" i="267"/>
  <c r="G111" i="267"/>
  <c r="AC110" i="267"/>
  <c r="H110" i="267"/>
  <c r="AD110" i="267"/>
  <c r="G110" i="267"/>
  <c r="AC109" i="267"/>
  <c r="H109" i="267"/>
  <c r="AD109" i="267"/>
  <c r="G109" i="267"/>
  <c r="AD108" i="267"/>
  <c r="AC108" i="267"/>
  <c r="H108" i="267"/>
  <c r="G108" i="267"/>
  <c r="AD107" i="267"/>
  <c r="AC107" i="267"/>
  <c r="H107" i="267"/>
  <c r="G107" i="267"/>
  <c r="AD106" i="267"/>
  <c r="AC106" i="267"/>
  <c r="H106" i="267"/>
  <c r="G106" i="267"/>
  <c r="AC105" i="267"/>
  <c r="H105" i="267"/>
  <c r="AD105" i="267"/>
  <c r="G105" i="267"/>
  <c r="AC104" i="267"/>
  <c r="H104" i="267"/>
  <c r="AD104" i="267"/>
  <c r="G104" i="267"/>
  <c r="AC103" i="267"/>
  <c r="H103" i="267"/>
  <c r="AD103" i="267"/>
  <c r="G103" i="267"/>
  <c r="AD102" i="267"/>
  <c r="AC102" i="267"/>
  <c r="H102" i="267"/>
  <c r="G102" i="267"/>
  <c r="AD101" i="267"/>
  <c r="AC101" i="267"/>
  <c r="H101" i="267"/>
  <c r="G101" i="267"/>
  <c r="AD100" i="267"/>
  <c r="AC100" i="267"/>
  <c r="H100" i="267"/>
  <c r="G100" i="267"/>
  <c r="AC99" i="267"/>
  <c r="H99" i="267"/>
  <c r="AD99" i="267"/>
  <c r="G99" i="267"/>
  <c r="AC98" i="267"/>
  <c r="H98" i="267"/>
  <c r="AD98" i="267"/>
  <c r="G98" i="267"/>
  <c r="AC97" i="267"/>
  <c r="H97" i="267"/>
  <c r="AD97" i="267"/>
  <c r="G97" i="267"/>
  <c r="AC96" i="267"/>
  <c r="H96" i="267"/>
  <c r="AD96" i="267"/>
  <c r="G96" i="267"/>
  <c r="AC95" i="267"/>
  <c r="H95" i="267"/>
  <c r="AD95" i="267"/>
  <c r="G95" i="267"/>
  <c r="AC94" i="267"/>
  <c r="H94" i="267"/>
  <c r="AD94" i="267"/>
  <c r="G94" i="267"/>
  <c r="AD93" i="267"/>
  <c r="AI93" i="267"/>
  <c r="AC93" i="267"/>
  <c r="H93" i="267"/>
  <c r="G93" i="267"/>
  <c r="AD92" i="267"/>
  <c r="AC92" i="267"/>
  <c r="H92" i="267"/>
  <c r="G92" i="267"/>
  <c r="AD91" i="267"/>
  <c r="AC91" i="267"/>
  <c r="H91" i="267"/>
  <c r="G91" i="267"/>
  <c r="AC90" i="267"/>
  <c r="H90" i="267"/>
  <c r="AD90" i="267"/>
  <c r="G90" i="267"/>
  <c r="AC89" i="267"/>
  <c r="H89" i="267"/>
  <c r="AD89" i="267"/>
  <c r="G89" i="267"/>
  <c r="AC88" i="267"/>
  <c r="H88" i="267"/>
  <c r="AD88" i="267"/>
  <c r="G88" i="267"/>
  <c r="AD87" i="267"/>
  <c r="AI87" i="267"/>
  <c r="AC87" i="267"/>
  <c r="H87" i="267"/>
  <c r="G87" i="267"/>
  <c r="AD86" i="267"/>
  <c r="AC86" i="267"/>
  <c r="H86" i="267"/>
  <c r="G86" i="267"/>
  <c r="AD85" i="267"/>
  <c r="AC85" i="267"/>
  <c r="H85" i="267"/>
  <c r="G85" i="267"/>
  <c r="AC84" i="267"/>
  <c r="H84" i="267"/>
  <c r="AD84" i="267"/>
  <c r="G84" i="267"/>
  <c r="AC83" i="267"/>
  <c r="H83" i="267"/>
  <c r="AD83" i="267"/>
  <c r="G83" i="267"/>
  <c r="AC82" i="267"/>
  <c r="H82" i="267"/>
  <c r="AD82" i="267"/>
  <c r="G82" i="267"/>
  <c r="AD81" i="267"/>
  <c r="AI81" i="267"/>
  <c r="AC81" i="267"/>
  <c r="H81" i="267"/>
  <c r="G81" i="267"/>
  <c r="AD80" i="267"/>
  <c r="AC80" i="267"/>
  <c r="H80" i="267"/>
  <c r="G80" i="267"/>
  <c r="AD79" i="267"/>
  <c r="AC79" i="267"/>
  <c r="H79" i="267"/>
  <c r="G79" i="267"/>
  <c r="AC78" i="267"/>
  <c r="H78" i="267"/>
  <c r="AD78" i="267"/>
  <c r="G78" i="267"/>
  <c r="AC77" i="267"/>
  <c r="H77" i="267"/>
  <c r="AD77" i="267"/>
  <c r="G77" i="267"/>
  <c r="AC76" i="267"/>
  <c r="H76" i="267"/>
  <c r="AD76" i="267"/>
  <c r="G76" i="267"/>
  <c r="AD75" i="267"/>
  <c r="AC75" i="267"/>
  <c r="H75" i="267"/>
  <c r="G75" i="267"/>
  <c r="AD74" i="267"/>
  <c r="AC74" i="267"/>
  <c r="H74" i="267"/>
  <c r="G74" i="267"/>
  <c r="AD73" i="267"/>
  <c r="AC73" i="267"/>
  <c r="H73" i="267"/>
  <c r="G73" i="267"/>
  <c r="AC72" i="267"/>
  <c r="H72" i="267"/>
  <c r="AD72" i="267"/>
  <c r="G72" i="267"/>
  <c r="AC71" i="267"/>
  <c r="H71" i="267"/>
  <c r="AD71" i="267"/>
  <c r="G71" i="267"/>
  <c r="AC70" i="267"/>
  <c r="H70" i="267"/>
  <c r="AD70" i="267"/>
  <c r="G70" i="267"/>
  <c r="AC69" i="267"/>
  <c r="H69" i="267"/>
  <c r="AD69" i="267"/>
  <c r="G69" i="267"/>
  <c r="AC68" i="267"/>
  <c r="H68" i="267"/>
  <c r="AD68" i="267"/>
  <c r="G68" i="267"/>
  <c r="AC67" i="267"/>
  <c r="H67" i="267"/>
  <c r="AD67" i="267"/>
  <c r="G67" i="267"/>
  <c r="AC66" i="267"/>
  <c r="H66" i="267"/>
  <c r="AD66" i="267"/>
  <c r="G66" i="267"/>
  <c r="AC65" i="267"/>
  <c r="H65" i="267"/>
  <c r="AD65" i="267"/>
  <c r="G65" i="267"/>
  <c r="AC64" i="267"/>
  <c r="H64" i="267"/>
  <c r="AD64" i="267"/>
  <c r="G64" i="267"/>
  <c r="AC63" i="267"/>
  <c r="H63" i="267"/>
  <c r="AD63" i="267"/>
  <c r="G63" i="267"/>
  <c r="AC62" i="267"/>
  <c r="H62" i="267"/>
  <c r="AD62" i="267"/>
  <c r="G62" i="267"/>
  <c r="AC61" i="267"/>
  <c r="H61" i="267"/>
  <c r="AD61" i="267"/>
  <c r="G61" i="267"/>
  <c r="AC60" i="267"/>
  <c r="H60" i="267"/>
  <c r="AD60" i="267"/>
  <c r="G60" i="267"/>
  <c r="AC59" i="267"/>
  <c r="H59" i="267"/>
  <c r="AD59" i="267"/>
  <c r="G59" i="267"/>
  <c r="AC58" i="267"/>
  <c r="H58" i="267"/>
  <c r="AD58" i="267"/>
  <c r="G58" i="267"/>
  <c r="AC57" i="267"/>
  <c r="H57" i="267"/>
  <c r="AD57" i="267"/>
  <c r="G57" i="267"/>
  <c r="AC56" i="267"/>
  <c r="H56" i="267"/>
  <c r="AD56" i="267"/>
  <c r="G56" i="267"/>
  <c r="AC55" i="267"/>
  <c r="H55" i="267"/>
  <c r="AD55" i="267"/>
  <c r="G55" i="267"/>
  <c r="AC54" i="267"/>
  <c r="H54" i="267"/>
  <c r="AD54" i="267"/>
  <c r="G54" i="267"/>
  <c r="AC53" i="267"/>
  <c r="H53" i="267"/>
  <c r="AD53" i="267"/>
  <c r="G53" i="267"/>
  <c r="AC52" i="267"/>
  <c r="H52" i="267"/>
  <c r="AD52" i="267"/>
  <c r="G52" i="267"/>
  <c r="AC51" i="267"/>
  <c r="H51" i="267"/>
  <c r="AD51" i="267"/>
  <c r="G51" i="267"/>
  <c r="AC50" i="267"/>
  <c r="H50" i="267"/>
  <c r="AD50" i="267"/>
  <c r="G50" i="267"/>
  <c r="AC49" i="267"/>
  <c r="H49" i="267"/>
  <c r="AD49" i="267"/>
  <c r="G49" i="267"/>
  <c r="AC48" i="267"/>
  <c r="H48" i="267"/>
  <c r="AD48" i="267"/>
  <c r="G48" i="267"/>
  <c r="AC47" i="267"/>
  <c r="H47" i="267"/>
  <c r="AD47" i="267"/>
  <c r="G47" i="267"/>
  <c r="AC46" i="267"/>
  <c r="H46" i="267"/>
  <c r="AD46" i="267"/>
  <c r="G46" i="267"/>
  <c r="AC45" i="267"/>
  <c r="H45" i="267"/>
  <c r="AD45" i="267"/>
  <c r="G45" i="267"/>
  <c r="AC44" i="267"/>
  <c r="H44" i="267"/>
  <c r="AD44" i="267"/>
  <c r="G44" i="267"/>
  <c r="AC43" i="267"/>
  <c r="H43" i="267"/>
  <c r="AD43" i="267"/>
  <c r="G43" i="267"/>
  <c r="AC42" i="267"/>
  <c r="H42" i="267"/>
  <c r="AD42" i="267"/>
  <c r="G42" i="267"/>
  <c r="AC41" i="267"/>
  <c r="H41" i="267"/>
  <c r="AD41" i="267"/>
  <c r="G41" i="267"/>
  <c r="AC40" i="267"/>
  <c r="H40" i="267"/>
  <c r="AD40" i="267"/>
  <c r="G40" i="267"/>
  <c r="AC39" i="267"/>
  <c r="H39" i="267"/>
  <c r="AD39" i="267"/>
  <c r="G39" i="267"/>
  <c r="AC38" i="267"/>
  <c r="H38" i="267"/>
  <c r="AD38" i="267"/>
  <c r="G38" i="267"/>
  <c r="AC37" i="267"/>
  <c r="H37" i="267"/>
  <c r="AD37" i="267"/>
  <c r="G37" i="267"/>
  <c r="AC36" i="267"/>
  <c r="H36" i="267"/>
  <c r="AD36" i="267"/>
  <c r="G36" i="267"/>
  <c r="AC35" i="267"/>
  <c r="H35" i="267"/>
  <c r="AD35" i="267"/>
  <c r="G35" i="267"/>
  <c r="AC34" i="267"/>
  <c r="H34" i="267"/>
  <c r="AD34" i="267"/>
  <c r="G34" i="267"/>
  <c r="AC33" i="267"/>
  <c r="H33" i="267"/>
  <c r="AD33" i="267"/>
  <c r="G33" i="267"/>
  <c r="AC32" i="267"/>
  <c r="H32" i="267"/>
  <c r="AD32" i="267"/>
  <c r="G32" i="267"/>
  <c r="AC31" i="267"/>
  <c r="H31" i="267"/>
  <c r="AD31" i="267"/>
  <c r="G31" i="267"/>
  <c r="AD30" i="267"/>
  <c r="AC30" i="267"/>
  <c r="H30" i="267"/>
  <c r="G30" i="267"/>
  <c r="AC29" i="267"/>
  <c r="H29" i="267"/>
  <c r="AD29" i="267"/>
  <c r="G29" i="267"/>
  <c r="AC28" i="267"/>
  <c r="H28" i="267"/>
  <c r="AD28" i="267"/>
  <c r="G28" i="267"/>
  <c r="AC27" i="267"/>
  <c r="H27" i="267"/>
  <c r="AD27" i="267"/>
  <c r="G27" i="267"/>
  <c r="AC26" i="267"/>
  <c r="H26" i="267"/>
  <c r="AD26" i="267"/>
  <c r="G26" i="267"/>
  <c r="AC25" i="267"/>
  <c r="H25" i="267"/>
  <c r="AD25" i="267"/>
  <c r="G25" i="267"/>
  <c r="AC24" i="267"/>
  <c r="H24" i="267"/>
  <c r="AD24" i="267"/>
  <c r="G24" i="267"/>
  <c r="AC23" i="267"/>
  <c r="H23" i="267"/>
  <c r="AD23" i="267"/>
  <c r="G23" i="267"/>
  <c r="AC22" i="267"/>
  <c r="H22" i="267"/>
  <c r="AD22" i="267"/>
  <c r="G22" i="267"/>
  <c r="AD21" i="267"/>
  <c r="AH21" i="267"/>
  <c r="AC21" i="267"/>
  <c r="H21" i="267"/>
  <c r="G21" i="267"/>
  <c r="AD20" i="267"/>
  <c r="AC20" i="267"/>
  <c r="H20" i="267"/>
  <c r="G20" i="267"/>
  <c r="AD19" i="267"/>
  <c r="AC19" i="267"/>
  <c r="H19" i="267"/>
  <c r="G19" i="267"/>
  <c r="AC18" i="267"/>
  <c r="H18" i="267"/>
  <c r="AD18" i="267"/>
  <c r="G18" i="267"/>
  <c r="AC17" i="267"/>
  <c r="H17" i="267"/>
  <c r="AD17" i="267"/>
  <c r="G17" i="267"/>
  <c r="AC16" i="267"/>
  <c r="H16" i="267"/>
  <c r="AD16" i="267"/>
  <c r="G16" i="267"/>
  <c r="AD15" i="267"/>
  <c r="AC15" i="267"/>
  <c r="H15" i="267"/>
  <c r="G15" i="267"/>
  <c r="AD14" i="267"/>
  <c r="AC14" i="267"/>
  <c r="H14" i="267"/>
  <c r="G14" i="267"/>
  <c r="AC13" i="267"/>
  <c r="H13" i="267"/>
  <c r="AD13" i="267"/>
  <c r="G13" i="267"/>
  <c r="AC12" i="267"/>
  <c r="H12" i="267"/>
  <c r="AD12" i="267"/>
  <c r="G12" i="267"/>
  <c r="AC11" i="267"/>
  <c r="H11" i="267"/>
  <c r="AD11" i="267"/>
  <c r="G11" i="267"/>
  <c r="AC10" i="267"/>
  <c r="H10" i="267"/>
  <c r="AD10" i="267"/>
  <c r="G10" i="267"/>
  <c r="AD9" i="267"/>
  <c r="AI9" i="267"/>
  <c r="AC9" i="267"/>
  <c r="H9" i="267"/>
  <c r="G9" i="267"/>
  <c r="AD8" i="267"/>
  <c r="AC8" i="267"/>
  <c r="H8" i="267"/>
  <c r="G8" i="267"/>
  <c r="AD7" i="267"/>
  <c r="AC7" i="267"/>
  <c r="H7" i="267"/>
  <c r="G7" i="267"/>
  <c r="AC6" i="267"/>
  <c r="H6" i="267"/>
  <c r="AD6" i="267"/>
  <c r="G6" i="267"/>
  <c r="AC5" i="267"/>
  <c r="H5" i="267"/>
  <c r="AD5" i="267"/>
  <c r="G5" i="267"/>
  <c r="AC4" i="267"/>
  <c r="H4" i="267"/>
  <c r="AD4" i="267"/>
  <c r="G4" i="267"/>
  <c r="AC3" i="267"/>
  <c r="H3" i="267"/>
  <c r="AD3" i="267"/>
  <c r="G3" i="267"/>
  <c r="AI27" i="267"/>
  <c r="AH27" i="267"/>
  <c r="AI6" i="267"/>
  <c r="AH6" i="267"/>
  <c r="AI39" i="267"/>
  <c r="AH39" i="267"/>
  <c r="AI51" i="267"/>
  <c r="AH51" i="267"/>
  <c r="AH63" i="267"/>
  <c r="AI63" i="267"/>
  <c r="AI75" i="267"/>
  <c r="AI78" i="267"/>
  <c r="AH78" i="267"/>
  <c r="AI99" i="267"/>
  <c r="AH99" i="267"/>
  <c r="AH102" i="267"/>
  <c r="AI12" i="267"/>
  <c r="AH12" i="267"/>
  <c r="AE12" i="267"/>
  <c r="AH15" i="267"/>
  <c r="AI18" i="267"/>
  <c r="AH18" i="267"/>
  <c r="AH42" i="267"/>
  <c r="AI42" i="267"/>
  <c r="AI54" i="267"/>
  <c r="AH54" i="267"/>
  <c r="AI66" i="267"/>
  <c r="AH66" i="267"/>
  <c r="AH84" i="267"/>
  <c r="AE84" i="267"/>
  <c r="AI84" i="267"/>
  <c r="AI102" i="267"/>
  <c r="AI105" i="267"/>
  <c r="AH105" i="267"/>
  <c r="AE108" i="267"/>
  <c r="AI24" i="267"/>
  <c r="AH24" i="267"/>
  <c r="AE24" i="267"/>
  <c r="AI30" i="267"/>
  <c r="AI33" i="267"/>
  <c r="AH33" i="267"/>
  <c r="AI45" i="267"/>
  <c r="AH45" i="267"/>
  <c r="AI57" i="267"/>
  <c r="AH57" i="267"/>
  <c r="AH69" i="267"/>
  <c r="AI69" i="267"/>
  <c r="AH90" i="267"/>
  <c r="AI90" i="267"/>
  <c r="AI108" i="267"/>
  <c r="AH111" i="267"/>
  <c r="AI111" i="267"/>
  <c r="AH36" i="267"/>
  <c r="AE36" i="267"/>
  <c r="AI36" i="267"/>
  <c r="AE48" i="267"/>
  <c r="AI48" i="267"/>
  <c r="AH48" i="267"/>
  <c r="AI60" i="267"/>
  <c r="AH60" i="267"/>
  <c r="AE60" i="267"/>
  <c r="AI72" i="267"/>
  <c r="AH72" i="267"/>
  <c r="AE72" i="267"/>
  <c r="AE96" i="267"/>
  <c r="AI96" i="267"/>
  <c r="AH96" i="267"/>
  <c r="AI117" i="267"/>
  <c r="AH117" i="267"/>
  <c r="AI15" i="267"/>
  <c r="AI21" i="267"/>
  <c r="AI160" i="267"/>
  <c r="AH75" i="267"/>
  <c r="AH81" i="267"/>
  <c r="AD120" i="267"/>
  <c r="AI123" i="267"/>
  <c r="AH87" i="267"/>
  <c r="AH93" i="267"/>
  <c r="AH108" i="267"/>
  <c r="AH114" i="267"/>
  <c r="K117" i="267"/>
  <c r="K119" i="267"/>
  <c r="M119" i="267"/>
  <c r="AH123" i="267"/>
  <c r="AH126" i="267"/>
  <c r="AI126" i="267"/>
  <c r="AO183" i="267"/>
  <c r="AO179" i="267"/>
  <c r="AO182" i="267"/>
  <c r="AO178" i="267"/>
  <c r="AO181" i="267"/>
  <c r="AO177" i="267"/>
  <c r="AO184" i="267"/>
  <c r="AO180" i="267"/>
  <c r="AO176" i="267"/>
  <c r="AH9" i="267"/>
  <c r="AH30" i="267"/>
  <c r="AH129" i="267"/>
  <c r="AI129" i="267"/>
  <c r="P123" i="267"/>
  <c r="AD125" i="267"/>
  <c r="Z128" i="267"/>
  <c r="AA129" i="267"/>
  <c r="AD127" i="267"/>
  <c r="X127" i="267"/>
  <c r="T129" i="267"/>
  <c r="R129" i="267"/>
  <c r="U129" i="267"/>
  <c r="Q123" i="267"/>
  <c r="AH160" i="267"/>
  <c r="AH153" i="267"/>
  <c r="AI158" i="267"/>
  <c r="O123" i="267"/>
  <c r="AI151" i="267"/>
  <c r="AH161" i="267"/>
  <c r="AH159" i="267"/>
  <c r="AH152" i="267"/>
  <c r="AA132" i="267"/>
  <c r="AA130" i="267"/>
  <c r="AD130" i="267"/>
  <c r="AI161" i="267"/>
  <c r="AI159" i="267"/>
  <c r="P126" i="267"/>
  <c r="AI152" i="267"/>
  <c r="AH158" i="267"/>
  <c r="AH151" i="267"/>
  <c r="AI153" i="267"/>
  <c r="AI120" i="267"/>
  <c r="AI154" i="267"/>
  <c r="AH120" i="267"/>
  <c r="AH154" i="267"/>
  <c r="AE120" i="267"/>
  <c r="AO185" i="267"/>
  <c r="P129" i="267"/>
  <c r="P127" i="267"/>
  <c r="Q127" i="267"/>
  <c r="P125" i="267"/>
  <c r="Q125" i="267"/>
  <c r="Q126" i="267"/>
  <c r="P124" i="267"/>
  <c r="Q124" i="267"/>
  <c r="AA135" i="267"/>
  <c r="AA133" i="267"/>
  <c r="AD133" i="267"/>
  <c r="AA131" i="267"/>
  <c r="AD131" i="267"/>
  <c r="AD132" i="267"/>
  <c r="U130" i="267"/>
  <c r="V130" i="267"/>
  <c r="V129" i="267"/>
  <c r="U128" i="267"/>
  <c r="V128" i="267"/>
  <c r="U132" i="267"/>
  <c r="U127" i="267"/>
  <c r="V127" i="267"/>
  <c r="S129" i="267"/>
  <c r="R128" i="267"/>
  <c r="S128" i="267"/>
  <c r="R132" i="267"/>
  <c r="R130" i="267"/>
  <c r="S130" i="267"/>
  <c r="R127" i="267"/>
  <c r="S127" i="267"/>
  <c r="X132" i="267"/>
  <c r="W132" i="267"/>
  <c r="O124" i="267"/>
  <c r="O122" i="267"/>
  <c r="O126" i="267"/>
  <c r="T132" i="267"/>
  <c r="T127" i="267"/>
  <c r="T130" i="267"/>
  <c r="T128" i="267"/>
  <c r="O129" i="267"/>
  <c r="O127" i="267"/>
  <c r="O125" i="267"/>
  <c r="X131" i="267"/>
  <c r="Y131" i="267"/>
  <c r="Z131" i="267"/>
  <c r="X130" i="267"/>
  <c r="Y130" i="267"/>
  <c r="Z130" i="267"/>
  <c r="X135" i="267"/>
  <c r="X133" i="267"/>
  <c r="Y133" i="267"/>
  <c r="Z133" i="267"/>
  <c r="Y132" i="267"/>
  <c r="Z132" i="267"/>
  <c r="R135" i="267"/>
  <c r="R133" i="267"/>
  <c r="S133" i="267"/>
  <c r="S132" i="267"/>
  <c r="R131" i="267"/>
  <c r="S131" i="267"/>
  <c r="AA134" i="267"/>
  <c r="AD134" i="267"/>
  <c r="AA138" i="267"/>
  <c r="AA136" i="267"/>
  <c r="AD136" i="267"/>
  <c r="AD135" i="267"/>
  <c r="T133" i="267"/>
  <c r="T131" i="267"/>
  <c r="T135" i="267"/>
  <c r="W135" i="267"/>
  <c r="W133" i="267"/>
  <c r="W131" i="267"/>
  <c r="W130" i="267"/>
  <c r="U135" i="267"/>
  <c r="V132" i="267"/>
  <c r="U133" i="267"/>
  <c r="V133" i="267"/>
  <c r="U131" i="267"/>
  <c r="V131" i="267"/>
  <c r="AI132" i="267"/>
  <c r="AH132" i="267"/>
  <c r="AE132" i="267"/>
  <c r="AO186" i="267"/>
  <c r="P132" i="267"/>
  <c r="P130" i="267"/>
  <c r="Q130" i="267"/>
  <c r="Q129" i="267"/>
  <c r="P128" i="267"/>
  <c r="Q128" i="267"/>
  <c r="V135" i="267"/>
  <c r="U134" i="267"/>
  <c r="V134" i="267"/>
  <c r="U138" i="267"/>
  <c r="U136" i="267"/>
  <c r="V136" i="267"/>
  <c r="W134" i="267"/>
  <c r="W138" i="267"/>
  <c r="W136" i="267"/>
  <c r="AI135" i="267"/>
  <c r="AH135" i="267"/>
  <c r="P131" i="267"/>
  <c r="Q131" i="267"/>
  <c r="P135" i="267"/>
  <c r="Q132" i="267"/>
  <c r="T138" i="267"/>
  <c r="T136" i="267"/>
  <c r="T134" i="267"/>
  <c r="X138" i="267"/>
  <c r="X136" i="267"/>
  <c r="Y136" i="267"/>
  <c r="Z136" i="267"/>
  <c r="Y135" i="267"/>
  <c r="Z135" i="267"/>
  <c r="X134" i="267"/>
  <c r="Y134" i="267"/>
  <c r="Z134" i="267"/>
  <c r="AA137" i="267"/>
  <c r="AD137" i="267"/>
  <c r="AA141" i="267"/>
  <c r="AD138" i="267"/>
  <c r="S135" i="267"/>
  <c r="R134" i="267"/>
  <c r="S134" i="267"/>
  <c r="R138" i="267"/>
  <c r="R136" i="267"/>
  <c r="S136" i="267"/>
  <c r="O128" i="267"/>
  <c r="O132" i="267"/>
  <c r="O130" i="267"/>
  <c r="AI138" i="267"/>
  <c r="AH138" i="267"/>
  <c r="P138" i="267"/>
  <c r="P136" i="267"/>
  <c r="Q136" i="267"/>
  <c r="Q135" i="267"/>
  <c r="P134" i="267"/>
  <c r="Q134" i="267"/>
  <c r="S138" i="267"/>
  <c r="R137" i="267"/>
  <c r="S137" i="267"/>
  <c r="R141" i="267"/>
  <c r="R139" i="267"/>
  <c r="S139" i="267"/>
  <c r="AA144" i="267"/>
  <c r="AD141" i="267"/>
  <c r="AA140" i="267"/>
  <c r="AD140" i="267"/>
  <c r="AA142" i="267"/>
  <c r="AD142" i="267"/>
  <c r="U141" i="267"/>
  <c r="U139" i="267"/>
  <c r="V139" i="267"/>
  <c r="V138" i="267"/>
  <c r="U137" i="267"/>
  <c r="V137" i="267"/>
  <c r="T141" i="267"/>
  <c r="T139" i="267"/>
  <c r="T137" i="267"/>
  <c r="P133" i="267"/>
  <c r="Q133" i="267"/>
  <c r="W139" i="267"/>
  <c r="W137" i="267"/>
  <c r="W141" i="267"/>
  <c r="O135" i="267"/>
  <c r="O131" i="267"/>
  <c r="AA139" i="267"/>
  <c r="AD139" i="267"/>
  <c r="X141" i="267"/>
  <c r="X139" i="267"/>
  <c r="Y139" i="267"/>
  <c r="Z139" i="267"/>
  <c r="Y138" i="267"/>
  <c r="Z138" i="267"/>
  <c r="X137" i="267"/>
  <c r="Y137" i="267"/>
  <c r="Z137" i="267"/>
  <c r="O134" i="267"/>
  <c r="O138" i="267"/>
  <c r="O136" i="267"/>
  <c r="AI141" i="267"/>
  <c r="AH141" i="267"/>
  <c r="O133" i="267"/>
  <c r="T140" i="267"/>
  <c r="T144" i="267"/>
  <c r="T143" i="267"/>
  <c r="U144" i="267"/>
  <c r="U142" i="267"/>
  <c r="V142" i="267"/>
  <c r="V141" i="267"/>
  <c r="U140" i="267"/>
  <c r="V140" i="267"/>
  <c r="AA145" i="267"/>
  <c r="AD145" i="267"/>
  <c r="AA147" i="267"/>
  <c r="AD144" i="267"/>
  <c r="AA143" i="267"/>
  <c r="AD143" i="267"/>
  <c r="P141" i="267"/>
  <c r="Q138" i="267"/>
  <c r="P137" i="267"/>
  <c r="Q137" i="267"/>
  <c r="Y141" i="267"/>
  <c r="Z141" i="267"/>
  <c r="X140" i="267"/>
  <c r="Y140" i="267"/>
  <c r="Z140" i="267"/>
  <c r="X144" i="267"/>
  <c r="R144" i="267"/>
  <c r="R142" i="267"/>
  <c r="S142" i="267"/>
  <c r="S141" i="267"/>
  <c r="R140" i="267"/>
  <c r="S140" i="267"/>
  <c r="W144" i="267"/>
  <c r="W143" i="267"/>
  <c r="W140" i="267"/>
  <c r="Q141" i="267"/>
  <c r="P140" i="267"/>
  <c r="Q140" i="267"/>
  <c r="P144" i="267"/>
  <c r="Y144" i="267"/>
  <c r="X143" i="267"/>
  <c r="Y143" i="267"/>
  <c r="Z143" i="267"/>
  <c r="X142" i="267"/>
  <c r="Y142" i="267"/>
  <c r="Z142" i="267"/>
  <c r="AH144" i="267"/>
  <c r="AE144" i="267"/>
  <c r="AO187" i="267"/>
  <c r="AI144" i="267"/>
  <c r="P139" i="267"/>
  <c r="Q139" i="267"/>
  <c r="AD147" i="267"/>
  <c r="AA146" i="267"/>
  <c r="AD146" i="267"/>
  <c r="T142" i="267"/>
  <c r="V144" i="267"/>
  <c r="U143" i="267"/>
  <c r="V143" i="267"/>
  <c r="O139" i="267"/>
  <c r="O137" i="267"/>
  <c r="O141" i="267"/>
  <c r="S144" i="267"/>
  <c r="R143" i="267"/>
  <c r="S143" i="267"/>
  <c r="Q144" i="267"/>
  <c r="P143" i="267"/>
  <c r="Q143" i="267"/>
  <c r="O144" i="267"/>
  <c r="O143" i="267"/>
  <c r="O140" i="267"/>
  <c r="Y147" i="267"/>
  <c r="Y145" i="267"/>
  <c r="Z145" i="267"/>
  <c r="Z144" i="267"/>
  <c r="P142" i="267"/>
  <c r="Q142" i="267"/>
  <c r="O142" i="267"/>
  <c r="Y146" i="267"/>
  <c r="Z146" i="267"/>
  <c r="Z147" i="267"/>
  <c r="L144" i="244"/>
  <c r="L143" i="244"/>
  <c r="M118" i="244"/>
  <c r="M130" i="244"/>
  <c r="F144" i="244"/>
  <c r="F143" i="244"/>
  <c r="H130" i="244"/>
  <c r="H118" i="244"/>
  <c r="G130" i="244"/>
  <c r="G118" i="244"/>
  <c r="E119" i="244"/>
  <c r="F119" i="244"/>
  <c r="E120" i="244"/>
  <c r="F120" i="244"/>
  <c r="E121" i="244"/>
  <c r="F121" i="244"/>
  <c r="E122" i="244"/>
  <c r="F122" i="244"/>
  <c r="E123" i="244"/>
  <c r="F123" i="244"/>
  <c r="E124" i="244"/>
  <c r="F124" i="244"/>
  <c r="E125" i="244"/>
  <c r="F125" i="244"/>
  <c r="E126" i="244"/>
  <c r="F126" i="244"/>
  <c r="E127" i="244"/>
  <c r="F127" i="244"/>
  <c r="E128" i="244"/>
  <c r="F128" i="244"/>
  <c r="E129" i="244"/>
  <c r="F129" i="244"/>
  <c r="E130" i="244"/>
  <c r="F130" i="244"/>
  <c r="M106" i="244"/>
  <c r="L142" i="244"/>
  <c r="E118" i="244"/>
  <c r="F118" i="244"/>
  <c r="M34" i="244"/>
  <c r="L136" i="244"/>
  <c r="M46" i="244"/>
  <c r="L137" i="244"/>
  <c r="M58" i="244"/>
  <c r="L138" i="244"/>
  <c r="M70" i="244"/>
  <c r="L139" i="244"/>
  <c r="M82" i="244"/>
  <c r="L140" i="244"/>
  <c r="M94" i="244"/>
  <c r="L141" i="244"/>
  <c r="M22" i="244"/>
  <c r="L135" i="244"/>
  <c r="E5" i="244"/>
  <c r="F5" i="244"/>
  <c r="E6" i="244"/>
  <c r="F6" i="244"/>
  <c r="E7" i="244"/>
  <c r="F7" i="244"/>
  <c r="E8" i="244"/>
  <c r="F8" i="244"/>
  <c r="E9" i="244"/>
  <c r="F9" i="244"/>
  <c r="E10" i="244"/>
  <c r="F10" i="244"/>
  <c r="E11" i="244"/>
  <c r="F11" i="244"/>
  <c r="E12" i="244"/>
  <c r="F12" i="244"/>
  <c r="E13" i="244"/>
  <c r="F13" i="244"/>
  <c r="E14" i="244"/>
  <c r="F14" i="244"/>
  <c r="E15" i="244"/>
  <c r="F15" i="244"/>
  <c r="E16" i="244"/>
  <c r="F16" i="244"/>
  <c r="E17" i="244"/>
  <c r="F17" i="244"/>
  <c r="E18" i="244"/>
  <c r="F18" i="244"/>
  <c r="E19" i="244"/>
  <c r="F19" i="244"/>
  <c r="E20" i="244"/>
  <c r="F20" i="244"/>
  <c r="E21" i="244"/>
  <c r="F21" i="244"/>
  <c r="E22" i="244"/>
  <c r="F22" i="244"/>
  <c r="E23" i="244"/>
  <c r="F23" i="244"/>
  <c r="E24" i="244"/>
  <c r="F24" i="244"/>
  <c r="E25" i="244"/>
  <c r="F25" i="244"/>
  <c r="E26" i="244"/>
  <c r="F26" i="244"/>
  <c r="E27" i="244"/>
  <c r="F27" i="244"/>
  <c r="E28" i="244"/>
  <c r="F28" i="244"/>
  <c r="E29" i="244"/>
  <c r="F29" i="244"/>
  <c r="E30" i="244"/>
  <c r="F30" i="244"/>
  <c r="E31" i="244"/>
  <c r="F31" i="244"/>
  <c r="E32" i="244"/>
  <c r="F32" i="244"/>
  <c r="E33" i="244"/>
  <c r="F33" i="244"/>
  <c r="E34" i="244"/>
  <c r="F34" i="244"/>
  <c r="E35" i="244"/>
  <c r="F35" i="244"/>
  <c r="E36" i="244"/>
  <c r="F36" i="244"/>
  <c r="E37" i="244"/>
  <c r="F37" i="244"/>
  <c r="E38" i="244"/>
  <c r="F38" i="244"/>
  <c r="E39" i="244"/>
  <c r="F39" i="244"/>
  <c r="E40" i="244"/>
  <c r="F40" i="244"/>
  <c r="E41" i="244"/>
  <c r="F41" i="244"/>
  <c r="E42" i="244"/>
  <c r="F42" i="244"/>
  <c r="E43" i="244"/>
  <c r="F43" i="244"/>
  <c r="E44" i="244"/>
  <c r="F44" i="244"/>
  <c r="E45" i="244"/>
  <c r="F45" i="244"/>
  <c r="E46" i="244"/>
  <c r="F46" i="244"/>
  <c r="E47" i="244"/>
  <c r="F47" i="244"/>
  <c r="E48" i="244"/>
  <c r="F48" i="244"/>
  <c r="E49" i="244"/>
  <c r="F49" i="244"/>
  <c r="E50" i="244"/>
  <c r="F50" i="244"/>
  <c r="E51" i="244"/>
  <c r="F51" i="244"/>
  <c r="E52" i="244"/>
  <c r="F52" i="244"/>
  <c r="E53" i="244"/>
  <c r="F53" i="244"/>
  <c r="E54" i="244"/>
  <c r="F54" i="244"/>
  <c r="E55" i="244"/>
  <c r="F55" i="244"/>
  <c r="E56" i="244"/>
  <c r="F56" i="244"/>
  <c r="E57" i="244"/>
  <c r="F57" i="244"/>
  <c r="E58" i="244"/>
  <c r="F58" i="244"/>
  <c r="E59" i="244"/>
  <c r="F59" i="244"/>
  <c r="E60" i="244"/>
  <c r="F60" i="244"/>
  <c r="E61" i="244"/>
  <c r="F61" i="244"/>
  <c r="E62" i="244"/>
  <c r="F62" i="244"/>
  <c r="E63" i="244"/>
  <c r="F63" i="244"/>
  <c r="E64" i="244"/>
  <c r="F64" i="244"/>
  <c r="E65" i="244"/>
  <c r="F65" i="244"/>
  <c r="E66" i="244"/>
  <c r="F66" i="244"/>
  <c r="E67" i="244"/>
  <c r="F67" i="244"/>
  <c r="E68" i="244"/>
  <c r="F68" i="244"/>
  <c r="E69" i="244"/>
  <c r="F69" i="244"/>
  <c r="E70" i="244"/>
  <c r="F70" i="244"/>
  <c r="E71" i="244"/>
  <c r="F71" i="244"/>
  <c r="E72" i="244"/>
  <c r="F72" i="244"/>
  <c r="E73" i="244"/>
  <c r="F73" i="244"/>
  <c r="E74" i="244"/>
  <c r="F74" i="244"/>
  <c r="E75" i="244"/>
  <c r="F75" i="244"/>
  <c r="E76" i="244"/>
  <c r="F76" i="244"/>
  <c r="E77" i="244"/>
  <c r="F77" i="244"/>
  <c r="E78" i="244"/>
  <c r="F78" i="244"/>
  <c r="E79" i="244"/>
  <c r="F79" i="244"/>
  <c r="E80" i="244"/>
  <c r="F80" i="244"/>
  <c r="E81" i="244"/>
  <c r="F81" i="244"/>
  <c r="E82" i="244"/>
  <c r="F82" i="244"/>
  <c r="E83" i="244"/>
  <c r="F83" i="244"/>
  <c r="E84" i="244"/>
  <c r="F84" i="244"/>
  <c r="E85" i="244"/>
  <c r="F85" i="244"/>
  <c r="E86" i="244"/>
  <c r="F86" i="244"/>
  <c r="E87" i="244"/>
  <c r="F87" i="244"/>
  <c r="E88" i="244"/>
  <c r="F88" i="244"/>
  <c r="E89" i="244"/>
  <c r="F89" i="244"/>
  <c r="E90" i="244"/>
  <c r="F90" i="244"/>
  <c r="E91" i="244"/>
  <c r="F91" i="244"/>
  <c r="E92" i="244"/>
  <c r="F92" i="244"/>
  <c r="E93" i="244"/>
  <c r="F93" i="244"/>
  <c r="E94" i="244"/>
  <c r="F94" i="244"/>
  <c r="E95" i="244"/>
  <c r="F95" i="244"/>
  <c r="E96" i="244"/>
  <c r="F96" i="244"/>
  <c r="E97" i="244"/>
  <c r="F97" i="244"/>
  <c r="E98" i="244"/>
  <c r="F98" i="244"/>
  <c r="E99" i="244"/>
  <c r="F99" i="244"/>
  <c r="E100" i="244"/>
  <c r="F100" i="244"/>
  <c r="E101" i="244"/>
  <c r="F101" i="244"/>
  <c r="E102" i="244"/>
  <c r="F102" i="244"/>
  <c r="E103" i="244"/>
  <c r="F103" i="244"/>
  <c r="E104" i="244"/>
  <c r="F104" i="244"/>
  <c r="E105" i="244"/>
  <c r="F105" i="244"/>
  <c r="E106" i="244"/>
  <c r="F106" i="244"/>
  <c r="G106" i="244"/>
  <c r="E107" i="244"/>
  <c r="F107" i="244"/>
  <c r="E108" i="244"/>
  <c r="F108" i="244"/>
  <c r="E109" i="244"/>
  <c r="F109" i="244"/>
  <c r="E110" i="244"/>
  <c r="F110" i="244"/>
  <c r="E111" i="244"/>
  <c r="F111" i="244"/>
  <c r="E112" i="244"/>
  <c r="F112" i="244"/>
  <c r="E113" i="244"/>
  <c r="F113" i="244"/>
  <c r="E114" i="244"/>
  <c r="F114" i="244"/>
  <c r="E115" i="244"/>
  <c r="F115" i="244"/>
  <c r="E116" i="244"/>
  <c r="F116" i="244"/>
  <c r="E117" i="244"/>
  <c r="F117" i="244"/>
  <c r="F4" i="244"/>
  <c r="E4" i="244"/>
  <c r="G94" i="244"/>
  <c r="H106" i="244"/>
  <c r="F142" i="244"/>
  <c r="G82" i="244"/>
  <c r="G70" i="244"/>
  <c r="G58" i="244"/>
  <c r="G46" i="244"/>
  <c r="G34" i="244"/>
  <c r="G22" i="244"/>
  <c r="G10" i="244"/>
  <c r="H46" i="244"/>
  <c r="F137" i="244"/>
  <c r="H94" i="244"/>
  <c r="F141" i="244"/>
  <c r="H58" i="244"/>
  <c r="F138" i="244"/>
  <c r="H22" i="244"/>
  <c r="F135" i="244"/>
  <c r="H70" i="244"/>
  <c r="F139" i="244"/>
  <c r="H34" i="244"/>
  <c r="F136" i="244"/>
  <c r="H82" i="244"/>
  <c r="F140" i="244"/>
  <c r="G74" i="290" l="1"/>
  <c r="G35" i="290"/>
  <c r="G168" i="290"/>
  <c r="G40" i="290"/>
  <c r="G56" i="290"/>
  <c r="G155" i="290"/>
  <c r="G149" i="290"/>
  <c r="G66" i="290"/>
  <c r="G37" i="290"/>
  <c r="G65" i="290"/>
  <c r="F182" i="290" s="1"/>
  <c r="G105" i="290"/>
  <c r="G125" i="290"/>
  <c r="F187" i="290" s="1"/>
  <c r="G133" i="290"/>
  <c r="H164" i="290"/>
  <c r="G123" i="290"/>
  <c r="G144" i="290"/>
  <c r="G162" i="290"/>
  <c r="G148" i="290"/>
  <c r="G163" i="290"/>
  <c r="G130" i="290"/>
  <c r="G137" i="290"/>
  <c r="G19" i="290"/>
  <c r="G107" i="290"/>
  <c r="G140" i="290"/>
  <c r="G58" i="290"/>
  <c r="G134" i="290"/>
  <c r="G152" i="290"/>
  <c r="G23" i="290"/>
  <c r="G27" i="290"/>
  <c r="G31" i="290"/>
  <c r="G39" i="290"/>
  <c r="G43" i="290"/>
  <c r="G47" i="290"/>
  <c r="G51" i="290"/>
  <c r="G55" i="290"/>
  <c r="G59" i="290"/>
  <c r="G63" i="290"/>
  <c r="G67" i="290"/>
  <c r="G71" i="290"/>
  <c r="G75" i="290"/>
  <c r="G79" i="290"/>
  <c r="G83" i="290"/>
  <c r="G87" i="290"/>
  <c r="G91" i="290"/>
  <c r="G95" i="290"/>
  <c r="G99" i="290"/>
  <c r="G103" i="290"/>
  <c r="G111" i="290"/>
  <c r="G115" i="290"/>
  <c r="G131" i="290"/>
  <c r="G135" i="290"/>
  <c r="G161" i="290"/>
  <c r="G139" i="290"/>
  <c r="G153" i="290"/>
  <c r="G156" i="290"/>
  <c r="G104" i="290"/>
  <c r="G141" i="290"/>
  <c r="G143" i="290"/>
  <c r="G45" i="290"/>
  <c r="G53" i="290"/>
  <c r="F181" i="290" s="1"/>
  <c r="G101" i="290"/>
  <c r="F185" i="290" s="1"/>
  <c r="J6" i="291"/>
  <c r="G138" i="290"/>
  <c r="G142" i="290"/>
  <c r="G150" i="290"/>
  <c r="G24" i="290"/>
  <c r="G32" i="290"/>
  <c r="G44" i="290"/>
  <c r="G52" i="290"/>
  <c r="G64" i="290"/>
  <c r="G72" i="290"/>
  <c r="G80" i="290"/>
  <c r="G88" i="290"/>
  <c r="G96" i="290"/>
  <c r="G120" i="290"/>
  <c r="G136" i="290"/>
  <c r="G147" i="290"/>
  <c r="G25" i="290"/>
  <c r="G41" i="290"/>
  <c r="F180" i="290" s="1"/>
  <c r="G69" i="290"/>
  <c r="G77" i="290"/>
  <c r="F183" i="290" s="1"/>
  <c r="G85" i="290"/>
  <c r="G93" i="290"/>
  <c r="G117" i="290"/>
  <c r="G160" i="290"/>
  <c r="G166" i="290"/>
  <c r="G158" i="290"/>
  <c r="G20" i="290"/>
  <c r="G28" i="290"/>
  <c r="G36" i="290"/>
  <c r="G48" i="290"/>
  <c r="G60" i="290"/>
  <c r="G68" i="290"/>
  <c r="G76" i="290"/>
  <c r="G84" i="290"/>
  <c r="G92" i="290"/>
  <c r="G100" i="290"/>
  <c r="G108" i="290"/>
  <c r="G124" i="290"/>
  <c r="G128" i="290"/>
  <c r="G157" i="290"/>
  <c r="G145" i="290"/>
  <c r="G21" i="290"/>
  <c r="G29" i="290"/>
  <c r="F179" i="290" s="1"/>
  <c r="G33" i="290"/>
  <c r="G49" i="290"/>
  <c r="G61" i="290"/>
  <c r="G73" i="290"/>
  <c r="G81" i="290"/>
  <c r="G89" i="290"/>
  <c r="F184" i="290" s="1"/>
  <c r="G113" i="290"/>
  <c r="F186" i="290" s="1"/>
  <c r="G121" i="290"/>
  <c r="G34" i="290"/>
  <c r="G38" i="290"/>
  <c r="G42" i="290"/>
  <c r="G46" i="290"/>
  <c r="G50" i="290"/>
  <c r="G54" i="290"/>
  <c r="G98" i="290"/>
  <c r="G102" i="290"/>
  <c r="G106" i="290"/>
  <c r="G110" i="290"/>
  <c r="G114" i="290"/>
  <c r="G127" i="290"/>
  <c r="BY32" i="278"/>
  <c r="BY31" i="278"/>
  <c r="BM20" i="278"/>
  <c r="DD35" i="278"/>
  <c r="DD20" i="278"/>
  <c r="CF32" i="278"/>
  <c r="BT20" i="278"/>
  <c r="EX31" i="278"/>
  <c r="EL35" i="278"/>
  <c r="EX32" i="278"/>
  <c r="EX42" i="278" s="1"/>
  <c r="FQ32" i="278"/>
  <c r="FE20" i="278"/>
  <c r="EE41" i="278"/>
  <c r="EB5" i="278"/>
  <c r="EN32" i="278" s="1"/>
  <c r="EB49" i="278"/>
  <c r="EC49" i="278" s="1"/>
  <c r="ED49" i="278" s="1"/>
  <c r="BX31" i="278"/>
  <c r="CE44" i="278"/>
  <c r="BO31" i="278"/>
  <c r="DZ20" i="278"/>
  <c r="FQ31" i="278"/>
  <c r="ET22" i="278"/>
  <c r="EL22" i="278"/>
  <c r="EL41" i="278"/>
  <c r="CV49" i="278"/>
  <c r="CW49" i="278" s="1"/>
  <c r="CX49" i="278" s="1"/>
  <c r="CY49" i="278" s="1"/>
  <c r="CZ49" i="278" s="1"/>
  <c r="DA49" i="278" s="1"/>
  <c r="DB49" i="278" s="1"/>
  <c r="DC49" i="278" s="1"/>
  <c r="DD49" i="278" s="1"/>
  <c r="DE49" i="278" s="1"/>
  <c r="DF49" i="278" s="1"/>
  <c r="DG49" i="278" s="1"/>
  <c r="DH49" i="278" s="1"/>
  <c r="DI49" i="278" s="1"/>
  <c r="DJ49" i="278" s="1"/>
  <c r="DK49" i="278" s="1"/>
  <c r="DL49" i="278" s="1"/>
  <c r="DM49" i="278" s="1"/>
  <c r="DN49" i="278" s="1"/>
  <c r="DO49" i="278" s="1"/>
  <c r="DP49" i="278" s="1"/>
  <c r="DQ49" i="278" s="1"/>
  <c r="DR49" i="278" s="1"/>
  <c r="DS49" i="278" s="1"/>
  <c r="DT49" i="278" s="1"/>
  <c r="DU49" i="278" s="1"/>
  <c r="DV49" i="278" s="1"/>
  <c r="DW49" i="278" s="1"/>
  <c r="DX49" i="278" s="1"/>
  <c r="DY49" i="278" s="1"/>
  <c r="DZ49" i="278" s="1"/>
  <c r="EN36" i="278"/>
  <c r="CO32" i="278"/>
  <c r="BR32" i="278"/>
  <c r="DF42" i="278"/>
  <c r="DF44" i="278" s="1"/>
  <c r="EL42" i="278"/>
  <c r="CF31" i="278"/>
  <c r="DH20" i="278"/>
  <c r="DH35" i="278"/>
  <c r="DX20" i="278"/>
  <c r="BH31" i="278"/>
  <c r="FJ37" i="278"/>
  <c r="DT31" i="278"/>
  <c r="BH32" i="278"/>
  <c r="DD31" i="278"/>
  <c r="CI41" i="278"/>
  <c r="EJ31" i="278"/>
  <c r="EJ41" i="278" s="1"/>
  <c r="DG20" i="278"/>
  <c r="DS32" i="278"/>
  <c r="CY42" i="278"/>
  <c r="CO31" i="278"/>
  <c r="BI32" i="278"/>
  <c r="DQ20" i="278"/>
  <c r="EK32" i="278"/>
  <c r="EY22" i="278"/>
  <c r="FI36" i="278"/>
  <c r="EF36" i="278"/>
  <c r="EA5" i="278"/>
  <c r="EM31" i="278" s="1"/>
  <c r="ED41" i="278"/>
  <c r="DK20" i="278"/>
  <c r="DK32" i="278"/>
  <c r="DK42" i="278" s="1"/>
  <c r="CY35" i="278"/>
  <c r="AX5" i="278"/>
  <c r="BJ31" i="278" s="1"/>
  <c r="BJ36" i="278"/>
  <c r="BJ41" i="278" s="1"/>
  <c r="DB5" i="278"/>
  <c r="DN31" i="278" s="1"/>
  <c r="DN41" i="278" s="1"/>
  <c r="BA22" i="278"/>
  <c r="BI22" i="278"/>
  <c r="BQ22" i="278"/>
  <c r="BY22" i="278"/>
  <c r="CG22" i="278"/>
  <c r="CO22" i="278"/>
  <c r="CW22" i="278"/>
  <c r="DE22" i="278"/>
  <c r="DM22" i="278"/>
  <c r="DU22" i="278"/>
  <c r="AY22" i="278"/>
  <c r="BG22" i="278"/>
  <c r="BO22" i="278"/>
  <c r="CE22" i="278"/>
  <c r="CM22" i="278"/>
  <c r="CU22" i="278"/>
  <c r="DC22" i="278"/>
  <c r="DK22" i="278"/>
  <c r="DS22" i="278"/>
  <c r="BM22" i="278"/>
  <c r="DA22" i="278"/>
  <c r="BC22" i="278"/>
  <c r="DG22" i="278"/>
  <c r="FE36" i="278"/>
  <c r="CQ31" i="278"/>
  <c r="CQ41" i="278" s="1"/>
  <c r="EE31" i="278"/>
  <c r="CM35" i="278"/>
  <c r="DS42" i="278"/>
  <c r="DS44" i="278" s="1"/>
  <c r="EJ32" i="278"/>
  <c r="CL5" i="278"/>
  <c r="CL20" i="278" s="1"/>
  <c r="CQ32" i="278"/>
  <c r="CQ42" i="278" s="1"/>
  <c r="AY5" i="278"/>
  <c r="BK36" i="278"/>
  <c r="BG5" i="278"/>
  <c r="BS31" i="278"/>
  <c r="BS36" i="278"/>
  <c r="BS41" i="278" s="1"/>
  <c r="CM36" i="278"/>
  <c r="CY31" i="278"/>
  <c r="CY41" i="278" s="1"/>
  <c r="CY40" i="278" s="1"/>
  <c r="DW31" i="278"/>
  <c r="DK36" i="278"/>
  <c r="BW37" i="278"/>
  <c r="BW20" i="278"/>
  <c r="CP22" i="278"/>
  <c r="AZ22" i="278"/>
  <c r="CN22" i="278"/>
  <c r="EB22" i="278"/>
  <c r="EP5" i="278"/>
  <c r="EP36" i="278"/>
  <c r="FB36" i="278"/>
  <c r="DD37" i="278"/>
  <c r="DD42" i="278" s="1"/>
  <c r="EA22" i="278"/>
  <c r="FC22" i="278"/>
  <c r="CG35" i="278"/>
  <c r="BM37" i="278"/>
  <c r="CW37" i="278"/>
  <c r="DB36" i="278"/>
  <c r="CL37" i="278"/>
  <c r="FV31" i="278"/>
  <c r="BW31" i="278"/>
  <c r="CM31" i="278"/>
  <c r="CM41" i="278" s="1"/>
  <c r="CM40" i="278" s="1"/>
  <c r="EB36" i="278"/>
  <c r="BW32" i="278"/>
  <c r="BS37" i="278"/>
  <c r="CM32" i="278"/>
  <c r="CM42" i="278" s="1"/>
  <c r="DC32" i="278"/>
  <c r="DC42" i="278" s="1"/>
  <c r="AX22" i="278"/>
  <c r="BF22" i="278"/>
  <c r="CD22" i="278"/>
  <c r="CL22" i="278"/>
  <c r="CT22" i="278"/>
  <c r="DR22" i="278"/>
  <c r="AV22" i="278"/>
  <c r="BL22" i="278"/>
  <c r="CB22" i="278"/>
  <c r="CR22" i="278"/>
  <c r="CZ22" i="278"/>
  <c r="DH22" i="278"/>
  <c r="EL36" i="278"/>
  <c r="J4" i="291"/>
  <c r="J10" i="291"/>
  <c r="J111" i="291"/>
  <c r="J101" i="291"/>
  <c r="J157" i="291"/>
  <c r="J98" i="291"/>
  <c r="J124" i="291"/>
  <c r="J94" i="291"/>
  <c r="J30" i="291"/>
  <c r="J151" i="291"/>
  <c r="J63" i="291"/>
  <c r="J78" i="291"/>
  <c r="J118" i="291"/>
  <c r="J146" i="291"/>
  <c r="J128" i="291"/>
  <c r="J75" i="291"/>
  <c r="J50" i="291"/>
  <c r="J14" i="291"/>
  <c r="J13" i="291"/>
  <c r="J138" i="291"/>
  <c r="J79" i="291"/>
  <c r="J145" i="291"/>
  <c r="J127" i="291"/>
  <c r="J106" i="291"/>
  <c r="J100" i="291"/>
  <c r="J53" i="291"/>
  <c r="J164" i="291"/>
  <c r="J3" i="291"/>
  <c r="J144" i="291"/>
  <c r="J8" i="291"/>
  <c r="J115" i="291"/>
  <c r="J11" i="291"/>
  <c r="J152" i="291"/>
  <c r="J122" i="291"/>
  <c r="J134" i="291"/>
  <c r="J43" i="291"/>
  <c r="J31" i="291"/>
  <c r="J123" i="291"/>
  <c r="J76" i="291"/>
  <c r="J60" i="291"/>
  <c r="J42" i="291"/>
  <c r="J24" i="291"/>
  <c r="J15" i="291"/>
  <c r="J114" i="291"/>
  <c r="J41" i="291"/>
  <c r="J23" i="291"/>
  <c r="J136" i="291"/>
  <c r="J121" i="291"/>
  <c r="J97" i="291"/>
  <c r="J131" i="291"/>
  <c r="J125" i="291"/>
  <c r="J7" i="291"/>
  <c r="J163" i="291"/>
  <c r="J110" i="291"/>
  <c r="J162" i="291"/>
  <c r="J33" i="291"/>
  <c r="J29" i="291"/>
  <c r="J85" i="291"/>
  <c r="J66" i="291"/>
  <c r="J28" i="291"/>
  <c r="J12" i="291"/>
  <c r="J153" i="291"/>
  <c r="J119" i="291"/>
  <c r="J102" i="291"/>
  <c r="J84" i="291"/>
  <c r="J65" i="291"/>
  <c r="J165" i="291"/>
  <c r="J126" i="291"/>
  <c r="J68" i="291"/>
  <c r="J93" i="291"/>
  <c r="J104" i="291"/>
  <c r="J142" i="291"/>
  <c r="J158" i="291"/>
  <c r="J83" i="291"/>
  <c r="J105" i="291"/>
  <c r="J9" i="291"/>
  <c r="J86" i="291"/>
  <c r="J67" i="291"/>
  <c r="J49" i="291"/>
  <c r="J155" i="291"/>
  <c r="J135" i="291"/>
  <c r="J47" i="291"/>
  <c r="J139" i="291"/>
  <c r="J82" i="291"/>
  <c r="J46" i="291"/>
  <c r="J80" i="291"/>
  <c r="J143" i="291"/>
  <c r="J103" i="291"/>
  <c r="J99" i="291"/>
  <c r="J140" i="291"/>
  <c r="J156" i="291"/>
  <c r="J27" i="291"/>
  <c r="J160" i="291"/>
  <c r="J137" i="291"/>
  <c r="J116" i="291"/>
  <c r="J26" i="291"/>
  <c r="J166" i="291"/>
  <c r="J5" i="291"/>
  <c r="J81" i="291"/>
  <c r="J154" i="291"/>
  <c r="FJ5" i="278"/>
  <c r="EF32" i="278"/>
  <c r="FD5" i="278"/>
  <c r="FD36" i="278"/>
  <c r="BR5" i="278"/>
  <c r="BR35" i="278" s="1"/>
  <c r="BR36" i="278"/>
  <c r="BR41" i="278" s="1"/>
  <c r="CH5" i="278"/>
  <c r="CT31" i="278" s="1"/>
  <c r="CH36" i="278"/>
  <c r="CH41" i="278" s="1"/>
  <c r="CH40" i="278" s="1"/>
  <c r="CT36" i="278"/>
  <c r="CX5" i="278"/>
  <c r="CX35" i="278" s="1"/>
  <c r="CX36" i="278"/>
  <c r="DO5" i="278"/>
  <c r="EA32" i="278" s="1"/>
  <c r="EA42" i="278" s="1"/>
  <c r="EA36" i="278"/>
  <c r="DB37" i="278"/>
  <c r="DV37" i="278"/>
  <c r="EH32" i="278"/>
  <c r="CI22" i="278"/>
  <c r="FF31" i="278"/>
  <c r="FF41" i="278" s="1"/>
  <c r="ET35" i="278"/>
  <c r="DU41" i="278"/>
  <c r="CL32" i="278"/>
  <c r="CL42" i="278" s="1"/>
  <c r="DI20" i="278"/>
  <c r="DU32" i="278"/>
  <c r="BY41" i="278"/>
  <c r="FG36" i="278"/>
  <c r="FG5" i="278"/>
  <c r="FS31" i="278" s="1"/>
  <c r="FI37" i="278"/>
  <c r="FI42" i="278" s="1"/>
  <c r="CS35" i="278"/>
  <c r="DE31" i="278"/>
  <c r="DE41" i="278" s="1"/>
  <c r="EE37" i="278"/>
  <c r="EE42" i="278" s="1"/>
  <c r="EE44" i="278" s="1"/>
  <c r="DE32" i="278"/>
  <c r="CW31" i="278"/>
  <c r="CW41" i="278" s="1"/>
  <c r="AZ5" i="278"/>
  <c r="BL36" i="278"/>
  <c r="BT36" i="278"/>
  <c r="BH36" i="278"/>
  <c r="BH41" i="278" s="1"/>
  <c r="BH40" i="278" s="1"/>
  <c r="BH5" i="278"/>
  <c r="BH20" i="278" s="1"/>
  <c r="BP36" i="278"/>
  <c r="CB36" i="278"/>
  <c r="CJ36" i="278"/>
  <c r="BX36" i="278"/>
  <c r="BX41" i="278" s="1"/>
  <c r="BX5" i="278"/>
  <c r="CJ32" i="278" s="1"/>
  <c r="CJ31" i="278"/>
  <c r="CJ41" i="278" s="1"/>
  <c r="CR36" i="278"/>
  <c r="CF36" i="278"/>
  <c r="CN36" i="278"/>
  <c r="CN41" i="278" s="1"/>
  <c r="CN5" i="278"/>
  <c r="CZ31" i="278" s="1"/>
  <c r="CZ36" i="278"/>
  <c r="DH36" i="278"/>
  <c r="DH31" i="278"/>
  <c r="DH41" i="278" s="1"/>
  <c r="DD36" i="278"/>
  <c r="DD41" i="278" s="1"/>
  <c r="DP36" i="278"/>
  <c r="DM5" i="278"/>
  <c r="DY31" i="278" s="1"/>
  <c r="DM36" i="278"/>
  <c r="DM41" i="278" s="1"/>
  <c r="DY36" i="278"/>
  <c r="DU5" i="278"/>
  <c r="DU35" i="278" s="1"/>
  <c r="EG31" i="278"/>
  <c r="EG41" i="278" s="1"/>
  <c r="BL32" i="278"/>
  <c r="BL37" i="278"/>
  <c r="BH37" i="278"/>
  <c r="BH42" i="278" s="1"/>
  <c r="BT37" i="278"/>
  <c r="BP20" i="278"/>
  <c r="CB32" i="278"/>
  <c r="CB42" i="278" s="1"/>
  <c r="BP37" i="278"/>
  <c r="CJ37" i="278"/>
  <c r="CF37" i="278"/>
  <c r="CR37" i="278"/>
  <c r="CN37" i="278"/>
  <c r="DH32" i="278"/>
  <c r="CV20" i="278"/>
  <c r="CV37" i="278"/>
  <c r="CV42" i="278" s="1"/>
  <c r="CV44" i="278" s="1"/>
  <c r="DH37" i="278"/>
  <c r="DP32" i="278"/>
  <c r="DP37" i="278"/>
  <c r="DL37" i="278"/>
  <c r="DX37" i="278"/>
  <c r="DL5" i="278"/>
  <c r="DT5" i="278"/>
  <c r="DT35" i="278" s="1"/>
  <c r="DT20" i="278"/>
  <c r="DT37" i="278"/>
  <c r="DT42" i="278" s="1"/>
  <c r="EK37" i="278"/>
  <c r="EK42" i="278" s="1"/>
  <c r="ET31" i="278"/>
  <c r="ET41" i="278" s="1"/>
  <c r="EH20" i="278"/>
  <c r="EE5" i="278"/>
  <c r="EQ31" i="278"/>
  <c r="EQ36" i="278"/>
  <c r="CS20" i="278"/>
  <c r="CQ40" i="278"/>
  <c r="CE40" i="278"/>
  <c r="EL40" i="278"/>
  <c r="BQ31" i="278"/>
  <c r="BE20" i="278"/>
  <c r="BQ32" i="278"/>
  <c r="DV31" i="278"/>
  <c r="DV41" i="278" s="1"/>
  <c r="BA5" i="278"/>
  <c r="BM31" i="278" s="1"/>
  <c r="BM41" i="278" s="1"/>
  <c r="BM36" i="278"/>
  <c r="BU31" i="278"/>
  <c r="BU36" i="278"/>
  <c r="CC36" i="278"/>
  <c r="BQ36" i="278"/>
  <c r="BQ5" i="278"/>
  <c r="BY5" i="278"/>
  <c r="CK32" i="278" s="1"/>
  <c r="CK42" i="278" s="1"/>
  <c r="CK36" i="278"/>
  <c r="BY36" i="278"/>
  <c r="CG36" i="278"/>
  <c r="CG41" i="278" s="1"/>
  <c r="CG40" i="278" s="1"/>
  <c r="CS36" i="278"/>
  <c r="CS41" i="278" s="1"/>
  <c r="DA36" i="278"/>
  <c r="CO5" i="278"/>
  <c r="CO20" i="278" s="1"/>
  <c r="CO36" i="278"/>
  <c r="CW5" i="278"/>
  <c r="CW35" i="278" s="1"/>
  <c r="DI31" i="278"/>
  <c r="DI41" i="278" s="1"/>
  <c r="DE5" i="278"/>
  <c r="DQ31" i="278"/>
  <c r="DQ36" i="278"/>
  <c r="DN5" i="278"/>
  <c r="DZ31" i="278"/>
  <c r="DZ41" i="278" s="1"/>
  <c r="DV36" i="278"/>
  <c r="DV5" i="278"/>
  <c r="BI37" i="278"/>
  <c r="BI42" i="278" s="1"/>
  <c r="BI44" i="278" s="1"/>
  <c r="BU37" i="278"/>
  <c r="BI20" i="278"/>
  <c r="BQ37" i="278"/>
  <c r="CC37" i="278"/>
  <c r="BY37" i="278"/>
  <c r="BY42" i="278" s="1"/>
  <c r="CS32" i="278"/>
  <c r="CG20" i="278"/>
  <c r="CG37" i="278"/>
  <c r="CG42" i="278" s="1"/>
  <c r="CO37" i="278"/>
  <c r="CO42" i="278" s="1"/>
  <c r="DA37" i="278"/>
  <c r="DI37" i="278"/>
  <c r="DE20" i="278"/>
  <c r="DE37" i="278"/>
  <c r="DQ37" i="278"/>
  <c r="DM37" i="278"/>
  <c r="DM42" i="278" s="1"/>
  <c r="DY37" i="278"/>
  <c r="DM20" i="278"/>
  <c r="DU20" i="278"/>
  <c r="DU37" i="278"/>
  <c r="EG32" i="278"/>
  <c r="EG42" i="278" s="1"/>
  <c r="EG44" i="278" s="1"/>
  <c r="EQ37" i="278"/>
  <c r="EN37" i="278"/>
  <c r="EZ37" i="278"/>
  <c r="EN5" i="278"/>
  <c r="EZ32" i="278"/>
  <c r="EZ42" i="278" s="1"/>
  <c r="EK5" i="278"/>
  <c r="EK35" i="278" s="1"/>
  <c r="EK36" i="278"/>
  <c r="CW32" i="278"/>
  <c r="CW42" i="278" s="1"/>
  <c r="CW44" i="278" s="1"/>
  <c r="BU32" i="278"/>
  <c r="BU42" i="278" s="1"/>
  <c r="BL31" i="278"/>
  <c r="BL41" i="278" s="1"/>
  <c r="BB5" i="278"/>
  <c r="BB20" i="278" s="1"/>
  <c r="BJ5" i="278"/>
  <c r="BV31" i="278"/>
  <c r="BZ36" i="278"/>
  <c r="CL36" i="278"/>
  <c r="CL31" i="278"/>
  <c r="DB31" i="278"/>
  <c r="DB41" i="278" s="1"/>
  <c r="CP36" i="278"/>
  <c r="CP5" i="278"/>
  <c r="DB32" i="278" s="1"/>
  <c r="DF36" i="278"/>
  <c r="DF41" i="278" s="1"/>
  <c r="DF5" i="278"/>
  <c r="DF20" i="278" s="1"/>
  <c r="DR36" i="278"/>
  <c r="DR31" i="278"/>
  <c r="DR41" i="278" s="1"/>
  <c r="DW36" i="278"/>
  <c r="DW41" i="278" s="1"/>
  <c r="DW5" i="278"/>
  <c r="BJ37" i="278"/>
  <c r="BJ20" i="278"/>
  <c r="BR37" i="278"/>
  <c r="BR42" i="278" s="1"/>
  <c r="BR20" i="278"/>
  <c r="DJ32" i="278"/>
  <c r="DJ42" i="278" s="1"/>
  <c r="CX37" i="278"/>
  <c r="DR37" i="278"/>
  <c r="DZ37" i="278"/>
  <c r="DN37" i="278"/>
  <c r="DP31" i="278"/>
  <c r="CB31" i="278"/>
  <c r="CB41" i="278" s="1"/>
  <c r="ED40" i="278"/>
  <c r="CS37" i="278"/>
  <c r="CZ37" i="278"/>
  <c r="BN36" i="278"/>
  <c r="DI36" i="278"/>
  <c r="DJ37" i="278"/>
  <c r="CF5" i="278"/>
  <c r="CF35" i="278" s="1"/>
  <c r="EH36" i="278"/>
  <c r="EM41" i="278"/>
  <c r="FA20" i="278"/>
  <c r="FM32" i="278"/>
  <c r="FA37" i="278"/>
  <c r="EX5" i="278"/>
  <c r="EX36" i="278"/>
  <c r="FJ31" i="278"/>
  <c r="FJ41" i="278" s="1"/>
  <c r="EV41" i="278"/>
  <c r="FA22" i="278"/>
  <c r="ES22" i="278"/>
  <c r="EK22" i="278"/>
  <c r="EV22" i="278"/>
  <c r="EN22" i="278"/>
  <c r="EF22" i="278"/>
  <c r="BW41" i="278"/>
  <c r="DK31" i="278"/>
  <c r="DK41" i="278" s="1"/>
  <c r="FM31" i="278"/>
  <c r="FA36" i="278"/>
  <c r="FF32" i="278"/>
  <c r="ET20" i="278"/>
  <c r="EH37" i="278"/>
  <c r="ET32" i="278"/>
  <c r="ET42" i="278" s="1"/>
  <c r="ET44" i="278" s="1"/>
  <c r="ED5" i="278"/>
  <c r="ED20" i="278" s="1"/>
  <c r="EP37" i="278"/>
  <c r="ED37" i="278"/>
  <c r="ED42" i="278" s="1"/>
  <c r="ED44" i="278" s="1"/>
  <c r="BX32" i="278"/>
  <c r="BX42" i="278" s="1"/>
  <c r="BP41" i="278"/>
  <c r="DL31" i="278"/>
  <c r="DL41" i="278" s="1"/>
  <c r="CZ20" i="278"/>
  <c r="DL32" i="278"/>
  <c r="DL42" i="278" s="1"/>
  <c r="DL44" i="278" s="1"/>
  <c r="FF37" i="278"/>
  <c r="FF22" i="278"/>
  <c r="FG22" i="278"/>
  <c r="FH22" i="278"/>
  <c r="EE49" i="278"/>
  <c r="EF49" i="278" s="1"/>
  <c r="EG49" i="278" s="1"/>
  <c r="EH49" i="278" s="1"/>
  <c r="EI49" i="278" s="1"/>
  <c r="EJ49" i="278" s="1"/>
  <c r="EK49" i="278" s="1"/>
  <c r="EL49" i="278" s="1"/>
  <c r="EM49" i="278" s="1"/>
  <c r="EN49" i="278" s="1"/>
  <c r="EO49" i="278" s="1"/>
  <c r="EP49" i="278" s="1"/>
  <c r="EQ49" i="278" s="1"/>
  <c r="ER49" i="278" s="1"/>
  <c r="ES49" i="278" s="1"/>
  <c r="ET49" i="278" s="1"/>
  <c r="EU49" i="278" s="1"/>
  <c r="EV49" i="278" s="1"/>
  <c r="EW49" i="278" s="1"/>
  <c r="EX49" i="278" s="1"/>
  <c r="EY49" i="278" s="1"/>
  <c r="EZ49" i="278" s="1"/>
  <c r="FA49" i="278" s="1"/>
  <c r="FB49" i="278" s="1"/>
  <c r="FC49" i="278" s="1"/>
  <c r="FD49" i="278" s="1"/>
  <c r="FE49" i="278" s="1"/>
  <c r="FF49" i="278" s="1"/>
  <c r="FG49" i="278" s="1"/>
  <c r="FH49" i="278" s="1"/>
  <c r="FI49" i="278" s="1"/>
  <c r="FJ49" i="278" s="1"/>
  <c r="FF5" i="278"/>
  <c r="FR31" i="278"/>
  <c r="EP20" i="278"/>
  <c r="FB35" i="278"/>
  <c r="EM37" i="278"/>
  <c r="BD20" i="278"/>
  <c r="BP32" i="278"/>
  <c r="CL35" i="278"/>
  <c r="DC20" i="278"/>
  <c r="DO31" i="278"/>
  <c r="DO41" i="278" s="1"/>
  <c r="EW22" i="278"/>
  <c r="EO22" i="278"/>
  <c r="EG22" i="278"/>
  <c r="FE22" i="278"/>
  <c r="FO32" i="278"/>
  <c r="FC37" i="278"/>
  <c r="EZ5" i="278"/>
  <c r="FL31" i="278" s="1"/>
  <c r="EZ36" i="278"/>
  <c r="FH37" i="278"/>
  <c r="EV5" i="278"/>
  <c r="FH32" i="278" s="1"/>
  <c r="FH42" i="278" s="1"/>
  <c r="EV37" i="278"/>
  <c r="EV42" i="278" s="1"/>
  <c r="EV44" i="278" s="1"/>
  <c r="FE37" i="278"/>
  <c r="ES37" i="278"/>
  <c r="FI31" i="278"/>
  <c r="DO32" i="278"/>
  <c r="EK31" i="278"/>
  <c r="DY20" i="278"/>
  <c r="AW22" i="278"/>
  <c r="BU22" i="278"/>
  <c r="CC22" i="278"/>
  <c r="CK22" i="278"/>
  <c r="CS22" i="278"/>
  <c r="DI22" i="278"/>
  <c r="DY22" i="278"/>
  <c r="CA22" i="278"/>
  <c r="CZ35" i="278"/>
  <c r="DC35" i="278"/>
  <c r="BU35" i="278"/>
  <c r="EC22" i="278"/>
  <c r="EZ22" i="278"/>
  <c r="ER22" i="278"/>
  <c r="ED22" i="278"/>
  <c r="EU22" i="278"/>
  <c r="EM22" i="278"/>
  <c r="EM32" i="278"/>
  <c r="EM42" i="278" s="1"/>
  <c r="EM44" i="278" s="1"/>
  <c r="BB22" i="278"/>
  <c r="BJ22" i="278"/>
  <c r="BR22" i="278"/>
  <c r="BZ22" i="278"/>
  <c r="CH22" i="278"/>
  <c r="CX22" i="278"/>
  <c r="DV22" i="278"/>
  <c r="BH22" i="278"/>
  <c r="CV22" i="278"/>
  <c r="FO31" i="278"/>
  <c r="EY20" i="278"/>
  <c r="FK31" i="278"/>
  <c r="ES5" i="278"/>
  <c r="FE35" i="278" s="1"/>
  <c r="EX41" i="278"/>
  <c r="EX40" i="278" s="1"/>
  <c r="EG5" i="278"/>
  <c r="ES31" i="278" s="1"/>
  <c r="ES41" i="278" s="1"/>
  <c r="EC37" i="278"/>
  <c r="EC42" i="278" s="1"/>
  <c r="DC41" i="278"/>
  <c r="DG35" i="278"/>
  <c r="CB35" i="278"/>
  <c r="CN32" i="278"/>
  <c r="CN42" i="278" s="1"/>
  <c r="BV35" i="278"/>
  <c r="DK35" i="278"/>
  <c r="CQ35" i="278"/>
  <c r="BN5" i="278"/>
  <c r="BZ35" i="278" s="1"/>
  <c r="BV36" i="278"/>
  <c r="CD36" i="278"/>
  <c r="CD5" i="278"/>
  <c r="BJ32" i="278"/>
  <c r="BV37" i="278"/>
  <c r="CD37" i="278"/>
  <c r="CT37" i="278"/>
  <c r="CT50" i="278"/>
  <c r="CU50" i="278" s="1"/>
  <c r="CV50" i="278" s="1"/>
  <c r="CW50" i="278" s="1"/>
  <c r="CX50" i="278" s="1"/>
  <c r="CY50" i="278" s="1"/>
  <c r="CZ50" i="278" s="1"/>
  <c r="DA50" i="278" s="1"/>
  <c r="DB50" i="278" s="1"/>
  <c r="DC50" i="278" s="1"/>
  <c r="DD50" i="278" s="1"/>
  <c r="DE50" i="278" s="1"/>
  <c r="DF50" i="278" s="1"/>
  <c r="DG50" i="278" s="1"/>
  <c r="DH50" i="278" s="1"/>
  <c r="DI50" i="278" s="1"/>
  <c r="DJ50" i="278" s="1"/>
  <c r="DK50" i="278" s="1"/>
  <c r="DL50" i="278" s="1"/>
  <c r="DM50" i="278" s="1"/>
  <c r="DN50" i="278" s="1"/>
  <c r="DO50" i="278" s="1"/>
  <c r="DP50" i="278" s="1"/>
  <c r="DQ50" i="278" s="1"/>
  <c r="DR50" i="278" s="1"/>
  <c r="DS50" i="278" s="1"/>
  <c r="DT50" i="278" s="1"/>
  <c r="DU50" i="278" s="1"/>
  <c r="DV50" i="278" s="1"/>
  <c r="DW50" i="278" s="1"/>
  <c r="DX50" i="278" s="1"/>
  <c r="DY50" i="278" s="1"/>
  <c r="DZ50" i="278" s="1"/>
  <c r="DN32" i="278"/>
  <c r="DV32" i="278"/>
  <c r="DJ20" i="278"/>
  <c r="BK22" i="278"/>
  <c r="BS22" i="278"/>
  <c r="CQ22" i="278"/>
  <c r="CY22" i="278"/>
  <c r="DW22" i="278"/>
  <c r="FD37" i="278"/>
  <c r="ER37" i="278"/>
  <c r="ER5" i="278"/>
  <c r="EO37" i="278"/>
  <c r="EI37" i="278"/>
  <c r="EC5" i="278"/>
  <c r="EO31" i="278" s="1"/>
  <c r="EO41" i="278" s="1"/>
  <c r="EC36" i="278"/>
  <c r="EC41" i="278" s="1"/>
  <c r="EC40" i="278" s="1"/>
  <c r="BO36" i="278"/>
  <c r="BO41" i="278" s="1"/>
  <c r="BO5" i="278"/>
  <c r="CU5" i="278"/>
  <c r="CU36" i="278"/>
  <c r="CU41" i="278" s="1"/>
  <c r="EF31" i="278"/>
  <c r="EF41" i="278" s="1"/>
  <c r="DT36" i="278"/>
  <c r="DT41" i="278" s="1"/>
  <c r="DT40" i="278" s="1"/>
  <c r="AY20" i="278"/>
  <c r="BG20" i="278"/>
  <c r="CA32" i="278"/>
  <c r="CA42" i="278" s="1"/>
  <c r="CE20" i="278"/>
  <c r="CM20" i="278"/>
  <c r="EL20" i="278"/>
  <c r="EQ22" i="278"/>
  <c r="EI22" i="278"/>
  <c r="FH36" i="278"/>
  <c r="FH5" i="278"/>
  <c r="FT31" i="278" s="1"/>
  <c r="EO5" i="278"/>
  <c r="EO20" i="278" s="1"/>
  <c r="EO36" i="278"/>
  <c r="FA31" i="278"/>
  <c r="FA41" i="278" s="1"/>
  <c r="EF37" i="278"/>
  <c r="EF5" i="278"/>
  <c r="EF20" i="278" s="1"/>
  <c r="BO32" i="278"/>
  <c r="BO42" i="278" s="1"/>
  <c r="BO44" i="278" s="1"/>
  <c r="CI20" i="278"/>
  <c r="CI37" i="278"/>
  <c r="CI42" i="278" s="1"/>
  <c r="DO37" i="278"/>
  <c r="EJ22" i="278"/>
  <c r="FK32" i="278"/>
  <c r="EY37" i="278"/>
  <c r="EU37" i="278"/>
  <c r="EM5" i="278"/>
  <c r="EM35" i="278" s="1"/>
  <c r="EM36" i="278"/>
  <c r="EW37" i="278"/>
  <c r="CA20" i="278"/>
  <c r="DP5" i="278"/>
  <c r="EB50" i="278"/>
  <c r="EC50" i="278" s="1"/>
  <c r="ED50" i="278" s="1"/>
  <c r="EE50" i="278" s="1"/>
  <c r="EF50" i="278" s="1"/>
  <c r="EG50" i="278" s="1"/>
  <c r="EH50" i="278" s="1"/>
  <c r="EI50" i="278" s="1"/>
  <c r="EJ50" i="278" s="1"/>
  <c r="EK50" i="278" s="1"/>
  <c r="EL50" i="278" s="1"/>
  <c r="EM50" i="278" s="1"/>
  <c r="EN50" i="278" s="1"/>
  <c r="EO50" i="278" s="1"/>
  <c r="EP50" i="278" s="1"/>
  <c r="EQ50" i="278" s="1"/>
  <c r="ER50" i="278" s="1"/>
  <c r="ES50" i="278" s="1"/>
  <c r="ET50" i="278" s="1"/>
  <c r="EU50" i="278" s="1"/>
  <c r="EV50" i="278" s="1"/>
  <c r="EW50" i="278" s="1"/>
  <c r="EX50" i="278" s="1"/>
  <c r="EY50" i="278" s="1"/>
  <c r="EZ50" i="278" s="1"/>
  <c r="FA50" i="278" s="1"/>
  <c r="FB50" i="278" s="1"/>
  <c r="FC50" i="278" s="1"/>
  <c r="FD50" i="278" s="1"/>
  <c r="FE50" i="278" s="1"/>
  <c r="FF50" i="278" s="1"/>
  <c r="FG50" i="278" s="1"/>
  <c r="FH50" i="278" s="1"/>
  <c r="FI50" i="278" s="1"/>
  <c r="FJ50" i="278" s="1"/>
  <c r="FG37" i="278"/>
  <c r="EY36" i="278"/>
  <c r="EU5" i="278"/>
  <c r="FG31" i="278"/>
  <c r="EJ20" i="278"/>
  <c r="EJ37" i="278"/>
  <c r="EJ42" i="278" s="1"/>
  <c r="EG20" i="278"/>
  <c r="EQ5" i="278"/>
  <c r="EQ20" i="278" s="1"/>
  <c r="EI5" i="278"/>
  <c r="EU31" i="278" s="1"/>
  <c r="EU41" i="278" s="1"/>
  <c r="EI36" i="278"/>
  <c r="FI5" i="278"/>
  <c r="EW20" i="278"/>
  <c r="G132" i="290"/>
  <c r="G126" i="290"/>
  <c r="G151" i="290"/>
  <c r="G116" i="290"/>
  <c r="G146" i="290"/>
  <c r="G112" i="290"/>
  <c r="G129" i="290"/>
  <c r="DM40" i="278" l="1"/>
  <c r="CN44" i="278"/>
  <c r="EN42" i="278"/>
  <c r="CO44" i="278"/>
  <c r="CR32" i="278"/>
  <c r="CR42" i="278" s="1"/>
  <c r="CR44" i="278" s="1"/>
  <c r="CK35" i="278"/>
  <c r="EF42" i="278"/>
  <c r="EF44" i="278" s="1"/>
  <c r="EN31" i="278"/>
  <c r="AX20" i="278"/>
  <c r="CL41" i="278"/>
  <c r="CL40" i="278" s="1"/>
  <c r="CF20" i="278"/>
  <c r="CF41" i="278"/>
  <c r="DI35" i="278"/>
  <c r="FJ20" i="278"/>
  <c r="FJ35" i="278"/>
  <c r="CX31" i="278"/>
  <c r="CX41" i="278" s="1"/>
  <c r="CX40" i="278" s="1"/>
  <c r="CY44" i="278"/>
  <c r="FV32" i="278"/>
  <c r="EL44" i="278"/>
  <c r="CF42" i="278"/>
  <c r="BA20" i="278"/>
  <c r="CW20" i="278"/>
  <c r="DJ35" i="278"/>
  <c r="BS32" i="278"/>
  <c r="BS42" i="278" s="1"/>
  <c r="BS44" i="278" s="1"/>
  <c r="BS35" i="278"/>
  <c r="FF42" i="278"/>
  <c r="FF40" i="278" s="1"/>
  <c r="DF40" i="278"/>
  <c r="BJ35" i="278"/>
  <c r="CJ42" i="278"/>
  <c r="CJ44" i="278" s="1"/>
  <c r="CT41" i="278"/>
  <c r="BW40" i="278"/>
  <c r="CR31" i="278"/>
  <c r="CR41" i="278" s="1"/>
  <c r="CR40" i="278" s="1"/>
  <c r="CR35" i="278"/>
  <c r="DP41" i="278"/>
  <c r="DP40" i="278" s="1"/>
  <c r="BL42" i="278"/>
  <c r="BL44" i="278" s="1"/>
  <c r="EY35" i="278"/>
  <c r="EK41" i="278"/>
  <c r="EK40" i="278" s="1"/>
  <c r="CO41" i="278"/>
  <c r="EB20" i="278"/>
  <c r="EA20" i="278"/>
  <c r="DC40" i="278"/>
  <c r="EY31" i="278"/>
  <c r="EY41" i="278" s="1"/>
  <c r="FA32" i="278"/>
  <c r="FA42" i="278" s="1"/>
  <c r="FA44" i="278" s="1"/>
  <c r="CX32" i="278"/>
  <c r="CX42" i="278" s="1"/>
  <c r="EW35" i="278"/>
  <c r="EM20" i="278"/>
  <c r="BV32" i="278"/>
  <c r="DY32" i="278"/>
  <c r="DY42" i="278" s="1"/>
  <c r="DI32" i="278"/>
  <c r="CB44" i="278"/>
  <c r="BX40" i="278"/>
  <c r="BR40" i="278"/>
  <c r="BW42" i="278"/>
  <c r="BW44" i="278" s="1"/>
  <c r="BK35" i="278"/>
  <c r="BK31" i="278"/>
  <c r="BK41" i="278" s="1"/>
  <c r="BK32" i="278"/>
  <c r="BK42" i="278" s="1"/>
  <c r="BK44" i="278" s="1"/>
  <c r="DB20" i="278"/>
  <c r="EN41" i="278"/>
  <c r="EN40" i="278" s="1"/>
  <c r="EI20" i="278"/>
  <c r="DD40" i="278"/>
  <c r="DS40" i="278"/>
  <c r="BY44" i="278"/>
  <c r="CM44" i="278"/>
  <c r="FI20" i="278"/>
  <c r="EB48" i="278"/>
  <c r="EC48" i="278" s="1"/>
  <c r="ED48" i="278" s="1"/>
  <c r="EE48" i="278" s="1"/>
  <c r="EF48" i="278" s="1"/>
  <c r="EG48" i="278" s="1"/>
  <c r="EH48" i="278" s="1"/>
  <c r="EI48" i="278" s="1"/>
  <c r="EJ48" i="278" s="1"/>
  <c r="EK48" i="278" s="1"/>
  <c r="EL48" i="278" s="1"/>
  <c r="EM48" i="278" s="1"/>
  <c r="EN48" i="278" s="1"/>
  <c r="EO48" i="278" s="1"/>
  <c r="EP48" i="278" s="1"/>
  <c r="EQ48" i="278" s="1"/>
  <c r="ER48" i="278" s="1"/>
  <c r="ES48" i="278" s="1"/>
  <c r="ET48" i="278" s="1"/>
  <c r="EU48" i="278" s="1"/>
  <c r="EV48" i="278" s="1"/>
  <c r="EW48" i="278" s="1"/>
  <c r="EX48" i="278" s="1"/>
  <c r="EY48" i="278" s="1"/>
  <c r="EZ48" i="278" s="1"/>
  <c r="FA48" i="278" s="1"/>
  <c r="FB48" i="278" s="1"/>
  <c r="FC48" i="278" s="1"/>
  <c r="FD48" i="278" s="1"/>
  <c r="FE48" i="278" s="1"/>
  <c r="FF48" i="278" s="1"/>
  <c r="FG48" i="278" s="1"/>
  <c r="FH48" i="278" s="1"/>
  <c r="FI48" i="278" s="1"/>
  <c r="FJ48" i="278" s="1"/>
  <c r="EV20" i="278"/>
  <c r="FI41" i="278"/>
  <c r="EY32" i="278"/>
  <c r="CZ41" i="278"/>
  <c r="FI44" i="278"/>
  <c r="EA31" i="278"/>
  <c r="EA41" i="278" s="1"/>
  <c r="EA44" i="278" s="1"/>
  <c r="CD31" i="278"/>
  <c r="CD41" i="278" s="1"/>
  <c r="CD40" i="278" s="1"/>
  <c r="FB31" i="278"/>
  <c r="FB41" i="278" s="1"/>
  <c r="FB40" i="278" s="1"/>
  <c r="FB32" i="278"/>
  <c r="FB42" i="278" s="1"/>
  <c r="CQ44" i="278"/>
  <c r="CU40" i="278"/>
  <c r="CU44" i="278"/>
  <c r="EJ44" i="278"/>
  <c r="EJ40" i="278"/>
  <c r="CD35" i="278"/>
  <c r="CP32" i="278"/>
  <c r="CP42" i="278" s="1"/>
  <c r="EP32" i="278"/>
  <c r="EP42" i="278" s="1"/>
  <c r="EX20" i="278"/>
  <c r="FJ32" i="278"/>
  <c r="FJ42" i="278" s="1"/>
  <c r="FJ44" i="278" s="1"/>
  <c r="EX35" i="278"/>
  <c r="CB40" i="278"/>
  <c r="CD32" i="278"/>
  <c r="CD42" i="278" s="1"/>
  <c r="BV41" i="278"/>
  <c r="DA32" i="278"/>
  <c r="DA42" i="278" s="1"/>
  <c r="DA44" i="278" s="1"/>
  <c r="DV35" i="278"/>
  <c r="DV20" i="278"/>
  <c r="ET40" i="278"/>
  <c r="BH44" i="278"/>
  <c r="BL35" i="278"/>
  <c r="AZ20" i="278"/>
  <c r="DB42" i="278"/>
  <c r="DB44" i="278" s="1"/>
  <c r="EI35" i="278"/>
  <c r="EU32" i="278"/>
  <c r="EU42" i="278" s="1"/>
  <c r="EU44" i="278" s="1"/>
  <c r="CU35" i="278"/>
  <c r="CU20" i="278"/>
  <c r="DG31" i="278"/>
  <c r="DG41" i="278" s="1"/>
  <c r="DG32" i="278"/>
  <c r="DG42" i="278" s="1"/>
  <c r="DG44" i="278" s="1"/>
  <c r="BJ42" i="278"/>
  <c r="BP42" i="278"/>
  <c r="BP44" i="278" s="1"/>
  <c r="CX20" i="278"/>
  <c r="EH31" i="278"/>
  <c r="EH41" i="278" s="1"/>
  <c r="BY35" i="278"/>
  <c r="CK31" i="278"/>
  <c r="CK41" i="278" s="1"/>
  <c r="CK40" i="278" s="1"/>
  <c r="EH35" i="278"/>
  <c r="DX35" i="278"/>
  <c r="DX31" i="278"/>
  <c r="DX41" i="278" s="1"/>
  <c r="DL35" i="278"/>
  <c r="DL20" i="278"/>
  <c r="DX32" i="278"/>
  <c r="DX42" i="278" s="1"/>
  <c r="DH42" i="278"/>
  <c r="DH44" i="278" s="1"/>
  <c r="DM35" i="278"/>
  <c r="DY35" i="278"/>
  <c r="BI40" i="278"/>
  <c r="FG20" i="278"/>
  <c r="FS32" i="278"/>
  <c r="FG35" i="278"/>
  <c r="BN32" i="278"/>
  <c r="BN42" i="278" s="1"/>
  <c r="BY20" i="278"/>
  <c r="EB35" i="278"/>
  <c r="EB31" i="278"/>
  <c r="EB41" i="278" s="1"/>
  <c r="DP35" i="278"/>
  <c r="DP20" i="278"/>
  <c r="EB32" i="278"/>
  <c r="EB42" i="278" s="1"/>
  <c r="BO35" i="278"/>
  <c r="CA35" i="278"/>
  <c r="BO20" i="278"/>
  <c r="ED35" i="278"/>
  <c r="EP31" i="278"/>
  <c r="EP41" i="278" s="1"/>
  <c r="DK40" i="278"/>
  <c r="DK44" i="278"/>
  <c r="CO35" i="278"/>
  <c r="DA35" i="278"/>
  <c r="DA31" i="278"/>
  <c r="DA41" i="278" s="1"/>
  <c r="CC35" i="278"/>
  <c r="BQ35" i="278"/>
  <c r="DV40" i="278"/>
  <c r="EW32" i="278"/>
  <c r="EW42" i="278" s="1"/>
  <c r="BT35" i="278"/>
  <c r="BH35" i="278"/>
  <c r="CT35" i="278"/>
  <c r="CH35" i="278"/>
  <c r="FD20" i="278"/>
  <c r="FP32" i="278"/>
  <c r="FD35" i="278"/>
  <c r="FH20" i="278"/>
  <c r="FT32" i="278"/>
  <c r="FH35" i="278"/>
  <c r="BO40" i="278"/>
  <c r="ES35" i="278"/>
  <c r="FE31" i="278"/>
  <c r="FE41" i="278" s="1"/>
  <c r="FE32" i="278"/>
  <c r="FE42" i="278" s="1"/>
  <c r="FI40" i="278"/>
  <c r="FR32" i="278"/>
  <c r="FF21" i="278"/>
  <c r="FF20" i="278"/>
  <c r="FF35" i="278"/>
  <c r="EM40" i="278"/>
  <c r="DM44" i="278"/>
  <c r="CT32" i="278"/>
  <c r="CT42" i="278" s="1"/>
  <c r="DW35" i="278"/>
  <c r="DW20" i="278"/>
  <c r="EI31" i="278"/>
  <c r="EI41" i="278" s="1"/>
  <c r="EI32" i="278"/>
  <c r="EI42" i="278" s="1"/>
  <c r="BL40" i="278"/>
  <c r="CG44" i="278"/>
  <c r="CC32" i="278"/>
  <c r="CC42" i="278" s="1"/>
  <c r="CC44" i="278" s="1"/>
  <c r="DN35" i="278"/>
  <c r="DZ35" i="278"/>
  <c r="EK20" i="278"/>
  <c r="EG40" i="278"/>
  <c r="DE42" i="278"/>
  <c r="DE44" i="278" s="1"/>
  <c r="BY40" i="278"/>
  <c r="DO35" i="278"/>
  <c r="EA35" i="278"/>
  <c r="FD31" i="278"/>
  <c r="FD41" i="278" s="1"/>
  <c r="ER35" i="278"/>
  <c r="FD32" i="278"/>
  <c r="FD42" i="278" s="1"/>
  <c r="FD44" i="278" s="1"/>
  <c r="ER20" i="278"/>
  <c r="CD20" i="278"/>
  <c r="EX44" i="278"/>
  <c r="DL40" i="278"/>
  <c r="EV40" i="278"/>
  <c r="DN20" i="278"/>
  <c r="CH20" i="278"/>
  <c r="DW40" i="278"/>
  <c r="DW44" i="278"/>
  <c r="EN35" i="278"/>
  <c r="EZ31" i="278"/>
  <c r="EZ41" i="278" s="1"/>
  <c r="EZ40" i="278" s="1"/>
  <c r="EN20" i="278"/>
  <c r="BQ42" i="278"/>
  <c r="EQ41" i="278"/>
  <c r="DP42" i="278"/>
  <c r="CJ40" i="278"/>
  <c r="BR44" i="278"/>
  <c r="DU42" i="278"/>
  <c r="DU44" i="278" s="1"/>
  <c r="EH42" i="278"/>
  <c r="EH44" i="278" s="1"/>
  <c r="EE40" i="278"/>
  <c r="FI35" i="278"/>
  <c r="FU31" i="278"/>
  <c r="FG41" i="278"/>
  <c r="FG40" i="278" s="1"/>
  <c r="EF35" i="278"/>
  <c r="ER32" i="278"/>
  <c r="ER42" i="278" s="1"/>
  <c r="ER31" i="278"/>
  <c r="ER41" i="278" s="1"/>
  <c r="BN35" i="278"/>
  <c r="BZ32" i="278"/>
  <c r="BZ42" i="278" s="1"/>
  <c r="ES20" i="278"/>
  <c r="EZ20" i="278"/>
  <c r="FL32" i="278"/>
  <c r="EZ35" i="278"/>
  <c r="CS42" i="278"/>
  <c r="CS44" i="278" s="1"/>
  <c r="DQ41" i="278"/>
  <c r="DQ40" i="278" s="1"/>
  <c r="EQ32" i="278"/>
  <c r="EQ42" i="278" s="1"/>
  <c r="EQ44" i="278" s="1"/>
  <c r="EE35" i="278"/>
  <c r="DT44" i="278"/>
  <c r="CJ35" i="278"/>
  <c r="BX35" i="278"/>
  <c r="BT31" i="278"/>
  <c r="BT41" i="278" s="1"/>
  <c r="EE20" i="278"/>
  <c r="FU32" i="278"/>
  <c r="CN40" i="278"/>
  <c r="EU35" i="278"/>
  <c r="FG32" i="278"/>
  <c r="FG42" i="278" s="1"/>
  <c r="EU20" i="278"/>
  <c r="DO20" i="278"/>
  <c r="EF40" i="278"/>
  <c r="EC35" i="278"/>
  <c r="EC20" i="278"/>
  <c r="DV42" i="278"/>
  <c r="DV44" i="278" s="1"/>
  <c r="BN20" i="278"/>
  <c r="BZ31" i="278"/>
  <c r="BZ41" i="278" s="1"/>
  <c r="EC44" i="278"/>
  <c r="EY42" i="278"/>
  <c r="BX44" i="278"/>
  <c r="DI42" i="278"/>
  <c r="DI44" i="278" s="1"/>
  <c r="DE35" i="278"/>
  <c r="DQ35" i="278"/>
  <c r="DQ32" i="278"/>
  <c r="DQ42" i="278" s="1"/>
  <c r="BU41" i="278"/>
  <c r="BU40" i="278" s="1"/>
  <c r="BQ41" i="278"/>
  <c r="BQ40" i="278" s="1"/>
  <c r="BT32" i="278"/>
  <c r="BT42" i="278" s="1"/>
  <c r="BT44" i="278" s="1"/>
  <c r="DY41" i="278"/>
  <c r="DY40" i="278" s="1"/>
  <c r="CN35" i="278"/>
  <c r="CZ32" i="278"/>
  <c r="CZ42" i="278" s="1"/>
  <c r="DJ31" i="278"/>
  <c r="DJ41" i="278" s="1"/>
  <c r="DJ40" i="278" s="1"/>
  <c r="CH44" i="278"/>
  <c r="DZ32" i="278"/>
  <c r="DZ42" i="278" s="1"/>
  <c r="DZ44" i="278" s="1"/>
  <c r="CV40" i="278"/>
  <c r="EU40" i="278"/>
  <c r="FA40" i="278"/>
  <c r="DN42" i="278"/>
  <c r="EO32" i="278"/>
  <c r="EO42" i="278" s="1"/>
  <c r="EO44" i="278" s="1"/>
  <c r="DF35" i="278"/>
  <c r="DR35" i="278"/>
  <c r="DR32" i="278"/>
  <c r="DR42" i="278" s="1"/>
  <c r="DR44" i="278" s="1"/>
  <c r="FC31" i="278"/>
  <c r="FC41" i="278" s="1"/>
  <c r="EQ35" i="278"/>
  <c r="FC35" i="278"/>
  <c r="CI40" i="278"/>
  <c r="CI44" i="278"/>
  <c r="EO35" i="278"/>
  <c r="FA35" i="278"/>
  <c r="CA31" i="278"/>
  <c r="CA41" i="278" s="1"/>
  <c r="CA40" i="278" s="1"/>
  <c r="CP31" i="278"/>
  <c r="CP41" i="278" s="1"/>
  <c r="ES32" i="278"/>
  <c r="ES42" i="278" s="1"/>
  <c r="ES44" i="278" s="1"/>
  <c r="EG35" i="278"/>
  <c r="DO42" i="278"/>
  <c r="DO44" i="278" s="1"/>
  <c r="EV35" i="278"/>
  <c r="FH31" i="278"/>
  <c r="FH41" i="278" s="1"/>
  <c r="FH40" i="278" s="1"/>
  <c r="EP35" i="278"/>
  <c r="DD44" i="278"/>
  <c r="DC44" i="278"/>
  <c r="BV42" i="278"/>
  <c r="BV44" i="278" s="1"/>
  <c r="CP20" i="278"/>
  <c r="CP35" i="278"/>
  <c r="DB35" i="278"/>
  <c r="BN31" i="278"/>
  <c r="BN41" i="278" s="1"/>
  <c r="EW31" i="278"/>
  <c r="EW41" i="278" s="1"/>
  <c r="EW40" i="278" s="1"/>
  <c r="FC32" i="278"/>
  <c r="FC42" i="278" s="1"/>
  <c r="FC44" i="278" s="1"/>
  <c r="BQ20" i="278"/>
  <c r="CO40" i="278"/>
  <c r="CC31" i="278"/>
  <c r="CC41" i="278" s="1"/>
  <c r="BM35" i="278"/>
  <c r="BM32" i="278"/>
  <c r="BM42" i="278" s="1"/>
  <c r="BM44" i="278" s="1"/>
  <c r="EK44" i="278"/>
  <c r="CN20" i="278"/>
  <c r="BX20" i="278"/>
  <c r="CF40" i="278"/>
  <c r="CW40" i="278"/>
  <c r="FP31" i="278"/>
  <c r="CU48" i="278"/>
  <c r="CV48" i="278" s="1"/>
  <c r="CW48" i="278" s="1"/>
  <c r="CX48" i="278" s="1"/>
  <c r="CY48" i="278" s="1"/>
  <c r="CZ48" i="278" s="1"/>
  <c r="DA48" i="278" s="1"/>
  <c r="DB48" i="278" s="1"/>
  <c r="DC48" i="278" s="1"/>
  <c r="DD48" i="278" s="1"/>
  <c r="DE48" i="278" s="1"/>
  <c r="DF48" i="278" s="1"/>
  <c r="DG48" i="278" s="1"/>
  <c r="DH48" i="278" s="1"/>
  <c r="DI48" i="278" s="1"/>
  <c r="DJ48" i="278" s="1"/>
  <c r="DK48" i="278" s="1"/>
  <c r="DL48" i="278" s="1"/>
  <c r="DM48" i="278" s="1"/>
  <c r="DN48" i="278" s="1"/>
  <c r="DO48" i="278" s="1"/>
  <c r="DP48" i="278" s="1"/>
  <c r="DQ48" i="278" s="1"/>
  <c r="DR48" i="278" s="1"/>
  <c r="DS48" i="278" s="1"/>
  <c r="DT48" i="278" s="1"/>
  <c r="DU48" i="278" s="1"/>
  <c r="DV48" i="278" s="1"/>
  <c r="DW48" i="278" s="1"/>
  <c r="DX48" i="278" s="1"/>
  <c r="DY48" i="278" s="1"/>
  <c r="DZ48" i="278" s="1"/>
  <c r="FF44" i="278" l="1"/>
  <c r="ER44" i="278"/>
  <c r="CP40" i="278"/>
  <c r="EY44" i="278"/>
  <c r="BK40" i="278"/>
  <c r="EI40" i="278"/>
  <c r="EA40" i="278"/>
  <c r="CL44" i="278"/>
  <c r="BZ44" i="278"/>
  <c r="DZ40" i="278"/>
  <c r="CX44" i="278"/>
  <c r="CF44" i="278"/>
  <c r="DI40" i="278"/>
  <c r="EN44" i="278"/>
  <c r="DP44" i="278"/>
  <c r="BN44" i="278"/>
  <c r="DX44" i="278"/>
  <c r="CZ44" i="278"/>
  <c r="CT44" i="278"/>
  <c r="FE44" i="278"/>
  <c r="DJ44" i="278"/>
  <c r="EB44" i="278"/>
  <c r="CK44" i="278"/>
  <c r="EP44" i="278"/>
  <c r="FB44" i="278"/>
  <c r="FJ40" i="278"/>
  <c r="BS40" i="278"/>
  <c r="FC40" i="278"/>
  <c r="EW44" i="278"/>
  <c r="BN40" i="278"/>
  <c r="BT40" i="278"/>
  <c r="BU44" i="278"/>
  <c r="DH40" i="278"/>
  <c r="FE40" i="278"/>
  <c r="EQ40" i="278"/>
  <c r="DB40" i="278"/>
  <c r="CT40" i="278"/>
  <c r="DE40" i="278"/>
  <c r="CC40" i="278"/>
  <c r="DN44" i="278"/>
  <c r="DN40" i="278"/>
  <c r="FG44" i="278"/>
  <c r="DO40" i="278"/>
  <c r="ER40" i="278"/>
  <c r="BQ44" i="278"/>
  <c r="FD40" i="278"/>
  <c r="EI44" i="278"/>
  <c r="DA40" i="278"/>
  <c r="EB40" i="278"/>
  <c r="DG40" i="278"/>
  <c r="BV40" i="278"/>
  <c r="CZ40" i="278"/>
  <c r="DY44" i="278"/>
  <c r="EH40" i="278"/>
  <c r="CA44" i="278"/>
  <c r="EZ44" i="278"/>
  <c r="DQ44" i="278"/>
  <c r="EY40" i="278"/>
  <c r="DR40" i="278"/>
  <c r="DX40" i="278"/>
  <c r="BJ44" i="278"/>
  <c r="BJ40" i="278"/>
  <c r="DU40" i="278"/>
  <c r="FH44" i="278"/>
  <c r="BZ40" i="278"/>
  <c r="BP40" i="278"/>
  <c r="EO40" i="278"/>
  <c r="EP40" i="278"/>
  <c r="CP44" i="278"/>
  <c r="CS40" i="278"/>
  <c r="CD44" i="278"/>
  <c r="BM40" i="278"/>
  <c r="ES40" i="2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tc={767AE12C-004E-492E-8F7F-7B34243B56E0}</author>
  </authors>
  <commentList>
    <comment ref="I2" authorId="0" shapeId="0" xr:uid="{767AE12C-004E-492E-8F7F-7B34243B56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30/11/2022 - Revisão após a divulgação da taxa de out/22, que surpreendeu para baixo.
Joguei tudo um pouco pra baixo, cerca de -0,2 p.p.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tc={29C4D75C-9431-40FA-99CB-DE0985046313}</author>
    <author>tc={217F18DA-5473-4FDB-B830-E2C5D1B9BF00}</author>
    <author>tc={9DBE0D6D-F2E6-4FA6-9164-2B693D8E7A38}</author>
    <author>tc={9D029ABC-26F5-446E-ACFC-E8D380D0DA18}</author>
    <author>tc={766F4902-CFAE-465C-BB72-6D4AF27B242E}</author>
    <author>tc={30C55865-1F88-4D6F-98C2-2E40BA547A4E}</author>
    <author>tc={C820F557-A04E-4604-B66A-308FAE145679}</author>
    <author>tc={C95FFB83-A881-4EAF-98AD-009F53C38397}</author>
    <author>tc={15148210-0EF5-47C1-9B34-4AB4D1A8FE7A}</author>
    <author>tc={41A07F25-9E37-4701-B802-16A68EE70EAE}</author>
    <author>tc={B45F1CFC-6672-479D-ADEC-2C5F794AC560}</author>
    <author>tc={08B8E9F5-176B-46A8-A057-E174A6276F46}</author>
    <author>tc={89715059-535D-4665-8EE9-C966AF6D5435}</author>
    <author>tc={E7ACC8CE-CA9C-4DE4-B084-686AC2789E07}</author>
    <author>tc={075BF085-D953-4C5B-A3E6-F213772B1C16}</author>
    <author>tc={147C0C7C-4C88-452D-971B-84461BC8DAAA}</author>
    <author>tc={25AA704B-FB91-4687-8E68-01D695DC6D7A}</author>
  </authors>
  <commentList>
    <comment ref="K2" authorId="0" shapeId="0" xr:uid="{29C4D75C-9431-40FA-99CB-DE09850463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Previsões do Balanço</t>
      </text>
    </comment>
    <comment ref="L2" authorId="1" shapeId="0" xr:uid="{217F18DA-5473-4FDB-B830-E2C5D1B9BF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atualizei previsões e nem confirmei</t>
      </text>
    </comment>
    <comment ref="M2" authorId="2" shapeId="0" xr:uid="{9DBE0D6D-F2E6-4FA6-9164-2B693D8E7A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Novas projeções</t>
      </text>
    </comment>
    <comment ref="N2" authorId="3" shapeId="0" xr:uid="{9D029ABC-26F5-446E-ACFC-E8D380D0DA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Projeções iniciais, iguais a fevereiro, confirmadas no Focus</t>
      </text>
    </comment>
    <comment ref="O2" authorId="4" shapeId="0" xr:uid="{766F4902-CFAE-465C-BB72-6D4AF27B24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Novas projeções (18/03/2022)</t>
      </text>
    </comment>
    <comment ref="P2" authorId="5" shapeId="0" xr:uid="{30C55865-1F88-4D6F-98C2-2E40BA547A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Novas projeções (29/04/2022)</t>
      </text>
    </comment>
    <comment ref="Q2" authorId="6" shapeId="0" xr:uid="{C820F557-A04E-4604-B66A-308FAE1456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Projeções iguais a abr/22 (20/05/2022)</t>
      </text>
    </comment>
    <comment ref="R2" authorId="7" shapeId="0" xr:uid="{C95FFB83-A881-4EAF-98AD-009F53C383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Projeções feitas às pressas no dia 10/06/2022.</t>
      </text>
    </comment>
    <comment ref="S2" authorId="8" shapeId="0" xr:uid="{15148210-0EF5-47C1-9B34-4AB4D1A8FE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Projeções confirmadas (17/06/2022), as mesmas da semana anterior.</t>
      </text>
    </comment>
    <comment ref="T2" authorId="9" shapeId="0" xr:uid="{41A07F25-9E37-4701-B802-16A68EE70E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previsão arr. SENAI</t>
      </text>
    </comment>
    <comment ref="U2" authorId="10" shapeId="0" xr:uid="{B45F1CFC-6672-479D-ADEC-2C5F794AC5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Novas projeções (22/07/2022)</t>
      </text>
    </comment>
    <comment ref="V2" authorId="11" shapeId="0" xr:uid="{08B8E9F5-176B-46A8-A057-E174A6276F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Após divulgação PNAD-C jun/22, decidi manter os mesmos números, mesmo o pequeno erro de junho (esperava 9,2% e veio 9,3%) - (29/07/2022)</t>
      </text>
    </comment>
    <comment ref="W2" authorId="12" shapeId="0" xr:uid="{89715059-535D-4665-8EE9-C966AF6D54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Novas projeções (19/08/2022).
Decidi diminuir um pouco em função dos números recentes do emprego formal, medidas de estímulo à demanda (PEC Benefícios Sociais + redução ICMS), PO e massa de renda da PNAD com forte recuperação nos dois últimos trimestres móveis. Em resumo, PIB deve crescer acima do esperado.</t>
      </text>
    </comment>
    <comment ref="X2" authorId="13" shapeId="0" xr:uid="{E7ACC8CE-CA9C-4DE4-B084-686AC2789E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16/09/2022 - Mantive as mesmas projeções de ago/22, só corrigi o final de 2023, pois achei um erro na fórmula da sazonalidade (fator sazonal de set/jun usado no lugar de dez/set).</t>
      </text>
    </comment>
    <comment ref="Y2" authorId="14" shapeId="0" xr:uid="{075BF085-D953-4C5B-A3E6-F213772B1C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23/09/2022 - Mantive as projeções feitas na semana anterior. Só adicionei o 1ºT/24.</t>
      </text>
    </comment>
    <comment ref="Z2" authorId="15" shapeId="0" xr:uid="{147C0C7C-4C88-452D-971B-84461BC8DA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21/10/2022 - Repeti as projeções anteriores.</t>
      </text>
    </comment>
    <comment ref="AA2" authorId="16" shapeId="0" xr:uid="{25AA704B-FB91-4687-8E68-01D695DC6D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17/11/2022 - Novas projeções para o Balanço e data crítica Focus (18/11/22).
Taxas de 2022 subiram um pouco, pois nos meses anteriores sempre ficaram um pouco acima das previsões.
Taxas de 2023 foram ajustadas para cima (piora nas expectativas de PIB). Deixei a média mais próxima de 2022 (taxa andar de lado) e também que o mercado espera (9,1% média ano).</t>
      </text>
    </comment>
  </commentList>
</comments>
</file>

<file path=xl/sharedStrings.xml><?xml version="1.0" encoding="utf-8"?>
<sst xmlns="http://schemas.openxmlformats.org/spreadsheetml/2006/main" count="1177" uniqueCount="314">
  <si>
    <r>
      <t xml:space="preserve">Renda </t>
    </r>
    <r>
      <rPr>
        <sz val="10"/>
        <color rgb="FFFF0000"/>
        <rFont val="Arial"/>
        <family val="2"/>
      </rPr>
      <t>habitual</t>
    </r>
    <r>
      <rPr>
        <sz val="10"/>
        <rFont val="Arial"/>
        <family val="2"/>
      </rPr>
      <t xml:space="preserve"> de todos os trabalhos</t>
    </r>
  </si>
  <si>
    <t>Massa R$ mi</t>
  </si>
  <si>
    <t>R$ bi</t>
  </si>
  <si>
    <t>Renda média R$</t>
  </si>
  <si>
    <t>Nominal</t>
  </si>
  <si>
    <t>Real</t>
  </si>
  <si>
    <t>Var. % Massa</t>
  </si>
  <si>
    <t>Var. % Renda Média</t>
  </si>
  <si>
    <t>BR</t>
  </si>
  <si>
    <t xml:space="preserve">Tabela sidra 6320 </t>
  </si>
  <si>
    <t>População ocupada - Mil pessoas</t>
  </si>
  <si>
    <t>Tabela Sidra 6320</t>
  </si>
  <si>
    <t>No último ano</t>
  </si>
  <si>
    <t>Na queda</t>
  </si>
  <si>
    <t>Na recuperação</t>
  </si>
  <si>
    <t>Em relação ao pré-pandemia</t>
  </si>
  <si>
    <t>Meses de encerramento do trimestre móvel</t>
  </si>
  <si>
    <t>dez19/ago20</t>
  </si>
  <si>
    <t>BRASIL</t>
  </si>
  <si>
    <t>Var. %</t>
  </si>
  <si>
    <t>Var. Abs.</t>
  </si>
  <si>
    <t>POPULAÇÃO OCUPADA</t>
  </si>
  <si>
    <t>MERCADO FORMAL</t>
  </si>
  <si>
    <t>-</t>
  </si>
  <si>
    <t>Privado com carteira</t>
  </si>
  <si>
    <t>Doméstico com carteira</t>
  </si>
  <si>
    <t>Setor público com carteira</t>
  </si>
  <si>
    <t>Setor público sem carteira</t>
  </si>
  <si>
    <t>Militar e servidor estatutário</t>
  </si>
  <si>
    <t>Empregador com CNPJ</t>
  </si>
  <si>
    <t>Conta-própria com CNPJ</t>
  </si>
  <si>
    <t>MERCADO INFORMAL</t>
  </si>
  <si>
    <t>Privado sem carteira</t>
  </si>
  <si>
    <t>Doméstico sem carteira</t>
  </si>
  <si>
    <t>Empregador sem CNPJ</t>
  </si>
  <si>
    <t>Conta-própria sem CNPJ</t>
  </si>
  <si>
    <t>Familiar auxiliar</t>
  </si>
  <si>
    <t>Taxa de informalidade (%)</t>
  </si>
  <si>
    <t>OBS: IBGE considera "Setor Público sem carteira" como formal</t>
  </si>
  <si>
    <t>PO</t>
  </si>
  <si>
    <t>Empregado</t>
  </si>
  <si>
    <t>Empregador</t>
  </si>
  <si>
    <t>Conta-própria</t>
  </si>
  <si>
    <t>Peso</t>
  </si>
  <si>
    <t>Formal</t>
  </si>
  <si>
    <t>Informal</t>
  </si>
  <si>
    <t>Variação interanual</t>
  </si>
  <si>
    <t>Influência para o crescimento da PO (p.p.)</t>
  </si>
  <si>
    <t>População ocupada Total</t>
  </si>
  <si>
    <t>Informal &gt; Formal?</t>
  </si>
  <si>
    <t>Índice pico pré-pandemia (dez/19) = 100</t>
  </si>
  <si>
    <t>https://publish-p128342-e1259725.adobeaemcloud.com/content/dam/banco-bradesco/economia-em-dia/staticfiles/primeira-reação/20250430_pnad.pdf</t>
  </si>
  <si>
    <t>https://agenciadenoticias.ibge.gov.br/agencia-sala-de-imprensa/2013-agencia-de-noticias/releases/43222-pnad-continua-taxa-de-desocupacao-e-de-7-0-e-taxa-de-subutilizacao-e-de-15-9-no-trimestre-encerrado-em-marco</t>
  </si>
  <si>
    <t>set/set</t>
  </si>
  <si>
    <t>set20/set22</t>
  </si>
  <si>
    <t>set22/dez/19</t>
  </si>
  <si>
    <t>PIA</t>
  </si>
  <si>
    <t>PEA</t>
  </si>
  <si>
    <t>PD</t>
  </si>
  <si>
    <t>PNEA</t>
  </si>
  <si>
    <t>TaxaP</t>
  </si>
  <si>
    <t>TaxaD</t>
  </si>
  <si>
    <t>População em Idade Ativa (mil pessoas)</t>
  </si>
  <si>
    <t>Força trabalho - PEA  (mil pessoas)</t>
  </si>
  <si>
    <t>Ocupados (mil pessoas)</t>
  </si>
  <si>
    <t>Desocupados (mil pessoas)</t>
  </si>
  <si>
    <t>Fora força trabalho - PNEA (mil pessoas)</t>
  </si>
  <si>
    <t>Taxa participação (%)</t>
  </si>
  <si>
    <t>Taxa desemprego (%)</t>
  </si>
  <si>
    <t>TaxaD - Média anual</t>
  </si>
  <si>
    <t>Trabalhando a sazonalidade</t>
  </si>
  <si>
    <t>Observada + Previsão</t>
  </si>
  <si>
    <t>Média ano</t>
  </si>
  <si>
    <t>Dif. trimestral (p.p.)</t>
  </si>
  <si>
    <t>Dif. trimestral (%)</t>
  </si>
  <si>
    <t>Tabela 6392 e 6392</t>
  </si>
  <si>
    <t>Tabela 6390</t>
  </si>
  <si>
    <t>Previsões TaxaD - UEE Giovani</t>
  </si>
  <si>
    <t>Mês --&gt;</t>
  </si>
  <si>
    <t>Variação Média (2012-2021)</t>
  </si>
  <si>
    <t>p.p.</t>
  </si>
  <si>
    <t>%</t>
  </si>
  <si>
    <t>mar/dez</t>
  </si>
  <si>
    <t>jun/mar</t>
  </si>
  <si>
    <t>https://einvestidor.estadao.com.br/ultimas/bc-nova-versao-rankings-top-5</t>
  </si>
  <si>
    <t>set/jun</t>
  </si>
  <si>
    <t>dez/set</t>
  </si>
  <si>
    <t>Variação Média (Excluindo 2015-2016, 2020-2021)</t>
  </si>
  <si>
    <t>rowname</t>
  </si>
  <si>
    <t>Agropecuária</t>
  </si>
  <si>
    <t>Indústria Extrativa</t>
  </si>
  <si>
    <t>Indústria de Transformação</t>
  </si>
  <si>
    <t>SIUP</t>
  </si>
  <si>
    <t>Construção</t>
  </si>
  <si>
    <t>Comércio</t>
  </si>
  <si>
    <t>Serviços</t>
  </si>
  <si>
    <t>Não informado/Ignorado</t>
  </si>
  <si>
    <t>Total</t>
  </si>
  <si>
    <t>Acum. 12 M</t>
  </si>
  <si>
    <t>Melhor que ano anterior?</t>
  </si>
  <si>
    <t>Transf.</t>
  </si>
  <si>
    <t>Const.</t>
  </si>
  <si>
    <t>IND TOTAL</t>
  </si>
  <si>
    <t>Mês (para cálculo da sazonalidade)</t>
  </si>
  <si>
    <t>Ano (para cálculo da sazonalidade)</t>
  </si>
  <si>
    <t>12m set/22</t>
  </si>
  <si>
    <t>NOVA</t>
  </si>
  <si>
    <t>Setores</t>
  </si>
  <si>
    <t>mil</t>
  </si>
  <si>
    <t>2022 (12m)</t>
  </si>
  <si>
    <t>Indústria</t>
  </si>
  <si>
    <t>Mil</t>
  </si>
  <si>
    <t>Extrativa e SIUP4</t>
  </si>
  <si>
    <t>Acum.
12 meses até set/22</t>
  </si>
  <si>
    <t>2022*</t>
  </si>
  <si>
    <t>2023*</t>
  </si>
  <si>
    <t>Transformação</t>
  </si>
  <si>
    <t>Extrativa e SIUP**</t>
  </si>
  <si>
    <t>Total da economia</t>
  </si>
  <si>
    <t/>
  </si>
  <si>
    <t xml:space="preserve">olhar projeção </t>
  </si>
  <si>
    <t xml:space="preserve">Var. % Renda Média em relação ao mesmo mês do ano anterior </t>
  </si>
  <si>
    <t>BRASIL (trimestre móvel encerrado em)</t>
  </si>
  <si>
    <t>Tabela 6320 - Pessoas de 14 anos ou mais de idade, ocupadas na semana de referência - Total, coeficiente de variação, variações percentuais e absolutas em relação aos três trimestres móveis anteriores e ao mesmo trimestre móvel do ano anterior - por posição na ocupação e categoria do emprego no trabalho principal</t>
  </si>
  <si>
    <t>Variável - Pessoas de 14 anos ou mais de idade ocupadas na semana de referência (Mil pessoas)</t>
  </si>
  <si>
    <t>Trimestre Móvel</t>
  </si>
  <si>
    <t>Posição na ocupação e categoria do emprego no trabalho principal</t>
  </si>
  <si>
    <t>Empregado no setor privado, exclusive trabalhador doméstico</t>
  </si>
  <si>
    <t>Trabalhador doméstico</t>
  </si>
  <si>
    <t>Empregado no setor público</t>
  </si>
  <si>
    <t>Conta própria</t>
  </si>
  <si>
    <t>Trabalhador familiar auxiliar</t>
  </si>
  <si>
    <t>Brasil</t>
  </si>
  <si>
    <t>jan-fev-mar 2012</t>
  </si>
  <si>
    <t>fev-mar-abr 2012</t>
  </si>
  <si>
    <t>mar-abr-mai 2012</t>
  </si>
  <si>
    <t>abr-mai-jun 2012</t>
  </si>
  <si>
    <t>mai-jun-jul 2012</t>
  </si>
  <si>
    <t>jun-jul-ago 2012</t>
  </si>
  <si>
    <t>jul-ago-set 2012</t>
  </si>
  <si>
    <t>ago-set-out 2012</t>
  </si>
  <si>
    <t>set-out-nov 2012</t>
  </si>
  <si>
    <t>out-nov-dez 2012</t>
  </si>
  <si>
    <t>nov-dez-jan 2013</t>
  </si>
  <si>
    <t>dez-jan-fev 2013</t>
  </si>
  <si>
    <t>jan-fev-mar 2013</t>
  </si>
  <si>
    <t>fev-mar-abr 2013</t>
  </si>
  <si>
    <t>mar-abr-mai 2013</t>
  </si>
  <si>
    <t>abr-mai-jun 2013</t>
  </si>
  <si>
    <t>mai-jun-jul 2013</t>
  </si>
  <si>
    <t>jun-jul-ago 2013</t>
  </si>
  <si>
    <t>jul-ago-set 2013</t>
  </si>
  <si>
    <t>ago-set-out 2013</t>
  </si>
  <si>
    <t>set-out-nov 2013</t>
  </si>
  <si>
    <t>out-nov-dez 2013</t>
  </si>
  <si>
    <t>nov-dez-jan 2014</t>
  </si>
  <si>
    <t>dez-jan-fev 2014</t>
  </si>
  <si>
    <t>jan-fev-mar 2014</t>
  </si>
  <si>
    <t>fev-mar-abr 2014</t>
  </si>
  <si>
    <t>mar-abr-mai 2014</t>
  </si>
  <si>
    <t>abr-mai-jun 2014</t>
  </si>
  <si>
    <t>mai-jun-jul 2014</t>
  </si>
  <si>
    <t>jun-jul-ago 2014</t>
  </si>
  <si>
    <t>jul-ago-set 2014</t>
  </si>
  <si>
    <t>ago-set-out 2014</t>
  </si>
  <si>
    <t>set-out-nov 2014</t>
  </si>
  <si>
    <t>out-nov-dez 2014</t>
  </si>
  <si>
    <t>nov-dez-jan 2015</t>
  </si>
  <si>
    <t>dez-jan-fev 2015</t>
  </si>
  <si>
    <t>jan-fev-mar 2015</t>
  </si>
  <si>
    <t>fev-mar-abr 2015</t>
  </si>
  <si>
    <t>mar-abr-mai 2015</t>
  </si>
  <si>
    <t>abr-mai-jun 2015</t>
  </si>
  <si>
    <t>mai-jun-jul 2015</t>
  </si>
  <si>
    <t>jun-jul-ago 2015</t>
  </si>
  <si>
    <t>jul-ago-set 2015</t>
  </si>
  <si>
    <t>ago-set-out 2015</t>
  </si>
  <si>
    <t>set-out-nov 2015</t>
  </si>
  <si>
    <t>out-nov-dez 2015</t>
  </si>
  <si>
    <t>nov-dez-jan 2016</t>
  </si>
  <si>
    <t>dez-jan-fev 2016</t>
  </si>
  <si>
    <t>jan-fev-mar 2016</t>
  </si>
  <si>
    <t>fev-mar-abr 2016</t>
  </si>
  <si>
    <t>mar-abr-mai 2016</t>
  </si>
  <si>
    <t>abr-mai-jun 2016</t>
  </si>
  <si>
    <t>mai-jun-jul 2016</t>
  </si>
  <si>
    <t>jun-jul-ago 2016</t>
  </si>
  <si>
    <t>jul-ago-set 2016</t>
  </si>
  <si>
    <t>ago-set-out 2016</t>
  </si>
  <si>
    <t>set-out-nov 2016</t>
  </si>
  <si>
    <t>out-nov-dez 2016</t>
  </si>
  <si>
    <t>nov-dez-jan 2017</t>
  </si>
  <si>
    <t>dez-jan-fev 2017</t>
  </si>
  <si>
    <t>jan-fev-mar 2017</t>
  </si>
  <si>
    <t>fev-mar-abr 2017</t>
  </si>
  <si>
    <t>mar-abr-mai 2017</t>
  </si>
  <si>
    <t>abr-mai-jun 2017</t>
  </si>
  <si>
    <t>mai-jun-jul 2017</t>
  </si>
  <si>
    <t>jun-jul-ago 2017</t>
  </si>
  <si>
    <t>jul-ago-set 2017</t>
  </si>
  <si>
    <t>ago-set-out 2017</t>
  </si>
  <si>
    <t>set-out-nov 2017</t>
  </si>
  <si>
    <t>out-nov-dez 2017</t>
  </si>
  <si>
    <t>nov-dez-jan 2018</t>
  </si>
  <si>
    <t>dez-jan-fev 2018</t>
  </si>
  <si>
    <t>jan-fev-mar 2018</t>
  </si>
  <si>
    <t>fev-mar-abr 2018</t>
  </si>
  <si>
    <t>mar-abr-mai 2018</t>
  </si>
  <si>
    <t>abr-mai-jun 2018</t>
  </si>
  <si>
    <t>mai-jun-jul 2018</t>
  </si>
  <si>
    <t>jun-jul-ago 2018</t>
  </si>
  <si>
    <t>jul-ago-set 2018</t>
  </si>
  <si>
    <t>ago-set-out 2018</t>
  </si>
  <si>
    <t>set-out-nov 2018</t>
  </si>
  <si>
    <t>out-nov-dez 2018</t>
  </si>
  <si>
    <t>nov-dez-jan 2019</t>
  </si>
  <si>
    <t>dez-jan-fev 2019</t>
  </si>
  <si>
    <t>jan-fev-mar 2019</t>
  </si>
  <si>
    <t>fev-mar-abr 2019</t>
  </si>
  <si>
    <t>mar-abr-mai 2019</t>
  </si>
  <si>
    <t>abr-mai-jun 2019</t>
  </si>
  <si>
    <t>mai-jun-jul 2019</t>
  </si>
  <si>
    <t>jun-jul-ago 2019</t>
  </si>
  <si>
    <t>jul-ago-set 2019</t>
  </si>
  <si>
    <t>ago-set-out 2019</t>
  </si>
  <si>
    <t>set-out-nov 2019</t>
  </si>
  <si>
    <t>out-nov-dez 2019</t>
  </si>
  <si>
    <t>nov-dez-jan 2020</t>
  </si>
  <si>
    <t>dez-jan-fev 2020</t>
  </si>
  <si>
    <t>jan-fev-mar 2020</t>
  </si>
  <si>
    <t>fev-mar-abr 2020</t>
  </si>
  <si>
    <t>mar-abr-mai 2020</t>
  </si>
  <si>
    <t>abr-mai-jun 2020</t>
  </si>
  <si>
    <t>mai-jun-jul 2020</t>
  </si>
  <si>
    <t>jun-jul-ago 2020</t>
  </si>
  <si>
    <t>jul-ago-set 2020</t>
  </si>
  <si>
    <t>ago-set-out 2020</t>
  </si>
  <si>
    <t>set-out-nov 2020</t>
  </si>
  <si>
    <t>out-nov-dez 2020</t>
  </si>
  <si>
    <t>nov-dez-jan 2021</t>
  </si>
  <si>
    <t>dez-jan-fev 2021</t>
  </si>
  <si>
    <t>jan-fev-mar 2021</t>
  </si>
  <si>
    <t>fev-mar-abr 2021</t>
  </si>
  <si>
    <t>mar-abr-mai 2021</t>
  </si>
  <si>
    <t>abr-mai-jun 2021</t>
  </si>
  <si>
    <t>mai-jun-jul 2021</t>
  </si>
  <si>
    <t>jun-jul-ago 2021</t>
  </si>
  <si>
    <t>jul-ago-set 2021</t>
  </si>
  <si>
    <t>ago-set-out 2021</t>
  </si>
  <si>
    <t>set-out-nov 2021</t>
  </si>
  <si>
    <t>out-nov-dez 2021</t>
  </si>
  <si>
    <t>nov-dez-jan 2022</t>
  </si>
  <si>
    <t>dez-jan-fev 2022</t>
  </si>
  <si>
    <t>jan-fev-mar 2022</t>
  </si>
  <si>
    <t>fev-mar-abr 2022</t>
  </si>
  <si>
    <t>mar-abr-mai 2022</t>
  </si>
  <si>
    <t>abr-mai-jun 2022</t>
  </si>
  <si>
    <t>mai-jun-jul 2022</t>
  </si>
  <si>
    <t>jun-jul-ago 2022</t>
  </si>
  <si>
    <t>jul-ago-set 2022</t>
  </si>
  <si>
    <t>ago-set-out 2022</t>
  </si>
  <si>
    <t>set-out-nov 2022</t>
  </si>
  <si>
    <t>out-nov-dez 2022</t>
  </si>
  <si>
    <t>nov-dez-jan 2023</t>
  </si>
  <si>
    <t>dez-jan-fev 2023</t>
  </si>
  <si>
    <t>jan-fev-mar 2023</t>
  </si>
  <si>
    <t>fev-mar-abr 2023</t>
  </si>
  <si>
    <t>mar-abr-mai 2023</t>
  </si>
  <si>
    <t>abr-mai-jun 2023</t>
  </si>
  <si>
    <t>mai-jun-jul 2023</t>
  </si>
  <si>
    <t>jun-jul-ago 2023</t>
  </si>
  <si>
    <t>jul-ago-set 2023</t>
  </si>
  <si>
    <t>ago-set-out 2023</t>
  </si>
  <si>
    <t>set-out-nov 2023</t>
  </si>
  <si>
    <t>out-nov-dez 2023</t>
  </si>
  <si>
    <t>nov-dez-jan 2024</t>
  </si>
  <si>
    <t>dez-jan-fev 2024</t>
  </si>
  <si>
    <t>jan-fev-mar 2024</t>
  </si>
  <si>
    <t>fev-mar-abr 2024</t>
  </si>
  <si>
    <t>mar-abr-mai 2024</t>
  </si>
  <si>
    <t>abr-mai-jun 2024</t>
  </si>
  <si>
    <t>mai-jun-jul 2024</t>
  </si>
  <si>
    <t>jun-jul-ago 2024</t>
  </si>
  <si>
    <t>jul-ago-set 2024</t>
  </si>
  <si>
    <t>ago-set-out 2024</t>
  </si>
  <si>
    <t>set-out-nov 2024</t>
  </si>
  <si>
    <t>out-nov-dez 2024</t>
  </si>
  <si>
    <t>nov-dez-jan 2025</t>
  </si>
  <si>
    <t>dez-jan-fev 2025</t>
  </si>
  <si>
    <t>jan-fev-mar 2025</t>
  </si>
  <si>
    <t>fev-mar-abr 2025</t>
  </si>
  <si>
    <t>mar-abr-mai 2025</t>
  </si>
  <si>
    <t>abr-mai-jun 2025</t>
  </si>
  <si>
    <t>mai-jun-jul 2025</t>
  </si>
  <si>
    <t>jun-jul-ago 2025</t>
  </si>
  <si>
    <t>Fonte: IBGE - Pesquisa Nacional por Amostra de Domicílios Contínua mensal</t>
  </si>
  <si>
    <t>Variável - Variação percentual em relação ao mesmo trimestre móvel do ano anterior - Pessoas de 14 anos ou mais de idade, ocupadas na semana de referência (%)</t>
  </si>
  <si>
    <t>Empregado no setor privado, exclusive trabalhador doméstico - com carteira de trabalho assinada</t>
  </si>
  <si>
    <t>Empregado no setor privado, exclusive trabalhador doméstico - sem carteira de trabalho assinada</t>
  </si>
  <si>
    <t>Trabalhador doméstico - com carteira de trabalho assinada</t>
  </si>
  <si>
    <t>Trabalhador doméstico - sem carteira de trabalho assinada</t>
  </si>
  <si>
    <t>Empregado no setor público, exclusive militar e funcionário público estatutário - com carteira de trabalho assinada</t>
  </si>
  <si>
    <t>Empregado no setor público, exclusive militar e funcionário público estatutário - sem carteira de trabalho assinada</t>
  </si>
  <si>
    <t>Empregado no setor público - militar e funcionário público estatutário</t>
  </si>
  <si>
    <t>Conta própria com CNPJ</t>
  </si>
  <si>
    <t>Conta própria sem CNPJ</t>
  </si>
  <si>
    <t>...</t>
  </si>
  <si>
    <t>jul-ago-set 2025</t>
  </si>
  <si>
    <t>ago-set-out 2025</t>
  </si>
  <si>
    <t>set-out-nov 2025</t>
  </si>
  <si>
    <t>out-nov-dez 2025</t>
  </si>
  <si>
    <t>nov-dez-jan 2026</t>
  </si>
  <si>
    <t>dez-jan-fev 2026</t>
  </si>
  <si>
    <t>tabel 6318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</si>
</sst>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"/>
    <numFmt numFmtId="166" formatCode="_(* #,##0.00_);_(* \(#,##0.00\);_(* \-??_);_(@_)"/>
    <numFmt numFmtId="167" formatCode="#,##0.0"/>
    <numFmt numFmtId="168" formatCode="0.0%"/>
    <numFmt numFmtId="169" formatCode="0.000"/>
    <numFmt numFmtId="170" formatCode="#,##0.000"/>
    <numFmt numFmtId="171" formatCode="_-* #,##0_-;\-* #,##0_-;_-* &quot;-&quot;??_-;_-@_-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  <charset val="1"/>
    </font>
    <font>
      <sz val="10"/>
      <name val="MS Sans Serif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indexed="64"/>
      <name val="Calibri"/>
      <family val="2"/>
      <scheme val="minor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3"/>
      <name val="Arial"/>
      <family val="2"/>
    </font>
    <font>
      <sz val="8"/>
      <color rgb="FFFF0000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0"/>
      <color theme="7"/>
      <name val="Arial"/>
      <family val="2"/>
    </font>
    <font>
      <sz val="10"/>
      <color rgb="FF00B0F0"/>
      <name val="Arial"/>
      <family val="2"/>
    </font>
    <font>
      <sz val="10"/>
      <color theme="0"/>
      <name val="Arial"/>
      <family val="2"/>
    </font>
    <font>
      <sz val="11"/>
      <color theme="5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sz val="10"/>
      <name val="Arial"/>
    </font>
    <font>
      <sz val="10"/>
      <color indexed="64"/>
      <name val="Arial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A4B9F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47">
    <xf numFmtId="0" fontId="0" fillId="0" borderId="0"/>
    <xf numFmtId="164" fontId="13" fillId="0" borderId="0" applyFont="0" applyFill="0" applyBorder="0" applyAlignment="0" applyProtection="0"/>
    <xf numFmtId="0" fontId="11" fillId="0" borderId="0"/>
    <xf numFmtId="0" fontId="14" fillId="0" borderId="0"/>
    <xf numFmtId="9" fontId="9" fillId="0" borderId="0" applyFont="0" applyFill="0" applyBorder="0" applyAlignment="0" applyProtection="0"/>
    <xf numFmtId="9" fontId="12" fillId="0" borderId="0" applyFill="0" applyBorder="0" applyProtection="0"/>
    <xf numFmtId="43" fontId="13" fillId="0" borderId="0" applyFont="0" applyFill="0" applyBorder="0" applyAlignment="0" applyProtection="0"/>
    <xf numFmtId="166" fontId="12" fillId="0" borderId="0" applyFill="0" applyBorder="0" applyProtection="0"/>
    <xf numFmtId="166" fontId="12" fillId="0" borderId="0" applyFill="0" applyBorder="0" applyProtection="0"/>
    <xf numFmtId="0" fontId="14" fillId="0" borderId="0"/>
    <xf numFmtId="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8" fillId="0" borderId="0"/>
    <xf numFmtId="0" fontId="14" fillId="0" borderId="0"/>
    <xf numFmtId="9" fontId="1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4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8" fillId="0" borderId="0"/>
    <xf numFmtId="9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43" fontId="36" fillId="0" borderId="0" applyFont="0" applyFill="0" applyBorder="0" applyAlignment="0" applyProtection="0"/>
  </cellStyleXfs>
  <cellXfs count="216">
    <xf numFmtId="0" fontId="0" fillId="0" borderId="0" xfId="0"/>
    <xf numFmtId="3" fontId="16" fillId="4" borderId="0" xfId="9" applyNumberFormat="1" applyFont="1" applyFill="1" applyAlignment="1">
      <alignment horizontal="center" vertical="center"/>
    </xf>
    <xf numFmtId="3" fontId="15" fillId="4" borderId="0" xfId="9" applyNumberFormat="1" applyFont="1" applyFill="1" applyAlignment="1">
      <alignment horizontal="center" vertical="center"/>
    </xf>
    <xf numFmtId="3" fontId="16" fillId="2" borderId="0" xfId="9" applyNumberFormat="1" applyFont="1" applyFill="1" applyAlignment="1">
      <alignment horizontal="center" vertical="center"/>
    </xf>
    <xf numFmtId="0" fontId="14" fillId="0" borderId="0" xfId="9"/>
    <xf numFmtId="3" fontId="14" fillId="0" borderId="0" xfId="9" applyNumberFormat="1"/>
    <xf numFmtId="17" fontId="0" fillId="0" borderId="0" xfId="0" applyNumberFormat="1"/>
    <xf numFmtId="3" fontId="0" fillId="0" borderId="0" xfId="0" applyNumberFormat="1"/>
    <xf numFmtId="165" fontId="0" fillId="0" borderId="0" xfId="0" applyNumberFormat="1"/>
    <xf numFmtId="168" fontId="0" fillId="0" borderId="0" xfId="4" applyNumberFormat="1" applyFont="1"/>
    <xf numFmtId="167" fontId="14" fillId="0" borderId="0" xfId="9" applyNumberFormat="1"/>
    <xf numFmtId="17" fontId="14" fillId="0" borderId="0" xfId="9" applyNumberFormat="1"/>
    <xf numFmtId="9" fontId="0" fillId="0" borderId="0" xfId="4" applyFont="1"/>
    <xf numFmtId="3" fontId="0" fillId="5" borderId="0" xfId="0" applyNumberFormat="1" applyFill="1"/>
    <xf numFmtId="0" fontId="14" fillId="0" borderId="0" xfId="9" applyAlignment="1">
      <alignment horizontal="center"/>
    </xf>
    <xf numFmtId="165" fontId="14" fillId="0" borderId="0" xfId="9" applyNumberFormat="1"/>
    <xf numFmtId="165" fontId="14" fillId="0" borderId="0" xfId="9" applyNumberFormat="1" applyAlignment="1">
      <alignment horizontal="center"/>
    </xf>
    <xf numFmtId="17" fontId="14" fillId="0" borderId="0" xfId="9" applyNumberFormat="1" applyAlignment="1">
      <alignment horizontal="center"/>
    </xf>
    <xf numFmtId="167" fontId="0" fillId="0" borderId="0" xfId="0" applyNumberFormat="1"/>
    <xf numFmtId="0" fontId="16" fillId="0" borderId="0" xfId="13" applyFont="1" applyAlignment="1">
      <alignment vertical="center"/>
    </xf>
    <xf numFmtId="0" fontId="15" fillId="0" borderId="0" xfId="13" applyFont="1"/>
    <xf numFmtId="0" fontId="17" fillId="3" borderId="4" xfId="13" applyFont="1" applyFill="1" applyBorder="1" applyAlignment="1">
      <alignment horizontal="center" vertical="center"/>
    </xf>
    <xf numFmtId="17" fontId="17" fillId="3" borderId="4" xfId="13" applyNumberFormat="1" applyFont="1" applyFill="1" applyBorder="1" applyAlignment="1">
      <alignment horizontal="center" vertical="center" wrapText="1"/>
    </xf>
    <xf numFmtId="0" fontId="14" fillId="0" borderId="0" xfId="13"/>
    <xf numFmtId="0" fontId="15" fillId="0" borderId="0" xfId="13" applyFont="1" applyAlignment="1">
      <alignment horizontal="center" vertical="center"/>
    </xf>
    <xf numFmtId="0" fontId="16" fillId="2" borderId="2" xfId="13" applyFont="1" applyFill="1" applyBorder="1" applyAlignment="1">
      <alignment vertical="center"/>
    </xf>
    <xf numFmtId="3" fontId="16" fillId="2" borderId="2" xfId="13" applyNumberFormat="1" applyFont="1" applyFill="1" applyBorder="1" applyAlignment="1">
      <alignment horizontal="center" vertical="center"/>
    </xf>
    <xf numFmtId="3" fontId="16" fillId="0" borderId="1" xfId="13" applyNumberFormat="1" applyFont="1" applyBorder="1" applyAlignment="1">
      <alignment horizontal="center"/>
    </xf>
    <xf numFmtId="0" fontId="16" fillId="4" borderId="0" xfId="13" applyFont="1" applyFill="1" applyAlignment="1">
      <alignment horizontal="left" vertical="center" indent="2"/>
    </xf>
    <xf numFmtId="3" fontId="16" fillId="4" borderId="0" xfId="13" applyNumberFormat="1" applyFont="1" applyFill="1" applyAlignment="1">
      <alignment horizontal="center" vertical="center"/>
    </xf>
    <xf numFmtId="3" fontId="16" fillId="0" borderId="4" xfId="13" applyNumberFormat="1" applyFont="1" applyBorder="1" applyAlignment="1">
      <alignment horizontal="center"/>
    </xf>
    <xf numFmtId="0" fontId="15" fillId="4" borderId="0" xfId="13" applyFont="1" applyFill="1" applyAlignment="1">
      <alignment horizontal="left" vertical="center" indent="4"/>
    </xf>
    <xf numFmtId="3" fontId="15" fillId="4" borderId="0" xfId="13" applyNumberFormat="1" applyFont="1" applyFill="1" applyAlignment="1">
      <alignment horizontal="center" vertical="center"/>
    </xf>
    <xf numFmtId="3" fontId="15" fillId="0" borderId="0" xfId="13" applyNumberFormat="1" applyFont="1" applyAlignment="1">
      <alignment horizontal="center"/>
    </xf>
    <xf numFmtId="3" fontId="15" fillId="0" borderId="1" xfId="13" applyNumberFormat="1" applyFont="1" applyBorder="1" applyAlignment="1">
      <alignment horizontal="center"/>
    </xf>
    <xf numFmtId="0" fontId="16" fillId="2" borderId="0" xfId="13" applyFont="1" applyFill="1" applyAlignment="1">
      <alignment horizontal="left" vertical="center" indent="2"/>
    </xf>
    <xf numFmtId="3" fontId="16" fillId="2" borderId="0" xfId="13" applyNumberFormat="1" applyFont="1" applyFill="1" applyAlignment="1">
      <alignment horizontal="center" vertical="center"/>
    </xf>
    <xf numFmtId="0" fontId="15" fillId="2" borderId="0" xfId="13" applyFont="1" applyFill="1" applyAlignment="1">
      <alignment horizontal="left" vertical="center" indent="4"/>
    </xf>
    <xf numFmtId="3" fontId="15" fillId="2" borderId="0" xfId="13" applyNumberFormat="1" applyFont="1" applyFill="1" applyAlignment="1">
      <alignment horizontal="center" vertical="center"/>
    </xf>
    <xf numFmtId="0" fontId="15" fillId="2" borderId="1" xfId="13" applyFont="1" applyFill="1" applyBorder="1" applyAlignment="1">
      <alignment horizontal="left" vertical="center" indent="4"/>
    </xf>
    <xf numFmtId="3" fontId="15" fillId="2" borderId="1" xfId="13" applyNumberFormat="1" applyFont="1" applyFill="1" applyBorder="1" applyAlignment="1">
      <alignment horizontal="center" vertical="center"/>
    </xf>
    <xf numFmtId="0" fontId="16" fillId="2" borderId="4" xfId="13" applyFont="1" applyFill="1" applyBorder="1" applyAlignment="1">
      <alignment vertical="center"/>
    </xf>
    <xf numFmtId="165" fontId="16" fillId="2" borderId="4" xfId="13" applyNumberFormat="1" applyFont="1" applyFill="1" applyBorder="1" applyAlignment="1">
      <alignment horizontal="center" vertical="center"/>
    </xf>
    <xf numFmtId="3" fontId="15" fillId="0" borderId="0" xfId="13" applyNumberFormat="1" applyFont="1"/>
    <xf numFmtId="0" fontId="16" fillId="0" borderId="0" xfId="13" applyFont="1"/>
    <xf numFmtId="167" fontId="14" fillId="0" borderId="0" xfId="13" applyNumberFormat="1"/>
    <xf numFmtId="0" fontId="0" fillId="6" borderId="0" xfId="0" applyFill="1"/>
    <xf numFmtId="3" fontId="0" fillId="6" borderId="0" xfId="0" applyNumberFormat="1" applyFill="1"/>
    <xf numFmtId="167" fontId="0" fillId="6" borderId="0" xfId="0" applyNumberFormat="1" applyFill="1"/>
    <xf numFmtId="17" fontId="14" fillId="2" borderId="0" xfId="9" applyNumberFormat="1" applyFill="1"/>
    <xf numFmtId="3" fontId="14" fillId="2" borderId="0" xfId="9" applyNumberFormat="1" applyFill="1"/>
    <xf numFmtId="0" fontId="14" fillId="4" borderId="0" xfId="9" applyFill="1"/>
    <xf numFmtId="17" fontId="14" fillId="4" borderId="0" xfId="9" applyNumberFormat="1" applyFill="1"/>
    <xf numFmtId="3" fontId="14" fillId="4" borderId="0" xfId="9" applyNumberFormat="1" applyFill="1"/>
    <xf numFmtId="0" fontId="25" fillId="0" borderId="0" xfId="9" applyFont="1" applyAlignment="1">
      <alignment horizontal="center"/>
    </xf>
    <xf numFmtId="0" fontId="17" fillId="3" borderId="4" xfId="9" applyFont="1" applyFill="1" applyBorder="1"/>
    <xf numFmtId="0" fontId="17" fillId="3" borderId="4" xfId="9" applyFont="1" applyFill="1" applyBorder="1" applyAlignment="1">
      <alignment horizontal="center" vertical="center" wrapText="1"/>
    </xf>
    <xf numFmtId="0" fontId="23" fillId="2" borderId="0" xfId="9" applyFont="1" applyFill="1" applyAlignment="1">
      <alignment vertical="center"/>
    </xf>
    <xf numFmtId="3" fontId="23" fillId="2" borderId="0" xfId="9" applyNumberFormat="1" applyFont="1" applyFill="1" applyAlignment="1">
      <alignment horizontal="center" vertical="center"/>
    </xf>
    <xf numFmtId="9" fontId="0" fillId="0" borderId="0" xfId="14" applyFont="1"/>
    <xf numFmtId="0" fontId="23" fillId="4" borderId="0" xfId="9" applyFont="1" applyFill="1" applyAlignment="1">
      <alignment vertical="center"/>
    </xf>
    <xf numFmtId="3" fontId="23" fillId="4" borderId="0" xfId="9" applyNumberFormat="1" applyFont="1" applyFill="1" applyAlignment="1">
      <alignment horizontal="center" vertical="center"/>
    </xf>
    <xf numFmtId="0" fontId="23" fillId="2" borderId="4" xfId="9" applyFont="1" applyFill="1" applyBorder="1" applyAlignment="1">
      <alignment vertical="center"/>
    </xf>
    <xf numFmtId="3" fontId="16" fillId="2" borderId="4" xfId="9" applyNumberFormat="1" applyFont="1" applyFill="1" applyBorder="1" applyAlignment="1">
      <alignment horizontal="center" vertical="center"/>
    </xf>
    <xf numFmtId="3" fontId="23" fillId="2" borderId="4" xfId="9" applyNumberFormat="1" applyFont="1" applyFill="1" applyBorder="1" applyAlignment="1">
      <alignment horizontal="center" vertical="center"/>
    </xf>
    <xf numFmtId="17" fontId="15" fillId="0" borderId="0" xfId="13" applyNumberFormat="1" applyFont="1"/>
    <xf numFmtId="0" fontId="15" fillId="0" borderId="0" xfId="13" applyFont="1" applyAlignment="1">
      <alignment vertical="center"/>
    </xf>
    <xf numFmtId="0" fontId="19" fillId="0" borderId="0" xfId="13" applyFont="1" applyAlignment="1">
      <alignment vertical="center"/>
    </xf>
    <xf numFmtId="0" fontId="26" fillId="0" borderId="0" xfId="13" applyFont="1" applyAlignment="1">
      <alignment vertical="center"/>
    </xf>
    <xf numFmtId="0" fontId="9" fillId="0" borderId="0" xfId="13" applyFont="1" applyAlignment="1">
      <alignment vertical="center"/>
    </xf>
    <xf numFmtId="0" fontId="6" fillId="0" borderId="0" xfId="23"/>
    <xf numFmtId="0" fontId="15" fillId="0" borderId="0" xfId="13" applyFont="1" applyAlignment="1">
      <alignment horizontal="center"/>
    </xf>
    <xf numFmtId="168" fontId="15" fillId="0" borderId="0" xfId="24" applyNumberFormat="1" applyFont="1" applyAlignment="1">
      <alignment horizontal="center"/>
    </xf>
    <xf numFmtId="168" fontId="16" fillId="0" borderId="1" xfId="25" applyNumberFormat="1" applyFont="1" applyBorder="1" applyAlignment="1">
      <alignment horizontal="center"/>
    </xf>
    <xf numFmtId="168" fontId="16" fillId="0" borderId="4" xfId="25" applyNumberFormat="1" applyFont="1" applyBorder="1" applyAlignment="1">
      <alignment horizontal="center"/>
    </xf>
    <xf numFmtId="168" fontId="15" fillId="0" borderId="0" xfId="25" applyNumberFormat="1" applyFont="1" applyAlignment="1">
      <alignment horizontal="center"/>
    </xf>
    <xf numFmtId="0" fontId="19" fillId="4" borderId="0" xfId="13" applyFont="1" applyFill="1" applyAlignment="1">
      <alignment horizontal="left" vertical="center" indent="4"/>
    </xf>
    <xf numFmtId="3" fontId="19" fillId="4" borderId="0" xfId="13" applyNumberFormat="1" applyFont="1" applyFill="1" applyAlignment="1">
      <alignment horizontal="center" vertical="center"/>
    </xf>
    <xf numFmtId="168" fontId="15" fillId="0" borderId="1" xfId="25" applyNumberFormat="1" applyFont="1" applyBorder="1" applyAlignment="1">
      <alignment horizontal="center"/>
    </xf>
    <xf numFmtId="0" fontId="27" fillId="0" borderId="0" xfId="13" applyFont="1" applyAlignment="1">
      <alignment vertical="center"/>
    </xf>
    <xf numFmtId="165" fontId="16" fillId="2" borderId="0" xfId="13" applyNumberFormat="1" applyFont="1" applyFill="1" applyAlignment="1">
      <alignment horizontal="center" vertical="center"/>
    </xf>
    <xf numFmtId="0" fontId="19" fillId="0" borderId="0" xfId="13" applyFont="1"/>
    <xf numFmtId="168" fontId="15" fillId="0" borderId="0" xfId="24" applyNumberFormat="1" applyFont="1"/>
    <xf numFmtId="0" fontId="28" fillId="0" borderId="0" xfId="13" applyFont="1"/>
    <xf numFmtId="168" fontId="14" fillId="0" borderId="0" xfId="25" applyNumberFormat="1"/>
    <xf numFmtId="168" fontId="28" fillId="0" borderId="0" xfId="25" applyNumberFormat="1" applyFont="1"/>
    <xf numFmtId="0" fontId="28" fillId="0" borderId="0" xfId="13" applyFont="1" applyAlignment="1">
      <alignment horizontal="center"/>
    </xf>
    <xf numFmtId="0" fontId="25" fillId="0" borderId="0" xfId="13" applyFont="1"/>
    <xf numFmtId="167" fontId="25" fillId="0" borderId="0" xfId="25" applyNumberFormat="1" applyFont="1"/>
    <xf numFmtId="0" fontId="29" fillId="0" borderId="0" xfId="13" applyFont="1"/>
    <xf numFmtId="167" fontId="29" fillId="0" borderId="0" xfId="25" applyNumberFormat="1" applyFont="1"/>
    <xf numFmtId="3" fontId="29" fillId="0" borderId="0" xfId="13" applyNumberFormat="1" applyFont="1"/>
    <xf numFmtId="165" fontId="29" fillId="0" borderId="0" xfId="13" applyNumberFormat="1" applyFont="1"/>
    <xf numFmtId="167" fontId="14" fillId="0" borderId="0" xfId="25" applyNumberFormat="1"/>
    <xf numFmtId="167" fontId="28" fillId="0" borderId="0" xfId="25" applyNumberFormat="1" applyFont="1"/>
    <xf numFmtId="3" fontId="28" fillId="0" borderId="0" xfId="13" applyNumberFormat="1" applyFont="1"/>
    <xf numFmtId="165" fontId="28" fillId="0" borderId="0" xfId="13" applyNumberFormat="1" applyFont="1"/>
    <xf numFmtId="167" fontId="25" fillId="0" borderId="0" xfId="13" applyNumberFormat="1" applyFont="1"/>
    <xf numFmtId="167" fontId="29" fillId="0" borderId="0" xfId="13" applyNumberFormat="1" applyFont="1"/>
    <xf numFmtId="9" fontId="28" fillId="0" borderId="0" xfId="25" applyFont="1"/>
    <xf numFmtId="167" fontId="28" fillId="0" borderId="0" xfId="13" applyNumberFormat="1" applyFont="1"/>
    <xf numFmtId="165" fontId="14" fillId="0" borderId="0" xfId="13" applyNumberFormat="1"/>
    <xf numFmtId="168" fontId="15" fillId="0" borderId="0" xfId="26" applyNumberFormat="1" applyFont="1"/>
    <xf numFmtId="17" fontId="14" fillId="0" borderId="0" xfId="13" applyNumberFormat="1"/>
    <xf numFmtId="0" fontId="9" fillId="0" borderId="0" xfId="27" applyAlignment="1">
      <alignment horizontal="center"/>
    </xf>
    <xf numFmtId="0" fontId="9" fillId="0" borderId="0" xfId="27"/>
    <xf numFmtId="0" fontId="9" fillId="0" borderId="0" xfId="27" applyAlignment="1">
      <alignment horizontal="left"/>
    </xf>
    <xf numFmtId="0" fontId="22" fillId="0" borderId="0" xfId="27" applyFont="1" applyAlignment="1">
      <alignment horizontal="center" vertical="top" wrapText="1"/>
    </xf>
    <xf numFmtId="0" fontId="22" fillId="0" borderId="0" xfId="27" applyFont="1" applyAlignment="1">
      <alignment horizontal="center" vertical="center" wrapText="1"/>
    </xf>
    <xf numFmtId="17" fontId="22" fillId="0" borderId="0" xfId="27" applyNumberFormat="1" applyFont="1" applyAlignment="1">
      <alignment horizontal="center" vertical="center" wrapText="1"/>
    </xf>
    <xf numFmtId="17" fontId="9" fillId="0" borderId="0" xfId="27" applyNumberFormat="1"/>
    <xf numFmtId="3" fontId="9" fillId="0" borderId="0" xfId="27" applyNumberFormat="1"/>
    <xf numFmtId="165" fontId="9" fillId="0" borderId="0" xfId="27" applyNumberFormat="1"/>
    <xf numFmtId="167" fontId="9" fillId="0" borderId="0" xfId="27" applyNumberFormat="1"/>
    <xf numFmtId="167" fontId="22" fillId="0" borderId="0" xfId="27" applyNumberFormat="1" applyFont="1" applyAlignment="1">
      <alignment horizontal="center" vertical="center" wrapText="1"/>
    </xf>
    <xf numFmtId="169" fontId="9" fillId="0" borderId="0" xfId="27" applyNumberFormat="1"/>
    <xf numFmtId="167" fontId="30" fillId="0" borderId="5" xfId="27" applyNumberFormat="1" applyFont="1" applyBorder="1"/>
    <xf numFmtId="167" fontId="30" fillId="0" borderId="0" xfId="27" applyNumberFormat="1" applyFont="1"/>
    <xf numFmtId="167" fontId="9" fillId="0" borderId="0" xfId="27" applyNumberFormat="1" applyAlignment="1">
      <alignment horizontal="center"/>
    </xf>
    <xf numFmtId="167" fontId="0" fillId="0" borderId="0" xfId="4" applyNumberFormat="1" applyFont="1"/>
    <xf numFmtId="167" fontId="9" fillId="0" borderId="5" xfId="27" applyNumberFormat="1" applyBorder="1"/>
    <xf numFmtId="9" fontId="0" fillId="0" borderId="0" xfId="4" applyFont="1" applyFill="1"/>
    <xf numFmtId="167" fontId="9" fillId="0" borderId="3" xfId="27" applyNumberFormat="1" applyBorder="1"/>
    <xf numFmtId="168" fontId="0" fillId="0" borderId="0" xfId="4" applyNumberFormat="1" applyFont="1" applyFill="1"/>
    <xf numFmtId="167" fontId="31" fillId="0" borderId="0" xfId="27" applyNumberFormat="1" applyFont="1"/>
    <xf numFmtId="17" fontId="9" fillId="7" borderId="0" xfId="27" applyNumberFormat="1" applyFill="1"/>
    <xf numFmtId="3" fontId="9" fillId="7" borderId="0" xfId="27" applyNumberFormat="1" applyFill="1"/>
    <xf numFmtId="167" fontId="9" fillId="7" borderId="0" xfId="27" applyNumberFormat="1" applyFill="1"/>
    <xf numFmtId="0" fontId="9" fillId="7" borderId="0" xfId="27" applyFill="1"/>
    <xf numFmtId="167" fontId="9" fillId="7" borderId="5" xfId="27" applyNumberFormat="1" applyFill="1" applyBorder="1"/>
    <xf numFmtId="167" fontId="9" fillId="7" borderId="3" xfId="27" applyNumberFormat="1" applyFill="1" applyBorder="1"/>
    <xf numFmtId="167" fontId="30" fillId="7" borderId="5" xfId="27" applyNumberFormat="1" applyFont="1" applyFill="1" applyBorder="1"/>
    <xf numFmtId="165" fontId="9" fillId="7" borderId="0" xfId="27" applyNumberFormat="1" applyFill="1"/>
    <xf numFmtId="168" fontId="0" fillId="7" borderId="0" xfId="4" applyNumberFormat="1" applyFont="1" applyFill="1"/>
    <xf numFmtId="165" fontId="9" fillId="5" borderId="0" xfId="27" applyNumberFormat="1" applyFill="1"/>
    <xf numFmtId="167" fontId="32" fillId="0" borderId="0" xfId="27" applyNumberFormat="1" applyFont="1"/>
    <xf numFmtId="0" fontId="20" fillId="0" borderId="0" xfId="15"/>
    <xf numFmtId="17" fontId="9" fillId="0" borderId="0" xfId="27" applyNumberFormat="1" applyAlignment="1">
      <alignment horizontal="center"/>
    </xf>
    <xf numFmtId="165" fontId="9" fillId="0" borderId="0" xfId="27" applyNumberFormat="1" applyAlignment="1">
      <alignment horizontal="center"/>
    </xf>
    <xf numFmtId="0" fontId="24" fillId="3" borderId="4" xfId="9" applyFont="1" applyFill="1" applyBorder="1" applyAlignment="1">
      <alignment horizontal="center" vertical="center"/>
    </xf>
    <xf numFmtId="0" fontId="24" fillId="3" borderId="0" xfId="9" applyFont="1" applyFill="1" applyAlignment="1">
      <alignment horizontal="center" vertical="center"/>
    </xf>
    <xf numFmtId="9" fontId="14" fillId="0" borderId="0" xfId="9" applyNumberFormat="1"/>
    <xf numFmtId="0" fontId="25" fillId="0" borderId="0" xfId="9" applyFont="1"/>
    <xf numFmtId="0" fontId="14" fillId="0" borderId="0" xfId="9" applyAlignment="1">
      <alignment horizontal="left" indent="1"/>
    </xf>
    <xf numFmtId="0" fontId="33" fillId="0" borderId="0" xfId="9" applyFont="1"/>
    <xf numFmtId="167" fontId="25" fillId="0" borderId="0" xfId="9" applyNumberFormat="1" applyFont="1"/>
    <xf numFmtId="0" fontId="14" fillId="0" borderId="0" xfId="9" quotePrefix="1"/>
    <xf numFmtId="4" fontId="9" fillId="0" borderId="0" xfId="27" applyNumberFormat="1"/>
    <xf numFmtId="0" fontId="17" fillId="8" borderId="4" xfId="13" applyFont="1" applyFill="1" applyBorder="1" applyAlignment="1">
      <alignment horizontal="center" vertical="center"/>
    </xf>
    <xf numFmtId="17" fontId="17" fillId="8" borderId="4" xfId="13" applyNumberFormat="1" applyFont="1" applyFill="1" applyBorder="1" applyAlignment="1">
      <alignment horizontal="center" vertical="center" wrapText="1"/>
    </xf>
    <xf numFmtId="0" fontId="9" fillId="0" borderId="0" xfId="36"/>
    <xf numFmtId="0" fontId="9" fillId="6" borderId="0" xfId="36" applyFill="1"/>
    <xf numFmtId="17" fontId="9" fillId="0" borderId="0" xfId="36" applyNumberFormat="1"/>
    <xf numFmtId="3" fontId="9" fillId="0" borderId="0" xfId="36" applyNumberFormat="1"/>
    <xf numFmtId="167" fontId="9" fillId="0" borderId="0" xfId="36" applyNumberFormat="1"/>
    <xf numFmtId="3" fontId="9" fillId="6" borderId="0" xfId="36" applyNumberFormat="1" applyFill="1"/>
    <xf numFmtId="165" fontId="9" fillId="0" borderId="0" xfId="36" applyNumberFormat="1"/>
    <xf numFmtId="3" fontId="9" fillId="5" borderId="0" xfId="36" applyNumberFormat="1" applyFill="1"/>
    <xf numFmtId="167" fontId="9" fillId="6" borderId="0" xfId="36" applyNumberFormat="1" applyFill="1"/>
    <xf numFmtId="168" fontId="0" fillId="0" borderId="0" xfId="37" applyNumberFormat="1" applyFont="1"/>
    <xf numFmtId="168" fontId="0" fillId="5" borderId="0" xfId="37" applyNumberFormat="1" applyFont="1" applyFill="1"/>
    <xf numFmtId="9" fontId="0" fillId="0" borderId="0" xfId="37" applyFont="1"/>
    <xf numFmtId="165" fontId="9" fillId="0" borderId="0" xfId="36" applyNumberFormat="1" applyAlignment="1">
      <alignment horizontal="center"/>
    </xf>
    <xf numFmtId="0" fontId="22" fillId="0" borderId="0" xfId="36" applyFont="1" applyAlignment="1">
      <alignment horizontal="center" vertical="top" wrapText="1"/>
    </xf>
    <xf numFmtId="17" fontId="22" fillId="0" borderId="0" xfId="36" applyNumberFormat="1" applyFont="1" applyAlignment="1">
      <alignment horizontal="center" vertical="center" wrapText="1"/>
    </xf>
    <xf numFmtId="17" fontId="34" fillId="0" borderId="0" xfId="36" applyNumberFormat="1" applyFont="1" applyAlignment="1">
      <alignment horizontal="center" vertical="center" wrapText="1"/>
    </xf>
    <xf numFmtId="17" fontId="9" fillId="9" borderId="0" xfId="36" applyNumberFormat="1" applyFill="1"/>
    <xf numFmtId="165" fontId="9" fillId="9" borderId="0" xfId="36" applyNumberFormat="1" applyFill="1"/>
    <xf numFmtId="0" fontId="9" fillId="9" borderId="0" xfId="36" applyFill="1"/>
    <xf numFmtId="17" fontId="9" fillId="5" borderId="0" xfId="36" applyNumberFormat="1" applyFill="1"/>
    <xf numFmtId="168" fontId="0" fillId="0" borderId="0" xfId="37" applyNumberFormat="1" applyFont="1" applyFill="1"/>
    <xf numFmtId="168" fontId="9" fillId="0" borderId="0" xfId="41" applyNumberFormat="1" applyFont="1"/>
    <xf numFmtId="9" fontId="0" fillId="0" borderId="0" xfId="41" applyFont="1"/>
    <xf numFmtId="168" fontId="0" fillId="0" borderId="0" xfId="41" applyNumberFormat="1" applyFont="1"/>
    <xf numFmtId="2" fontId="0" fillId="0" borderId="0" xfId="41" applyNumberFormat="1" applyFont="1"/>
    <xf numFmtId="0" fontId="4" fillId="0" borderId="0" xfId="42"/>
    <xf numFmtId="0" fontId="4" fillId="0" borderId="0" xfId="42" applyAlignment="1">
      <alignment horizontal="center"/>
    </xf>
    <xf numFmtId="165" fontId="4" fillId="0" borderId="0" xfId="42" applyNumberFormat="1" applyAlignment="1">
      <alignment horizontal="center"/>
    </xf>
    <xf numFmtId="165" fontId="4" fillId="0" borderId="0" xfId="42" applyNumberFormat="1"/>
    <xf numFmtId="9" fontId="9" fillId="0" borderId="0" xfId="4"/>
    <xf numFmtId="168" fontId="9" fillId="0" borderId="0" xfId="4" applyNumberFormat="1"/>
    <xf numFmtId="165" fontId="9" fillId="0" borderId="0" xfId="4" applyNumberFormat="1"/>
    <xf numFmtId="0" fontId="9" fillId="0" borderId="0" xfId="0" applyFont="1"/>
    <xf numFmtId="0" fontId="9" fillId="4" borderId="0" xfId="9" applyFont="1" applyFill="1" applyAlignment="1">
      <alignment horizontal="left" vertical="center" indent="2"/>
    </xf>
    <xf numFmtId="3" fontId="9" fillId="4" borderId="0" xfId="9" applyNumberFormat="1" applyFont="1" applyFill="1" applyAlignment="1">
      <alignment horizontal="center" vertical="center"/>
    </xf>
    <xf numFmtId="0" fontId="9" fillId="0" borderId="0" xfId="36" applyAlignment="1">
      <alignment horizontal="center"/>
    </xf>
    <xf numFmtId="9" fontId="2" fillId="0" borderId="0" xfId="4" applyFont="1"/>
    <xf numFmtId="0" fontId="35" fillId="0" borderId="0" xfId="45"/>
    <xf numFmtId="0" fontId="1" fillId="0" borderId="0" xfId="42" applyFont="1"/>
    <xf numFmtId="3" fontId="0" fillId="4" borderId="0" xfId="0" applyNumberFormat="1" applyFill="1"/>
    <xf numFmtId="0" fontId="15" fillId="4" borderId="0" xfId="13" applyFont="1" applyFill="1"/>
    <xf numFmtId="168" fontId="9" fillId="0" borderId="0" xfId="41" applyNumberFormat="1" applyFont="1" applyFill="1"/>
    <xf numFmtId="17" fontId="17" fillId="8" borderId="0" xfId="13" applyNumberFormat="1" applyFont="1" applyFill="1" applyAlignment="1">
      <alignment horizontal="center" vertical="center" wrapText="1"/>
    </xf>
    <xf numFmtId="168" fontId="22" fillId="0" borderId="0" xfId="4" applyNumberFormat="1" applyFont="1" applyAlignment="1">
      <alignment horizontal="right" vertical="center" wrapText="1"/>
    </xf>
    <xf numFmtId="169" fontId="0" fillId="0" borderId="0" xfId="0" applyNumberFormat="1"/>
    <xf numFmtId="170" fontId="0" fillId="0" borderId="0" xfId="0" applyNumberFormat="1"/>
    <xf numFmtId="0" fontId="18" fillId="0" borderId="0" xfId="31"/>
    <xf numFmtId="0" fontId="18" fillId="5" borderId="0" xfId="31" applyFill="1"/>
    <xf numFmtId="0" fontId="15" fillId="5" borderId="0" xfId="13" applyFont="1" applyFill="1"/>
    <xf numFmtId="0" fontId="9" fillId="0" borderId="0" xfId="4" applyNumberFormat="1"/>
    <xf numFmtId="9" fontId="15" fillId="0" borderId="0" xfId="4" applyFont="1"/>
    <xf numFmtId="10" fontId="9" fillId="0" borderId="0" xfId="4" applyNumberFormat="1"/>
    <xf numFmtId="2" fontId="9" fillId="0" borderId="0" xfId="36" applyNumberFormat="1"/>
    <xf numFmtId="167" fontId="9" fillId="0" borderId="0" xfId="36" applyNumberFormat="1" applyAlignment="1">
      <alignment horizontal="center"/>
    </xf>
    <xf numFmtId="171" fontId="37" fillId="0" borderId="0" xfId="46" applyNumberFormat="1" applyFont="1"/>
    <xf numFmtId="0" fontId="38" fillId="0" borderId="0" xfId="0" applyFont="1"/>
    <xf numFmtId="0" fontId="18" fillId="2" borderId="6" xfId="31" applyFill="1" applyBorder="1"/>
    <xf numFmtId="3" fontId="16" fillId="0" borderId="0" xfId="25" applyNumberFormat="1" applyFont="1" applyBorder="1" applyAlignment="1">
      <alignment horizontal="center"/>
    </xf>
    <xf numFmtId="168" fontId="15" fillId="0" borderId="0" xfId="4" applyNumberFormat="1" applyFont="1"/>
    <xf numFmtId="0" fontId="39" fillId="0" borderId="0" xfId="31" applyFont="1"/>
    <xf numFmtId="0" fontId="39" fillId="0" borderId="0" xfId="0" applyFont="1"/>
    <xf numFmtId="0" fontId="23" fillId="3" borderId="0" xfId="36" applyFont="1" applyFill="1" applyAlignment="1">
      <alignment horizontal="center" vertical="center" wrapText="1"/>
    </xf>
    <xf numFmtId="0" fontId="9" fillId="0" borderId="0" xfId="36" applyAlignment="1">
      <alignment horizontal="center"/>
    </xf>
    <xf numFmtId="0" fontId="18" fillId="0" borderId="0" xfId="31"/>
    <xf numFmtId="0" fontId="0" fillId="0" borderId="0" xfId="0"/>
    <xf numFmtId="0" fontId="23" fillId="3" borderId="0" xfId="27" applyFont="1" applyFill="1" applyAlignment="1">
      <alignment horizontal="center" vertical="center"/>
    </xf>
  </cellXfs>
  <cellStyles count="47">
    <cellStyle name="Hiperlink" xfId="15" builtinId="8"/>
    <cellStyle name="Hiperlink 2" xfId="20" xr:uid="{00000000-0005-0000-0000-000001000000}"/>
    <cellStyle name="Hyperlink" xfId="45" xr:uid="{00000000-000B-0000-0000-000008000000}"/>
    <cellStyle name="Moeda 2" xfId="1" xr:uid="{00000000-0005-0000-0000-000002000000}"/>
    <cellStyle name="Normal" xfId="0" builtinId="0"/>
    <cellStyle name="Normal 2" xfId="2" xr:uid="{00000000-0005-0000-0000-000004000000}"/>
    <cellStyle name="Normal 2 2" xfId="31" xr:uid="{4D3BE217-550D-45E3-9E35-7772FE87A6B8}"/>
    <cellStyle name="Normal 2 3" xfId="9" xr:uid="{00000000-0005-0000-0000-000005000000}"/>
    <cellStyle name="Normal 2 3 2" xfId="21" xr:uid="{00000000-0005-0000-0000-000006000000}"/>
    <cellStyle name="Normal 2 3 3" xfId="13" xr:uid="{00000000-0005-0000-0000-000007000000}"/>
    <cellStyle name="Normal 2 3 3 2" xfId="28" xr:uid="{0DE6C200-38ED-458F-9137-65798C75CFD3}"/>
    <cellStyle name="Normal 2 3 4" xfId="42" xr:uid="{F4E73EAA-0296-48EB-8220-BC3C2B44BC6A}"/>
    <cellStyle name="Normal 2 3 5" xfId="43" xr:uid="{A33A3FB2-E3C6-4F4F-8B99-2BC0A7AAE2AF}"/>
    <cellStyle name="Normal 2 4" xfId="36" xr:uid="{C9B5F0B1-7D24-4BED-AE34-A85CEDEF1836}"/>
    <cellStyle name="Normal 3" xfId="3" xr:uid="{00000000-0005-0000-0000-000008000000}"/>
    <cellStyle name="Normal 4" xfId="12" xr:uid="{00000000-0005-0000-0000-000009000000}"/>
    <cellStyle name="Normal 4 3" xfId="16" xr:uid="{00000000-0005-0000-0000-00000A000000}"/>
    <cellStyle name="Normal 5" xfId="19" xr:uid="{00000000-0005-0000-0000-00000B000000}"/>
    <cellStyle name="Normal 6" xfId="27" xr:uid="{22D3D1C6-2DE8-4CAC-A11E-B0BE3AAEF7E3}"/>
    <cellStyle name="Normal 6 2" xfId="38" xr:uid="{2AB3C2F3-EF95-466E-BE0B-DB1731948AAC}"/>
    <cellStyle name="Normal 7" xfId="34" xr:uid="{346882D2-8442-4288-8ECD-4A3C5F14B4EF}"/>
    <cellStyle name="Normal 7 2" xfId="23" xr:uid="{15F35FFC-E5B9-4BCB-A7EC-5B3E323B0ABA}"/>
    <cellStyle name="Normal 8" xfId="32" xr:uid="{2082AC45-FAC7-481F-85A9-14B0C282D045}"/>
    <cellStyle name="Porcentagem" xfId="4" builtinId="5"/>
    <cellStyle name="Porcentagem 2" xfId="5" xr:uid="{00000000-0005-0000-0000-00000D000000}"/>
    <cellStyle name="Porcentagem 2 2" xfId="18" xr:uid="{00000000-0005-0000-0000-00000E000000}"/>
    <cellStyle name="Porcentagem 2 2 2" xfId="14" xr:uid="{00000000-0005-0000-0000-00000F000000}"/>
    <cellStyle name="Porcentagem 2 2 2 2" xfId="30" xr:uid="{DDD77B73-C4E7-45E4-B97F-FDD117FEE1F1}"/>
    <cellStyle name="Porcentagem 2 2 2 3" xfId="44" xr:uid="{0794AB5E-9247-4840-94AD-3BD56E704BC4}"/>
    <cellStyle name="Porcentagem 2 3" xfId="37" xr:uid="{3F14EEA7-7F8D-46AB-82B3-B3CB13FD0E99}"/>
    <cellStyle name="Porcentagem 3" xfId="10" xr:uid="{00000000-0005-0000-0000-000010000000}"/>
    <cellStyle name="Porcentagem 3 2" xfId="17" xr:uid="{00000000-0005-0000-0000-000011000000}"/>
    <cellStyle name="Porcentagem 3 2 2 2" xfId="24" xr:uid="{9C68E91C-6992-4A31-951F-2E2B211E9C9D}"/>
    <cellStyle name="Porcentagem 3 3" xfId="26" xr:uid="{0AFD2630-AE2F-4B29-BB5E-6EF07D455A7B}"/>
    <cellStyle name="Porcentagem 4" xfId="11" xr:uid="{00000000-0005-0000-0000-000012000000}"/>
    <cellStyle name="Porcentagem 4 2" xfId="29" xr:uid="{8B747068-E2F1-46C6-AE64-118DB41FA7F4}"/>
    <cellStyle name="Porcentagem 4 3" xfId="39" xr:uid="{6FAF6FA5-AB8D-466A-8A6B-39CE3B9D4DB9}"/>
    <cellStyle name="Porcentagem 5" xfId="25" xr:uid="{0052F26C-A13D-4780-9CB1-C6AF49BD99E5}"/>
    <cellStyle name="Porcentagem 6" xfId="35" xr:uid="{367DB3FA-D957-4062-A12E-B6F4F348E6BA}"/>
    <cellStyle name="Porcentagem 7" xfId="33" xr:uid="{B026E047-BB54-4EE3-BF54-24E6220F445B}"/>
    <cellStyle name="Porcentagem 8" xfId="41" xr:uid="{DB08774E-2785-4E52-BE7B-0DAD49D1F1BB}"/>
    <cellStyle name="Separador de milhares 2" xfId="6" xr:uid="{00000000-0005-0000-0000-000013000000}"/>
    <cellStyle name="Vírgula" xfId="46" builtinId="3"/>
    <cellStyle name="Vírgula 2" xfId="7" xr:uid="{00000000-0005-0000-0000-000014000000}"/>
    <cellStyle name="Vírgula 2 2" xfId="40" xr:uid="{9DDFA7B1-22A3-459E-AB93-AA8DB21DB431}"/>
    <cellStyle name="Vírgula 3" xfId="8" xr:uid="{00000000-0005-0000-0000-000015000000}"/>
    <cellStyle name="Vírgula 4" xfId="22" xr:uid="{00000000-0005-0000-0000-000016000000}"/>
  </cellStyles>
  <dxfs count="0"/>
  <tableStyles count="0" defaultTableStyle="TableStyleMedium9" defaultPivotStyle="PivotStyleLight16"/>
  <colors>
    <mruColors>
      <color rgb="FF1A4B9F"/>
      <color rgb="FF003397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5B638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dLbl>
              <c:idx val="0"/>
              <c:layout>
                <c:manualLayout>
                  <c:x val="-1.2026515151515156E-2"/>
                  <c:y val="-2.59948467816485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58-44C9-8C64-65A1016B01DA}"/>
                </c:ext>
              </c:extLst>
            </c:dLbl>
            <c:dLbl>
              <c:idx val="2"/>
              <c:layout>
                <c:manualLayout>
                  <c:x val="-1.603535353535357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58-44C9-8C64-65A1016B01DA}"/>
                </c:ext>
              </c:extLst>
            </c:dLbl>
            <c:dLbl>
              <c:idx val="7"/>
              <c:layout>
                <c:manualLayout>
                  <c:x val="-1.6035353535353535E-2"/>
                  <c:y val="1.0397938712659416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58-44C9-8C64-65A1016B01D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 4.1 - G 4.2 (set)'!$E$135:$E$144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'G 4.1 - G 4.2 (set)'!$F$135:$F$144</c:f>
              <c:numCache>
                <c:formatCode>0.0</c:formatCode>
                <c:ptCount val="10"/>
                <c:pt idx="0">
                  <c:v>4.4706354293388317</c:v>
                </c:pt>
                <c:pt idx="1">
                  <c:v>3.9149561341269123</c:v>
                </c:pt>
                <c:pt idx="2">
                  <c:v>-0.40713755920966932</c:v>
                </c:pt>
                <c:pt idx="3">
                  <c:v>-4.0443296710091943</c:v>
                </c:pt>
                <c:pt idx="4">
                  <c:v>1.3805064752394181</c:v>
                </c:pt>
                <c:pt idx="5">
                  <c:v>3.4261037794513838</c:v>
                </c:pt>
                <c:pt idx="6">
                  <c:v>2.7591947549780116</c:v>
                </c:pt>
                <c:pt idx="7">
                  <c:v>-2.7164429835624837</c:v>
                </c:pt>
                <c:pt idx="8">
                  <c:v>-2.5665528827776396</c:v>
                </c:pt>
                <c:pt idx="9">
                  <c:v>4.9408846925715899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58-44C9-8C64-65A1016B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6130048"/>
        <c:axId val="476119712"/>
      </c:barChart>
      <c:catAx>
        <c:axId val="4761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476119712"/>
        <c:crosses val="autoZero"/>
        <c:auto val="1"/>
        <c:lblAlgn val="ctr"/>
        <c:lblOffset val="100"/>
        <c:noMultiLvlLbl val="0"/>
      </c:catAx>
      <c:valAx>
        <c:axId val="476119712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4761300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58824950614152"/>
          <c:y val="3.8089449494294166E-2"/>
          <c:w val="0.84970680033748325"/>
          <c:h val="0.7094833218374320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65B638"/>
              </a:solidFill>
            </a:ln>
            <a:effectLst/>
          </c:spPr>
          <c:marker>
            <c:symbol val="none"/>
          </c:marker>
          <c:cat>
            <c:numRef>
              <c:f>'G 4.1 - G 4.2 (set)'!$A$4:$A$130</c:f>
              <c:numCache>
                <c:formatCode>mmm\-yy</c:formatCode>
                <c:ptCount val="127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</c:numCache>
            </c:numRef>
          </c:cat>
          <c:val>
            <c:numRef>
              <c:f>'G 4.1 - G 4.2 (set)'!$F$4:$F$130</c:f>
              <c:numCache>
                <c:formatCode>#,##0</c:formatCode>
                <c:ptCount val="127"/>
                <c:pt idx="0">
                  <c:v>225.81800000000001</c:v>
                </c:pt>
                <c:pt idx="1">
                  <c:v>228.24799999999999</c:v>
                </c:pt>
                <c:pt idx="2">
                  <c:v>228.52</c:v>
                </c:pt>
                <c:pt idx="3">
                  <c:v>229.381</c:v>
                </c:pt>
                <c:pt idx="4">
                  <c:v>230.904</c:v>
                </c:pt>
                <c:pt idx="5">
                  <c:v>232.43299999999999</c:v>
                </c:pt>
                <c:pt idx="6">
                  <c:v>232.82400000000001</c:v>
                </c:pt>
                <c:pt idx="7">
                  <c:v>233.16300000000001</c:v>
                </c:pt>
                <c:pt idx="8">
                  <c:v>233.29300000000001</c:v>
                </c:pt>
                <c:pt idx="9">
                  <c:v>232.83199999999999</c:v>
                </c:pt>
                <c:pt idx="10">
                  <c:v>232.98599999999999</c:v>
                </c:pt>
                <c:pt idx="11">
                  <c:v>233.4</c:v>
                </c:pt>
                <c:pt idx="12">
                  <c:v>234.178</c:v>
                </c:pt>
                <c:pt idx="13">
                  <c:v>235.755</c:v>
                </c:pt>
                <c:pt idx="14">
                  <c:v>237.01400000000001</c:v>
                </c:pt>
                <c:pt idx="15">
                  <c:v>239.73</c:v>
                </c:pt>
                <c:pt idx="16">
                  <c:v>242.08</c:v>
                </c:pt>
                <c:pt idx="17">
                  <c:v>244.24700000000001</c:v>
                </c:pt>
                <c:pt idx="18">
                  <c:v>244.874</c:v>
                </c:pt>
                <c:pt idx="19">
                  <c:v>246.13900000000001</c:v>
                </c:pt>
                <c:pt idx="20">
                  <c:v>246.095</c:v>
                </c:pt>
                <c:pt idx="21">
                  <c:v>244.54599999999999</c:v>
                </c:pt>
                <c:pt idx="22">
                  <c:v>243.45500000000001</c:v>
                </c:pt>
                <c:pt idx="23">
                  <c:v>245.44200000000001</c:v>
                </c:pt>
                <c:pt idx="24">
                  <c:v>247.96799999999999</c:v>
                </c:pt>
                <c:pt idx="25">
                  <c:v>248.53800000000001</c:v>
                </c:pt>
                <c:pt idx="26">
                  <c:v>248.73599999999999</c:v>
                </c:pt>
                <c:pt idx="27">
                  <c:v>247.904</c:v>
                </c:pt>
                <c:pt idx="28">
                  <c:v>247.334</c:v>
                </c:pt>
                <c:pt idx="29">
                  <c:v>249.125</c:v>
                </c:pt>
                <c:pt idx="30">
                  <c:v>251.05</c:v>
                </c:pt>
                <c:pt idx="31">
                  <c:v>252.95400000000001</c:v>
                </c:pt>
                <c:pt idx="32">
                  <c:v>251.81700000000001</c:v>
                </c:pt>
                <c:pt idx="33">
                  <c:v>252.08199999999999</c:v>
                </c:pt>
                <c:pt idx="34">
                  <c:v>251.65600000000001</c:v>
                </c:pt>
                <c:pt idx="35">
                  <c:v>249.93799999999999</c:v>
                </c:pt>
                <c:pt idx="36">
                  <c:v>249.03700000000001</c:v>
                </c:pt>
                <c:pt idx="37">
                  <c:v>249.095</c:v>
                </c:pt>
                <c:pt idx="38">
                  <c:v>247.97900000000001</c:v>
                </c:pt>
                <c:pt idx="39">
                  <c:v>248.809</c:v>
                </c:pt>
                <c:pt idx="40">
                  <c:v>247.08799999999999</c:v>
                </c:pt>
                <c:pt idx="41">
                  <c:v>245.81800000000001</c:v>
                </c:pt>
                <c:pt idx="42">
                  <c:v>246.035</c:v>
                </c:pt>
                <c:pt idx="43">
                  <c:v>245.767</c:v>
                </c:pt>
                <c:pt idx="44">
                  <c:v>243.99199999999999</c:v>
                </c:pt>
                <c:pt idx="45">
                  <c:v>243.10499999999999</c:v>
                </c:pt>
                <c:pt idx="46">
                  <c:v>242.518</c:v>
                </c:pt>
                <c:pt idx="47">
                  <c:v>239.816</c:v>
                </c:pt>
                <c:pt idx="48">
                  <c:v>239.655</c:v>
                </c:pt>
                <c:pt idx="49">
                  <c:v>238.22399999999999</c:v>
                </c:pt>
                <c:pt idx="50">
                  <c:v>239.60900000000001</c:v>
                </c:pt>
                <c:pt idx="51">
                  <c:v>237.07400000000001</c:v>
                </c:pt>
                <c:pt idx="52">
                  <c:v>236.446</c:v>
                </c:pt>
                <c:pt idx="53">
                  <c:v>237.917</c:v>
                </c:pt>
                <c:pt idx="54">
                  <c:v>237.06700000000001</c:v>
                </c:pt>
                <c:pt idx="55">
                  <c:v>237.61199999999999</c:v>
                </c:pt>
                <c:pt idx="56">
                  <c:v>238.69499999999999</c:v>
                </c:pt>
                <c:pt idx="57">
                  <c:v>239.929</c:v>
                </c:pt>
                <c:pt idx="58">
                  <c:v>239.482</c:v>
                </c:pt>
                <c:pt idx="59">
                  <c:v>238.81399999999999</c:v>
                </c:pt>
                <c:pt idx="60">
                  <c:v>239.1</c:v>
                </c:pt>
                <c:pt idx="61">
                  <c:v>238.93</c:v>
                </c:pt>
                <c:pt idx="62">
                  <c:v>239.85300000000001</c:v>
                </c:pt>
                <c:pt idx="63">
                  <c:v>240.44800000000001</c:v>
                </c:pt>
                <c:pt idx="64">
                  <c:v>241.47399999999999</c:v>
                </c:pt>
                <c:pt idx="65">
                  <c:v>242.12799999999999</c:v>
                </c:pt>
                <c:pt idx="66">
                  <c:v>244.102</c:v>
                </c:pt>
                <c:pt idx="67">
                  <c:v>245.98699999999999</c:v>
                </c:pt>
                <c:pt idx="68">
                  <c:v>248.15899999999999</c:v>
                </c:pt>
                <c:pt idx="69">
                  <c:v>248.917</c:v>
                </c:pt>
                <c:pt idx="70">
                  <c:v>248.798</c:v>
                </c:pt>
                <c:pt idx="71">
                  <c:v>248.32400000000001</c:v>
                </c:pt>
                <c:pt idx="72">
                  <c:v>246.94900000000001</c:v>
                </c:pt>
                <c:pt idx="73">
                  <c:v>248.28800000000001</c:v>
                </c:pt>
                <c:pt idx="74">
                  <c:v>248.82</c:v>
                </c:pt>
                <c:pt idx="75">
                  <c:v>249.24700000000001</c:v>
                </c:pt>
                <c:pt idx="76">
                  <c:v>249.62299999999999</c:v>
                </c:pt>
                <c:pt idx="77">
                  <c:v>251.815</c:v>
                </c:pt>
                <c:pt idx="78">
                  <c:v>252.24700000000001</c:v>
                </c:pt>
                <c:pt idx="79">
                  <c:v>253.56</c:v>
                </c:pt>
                <c:pt idx="80">
                  <c:v>254.74</c:v>
                </c:pt>
                <c:pt idx="81">
                  <c:v>256.17099999999999</c:v>
                </c:pt>
                <c:pt idx="82">
                  <c:v>256.37200000000001</c:v>
                </c:pt>
                <c:pt idx="83">
                  <c:v>256.14299999999997</c:v>
                </c:pt>
                <c:pt idx="84">
                  <c:v>254.922</c:v>
                </c:pt>
                <c:pt idx="85">
                  <c:v>255.29499999999999</c:v>
                </c:pt>
                <c:pt idx="86">
                  <c:v>254.88900000000001</c:v>
                </c:pt>
                <c:pt idx="87">
                  <c:v>255.95099999999999</c:v>
                </c:pt>
                <c:pt idx="88">
                  <c:v>255.946</c:v>
                </c:pt>
                <c:pt idx="89">
                  <c:v>257.44900000000001</c:v>
                </c:pt>
                <c:pt idx="90">
                  <c:v>258.221</c:v>
                </c:pt>
                <c:pt idx="91">
                  <c:v>261.07299999999998</c:v>
                </c:pt>
                <c:pt idx="92">
                  <c:v>263.399</c:v>
                </c:pt>
                <c:pt idx="93">
                  <c:v>262.97500000000002</c:v>
                </c:pt>
                <c:pt idx="94">
                  <c:v>262.63299999999998</c:v>
                </c:pt>
                <c:pt idx="95">
                  <c:v>261.637</c:v>
                </c:pt>
                <c:pt idx="96">
                  <c:v>259.50099999999998</c:v>
                </c:pt>
                <c:pt idx="97">
                  <c:v>253.852</c:v>
                </c:pt>
                <c:pt idx="98">
                  <c:v>248.15199999999999</c:v>
                </c:pt>
                <c:pt idx="99">
                  <c:v>244.11799999999999</c:v>
                </c:pt>
                <c:pt idx="100">
                  <c:v>242.964</c:v>
                </c:pt>
                <c:pt idx="101">
                  <c:v>242.01</c:v>
                </c:pt>
                <c:pt idx="102">
                  <c:v>244.583</c:v>
                </c:pt>
                <c:pt idx="103">
                  <c:v>246.40899999999999</c:v>
                </c:pt>
                <c:pt idx="104">
                  <c:v>247.541</c:v>
                </c:pt>
                <c:pt idx="105">
                  <c:v>245.73400000000001</c:v>
                </c:pt>
                <c:pt idx="106">
                  <c:v>245.04900000000001</c:v>
                </c:pt>
                <c:pt idx="107">
                  <c:v>243.22800000000001</c:v>
                </c:pt>
                <c:pt idx="108">
                  <c:v>243.364</c:v>
                </c:pt>
                <c:pt idx="109">
                  <c:v>241.66300000000001</c:v>
                </c:pt>
                <c:pt idx="110">
                  <c:v>243.29</c:v>
                </c:pt>
                <c:pt idx="111">
                  <c:v>242.94900000000001</c:v>
                </c:pt>
                <c:pt idx="112">
                  <c:v>244.27699999999999</c:v>
                </c:pt>
                <c:pt idx="113">
                  <c:v>243.66499999999999</c:v>
                </c:pt>
                <c:pt idx="114">
                  <c:v>242.68600000000001</c:v>
                </c:pt>
                <c:pt idx="115">
                  <c:v>241.66900000000001</c:v>
                </c:pt>
                <c:pt idx="116">
                  <c:v>241.13</c:v>
                </c:pt>
                <c:pt idx="117">
                  <c:v>241.31</c:v>
                </c:pt>
                <c:pt idx="118">
                  <c:v>242.9</c:v>
                </c:pt>
                <c:pt idx="119">
                  <c:v>242.63499999999999</c:v>
                </c:pt>
                <c:pt idx="120">
                  <c:v>243.75</c:v>
                </c:pt>
                <c:pt idx="121">
                  <c:v>246.13</c:v>
                </c:pt>
                <c:pt idx="122">
                  <c:v>250.505</c:v>
                </c:pt>
                <c:pt idx="123">
                  <c:v>254.53700000000001</c:v>
                </c:pt>
                <c:pt idx="124">
                  <c:v>259.15800000000002</c:v>
                </c:pt>
                <c:pt idx="125">
                  <c:v>262.35000000000002</c:v>
                </c:pt>
                <c:pt idx="126">
                  <c:v>266.73099999999999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D-49BA-9EB7-396BAB685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125152"/>
        <c:axId val="476120256"/>
      </c:lineChart>
      <c:dateAx>
        <c:axId val="4761251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476120256"/>
        <c:crosses val="autoZero"/>
        <c:auto val="1"/>
        <c:lblOffset val="100"/>
        <c:baseTimeUnit val="months"/>
        <c:majorUnit val="6"/>
      </c:dateAx>
      <c:valAx>
        <c:axId val="476120256"/>
        <c:scaling>
          <c:orientation val="minMax"/>
          <c:max val="270"/>
          <c:min val="220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7612515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5B638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dLbl>
              <c:idx val="0"/>
              <c:layout>
                <c:manualLayout>
                  <c:x val="-7.2557379479826679E-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41-445F-9C0E-2289407106EF}"/>
                </c:ext>
              </c:extLst>
            </c:dLbl>
            <c:dLbl>
              <c:idx val="2"/>
              <c:layout>
                <c:manualLayout>
                  <c:x val="-1.603535353535357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1-445F-9C0E-2289407106EF}"/>
                </c:ext>
              </c:extLst>
            </c:dLbl>
            <c:dLbl>
              <c:idx val="7"/>
              <c:layout>
                <c:manualLayout>
                  <c:x val="-9.7794728865583237E-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41-445F-9C0E-2289407106E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 4.1 - G 4.2 (set)'!$K$135:$K$144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'G 4.1 - G 4.2 (set)'!$L$135:$L$144</c:f>
              <c:numCache>
                <c:formatCode>0.0</c:formatCode>
                <c:ptCount val="10"/>
                <c:pt idx="0">
                  <c:v>3.628881406659179</c:v>
                </c:pt>
                <c:pt idx="1">
                  <c:v>1.1913357400721969</c:v>
                </c:pt>
                <c:pt idx="2">
                  <c:v>-1.819479129504098</c:v>
                </c:pt>
                <c:pt idx="3">
                  <c:v>-1.8531976744186052</c:v>
                </c:pt>
                <c:pt idx="4">
                  <c:v>1.5549796371714164</c:v>
                </c:pt>
                <c:pt idx="5">
                  <c:v>1.4218009478673022</c:v>
                </c:pt>
                <c:pt idx="6">
                  <c:v>0.28756290438534116</c:v>
                </c:pt>
                <c:pt idx="7">
                  <c:v>7.6702508960573512</c:v>
                </c:pt>
                <c:pt idx="8">
                  <c:v>-11.118508655126503</c:v>
                </c:pt>
                <c:pt idx="9">
                  <c:v>2.5093632958801404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41-445F-9C0E-228940710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6131136"/>
        <c:axId val="476131680"/>
      </c:barChart>
      <c:catAx>
        <c:axId val="47613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476131680"/>
        <c:crosses val="autoZero"/>
        <c:auto val="1"/>
        <c:lblAlgn val="ctr"/>
        <c:lblOffset val="100"/>
        <c:noMultiLvlLbl val="0"/>
      </c:catAx>
      <c:valAx>
        <c:axId val="476131680"/>
        <c:scaling>
          <c:orientation val="minMax"/>
          <c:min val="-14"/>
        </c:scaling>
        <c:delete val="1"/>
        <c:axPos val="l"/>
        <c:numFmt formatCode="#,##0" sourceLinked="0"/>
        <c:majorTickMark val="out"/>
        <c:minorTickMark val="none"/>
        <c:tickLblPos val="nextTo"/>
        <c:crossAx val="47613113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58824950614152"/>
          <c:y val="3.8089449494294166E-2"/>
          <c:w val="0.83131780032569214"/>
          <c:h val="0.7094833218374320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65B638"/>
              </a:solidFill>
            </a:ln>
            <a:effectLst/>
          </c:spPr>
          <c:marker>
            <c:symbol val="none"/>
          </c:marker>
          <c:cat>
            <c:numRef>
              <c:f>'G 4.1 - G 4.2 (set)'!$J$4:$J$130</c:f>
              <c:numCache>
                <c:formatCode>mmm\-yy</c:formatCode>
                <c:ptCount val="127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</c:numCache>
            </c:numRef>
          </c:cat>
          <c:val>
            <c:numRef>
              <c:f>'G 4.1 - G 4.2 (set)'!$L$4:$L$130</c:f>
              <c:numCache>
                <c:formatCode>#,##0</c:formatCode>
                <c:ptCount val="127"/>
                <c:pt idx="0">
                  <c:v>2647</c:v>
                </c:pt>
                <c:pt idx="1">
                  <c:v>2656</c:v>
                </c:pt>
                <c:pt idx="2">
                  <c:v>2650</c:v>
                </c:pt>
                <c:pt idx="3">
                  <c:v>2656</c:v>
                </c:pt>
                <c:pt idx="4">
                  <c:v>2669</c:v>
                </c:pt>
                <c:pt idx="5">
                  <c:v>2678</c:v>
                </c:pt>
                <c:pt idx="6">
                  <c:v>2673</c:v>
                </c:pt>
                <c:pt idx="7">
                  <c:v>2670</c:v>
                </c:pt>
                <c:pt idx="8">
                  <c:v>2667</c:v>
                </c:pt>
                <c:pt idx="9">
                  <c:v>2661</c:v>
                </c:pt>
                <c:pt idx="10">
                  <c:v>2672</c:v>
                </c:pt>
                <c:pt idx="11">
                  <c:v>2688</c:v>
                </c:pt>
                <c:pt idx="12">
                  <c:v>2703</c:v>
                </c:pt>
                <c:pt idx="13">
                  <c:v>2709</c:v>
                </c:pt>
                <c:pt idx="14">
                  <c:v>2711</c:v>
                </c:pt>
                <c:pt idx="15">
                  <c:v>2733</c:v>
                </c:pt>
                <c:pt idx="16">
                  <c:v>2751</c:v>
                </c:pt>
                <c:pt idx="17">
                  <c:v>2770</c:v>
                </c:pt>
                <c:pt idx="18">
                  <c:v>2770</c:v>
                </c:pt>
                <c:pt idx="19">
                  <c:v>2779</c:v>
                </c:pt>
                <c:pt idx="20">
                  <c:v>2767</c:v>
                </c:pt>
                <c:pt idx="21">
                  <c:v>2746</c:v>
                </c:pt>
                <c:pt idx="22">
                  <c:v>2743</c:v>
                </c:pt>
                <c:pt idx="23">
                  <c:v>2770</c:v>
                </c:pt>
                <c:pt idx="24">
                  <c:v>2801</c:v>
                </c:pt>
                <c:pt idx="25">
                  <c:v>2799</c:v>
                </c:pt>
                <c:pt idx="26">
                  <c:v>2794</c:v>
                </c:pt>
                <c:pt idx="27">
                  <c:v>2779</c:v>
                </c:pt>
                <c:pt idx="28">
                  <c:v>2774</c:v>
                </c:pt>
                <c:pt idx="29">
                  <c:v>2794</c:v>
                </c:pt>
                <c:pt idx="30">
                  <c:v>2803</c:v>
                </c:pt>
                <c:pt idx="31">
                  <c:v>2814</c:v>
                </c:pt>
                <c:pt idx="32">
                  <c:v>2795</c:v>
                </c:pt>
                <c:pt idx="33">
                  <c:v>2796</c:v>
                </c:pt>
                <c:pt idx="34">
                  <c:v>2800</c:v>
                </c:pt>
                <c:pt idx="35">
                  <c:v>2795</c:v>
                </c:pt>
                <c:pt idx="36">
                  <c:v>2796</c:v>
                </c:pt>
                <c:pt idx="37">
                  <c:v>2790</c:v>
                </c:pt>
                <c:pt idx="38">
                  <c:v>2777</c:v>
                </c:pt>
                <c:pt idx="39">
                  <c:v>2785</c:v>
                </c:pt>
                <c:pt idx="40">
                  <c:v>2766</c:v>
                </c:pt>
                <c:pt idx="41">
                  <c:v>2753</c:v>
                </c:pt>
                <c:pt idx="42">
                  <c:v>2752</c:v>
                </c:pt>
                <c:pt idx="43">
                  <c:v>2741</c:v>
                </c:pt>
                <c:pt idx="44">
                  <c:v>2721</c:v>
                </c:pt>
                <c:pt idx="45">
                  <c:v>2707</c:v>
                </c:pt>
                <c:pt idx="46">
                  <c:v>2715</c:v>
                </c:pt>
                <c:pt idx="47">
                  <c:v>2699</c:v>
                </c:pt>
                <c:pt idx="48">
                  <c:v>2712</c:v>
                </c:pt>
                <c:pt idx="49">
                  <c:v>2698</c:v>
                </c:pt>
                <c:pt idx="50">
                  <c:v>2707</c:v>
                </c:pt>
                <c:pt idx="51">
                  <c:v>2679</c:v>
                </c:pt>
                <c:pt idx="52">
                  <c:v>2680</c:v>
                </c:pt>
                <c:pt idx="53">
                  <c:v>2704</c:v>
                </c:pt>
                <c:pt idx="54">
                  <c:v>2701</c:v>
                </c:pt>
                <c:pt idx="55">
                  <c:v>2706</c:v>
                </c:pt>
                <c:pt idx="56">
                  <c:v>2711</c:v>
                </c:pt>
                <c:pt idx="57">
                  <c:v>2725</c:v>
                </c:pt>
                <c:pt idx="58">
                  <c:v>2734</c:v>
                </c:pt>
                <c:pt idx="59">
                  <c:v>2743</c:v>
                </c:pt>
                <c:pt idx="60">
                  <c:v>2759</c:v>
                </c:pt>
                <c:pt idx="61">
                  <c:v>2747</c:v>
                </c:pt>
                <c:pt idx="62">
                  <c:v>2743</c:v>
                </c:pt>
                <c:pt idx="63">
                  <c:v>2732</c:v>
                </c:pt>
                <c:pt idx="64">
                  <c:v>2733</c:v>
                </c:pt>
                <c:pt idx="65">
                  <c:v>2729</c:v>
                </c:pt>
                <c:pt idx="66">
                  <c:v>2743</c:v>
                </c:pt>
                <c:pt idx="67">
                  <c:v>2753</c:v>
                </c:pt>
                <c:pt idx="68">
                  <c:v>2765</c:v>
                </c:pt>
                <c:pt idx="69">
                  <c:v>2766</c:v>
                </c:pt>
                <c:pt idx="70">
                  <c:v>2777</c:v>
                </c:pt>
                <c:pt idx="71">
                  <c:v>2788</c:v>
                </c:pt>
                <c:pt idx="72">
                  <c:v>2786</c:v>
                </c:pt>
                <c:pt idx="73">
                  <c:v>2795</c:v>
                </c:pt>
                <c:pt idx="74">
                  <c:v>2796</c:v>
                </c:pt>
                <c:pt idx="75">
                  <c:v>2792</c:v>
                </c:pt>
                <c:pt idx="76">
                  <c:v>2782</c:v>
                </c:pt>
                <c:pt idx="77">
                  <c:v>2793</c:v>
                </c:pt>
                <c:pt idx="78">
                  <c:v>2782</c:v>
                </c:pt>
                <c:pt idx="79">
                  <c:v>2785</c:v>
                </c:pt>
                <c:pt idx="80">
                  <c:v>2787</c:v>
                </c:pt>
                <c:pt idx="81">
                  <c:v>2804</c:v>
                </c:pt>
                <c:pt idx="82">
                  <c:v>2821</c:v>
                </c:pt>
                <c:pt idx="83">
                  <c:v>2831</c:v>
                </c:pt>
                <c:pt idx="84">
                  <c:v>2819</c:v>
                </c:pt>
                <c:pt idx="85">
                  <c:v>2805</c:v>
                </c:pt>
                <c:pt idx="86">
                  <c:v>2785</c:v>
                </c:pt>
                <c:pt idx="87">
                  <c:v>2786</c:v>
                </c:pt>
                <c:pt idx="88">
                  <c:v>2779</c:v>
                </c:pt>
                <c:pt idx="89">
                  <c:v>2790</c:v>
                </c:pt>
                <c:pt idx="90">
                  <c:v>2790</c:v>
                </c:pt>
                <c:pt idx="91">
                  <c:v>2811</c:v>
                </c:pt>
                <c:pt idx="92">
                  <c:v>2824</c:v>
                </c:pt>
                <c:pt idx="93">
                  <c:v>2815</c:v>
                </c:pt>
                <c:pt idx="94">
                  <c:v>2821</c:v>
                </c:pt>
                <c:pt idx="95">
                  <c:v>2824</c:v>
                </c:pt>
                <c:pt idx="96">
                  <c:v>2847</c:v>
                </c:pt>
                <c:pt idx="97">
                  <c:v>2878</c:v>
                </c:pt>
                <c:pt idx="98">
                  <c:v>2926</c:v>
                </c:pt>
                <c:pt idx="99">
                  <c:v>2971</c:v>
                </c:pt>
                <c:pt idx="100">
                  <c:v>3006</c:v>
                </c:pt>
                <c:pt idx="101">
                  <c:v>3002</c:v>
                </c:pt>
                <c:pt idx="102">
                  <c:v>3004</c:v>
                </c:pt>
                <c:pt idx="103">
                  <c:v>2960</c:v>
                </c:pt>
                <c:pt idx="104">
                  <c:v>2929</c:v>
                </c:pt>
                <c:pt idx="105">
                  <c:v>2885</c:v>
                </c:pt>
                <c:pt idx="106">
                  <c:v>2878</c:v>
                </c:pt>
                <c:pt idx="107">
                  <c:v>2852</c:v>
                </c:pt>
                <c:pt idx="108">
                  <c:v>2861</c:v>
                </c:pt>
                <c:pt idx="109">
                  <c:v>2827</c:v>
                </c:pt>
                <c:pt idx="110">
                  <c:v>2825</c:v>
                </c:pt>
                <c:pt idx="111">
                  <c:v>2782</c:v>
                </c:pt>
                <c:pt idx="112">
                  <c:v>2756</c:v>
                </c:pt>
                <c:pt idx="113">
                  <c:v>2718</c:v>
                </c:pt>
                <c:pt idx="114">
                  <c:v>2670</c:v>
                </c:pt>
                <c:pt idx="115">
                  <c:v>2630</c:v>
                </c:pt>
                <c:pt idx="116">
                  <c:v>2596</c:v>
                </c:pt>
                <c:pt idx="117">
                  <c:v>2574</c:v>
                </c:pt>
                <c:pt idx="118">
                  <c:v>2600</c:v>
                </c:pt>
                <c:pt idx="119">
                  <c:v>2603</c:v>
                </c:pt>
                <c:pt idx="120">
                  <c:v>2613</c:v>
                </c:pt>
                <c:pt idx="121">
                  <c:v>2603</c:v>
                </c:pt>
                <c:pt idx="122">
                  <c:v>2620</c:v>
                </c:pt>
                <c:pt idx="123">
                  <c:v>2640</c:v>
                </c:pt>
                <c:pt idx="124">
                  <c:v>2677</c:v>
                </c:pt>
                <c:pt idx="125">
                  <c:v>2700</c:v>
                </c:pt>
                <c:pt idx="126">
                  <c:v>2737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7-4A72-92AE-3964BED7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119168"/>
        <c:axId val="482189920"/>
      </c:lineChart>
      <c:dateAx>
        <c:axId val="4761191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482189920"/>
        <c:crosses val="autoZero"/>
        <c:auto val="1"/>
        <c:lblOffset val="100"/>
        <c:baseTimeUnit val="months"/>
        <c:majorUnit val="6"/>
      </c:dateAx>
      <c:valAx>
        <c:axId val="482189920"/>
        <c:scaling>
          <c:orientation val="minMax"/>
          <c:min val="2500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761191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58824950614152"/>
          <c:y val="3.8089449494294166E-2"/>
          <c:w val="0.84970680033748325"/>
          <c:h val="0.7094833218374320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65B638"/>
              </a:solidFill>
            </a:ln>
            <a:effectLst/>
          </c:spPr>
          <c:marker>
            <c:symbol val="none"/>
          </c:marker>
          <c:cat>
            <c:numRef>
              <c:f>'G 4.3 - G 4.4 (set)'!$C$3:$DY$3</c:f>
              <c:numCache>
                <c:formatCode>mmm\-yy</c:formatCode>
                <c:ptCount val="127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</c:numCache>
            </c:numRef>
          </c:cat>
          <c:val>
            <c:numRef>
              <c:f>'G 4.3 - G 4.4 (set)'!$C$4:$DY$4</c:f>
              <c:numCache>
                <c:formatCode>#,##0</c:formatCode>
                <c:ptCount val="127"/>
                <c:pt idx="0">
                  <c:v>88012</c:v>
                </c:pt>
                <c:pt idx="1">
                  <c:v>88845</c:v>
                </c:pt>
                <c:pt idx="2">
                  <c:v>89379</c:v>
                </c:pt>
                <c:pt idx="3">
                  <c:v>89647</c:v>
                </c:pt>
                <c:pt idx="4">
                  <c:v>89786</c:v>
                </c:pt>
                <c:pt idx="5">
                  <c:v>90086</c:v>
                </c:pt>
                <c:pt idx="6">
                  <c:v>90320</c:v>
                </c:pt>
                <c:pt idx="7">
                  <c:v>90466</c:v>
                </c:pt>
                <c:pt idx="8">
                  <c:v>90555</c:v>
                </c:pt>
                <c:pt idx="9">
                  <c:v>90593</c:v>
                </c:pt>
                <c:pt idx="10">
                  <c:v>90284</c:v>
                </c:pt>
                <c:pt idx="11">
                  <c:v>89901</c:v>
                </c:pt>
                <c:pt idx="12">
                  <c:v>89688</c:v>
                </c:pt>
                <c:pt idx="13">
                  <c:v>90088</c:v>
                </c:pt>
                <c:pt idx="14">
                  <c:v>90546</c:v>
                </c:pt>
                <c:pt idx="15">
                  <c:v>90850</c:v>
                </c:pt>
                <c:pt idx="16">
                  <c:v>91104</c:v>
                </c:pt>
                <c:pt idx="17">
                  <c:v>91232</c:v>
                </c:pt>
                <c:pt idx="18">
                  <c:v>91438</c:v>
                </c:pt>
                <c:pt idx="19">
                  <c:v>91605</c:v>
                </c:pt>
                <c:pt idx="20">
                  <c:v>92000</c:v>
                </c:pt>
                <c:pt idx="21">
                  <c:v>92171</c:v>
                </c:pt>
                <c:pt idx="22">
                  <c:v>91870</c:v>
                </c:pt>
                <c:pt idx="23">
                  <c:v>91700</c:v>
                </c:pt>
                <c:pt idx="24">
                  <c:v>91456</c:v>
                </c:pt>
                <c:pt idx="25">
                  <c:v>91697</c:v>
                </c:pt>
                <c:pt idx="26">
                  <c:v>91892</c:v>
                </c:pt>
                <c:pt idx="27">
                  <c:v>92117</c:v>
                </c:pt>
                <c:pt idx="28">
                  <c:v>92056</c:v>
                </c:pt>
                <c:pt idx="29">
                  <c:v>92056</c:v>
                </c:pt>
                <c:pt idx="30">
                  <c:v>92406</c:v>
                </c:pt>
                <c:pt idx="31">
                  <c:v>92692</c:v>
                </c:pt>
                <c:pt idx="32">
                  <c:v>92878</c:v>
                </c:pt>
                <c:pt idx="33">
                  <c:v>92961</c:v>
                </c:pt>
                <c:pt idx="34">
                  <c:v>92743</c:v>
                </c:pt>
                <c:pt idx="35">
                  <c:v>92308</c:v>
                </c:pt>
                <c:pt idx="36">
                  <c:v>91962</c:v>
                </c:pt>
                <c:pt idx="37">
                  <c:v>92173</c:v>
                </c:pt>
                <c:pt idx="38">
                  <c:v>92147</c:v>
                </c:pt>
                <c:pt idx="39">
                  <c:v>92249</c:v>
                </c:pt>
                <c:pt idx="40">
                  <c:v>92230</c:v>
                </c:pt>
                <c:pt idx="41">
                  <c:v>92173</c:v>
                </c:pt>
                <c:pt idx="42">
                  <c:v>92200</c:v>
                </c:pt>
                <c:pt idx="43">
                  <c:v>92386</c:v>
                </c:pt>
                <c:pt idx="44">
                  <c:v>92288</c:v>
                </c:pt>
                <c:pt idx="45">
                  <c:v>92365</c:v>
                </c:pt>
                <c:pt idx="46">
                  <c:v>91803</c:v>
                </c:pt>
                <c:pt idx="47">
                  <c:v>91305</c:v>
                </c:pt>
                <c:pt idx="48">
                  <c:v>90708</c:v>
                </c:pt>
                <c:pt idx="49">
                  <c:v>90549</c:v>
                </c:pt>
                <c:pt idx="50">
                  <c:v>90709</c:v>
                </c:pt>
                <c:pt idx="51">
                  <c:v>90674</c:v>
                </c:pt>
                <c:pt idx="52">
                  <c:v>90329</c:v>
                </c:pt>
                <c:pt idx="53">
                  <c:v>90081</c:v>
                </c:pt>
                <c:pt idx="54">
                  <c:v>89821</c:v>
                </c:pt>
                <c:pt idx="55">
                  <c:v>89883</c:v>
                </c:pt>
                <c:pt idx="56">
                  <c:v>90148</c:v>
                </c:pt>
                <c:pt idx="57">
                  <c:v>90174</c:v>
                </c:pt>
                <c:pt idx="58">
                  <c:v>89746</c:v>
                </c:pt>
                <c:pt idx="59">
                  <c:v>89241</c:v>
                </c:pt>
                <c:pt idx="60">
                  <c:v>88847</c:v>
                </c:pt>
                <c:pt idx="61">
                  <c:v>89160</c:v>
                </c:pt>
                <c:pt idx="62">
                  <c:v>89625</c:v>
                </c:pt>
                <c:pt idx="63">
                  <c:v>90193</c:v>
                </c:pt>
                <c:pt idx="64">
                  <c:v>90585</c:v>
                </c:pt>
                <c:pt idx="65">
                  <c:v>91002</c:v>
                </c:pt>
                <c:pt idx="66">
                  <c:v>91268</c:v>
                </c:pt>
                <c:pt idx="67">
                  <c:v>91603</c:v>
                </c:pt>
                <c:pt idx="68">
                  <c:v>92025</c:v>
                </c:pt>
                <c:pt idx="69">
                  <c:v>92228</c:v>
                </c:pt>
                <c:pt idx="70">
                  <c:v>91859</c:v>
                </c:pt>
                <c:pt idx="71">
                  <c:v>91311</c:v>
                </c:pt>
                <c:pt idx="72">
                  <c:v>90878</c:v>
                </c:pt>
                <c:pt idx="73">
                  <c:v>91050</c:v>
                </c:pt>
                <c:pt idx="74">
                  <c:v>91177</c:v>
                </c:pt>
                <c:pt idx="75">
                  <c:v>91461</c:v>
                </c:pt>
                <c:pt idx="76">
                  <c:v>91906</c:v>
                </c:pt>
                <c:pt idx="77">
                  <c:v>92371</c:v>
                </c:pt>
                <c:pt idx="78">
                  <c:v>92929</c:v>
                </c:pt>
                <c:pt idx="79">
                  <c:v>93318</c:v>
                </c:pt>
                <c:pt idx="80">
                  <c:v>93614</c:v>
                </c:pt>
                <c:pt idx="81">
                  <c:v>93534</c:v>
                </c:pt>
                <c:pt idx="82">
                  <c:v>93053</c:v>
                </c:pt>
                <c:pt idx="83">
                  <c:v>92642</c:v>
                </c:pt>
                <c:pt idx="84">
                  <c:v>92621</c:v>
                </c:pt>
                <c:pt idx="85">
                  <c:v>93218</c:v>
                </c:pt>
                <c:pt idx="86">
                  <c:v>93760</c:v>
                </c:pt>
                <c:pt idx="87">
                  <c:v>94161</c:v>
                </c:pt>
                <c:pt idx="88">
                  <c:v>94394</c:v>
                </c:pt>
                <c:pt idx="89">
                  <c:v>94509</c:v>
                </c:pt>
                <c:pt idx="90">
                  <c:v>94736</c:v>
                </c:pt>
                <c:pt idx="91">
                  <c:v>95043</c:v>
                </c:pt>
                <c:pt idx="92">
                  <c:v>95409</c:v>
                </c:pt>
                <c:pt idx="93">
                  <c:v>95515</c:v>
                </c:pt>
                <c:pt idx="94">
                  <c:v>95122</c:v>
                </c:pt>
                <c:pt idx="95">
                  <c:v>94674</c:v>
                </c:pt>
                <c:pt idx="96">
                  <c:v>93115</c:v>
                </c:pt>
                <c:pt idx="97">
                  <c:v>90135</c:v>
                </c:pt>
                <c:pt idx="98">
                  <c:v>86715</c:v>
                </c:pt>
                <c:pt idx="99">
                  <c:v>84051</c:v>
                </c:pt>
                <c:pt idx="100">
                  <c:v>82725</c:v>
                </c:pt>
                <c:pt idx="101">
                  <c:v>82590</c:v>
                </c:pt>
                <c:pt idx="102">
                  <c:v>83440</c:v>
                </c:pt>
                <c:pt idx="103">
                  <c:v>85286</c:v>
                </c:pt>
                <c:pt idx="104">
                  <c:v>86573</c:v>
                </c:pt>
                <c:pt idx="105">
                  <c:v>87225</c:v>
                </c:pt>
                <c:pt idx="106">
                  <c:v>87214</c:v>
                </c:pt>
                <c:pt idx="107">
                  <c:v>87286</c:v>
                </c:pt>
                <c:pt idx="108">
                  <c:v>87083</c:v>
                </c:pt>
                <c:pt idx="109">
                  <c:v>87475</c:v>
                </c:pt>
                <c:pt idx="110">
                  <c:v>88150</c:v>
                </c:pt>
                <c:pt idx="111">
                  <c:v>89385</c:v>
                </c:pt>
                <c:pt idx="112">
                  <c:v>90667</c:v>
                </c:pt>
                <c:pt idx="113">
                  <c:v>91725</c:v>
                </c:pt>
                <c:pt idx="114">
                  <c:v>92977</c:v>
                </c:pt>
                <c:pt idx="115">
                  <c:v>93958</c:v>
                </c:pt>
                <c:pt idx="116">
                  <c:v>94928</c:v>
                </c:pt>
                <c:pt idx="117">
                  <c:v>95747</c:v>
                </c:pt>
                <c:pt idx="118">
                  <c:v>95429</c:v>
                </c:pt>
                <c:pt idx="119">
                  <c:v>95234</c:v>
                </c:pt>
                <c:pt idx="120">
                  <c:v>95274</c:v>
                </c:pt>
                <c:pt idx="121">
                  <c:v>96513</c:v>
                </c:pt>
                <c:pt idx="122">
                  <c:v>97515</c:v>
                </c:pt>
                <c:pt idx="123">
                  <c:v>98269</c:v>
                </c:pt>
                <c:pt idx="124">
                  <c:v>98666</c:v>
                </c:pt>
                <c:pt idx="125">
                  <c:v>99015</c:v>
                </c:pt>
                <c:pt idx="126">
                  <c:v>99268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30-471B-86D9-34856B378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70688"/>
        <c:axId val="310494176"/>
      </c:lineChart>
      <c:dateAx>
        <c:axId val="43037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310494176"/>
        <c:crosses val="autoZero"/>
        <c:auto val="1"/>
        <c:lblOffset val="100"/>
        <c:baseTimeUnit val="months"/>
        <c:majorUnit val="6"/>
      </c:dateAx>
      <c:valAx>
        <c:axId val="310494176"/>
        <c:scaling>
          <c:orientation val="minMax"/>
          <c:max val="100000"/>
          <c:min val="80000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30370688"/>
        <c:crosses val="autoZero"/>
        <c:crossBetween val="between"/>
        <c:dispUnits>
          <c:builtInUnit val="thousands"/>
        </c:dispUnits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3557319708753042E-2"/>
          <c:y val="3.7807870370370374E-2"/>
          <c:w val="0.86598668437575621"/>
          <c:h val="0.715112499999999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 4.3 - G 4.4 (set)'!$B$40</c:f>
              <c:strCache>
                <c:ptCount val="1"/>
                <c:pt idx="0">
                  <c:v>Formal</c:v>
                </c:pt>
              </c:strCache>
            </c:strRef>
          </c:tx>
          <c:spPr>
            <a:solidFill>
              <a:srgbClr val="65B638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numRef>
              <c:f>'G 4.3 - G 4.4 (set)'!$BH$38:$DY$38</c:f>
              <c:numCache>
                <c:formatCode>mmm\-yy</c:formatCode>
                <c:ptCount val="70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</c:numCache>
            </c:numRef>
          </c:cat>
          <c:val>
            <c:numRef>
              <c:f>'G 4.3 - G 4.4 (set)'!$BH$40:$DY$40</c:f>
              <c:numCache>
                <c:formatCode>#,##0.0</c:formatCode>
                <c:ptCount val="70"/>
                <c:pt idx="0">
                  <c:v>-2.1999675201645648</c:v>
                </c:pt>
                <c:pt idx="1">
                  <c:v>-2.426935938912671</c:v>
                </c:pt>
                <c:pt idx="2">
                  <c:v>-2.3722687695087918</c:v>
                </c:pt>
                <c:pt idx="3">
                  <c:v>-2.1982625567755876</c:v>
                </c:pt>
                <c:pt idx="4">
                  <c:v>-1.9138808821742923</c:v>
                </c:pt>
                <c:pt idx="5">
                  <c:v>-1.7164779680075812</c:v>
                </c:pt>
                <c:pt idx="6">
                  <c:v>-1.439221827646296</c:v>
                </c:pt>
                <c:pt idx="7">
                  <c:v>-0.96646702609349999</c:v>
                </c:pt>
                <c:pt idx="8">
                  <c:v>-0.9347143126741515</c:v>
                </c:pt>
                <c:pt idx="9">
                  <c:v>-0.80382093274401112</c:v>
                </c:pt>
                <c:pt idx="10">
                  <c:v>-0.53180245430170081</c:v>
                </c:pt>
                <c:pt idx="11">
                  <c:v>-0.31947464170031797</c:v>
                </c:pt>
                <c:pt idx="12">
                  <c:v>0.16080023066515839</c:v>
                </c:pt>
                <c:pt idx="13">
                  <c:v>0.36436164285872941</c:v>
                </c:pt>
                <c:pt idx="14">
                  <c:v>0.43813942022164348</c:v>
                </c:pt>
                <c:pt idx="15">
                  <c:v>0.45246322329397298</c:v>
                </c:pt>
                <c:pt idx="16">
                  <c:v>0.38582323912068273</c:v>
                </c:pt>
                <c:pt idx="17">
                  <c:v>0.34923291492328729</c:v>
                </c:pt>
                <c:pt idx="18">
                  <c:v>0.3814043218431592</c:v>
                </c:pt>
                <c:pt idx="19">
                  <c:v>0.55748744273334649</c:v>
                </c:pt>
                <c:pt idx="20">
                  <c:v>0.59998681347663052</c:v>
                </c:pt>
                <c:pt idx="21">
                  <c:v>0.67274400666170042</c:v>
                </c:pt>
                <c:pt idx="22">
                  <c:v>0.55893365937797057</c:v>
                </c:pt>
                <c:pt idx="23">
                  <c:v>0.51942406954631815</c:v>
                </c:pt>
                <c:pt idx="24">
                  <c:v>0.40551676280522059</c:v>
                </c:pt>
                <c:pt idx="25">
                  <c:v>0.46484285698733518</c:v>
                </c:pt>
                <c:pt idx="26">
                  <c:v>0.77427692172903739</c:v>
                </c:pt>
                <c:pt idx="27">
                  <c:v>0.9353198793987485</c:v>
                </c:pt>
                <c:pt idx="28">
                  <c:v>1.3003844041735293</c:v>
                </c:pt>
                <c:pt idx="29">
                  <c:v>1.3841209954264779</c:v>
                </c:pt>
                <c:pt idx="30">
                  <c:v>1.1578705677829828</c:v>
                </c:pt>
                <c:pt idx="31">
                  <c:v>0.79755402258829577</c:v>
                </c:pt>
                <c:pt idx="32">
                  <c:v>0.67120633099132976</c:v>
                </c:pt>
                <c:pt idx="33">
                  <c:v>0.80706776140924363</c:v>
                </c:pt>
                <c:pt idx="34">
                  <c:v>0.9740886002700434</c:v>
                </c:pt>
                <c:pt idx="35">
                  <c:v>1.1771743542632571</c:v>
                </c:pt>
                <c:pt idx="36">
                  <c:v>1.3556567665234038</c:v>
                </c:pt>
                <c:pt idx="37">
                  <c:v>1.5818941893329559</c:v>
                </c:pt>
                <c:pt idx="38">
                  <c:v>1.3795038967207114</c:v>
                </c:pt>
                <c:pt idx="39">
                  <c:v>1.1930339771758081</c:v>
                </c:pt>
                <c:pt idx="40">
                  <c:v>9.54751228303585E-2</c:v>
                </c:pt>
                <c:pt idx="41">
                  <c:v>-1.2649317406143323</c:v>
                </c:pt>
                <c:pt idx="42">
                  <c:v>-2.5456399146143278</c:v>
                </c:pt>
                <c:pt idx="43">
                  <c:v>-3.9250376083225658</c:v>
                </c:pt>
                <c:pt idx="44">
                  <c:v>-4.5413664307103039</c:v>
                </c:pt>
                <c:pt idx="45">
                  <c:v>-4.4449839554129396</c:v>
                </c:pt>
                <c:pt idx="46">
                  <c:v>-3.9245394189998244</c:v>
                </c:pt>
                <c:pt idx="47">
                  <c:v>-3.7019568384533956</c:v>
                </c:pt>
                <c:pt idx="48">
                  <c:v>-3.7543841281474108</c:v>
                </c:pt>
                <c:pt idx="49">
                  <c:v>-3.9265364479300255</c:v>
                </c:pt>
                <c:pt idx="50">
                  <c:v>-3.5881023301011887</c:v>
                </c:pt>
                <c:pt idx="51">
                  <c:v>-3.5472265478172145</c:v>
                </c:pt>
                <c:pt idx="52">
                  <c:v>-2.7181450047151499</c:v>
                </c:pt>
                <c:pt idx="53">
                  <c:v>-1.2696765265525021</c:v>
                </c:pt>
                <c:pt idx="54">
                  <c:v>0.3236130444610944</c:v>
                </c:pt>
                <c:pt idx="55">
                  <c:v>2.6364460562103393</c:v>
                </c:pt>
                <c:pt idx="56">
                  <c:v>3.657827824191795</c:v>
                </c:pt>
                <c:pt idx="57">
                  <c:v>4.2174017257909817</c:v>
                </c:pt>
                <c:pt idx="58">
                  <c:v>3.7802218418028817</c:v>
                </c:pt>
                <c:pt idx="59">
                  <c:v>3.8326036986127257</c:v>
                </c:pt>
                <c:pt idx="60">
                  <c:v>4.1616509028374935</c:v>
                </c:pt>
                <c:pt idx="61">
                  <c:v>4.4064026417776994</c:v>
                </c:pt>
                <c:pt idx="62">
                  <c:v>4.2526865705840553</c:v>
                </c:pt>
                <c:pt idx="63">
                  <c:v>4.6426971969270641</c:v>
                </c:pt>
                <c:pt idx="64">
                  <c:v>5.3180908831094538</c:v>
                </c:pt>
                <c:pt idx="65">
                  <c:v>5.6846284741917126</c:v>
                </c:pt>
                <c:pt idx="66">
                  <c:v>5.9965318565754924</c:v>
                </c:pt>
                <c:pt idx="67">
                  <c:v>5.6624791820618325</c:v>
                </c:pt>
                <c:pt idx="68">
                  <c:v>5.6549468520032695</c:v>
                </c:pt>
                <c:pt idx="69">
                  <c:v>5.2227970358260603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3-4344-ACFF-FED2997145B3}"/>
            </c:ext>
          </c:extLst>
        </c:ser>
        <c:ser>
          <c:idx val="1"/>
          <c:order val="1"/>
          <c:tx>
            <c:strRef>
              <c:f>'G 4.3 - G 4.4 (set)'!$B$41</c:f>
              <c:strCache>
                <c:ptCount val="1"/>
                <c:pt idx="0">
                  <c:v>Informal</c:v>
                </c:pt>
              </c:strCache>
            </c:strRef>
          </c:tx>
          <c:spPr>
            <a:solidFill>
              <a:srgbClr val="949494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numRef>
              <c:f>'G 4.3 - G 4.4 (set)'!$BH$38:$DY$38</c:f>
              <c:numCache>
                <c:formatCode>mmm\-yy</c:formatCode>
                <c:ptCount val="70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</c:numCache>
            </c:numRef>
          </c:cat>
          <c:val>
            <c:numRef>
              <c:f>'G 4.3 - G 4.4 (set)'!$BH$41:$DY$41</c:f>
              <c:numCache>
                <c:formatCode>#,##0.0</c:formatCode>
                <c:ptCount val="70"/>
                <c:pt idx="0">
                  <c:v>-0.172143127808154</c:v>
                </c:pt>
                <c:pt idx="1">
                  <c:v>0.18626842260056714</c:v>
                </c:pt>
                <c:pt idx="2">
                  <c:v>0.11171348776080002</c:v>
                </c:pt>
                <c:pt idx="3">
                  <c:v>0.14662433302465136</c:v>
                </c:pt>
                <c:pt idx="4">
                  <c:v>0.37990480292438372</c:v>
                </c:pt>
                <c:pt idx="5">
                  <c:v>0.52144770640178673</c:v>
                </c:pt>
                <c:pt idx="6">
                  <c:v>0.90875002757129886</c:v>
                </c:pt>
                <c:pt idx="7">
                  <c:v>1.2498754552801448</c:v>
                </c:pt>
                <c:pt idx="8">
                  <c:v>1.9571274741621389</c:v>
                </c:pt>
                <c:pt idx="9">
                  <c:v>2.4148027744068763</c:v>
                </c:pt>
                <c:pt idx="10">
                  <c:v>2.4454012438392145</c:v>
                </c:pt>
                <c:pt idx="11">
                  <c:v>2.4016062475041005</c:v>
                </c:pt>
                <c:pt idx="12">
                  <c:v>2.1170182092399106</c:v>
                </c:pt>
                <c:pt idx="13">
                  <c:v>1.9900608383660541</c:v>
                </c:pt>
                <c:pt idx="14">
                  <c:v>1.8814222162458996</c:v>
                </c:pt>
                <c:pt idx="15">
                  <c:v>1.8334890317061876</c:v>
                </c:pt>
                <c:pt idx="16">
                  <c:v>1.7339614176760905</c:v>
                </c:pt>
                <c:pt idx="17">
                  <c:v>1.3824267782426771</c:v>
                </c:pt>
                <c:pt idx="18">
                  <c:v>1.0244697482066236</c:v>
                </c:pt>
                <c:pt idx="19">
                  <c:v>0.90081139261466692</c:v>
                </c:pt>
                <c:pt idx="20">
                  <c:v>0.9043757280059781</c:v>
                </c:pt>
                <c:pt idx="21">
                  <c:v>1.1471709690143339</c:v>
                </c:pt>
                <c:pt idx="22">
                  <c:v>1.3132757660775283</c:v>
                </c:pt>
                <c:pt idx="23">
                  <c:v>1.2072806302635191</c:v>
                </c:pt>
                <c:pt idx="24">
                  <c:v>1.0105390987552598</c:v>
                </c:pt>
                <c:pt idx="25">
                  <c:v>0.83497534264470652</c:v>
                </c:pt>
                <c:pt idx="26">
                  <c:v>0.68337878240299421</c:v>
                </c:pt>
                <c:pt idx="27">
                  <c:v>0.98263606153303984</c:v>
                </c:pt>
                <c:pt idx="28">
                  <c:v>1.0807248764415147</c:v>
                </c:pt>
                <c:pt idx="29">
                  <c:v>1.4488302971144027</c:v>
                </c:pt>
                <c:pt idx="30">
                  <c:v>1.7942073670744925</c:v>
                </c:pt>
                <c:pt idx="31">
                  <c:v>1.9095597675886249</c:v>
                </c:pt>
                <c:pt idx="32">
                  <c:v>1.6433729200723144</c:v>
                </c:pt>
                <c:pt idx="33">
                  <c:v>1.1374274984127641</c:v>
                </c:pt>
                <c:pt idx="34">
                  <c:v>0.87442937053944925</c:v>
                </c:pt>
                <c:pt idx="35">
                  <c:v>0.74027389065738036</c:v>
                </c:pt>
                <c:pt idx="36">
                  <c:v>0.76228964868389693</c:v>
                </c:pt>
                <c:pt idx="37">
                  <c:v>0.6415698580378949</c:v>
                </c:pt>
                <c:pt idx="38">
                  <c:v>0.81388571058483117</c:v>
                </c:pt>
                <c:pt idx="39">
                  <c:v>-0.65967761090897337</c:v>
                </c:pt>
                <c:pt idx="40">
                  <c:v>-3.4027762878414065</c:v>
                </c:pt>
                <c:pt idx="41">
                  <c:v>-6.2489334470989766</c:v>
                </c:pt>
                <c:pt idx="42">
                  <c:v>-8.1912893873259627</c:v>
                </c:pt>
                <c:pt idx="43">
                  <c:v>-8.4369769264995647</c:v>
                </c:pt>
                <c:pt idx="44">
                  <c:v>-8.0701308870054689</c:v>
                </c:pt>
                <c:pt idx="45">
                  <c:v>-7.4786775882452288</c:v>
                </c:pt>
                <c:pt idx="46">
                  <c:v>-6.3413402354723658</c:v>
                </c:pt>
                <c:pt idx="47">
                  <c:v>-5.5592239725812043</c:v>
                </c:pt>
                <c:pt idx="48">
                  <c:v>-4.9248809087577872</c:v>
                </c:pt>
                <c:pt idx="49">
                  <c:v>-4.3869977502575663</c:v>
                </c:pt>
                <c:pt idx="50">
                  <c:v>-4.215518516171282</c:v>
                </c:pt>
                <c:pt idx="51">
                  <c:v>-2.9307845137732915</c:v>
                </c:pt>
                <c:pt idx="52">
                  <c:v>-0.23298385754701129</c:v>
                </c:pt>
                <c:pt idx="53">
                  <c:v>2.9245228622499004</c:v>
                </c:pt>
                <c:pt idx="54">
                  <c:v>6.0225339377282809</c:v>
                </c:pt>
                <c:pt idx="55">
                  <c:v>6.9640374735569628</c:v>
                </c:pt>
                <c:pt idx="56">
                  <c:v>7.4028332727933144</c:v>
                </c:pt>
                <c:pt idx="57">
                  <c:v>7.2123681687440113</c:v>
                </c:pt>
                <c:pt idx="58">
                  <c:v>6.3879182984311651</c:v>
                </c:pt>
                <c:pt idx="59">
                  <c:v>5.8182112205884042</c:v>
                </c:pt>
                <c:pt idx="60">
                  <c:v>5.6084838062482074</c:v>
                </c:pt>
                <c:pt idx="61">
                  <c:v>5.0129566354025723</c:v>
                </c:pt>
                <c:pt idx="62">
                  <c:v>4.8530119377678025</c:v>
                </c:pt>
                <c:pt idx="63">
                  <c:v>4.7632718211361595</c:v>
                </c:pt>
                <c:pt idx="64">
                  <c:v>5.0140040011431841</c:v>
                </c:pt>
                <c:pt idx="65">
                  <c:v>4.9393079977311425</c:v>
                </c:pt>
                <c:pt idx="66">
                  <c:v>3.9424959445097079</c:v>
                </c:pt>
                <c:pt idx="67">
                  <c:v>3.1599148532542163</c:v>
                </c:pt>
                <c:pt idx="68">
                  <c:v>2.2927228127555224</c:v>
                </c:pt>
                <c:pt idx="69">
                  <c:v>1.5433924518967077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3-4344-ACFF-FED299714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30358720"/>
        <c:axId val="430359808"/>
      </c:barChart>
      <c:lineChart>
        <c:grouping val="standard"/>
        <c:varyColors val="0"/>
        <c:ser>
          <c:idx val="2"/>
          <c:order val="2"/>
          <c:tx>
            <c:strRef>
              <c:f>'G 4.3 - G 4.4 (set)'!$B$39</c:f>
              <c:strCache>
                <c:ptCount val="1"/>
                <c:pt idx="0">
                  <c:v>População ocupada Total</c:v>
                </c:pt>
              </c:strCache>
            </c:strRef>
          </c:tx>
          <c:spPr>
            <a:effectLst/>
          </c:spPr>
          <c:marker>
            <c:symbol val="none"/>
          </c:marker>
          <c:cat>
            <c:strRef>
              <c:f>'G 4.3 - G 4.4 (set)'!#REF!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'G 4.3 - G 4.4 (set)'!$BH$39:$DY$39</c:f>
              <c:numCache>
                <c:formatCode>#,##0.0</c:formatCode>
                <c:ptCount val="70"/>
                <c:pt idx="0">
                  <c:v>-2.3721106479727188</c:v>
                </c:pt>
                <c:pt idx="1">
                  <c:v>-2.2406675163121039</c:v>
                </c:pt>
                <c:pt idx="2">
                  <c:v>-2.2605552817479917</c:v>
                </c:pt>
                <c:pt idx="3">
                  <c:v>-2.0516382237509361</c:v>
                </c:pt>
                <c:pt idx="4">
                  <c:v>-1.5339760792499086</c:v>
                </c:pt>
                <c:pt idx="5">
                  <c:v>-1.1950302616057944</c:v>
                </c:pt>
                <c:pt idx="6">
                  <c:v>-0.53047180007499717</c:v>
                </c:pt>
                <c:pt idx="7">
                  <c:v>0.28340842918664477</c:v>
                </c:pt>
                <c:pt idx="8">
                  <c:v>1.0224131614879874</c:v>
                </c:pt>
                <c:pt idx="9">
                  <c:v>1.6109818416628652</c:v>
                </c:pt>
                <c:pt idx="10">
                  <c:v>1.9135987895375137</c:v>
                </c:pt>
                <c:pt idx="11">
                  <c:v>2.0821316058037826</c:v>
                </c:pt>
                <c:pt idx="12">
                  <c:v>2.2778184399050692</c:v>
                </c:pt>
                <c:pt idx="13">
                  <c:v>2.3544224812247836</c:v>
                </c:pt>
                <c:pt idx="14">
                  <c:v>2.3195616364675429</c:v>
                </c:pt>
                <c:pt idx="15">
                  <c:v>2.2859522550001605</c:v>
                </c:pt>
                <c:pt idx="16">
                  <c:v>2.1197846567967731</c:v>
                </c:pt>
                <c:pt idx="17">
                  <c:v>1.7316596931659645</c:v>
                </c:pt>
                <c:pt idx="18">
                  <c:v>1.4058740700497827</c:v>
                </c:pt>
                <c:pt idx="19">
                  <c:v>1.4582988353480135</c:v>
                </c:pt>
                <c:pt idx="20">
                  <c:v>1.5043625414826085</c:v>
                </c:pt>
                <c:pt idx="21">
                  <c:v>1.8199149756760344</c:v>
                </c:pt>
                <c:pt idx="22">
                  <c:v>1.8722094254554988</c:v>
                </c:pt>
                <c:pt idx="23">
                  <c:v>1.7267046998098372</c:v>
                </c:pt>
                <c:pt idx="24">
                  <c:v>1.4160558615604804</c:v>
                </c:pt>
                <c:pt idx="25">
                  <c:v>1.2998181996320417</c:v>
                </c:pt>
                <c:pt idx="26">
                  <c:v>1.4576557041320317</c:v>
                </c:pt>
                <c:pt idx="27">
                  <c:v>1.9179559409317883</c:v>
                </c:pt>
                <c:pt idx="28">
                  <c:v>2.381109280615044</c:v>
                </c:pt>
                <c:pt idx="29">
                  <c:v>2.8329512925408808</c:v>
                </c:pt>
                <c:pt idx="30">
                  <c:v>2.9520779348574751</c:v>
                </c:pt>
                <c:pt idx="31">
                  <c:v>2.7071137901769209</c:v>
                </c:pt>
                <c:pt idx="32">
                  <c:v>2.3145792510636443</c:v>
                </c:pt>
                <c:pt idx="33">
                  <c:v>1.9444952598220078</c:v>
                </c:pt>
                <c:pt idx="34">
                  <c:v>1.8485179708094925</c:v>
                </c:pt>
                <c:pt idx="35">
                  <c:v>1.9174482449206374</c:v>
                </c:pt>
                <c:pt idx="36">
                  <c:v>2.1179464152073009</c:v>
                </c:pt>
                <c:pt idx="37">
                  <c:v>2.2234640473708507</c:v>
                </c:pt>
                <c:pt idx="38">
                  <c:v>2.1933896073055426</c:v>
                </c:pt>
                <c:pt idx="39">
                  <c:v>0.53335636626683469</c:v>
                </c:pt>
                <c:pt idx="40">
                  <c:v>-3.3073011650110482</c:v>
                </c:pt>
                <c:pt idx="41">
                  <c:v>-7.5138651877133089</c:v>
                </c:pt>
                <c:pt idx="42">
                  <c:v>-10.73692930194029</c:v>
                </c:pt>
                <c:pt idx="43">
                  <c:v>-12.36201453482213</c:v>
                </c:pt>
                <c:pt idx="44">
                  <c:v>-12.611497317715774</c:v>
                </c:pt>
                <c:pt idx="45">
                  <c:v>-11.923661543658168</c:v>
                </c:pt>
                <c:pt idx="46">
                  <c:v>-10.26587965447219</c:v>
                </c:pt>
                <c:pt idx="47">
                  <c:v>-9.261180811034599</c:v>
                </c:pt>
                <c:pt idx="48">
                  <c:v>-8.679265036905198</c:v>
                </c:pt>
                <c:pt idx="49">
                  <c:v>-8.3135341981875914</c:v>
                </c:pt>
                <c:pt idx="50">
                  <c:v>-7.8036208462724712</c:v>
                </c:pt>
                <c:pt idx="51">
                  <c:v>-6.4780110615905055</c:v>
                </c:pt>
                <c:pt idx="52">
                  <c:v>-2.951128862262161</c:v>
                </c:pt>
                <c:pt idx="53">
                  <c:v>1.6548463356973984</c:v>
                </c:pt>
                <c:pt idx="54">
                  <c:v>6.3461469821893752</c:v>
                </c:pt>
                <c:pt idx="55">
                  <c:v>9.6004835297673026</c:v>
                </c:pt>
                <c:pt idx="56">
                  <c:v>11.060661096985109</c:v>
                </c:pt>
                <c:pt idx="57">
                  <c:v>11.429769894534992</c:v>
                </c:pt>
                <c:pt idx="58">
                  <c:v>10.168140140234048</c:v>
                </c:pt>
                <c:pt idx="59">
                  <c:v>9.6508149192011299</c:v>
                </c:pt>
                <c:pt idx="60">
                  <c:v>9.7701347090857009</c:v>
                </c:pt>
                <c:pt idx="61">
                  <c:v>9.4193592771802717</c:v>
                </c:pt>
                <c:pt idx="62">
                  <c:v>9.1056985083518569</c:v>
                </c:pt>
                <c:pt idx="63">
                  <c:v>9.4059690180632245</c:v>
                </c:pt>
                <c:pt idx="64">
                  <c:v>10.332094884252637</c:v>
                </c:pt>
                <c:pt idx="65">
                  <c:v>10.623936471922855</c:v>
                </c:pt>
                <c:pt idx="66">
                  <c:v>9.9390278010851993</c:v>
                </c:pt>
                <c:pt idx="67">
                  <c:v>8.8223940353160479</c:v>
                </c:pt>
                <c:pt idx="68">
                  <c:v>7.9476696647587914</c:v>
                </c:pt>
                <c:pt idx="69">
                  <c:v>6.7661894877227677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3-4344-ACFF-FED299714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358720"/>
        <c:axId val="430359808"/>
      </c:lineChart>
      <c:dateAx>
        <c:axId val="4303587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430359808"/>
        <c:crosses val="autoZero"/>
        <c:auto val="1"/>
        <c:lblOffset val="100"/>
        <c:baseTimeUnit val="months"/>
        <c:majorUnit val="3"/>
        <c:majorTimeUnit val="months"/>
      </c:dateAx>
      <c:valAx>
        <c:axId val="43035980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30358720"/>
        <c:crosses val="autoZero"/>
        <c:crossBetween val="between"/>
        <c:majorUnit val="3"/>
      </c:valAx>
      <c:spPr>
        <a:noFill/>
      </c:spPr>
    </c:plotArea>
    <c:legend>
      <c:legendPos val="b"/>
      <c:layout>
        <c:manualLayout>
          <c:xMode val="edge"/>
          <c:yMode val="edge"/>
          <c:x val="0.10231734646620609"/>
          <c:y val="1.2482906350709087E-2"/>
          <c:w val="0.59877224764810577"/>
          <c:h val="0.27900956284153006"/>
        </c:manualLayout>
      </c:layout>
      <c:overlay val="0"/>
      <c:txPr>
        <a:bodyPr/>
        <a:lstStyle/>
        <a:p>
          <a:pPr>
            <a:defRPr sz="1000" b="0"/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906274904389939E-2"/>
          <c:y val="7.2340017306463875E-2"/>
          <c:w val="0.87556569935546447"/>
          <c:h val="0.65928034082792075"/>
        </c:manualLayout>
      </c:layout>
      <c:lineChart>
        <c:grouping val="standard"/>
        <c:varyColors val="0"/>
        <c:ser>
          <c:idx val="1"/>
          <c:order val="0"/>
          <c:spPr>
            <a:ln>
              <a:solidFill>
                <a:srgbClr val="1A4B9F"/>
              </a:solidFill>
            </a:ln>
          </c:spPr>
          <c:marker>
            <c:symbol val="none"/>
          </c:marker>
          <c:cat>
            <c:numRef>
              <c:f>Emprego!$A$4:$A$170</c:f>
              <c:numCache>
                <c:formatCode>mmm\-yy</c:formatCode>
                <c:ptCount val="167"/>
                <c:pt idx="0">
                  <c:v>41000</c:v>
                </c:pt>
                <c:pt idx="1">
                  <c:v>41030</c:v>
                </c:pt>
                <c:pt idx="2">
                  <c:v>41061</c:v>
                </c:pt>
                <c:pt idx="3">
                  <c:v>41091</c:v>
                </c:pt>
                <c:pt idx="4">
                  <c:v>41122</c:v>
                </c:pt>
                <c:pt idx="5">
                  <c:v>41153</c:v>
                </c:pt>
                <c:pt idx="6">
                  <c:v>41183</c:v>
                </c:pt>
                <c:pt idx="7">
                  <c:v>41214</c:v>
                </c:pt>
                <c:pt idx="8">
                  <c:v>41244</c:v>
                </c:pt>
                <c:pt idx="9">
                  <c:v>41275</c:v>
                </c:pt>
                <c:pt idx="10">
                  <c:v>41306</c:v>
                </c:pt>
                <c:pt idx="11">
                  <c:v>41334</c:v>
                </c:pt>
                <c:pt idx="12">
                  <c:v>41365</c:v>
                </c:pt>
                <c:pt idx="13">
                  <c:v>41395</c:v>
                </c:pt>
                <c:pt idx="14">
                  <c:v>41426</c:v>
                </c:pt>
                <c:pt idx="15">
                  <c:v>41456</c:v>
                </c:pt>
                <c:pt idx="16">
                  <c:v>41487</c:v>
                </c:pt>
                <c:pt idx="17">
                  <c:v>41518</c:v>
                </c:pt>
                <c:pt idx="18">
                  <c:v>41548</c:v>
                </c:pt>
                <c:pt idx="19">
                  <c:v>41579</c:v>
                </c:pt>
                <c:pt idx="20">
                  <c:v>41609</c:v>
                </c:pt>
                <c:pt idx="21">
                  <c:v>41640</c:v>
                </c:pt>
                <c:pt idx="22">
                  <c:v>41671</c:v>
                </c:pt>
                <c:pt idx="23">
                  <c:v>41699</c:v>
                </c:pt>
                <c:pt idx="24">
                  <c:v>41730</c:v>
                </c:pt>
                <c:pt idx="25">
                  <c:v>41760</c:v>
                </c:pt>
                <c:pt idx="26">
                  <c:v>41791</c:v>
                </c:pt>
                <c:pt idx="27">
                  <c:v>41821</c:v>
                </c:pt>
                <c:pt idx="28">
                  <c:v>41852</c:v>
                </c:pt>
                <c:pt idx="29">
                  <c:v>41883</c:v>
                </c:pt>
                <c:pt idx="30">
                  <c:v>41913</c:v>
                </c:pt>
                <c:pt idx="31">
                  <c:v>41944</c:v>
                </c:pt>
                <c:pt idx="32">
                  <c:v>41974</c:v>
                </c:pt>
                <c:pt idx="33">
                  <c:v>42005</c:v>
                </c:pt>
                <c:pt idx="34">
                  <c:v>42036</c:v>
                </c:pt>
                <c:pt idx="35">
                  <c:v>42064</c:v>
                </c:pt>
                <c:pt idx="36">
                  <c:v>42095</c:v>
                </c:pt>
                <c:pt idx="37">
                  <c:v>42125</c:v>
                </c:pt>
                <c:pt idx="38">
                  <c:v>42156</c:v>
                </c:pt>
                <c:pt idx="39">
                  <c:v>42186</c:v>
                </c:pt>
                <c:pt idx="40">
                  <c:v>42217</c:v>
                </c:pt>
                <c:pt idx="41">
                  <c:v>42248</c:v>
                </c:pt>
                <c:pt idx="42">
                  <c:v>42278</c:v>
                </c:pt>
                <c:pt idx="43">
                  <c:v>42309</c:v>
                </c:pt>
                <c:pt idx="44">
                  <c:v>42339</c:v>
                </c:pt>
                <c:pt idx="45">
                  <c:v>42370</c:v>
                </c:pt>
                <c:pt idx="46">
                  <c:v>42401</c:v>
                </c:pt>
                <c:pt idx="47">
                  <c:v>42430</c:v>
                </c:pt>
                <c:pt idx="48">
                  <c:v>42461</c:v>
                </c:pt>
                <c:pt idx="49">
                  <c:v>42491</c:v>
                </c:pt>
                <c:pt idx="50">
                  <c:v>42522</c:v>
                </c:pt>
                <c:pt idx="51">
                  <c:v>42552</c:v>
                </c:pt>
                <c:pt idx="52">
                  <c:v>42583</c:v>
                </c:pt>
                <c:pt idx="53">
                  <c:v>42614</c:v>
                </c:pt>
                <c:pt idx="54">
                  <c:v>42644</c:v>
                </c:pt>
                <c:pt idx="55">
                  <c:v>42675</c:v>
                </c:pt>
                <c:pt idx="56">
                  <c:v>42705</c:v>
                </c:pt>
                <c:pt idx="57">
                  <c:v>42736</c:v>
                </c:pt>
                <c:pt idx="58">
                  <c:v>42767</c:v>
                </c:pt>
                <c:pt idx="59">
                  <c:v>42795</c:v>
                </c:pt>
                <c:pt idx="60">
                  <c:v>42826</c:v>
                </c:pt>
                <c:pt idx="61">
                  <c:v>42856</c:v>
                </c:pt>
                <c:pt idx="62">
                  <c:v>42887</c:v>
                </c:pt>
                <c:pt idx="63">
                  <c:v>42917</c:v>
                </c:pt>
                <c:pt idx="64">
                  <c:v>42948</c:v>
                </c:pt>
                <c:pt idx="65">
                  <c:v>42979</c:v>
                </c:pt>
                <c:pt idx="66">
                  <c:v>43009</c:v>
                </c:pt>
                <c:pt idx="67">
                  <c:v>43040</c:v>
                </c:pt>
                <c:pt idx="68">
                  <c:v>43070</c:v>
                </c:pt>
                <c:pt idx="69">
                  <c:v>43101</c:v>
                </c:pt>
                <c:pt idx="70">
                  <c:v>43132</c:v>
                </c:pt>
                <c:pt idx="71">
                  <c:v>43160</c:v>
                </c:pt>
                <c:pt idx="72">
                  <c:v>43191</c:v>
                </c:pt>
                <c:pt idx="73">
                  <c:v>43221</c:v>
                </c:pt>
                <c:pt idx="74">
                  <c:v>43252</c:v>
                </c:pt>
                <c:pt idx="75">
                  <c:v>43282</c:v>
                </c:pt>
                <c:pt idx="76">
                  <c:v>43313</c:v>
                </c:pt>
                <c:pt idx="77">
                  <c:v>43344</c:v>
                </c:pt>
                <c:pt idx="78">
                  <c:v>43374</c:v>
                </c:pt>
                <c:pt idx="79">
                  <c:v>43405</c:v>
                </c:pt>
                <c:pt idx="80">
                  <c:v>43435</c:v>
                </c:pt>
                <c:pt idx="81">
                  <c:v>43466</c:v>
                </c:pt>
                <c:pt idx="82">
                  <c:v>43497</c:v>
                </c:pt>
                <c:pt idx="83">
                  <c:v>43525</c:v>
                </c:pt>
                <c:pt idx="84">
                  <c:v>43556</c:v>
                </c:pt>
                <c:pt idx="85">
                  <c:v>43586</c:v>
                </c:pt>
                <c:pt idx="86">
                  <c:v>43617</c:v>
                </c:pt>
                <c:pt idx="87">
                  <c:v>43647</c:v>
                </c:pt>
                <c:pt idx="88">
                  <c:v>43678</c:v>
                </c:pt>
                <c:pt idx="89">
                  <c:v>43709</c:v>
                </c:pt>
                <c:pt idx="90">
                  <c:v>43739</c:v>
                </c:pt>
                <c:pt idx="91">
                  <c:v>43770</c:v>
                </c:pt>
                <c:pt idx="92">
                  <c:v>43800</c:v>
                </c:pt>
                <c:pt idx="93">
                  <c:v>43831</c:v>
                </c:pt>
                <c:pt idx="94">
                  <c:v>43862</c:v>
                </c:pt>
                <c:pt idx="95">
                  <c:v>43891</c:v>
                </c:pt>
                <c:pt idx="96">
                  <c:v>43922</c:v>
                </c:pt>
                <c:pt idx="97">
                  <c:v>43952</c:v>
                </c:pt>
                <c:pt idx="98">
                  <c:v>43983</c:v>
                </c:pt>
                <c:pt idx="99">
                  <c:v>44013</c:v>
                </c:pt>
                <c:pt idx="100">
                  <c:v>44044</c:v>
                </c:pt>
                <c:pt idx="101">
                  <c:v>44075</c:v>
                </c:pt>
                <c:pt idx="102">
                  <c:v>44105</c:v>
                </c:pt>
                <c:pt idx="103">
                  <c:v>44136</c:v>
                </c:pt>
                <c:pt idx="104">
                  <c:v>44166</c:v>
                </c:pt>
                <c:pt idx="105">
                  <c:v>44197</c:v>
                </c:pt>
                <c:pt idx="106">
                  <c:v>44228</c:v>
                </c:pt>
                <c:pt idx="107">
                  <c:v>44256</c:v>
                </c:pt>
                <c:pt idx="108">
                  <c:v>44287</c:v>
                </c:pt>
                <c:pt idx="109">
                  <c:v>44317</c:v>
                </c:pt>
                <c:pt idx="110">
                  <c:v>44348</c:v>
                </c:pt>
                <c:pt idx="111">
                  <c:v>44378</c:v>
                </c:pt>
                <c:pt idx="112">
                  <c:v>44409</c:v>
                </c:pt>
                <c:pt idx="113">
                  <c:v>44440</c:v>
                </c:pt>
                <c:pt idx="114">
                  <c:v>44470</c:v>
                </c:pt>
                <c:pt idx="115">
                  <c:v>44501</c:v>
                </c:pt>
                <c:pt idx="116">
                  <c:v>44531</c:v>
                </c:pt>
                <c:pt idx="117">
                  <c:v>44562</c:v>
                </c:pt>
                <c:pt idx="118">
                  <c:v>44593</c:v>
                </c:pt>
                <c:pt idx="119">
                  <c:v>44621</c:v>
                </c:pt>
                <c:pt idx="120">
                  <c:v>44652</c:v>
                </c:pt>
                <c:pt idx="121">
                  <c:v>44682</c:v>
                </c:pt>
                <c:pt idx="122">
                  <c:v>44713</c:v>
                </c:pt>
                <c:pt idx="123">
                  <c:v>44743</c:v>
                </c:pt>
                <c:pt idx="124">
                  <c:v>44774</c:v>
                </c:pt>
                <c:pt idx="125">
                  <c:v>44805</c:v>
                </c:pt>
                <c:pt idx="126">
                  <c:v>44835</c:v>
                </c:pt>
                <c:pt idx="127">
                  <c:v>44866</c:v>
                </c:pt>
                <c:pt idx="128">
                  <c:v>44896</c:v>
                </c:pt>
                <c:pt idx="129">
                  <c:v>44927</c:v>
                </c:pt>
                <c:pt idx="130">
                  <c:v>44958</c:v>
                </c:pt>
                <c:pt idx="131">
                  <c:v>44986</c:v>
                </c:pt>
                <c:pt idx="132">
                  <c:v>45017</c:v>
                </c:pt>
                <c:pt idx="133">
                  <c:v>45047</c:v>
                </c:pt>
                <c:pt idx="134">
                  <c:v>45078</c:v>
                </c:pt>
                <c:pt idx="135">
                  <c:v>45108</c:v>
                </c:pt>
                <c:pt idx="136">
                  <c:v>45139</c:v>
                </c:pt>
                <c:pt idx="137">
                  <c:v>45170</c:v>
                </c:pt>
                <c:pt idx="138">
                  <c:v>45200</c:v>
                </c:pt>
                <c:pt idx="139">
                  <c:v>45231</c:v>
                </c:pt>
                <c:pt idx="140">
                  <c:v>45261</c:v>
                </c:pt>
                <c:pt idx="141">
                  <c:v>45292</c:v>
                </c:pt>
                <c:pt idx="142">
                  <c:v>45323</c:v>
                </c:pt>
                <c:pt idx="143">
                  <c:v>45352</c:v>
                </c:pt>
                <c:pt idx="144">
                  <c:v>45383</c:v>
                </c:pt>
                <c:pt idx="145">
                  <c:v>45413</c:v>
                </c:pt>
                <c:pt idx="146">
                  <c:v>45444</c:v>
                </c:pt>
                <c:pt idx="147">
                  <c:v>45474</c:v>
                </c:pt>
                <c:pt idx="148">
                  <c:v>45505</c:v>
                </c:pt>
                <c:pt idx="149">
                  <c:v>45536</c:v>
                </c:pt>
                <c:pt idx="150">
                  <c:v>45566</c:v>
                </c:pt>
                <c:pt idx="151">
                  <c:v>45597</c:v>
                </c:pt>
                <c:pt idx="152">
                  <c:v>45627</c:v>
                </c:pt>
                <c:pt idx="153">
                  <c:v>45658</c:v>
                </c:pt>
                <c:pt idx="154">
                  <c:v>45689</c:v>
                </c:pt>
                <c:pt idx="155">
                  <c:v>45717</c:v>
                </c:pt>
                <c:pt idx="156">
                  <c:v>45748</c:v>
                </c:pt>
                <c:pt idx="157">
                  <c:v>45778</c:v>
                </c:pt>
                <c:pt idx="158">
                  <c:v>45809</c:v>
                </c:pt>
                <c:pt idx="159">
                  <c:v>45839</c:v>
                </c:pt>
                <c:pt idx="160">
                  <c:v>45870</c:v>
                </c:pt>
                <c:pt idx="161">
                  <c:v>45901</c:v>
                </c:pt>
                <c:pt idx="162">
                  <c:v>45931</c:v>
                </c:pt>
                <c:pt idx="163">
                  <c:v>45962</c:v>
                </c:pt>
                <c:pt idx="164">
                  <c:v>45992</c:v>
                </c:pt>
                <c:pt idx="165">
                  <c:v>46023</c:v>
                </c:pt>
                <c:pt idx="166">
                  <c:v>46054</c:v>
                </c:pt>
              </c:numCache>
            </c:numRef>
          </c:cat>
          <c:val>
            <c:numRef>
              <c:f>Emprego!$G$3:$G$170</c:f>
              <c:numCache>
                <c:formatCode>General</c:formatCode>
                <c:ptCount val="168"/>
                <c:pt idx="0">
                  <c:v>62.3</c:v>
                </c:pt>
                <c:pt idx="1">
                  <c:v>62.7</c:v>
                </c:pt>
                <c:pt idx="2">
                  <c:v>62.9</c:v>
                </c:pt>
                <c:pt idx="3">
                  <c:v>62.9</c:v>
                </c:pt>
                <c:pt idx="4">
                  <c:v>62.9</c:v>
                </c:pt>
                <c:pt idx="5">
                  <c:v>62.9</c:v>
                </c:pt>
                <c:pt idx="6">
                  <c:v>62.9</c:v>
                </c:pt>
                <c:pt idx="7">
                  <c:v>62.8</c:v>
                </c:pt>
                <c:pt idx="8">
                  <c:v>62.6</c:v>
                </c:pt>
                <c:pt idx="9">
                  <c:v>62.7</c:v>
                </c:pt>
                <c:pt idx="10">
                  <c:v>62.6</c:v>
                </c:pt>
                <c:pt idx="11">
                  <c:v>62.6</c:v>
                </c:pt>
                <c:pt idx="12">
                  <c:v>62.6</c:v>
                </c:pt>
                <c:pt idx="13">
                  <c:v>62.7</c:v>
                </c:pt>
                <c:pt idx="14">
                  <c:v>62.8</c:v>
                </c:pt>
                <c:pt idx="15">
                  <c:v>62.8</c:v>
                </c:pt>
                <c:pt idx="16">
                  <c:v>62.8</c:v>
                </c:pt>
                <c:pt idx="17">
                  <c:v>62.7</c:v>
                </c:pt>
                <c:pt idx="18">
                  <c:v>62.6</c:v>
                </c:pt>
                <c:pt idx="19">
                  <c:v>62.5</c:v>
                </c:pt>
                <c:pt idx="20">
                  <c:v>62.6</c:v>
                </c:pt>
                <c:pt idx="21">
                  <c:v>62.4</c:v>
                </c:pt>
                <c:pt idx="22">
                  <c:v>62.3</c:v>
                </c:pt>
                <c:pt idx="23">
                  <c:v>62.3</c:v>
                </c:pt>
                <c:pt idx="24">
                  <c:v>62.4</c:v>
                </c:pt>
                <c:pt idx="25">
                  <c:v>62.4</c:v>
                </c:pt>
                <c:pt idx="26">
                  <c:v>62.4</c:v>
                </c:pt>
                <c:pt idx="27">
                  <c:v>62.4</c:v>
                </c:pt>
                <c:pt idx="28">
                  <c:v>62.3</c:v>
                </c:pt>
                <c:pt idx="29">
                  <c:v>62.2</c:v>
                </c:pt>
                <c:pt idx="30">
                  <c:v>62.3</c:v>
                </c:pt>
                <c:pt idx="31">
                  <c:v>62.3</c:v>
                </c:pt>
                <c:pt idx="32">
                  <c:v>62.3</c:v>
                </c:pt>
                <c:pt idx="33">
                  <c:v>62.3</c:v>
                </c:pt>
                <c:pt idx="34">
                  <c:v>62.3</c:v>
                </c:pt>
                <c:pt idx="35">
                  <c:v>62.4</c:v>
                </c:pt>
                <c:pt idx="36">
                  <c:v>62.4</c:v>
                </c:pt>
                <c:pt idx="37">
                  <c:v>62.5</c:v>
                </c:pt>
                <c:pt idx="38">
                  <c:v>62.5</c:v>
                </c:pt>
                <c:pt idx="39">
                  <c:v>62.7</c:v>
                </c:pt>
                <c:pt idx="40">
                  <c:v>62.7</c:v>
                </c:pt>
                <c:pt idx="41">
                  <c:v>62.8</c:v>
                </c:pt>
                <c:pt idx="42">
                  <c:v>62.8</c:v>
                </c:pt>
                <c:pt idx="43">
                  <c:v>62.9</c:v>
                </c:pt>
                <c:pt idx="44">
                  <c:v>62.8</c:v>
                </c:pt>
                <c:pt idx="45">
                  <c:v>62.8</c:v>
                </c:pt>
                <c:pt idx="46">
                  <c:v>62.7</c:v>
                </c:pt>
                <c:pt idx="47">
                  <c:v>62.8</c:v>
                </c:pt>
                <c:pt idx="48">
                  <c:v>62.8</c:v>
                </c:pt>
                <c:pt idx="49">
                  <c:v>62.9</c:v>
                </c:pt>
                <c:pt idx="50">
                  <c:v>62.9</c:v>
                </c:pt>
                <c:pt idx="51">
                  <c:v>62.9</c:v>
                </c:pt>
                <c:pt idx="52">
                  <c:v>62.8</c:v>
                </c:pt>
                <c:pt idx="53">
                  <c:v>62.7</c:v>
                </c:pt>
                <c:pt idx="54">
                  <c:v>62.4</c:v>
                </c:pt>
                <c:pt idx="55">
                  <c:v>62.4</c:v>
                </c:pt>
                <c:pt idx="56">
                  <c:v>62.6</c:v>
                </c:pt>
                <c:pt idx="57">
                  <c:v>62.6</c:v>
                </c:pt>
                <c:pt idx="58">
                  <c:v>62.7</c:v>
                </c:pt>
                <c:pt idx="59">
                  <c:v>62.7</c:v>
                </c:pt>
                <c:pt idx="60">
                  <c:v>62.8</c:v>
                </c:pt>
                <c:pt idx="61">
                  <c:v>62.8</c:v>
                </c:pt>
                <c:pt idx="62">
                  <c:v>62.9</c:v>
                </c:pt>
                <c:pt idx="63">
                  <c:v>63</c:v>
                </c:pt>
                <c:pt idx="64">
                  <c:v>63</c:v>
                </c:pt>
                <c:pt idx="65">
                  <c:v>63.1</c:v>
                </c:pt>
                <c:pt idx="66">
                  <c:v>63.1</c:v>
                </c:pt>
                <c:pt idx="67">
                  <c:v>63.1</c:v>
                </c:pt>
                <c:pt idx="68">
                  <c:v>63.2</c:v>
                </c:pt>
                <c:pt idx="69">
                  <c:v>63.1</c:v>
                </c:pt>
                <c:pt idx="70">
                  <c:v>63.1</c:v>
                </c:pt>
                <c:pt idx="71">
                  <c:v>63</c:v>
                </c:pt>
                <c:pt idx="72">
                  <c:v>63</c:v>
                </c:pt>
                <c:pt idx="73">
                  <c:v>62.9</c:v>
                </c:pt>
                <c:pt idx="74">
                  <c:v>62.8</c:v>
                </c:pt>
                <c:pt idx="75">
                  <c:v>62.7</c:v>
                </c:pt>
                <c:pt idx="76">
                  <c:v>62.9</c:v>
                </c:pt>
                <c:pt idx="77">
                  <c:v>63</c:v>
                </c:pt>
                <c:pt idx="78">
                  <c:v>63.2</c:v>
                </c:pt>
                <c:pt idx="79">
                  <c:v>63.2</c:v>
                </c:pt>
                <c:pt idx="80">
                  <c:v>63.3</c:v>
                </c:pt>
                <c:pt idx="81">
                  <c:v>63.2</c:v>
                </c:pt>
                <c:pt idx="82">
                  <c:v>63.1</c:v>
                </c:pt>
                <c:pt idx="83">
                  <c:v>63.1</c:v>
                </c:pt>
                <c:pt idx="84">
                  <c:v>63.2</c:v>
                </c:pt>
                <c:pt idx="85">
                  <c:v>63.4</c:v>
                </c:pt>
                <c:pt idx="86">
                  <c:v>63.5</c:v>
                </c:pt>
                <c:pt idx="87">
                  <c:v>63.6</c:v>
                </c:pt>
                <c:pt idx="88">
                  <c:v>63.5</c:v>
                </c:pt>
                <c:pt idx="89">
                  <c:v>63.5</c:v>
                </c:pt>
                <c:pt idx="90">
                  <c:v>63.6</c:v>
                </c:pt>
                <c:pt idx="91">
                  <c:v>63.6</c:v>
                </c:pt>
                <c:pt idx="92">
                  <c:v>63.5</c:v>
                </c:pt>
                <c:pt idx="93">
                  <c:v>63.4</c:v>
                </c:pt>
                <c:pt idx="94">
                  <c:v>63.3</c:v>
                </c:pt>
                <c:pt idx="95">
                  <c:v>63.2</c:v>
                </c:pt>
                <c:pt idx="96">
                  <c:v>62.5</c:v>
                </c:pt>
                <c:pt idx="97">
                  <c:v>60.7</c:v>
                </c:pt>
                <c:pt idx="98">
                  <c:v>58.6</c:v>
                </c:pt>
                <c:pt idx="99">
                  <c:v>57.1</c:v>
                </c:pt>
                <c:pt idx="100">
                  <c:v>56.5</c:v>
                </c:pt>
                <c:pt idx="101">
                  <c:v>56.8</c:v>
                </c:pt>
                <c:pt idx="102">
                  <c:v>57.4</c:v>
                </c:pt>
                <c:pt idx="103">
                  <c:v>58.4</c:v>
                </c:pt>
                <c:pt idx="104">
                  <c:v>59.1</c:v>
                </c:pt>
                <c:pt idx="105">
                  <c:v>59.4</c:v>
                </c:pt>
                <c:pt idx="106">
                  <c:v>59.5</c:v>
                </c:pt>
                <c:pt idx="107">
                  <c:v>59.6</c:v>
                </c:pt>
                <c:pt idx="108">
                  <c:v>59.7</c:v>
                </c:pt>
                <c:pt idx="109">
                  <c:v>59.8</c:v>
                </c:pt>
                <c:pt idx="110">
                  <c:v>60.2</c:v>
                </c:pt>
                <c:pt idx="111">
                  <c:v>60.6</c:v>
                </c:pt>
                <c:pt idx="112">
                  <c:v>61.1</c:v>
                </c:pt>
                <c:pt idx="113">
                  <c:v>61.4</c:v>
                </c:pt>
                <c:pt idx="114">
                  <c:v>61.8</c:v>
                </c:pt>
                <c:pt idx="115">
                  <c:v>62</c:v>
                </c:pt>
                <c:pt idx="116">
                  <c:v>62.2</c:v>
                </c:pt>
                <c:pt idx="117">
                  <c:v>62.4</c:v>
                </c:pt>
                <c:pt idx="118">
                  <c:v>62.2</c:v>
                </c:pt>
                <c:pt idx="119">
                  <c:v>62.1</c:v>
                </c:pt>
                <c:pt idx="120">
                  <c:v>62</c:v>
                </c:pt>
                <c:pt idx="121">
                  <c:v>62.3</c:v>
                </c:pt>
                <c:pt idx="122">
                  <c:v>62.4</c:v>
                </c:pt>
                <c:pt idx="123">
                  <c:v>62.5</c:v>
                </c:pt>
                <c:pt idx="124">
                  <c:v>62.6</c:v>
                </c:pt>
                <c:pt idx="125">
                  <c:v>62.6</c:v>
                </c:pt>
                <c:pt idx="126">
                  <c:v>62.6</c:v>
                </c:pt>
                <c:pt idx="127">
                  <c:v>62.5</c:v>
                </c:pt>
                <c:pt idx="128">
                  <c:v>62.4</c:v>
                </c:pt>
                <c:pt idx="129">
                  <c:v>62</c:v>
                </c:pt>
                <c:pt idx="130">
                  <c:v>61.8</c:v>
                </c:pt>
                <c:pt idx="131">
                  <c:v>61.6</c:v>
                </c:pt>
                <c:pt idx="132">
                  <c:v>61.5</c:v>
                </c:pt>
                <c:pt idx="133">
                  <c:v>61.4</c:v>
                </c:pt>
                <c:pt idx="134">
                  <c:v>61.5</c:v>
                </c:pt>
                <c:pt idx="135">
                  <c:v>61.5</c:v>
                </c:pt>
                <c:pt idx="136">
                  <c:v>61.7</c:v>
                </c:pt>
                <c:pt idx="137">
                  <c:v>61.7</c:v>
                </c:pt>
                <c:pt idx="138">
                  <c:v>61.8</c:v>
                </c:pt>
                <c:pt idx="139">
                  <c:v>61.9</c:v>
                </c:pt>
                <c:pt idx="140">
                  <c:v>62</c:v>
                </c:pt>
                <c:pt idx="141">
                  <c:v>62.2</c:v>
                </c:pt>
                <c:pt idx="142">
                  <c:v>62</c:v>
                </c:pt>
                <c:pt idx="143">
                  <c:v>61.9</c:v>
                </c:pt>
                <c:pt idx="144">
                  <c:v>61.9</c:v>
                </c:pt>
                <c:pt idx="145">
                  <c:v>62</c:v>
                </c:pt>
                <c:pt idx="146">
                  <c:v>62</c:v>
                </c:pt>
                <c:pt idx="147">
                  <c:v>62.1</c:v>
                </c:pt>
                <c:pt idx="148">
                  <c:v>62.1</c:v>
                </c:pt>
                <c:pt idx="149">
                  <c:v>62.3</c:v>
                </c:pt>
                <c:pt idx="150">
                  <c:v>62.3</c:v>
                </c:pt>
                <c:pt idx="151">
                  <c:v>62.5</c:v>
                </c:pt>
                <c:pt idx="152">
                  <c:v>62.6</c:v>
                </c:pt>
                <c:pt idx="153">
                  <c:v>62.6</c:v>
                </c:pt>
                <c:pt idx="154">
                  <c:v>62.3</c:v>
                </c:pt>
                <c:pt idx="155">
                  <c:v>62.2</c:v>
                </c:pt>
                <c:pt idx="156">
                  <c:v>62.2</c:v>
                </c:pt>
                <c:pt idx="157">
                  <c:v>62.3</c:v>
                </c:pt>
                <c:pt idx="158">
                  <c:v>62.4</c:v>
                </c:pt>
                <c:pt idx="159">
                  <c:v>62.4</c:v>
                </c:pt>
                <c:pt idx="160" formatCode="0.000">
                  <c:v>62.3</c:v>
                </c:pt>
                <c:pt idx="161" formatCode="#,##0.000">
                  <c:v>62.3</c:v>
                </c:pt>
                <c:pt idx="162" formatCode="#,##0.0">
                  <c:v>62.2</c:v>
                </c:pt>
                <c:pt idx="163" formatCode="#,##0.0">
                  <c:v>62.1</c:v>
                </c:pt>
                <c:pt idx="164" formatCode="#,##0.0">
                  <c:v>62.2</c:v>
                </c:pt>
                <c:pt idx="165" formatCode="#,##0.0">
                  <c:v>62.1</c:v>
                </c:pt>
                <c:pt idx="166" formatCode="#,##0.0">
                  <c:v>62.1</c:v>
                </c:pt>
                <c:pt idx="167" formatCode="0.0">
                  <c:v>61.9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1-4A26-8F6B-1B44A0B87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47248"/>
        <c:axId val="472147792"/>
      </c:lineChart>
      <c:dateAx>
        <c:axId val="472147248"/>
        <c:scaling>
          <c:orientation val="minMax"/>
          <c:max val="46054"/>
          <c:min val="41671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200" b="0"/>
            </a:pPr>
            <a:endParaRPr lang="pt-BR"/>
          </a:p>
        </c:txPr>
        <c:crossAx val="472147792"/>
        <c:crosses val="autoZero"/>
        <c:auto val="1"/>
        <c:lblOffset val="100"/>
        <c:baseTimeUnit val="months"/>
        <c:majorUnit val="9"/>
        <c:majorTimeUnit val="months"/>
      </c:dateAx>
      <c:valAx>
        <c:axId val="472147792"/>
        <c:scaling>
          <c:orientation val="minMax"/>
          <c:max val="64"/>
          <c:min val="56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0"/>
            </a:pPr>
            <a:endParaRPr lang="pt-BR"/>
          </a:p>
        </c:txPr>
        <c:crossAx val="47214724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0750350505565249E-2"/>
          <c:y val="5.7067020373501823E-2"/>
          <c:w val="0.91079182630906774"/>
          <c:h val="0.721212667408643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A4B9F"/>
            </a:solidFill>
            <a:ln>
              <a:solidFill>
                <a:srgbClr val="1A4B9F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89F-49A6-8E1E-13BA522BF609}"/>
              </c:ext>
            </c:extLst>
          </c:dPt>
          <c:dPt>
            <c:idx val="9"/>
            <c:invertIfNegative val="0"/>
            <c:bubble3D val="0"/>
            <c:spPr>
              <a:solidFill>
                <a:srgbClr val="1A4B9F"/>
              </a:solidFill>
              <a:ln>
                <a:solidFill>
                  <a:srgbClr val="003397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789F-49A6-8E1E-13BA522BF609}"/>
              </c:ext>
            </c:extLst>
          </c:dPt>
          <c:dPt>
            <c:idx val="11"/>
            <c:invertIfNegative val="0"/>
            <c:bubble3D val="0"/>
            <c:spPr>
              <a:solidFill>
                <a:srgbClr val="1A4B9F"/>
              </a:solidFill>
              <a:ln>
                <a:solidFill>
                  <a:srgbClr val="1A4B9F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789F-49A6-8E1E-13BA522BF609}"/>
              </c:ext>
            </c:extLst>
          </c:dPt>
          <c:dPt>
            <c:idx val="12"/>
            <c:invertIfNegative val="0"/>
            <c:bubble3D val="0"/>
            <c:spPr>
              <a:solidFill>
                <a:srgbClr val="1A4B9F"/>
              </a:solidFill>
              <a:ln>
                <a:solidFill>
                  <a:srgbClr val="1A4B9F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789F-49A6-8E1E-13BA522BF609}"/>
              </c:ext>
            </c:extLst>
          </c:dPt>
          <c:dLbls>
            <c:dLbl>
              <c:idx val="8"/>
              <c:numFmt formatCode="#,##0.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200">
                      <a:solidFill>
                        <a:srgbClr val="1A4B9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89F-49A6-8E1E-13BA522BF609}"/>
                </c:ext>
              </c:extLst>
            </c:dLbl>
            <c:dLbl>
              <c:idx val="9"/>
              <c:numFmt formatCode="#,##0.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200">
                      <a:solidFill>
                        <a:srgbClr val="1A4B9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89F-49A6-8E1E-13BA522BF60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rgbClr val="1A4B9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Emprego!$P$141:$P$151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Emprego!$Q$141:$Q$151</c:f>
              <c:numCache>
                <c:formatCode>0.0</c:formatCode>
                <c:ptCount val="11"/>
                <c:pt idx="0">
                  <c:v>8.9</c:v>
                </c:pt>
                <c:pt idx="1">
                  <c:v>11.7</c:v>
                </c:pt>
                <c:pt idx="2">
                  <c:v>12.6</c:v>
                </c:pt>
                <c:pt idx="3">
                  <c:v>12.2</c:v>
                </c:pt>
                <c:pt idx="4">
                  <c:v>11.8</c:v>
                </c:pt>
                <c:pt idx="5">
                  <c:v>13.760311984303501</c:v>
                </c:pt>
                <c:pt idx="6">
                  <c:v>14</c:v>
                </c:pt>
                <c:pt idx="7">
                  <c:v>9.6</c:v>
                </c:pt>
                <c:pt idx="8">
                  <c:v>7.8</c:v>
                </c:pt>
                <c:pt idx="9">
                  <c:v>6.6</c:v>
                </c:pt>
                <c:pt idx="10" formatCode="General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9F-49A6-8E1E-13BA522BF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464384"/>
        <c:axId val="247763456"/>
      </c:barChart>
      <c:catAx>
        <c:axId val="15246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400" b="0"/>
            </a:pPr>
            <a:endParaRPr lang="pt-BR"/>
          </a:p>
        </c:txPr>
        <c:crossAx val="247763456"/>
        <c:crosses val="autoZero"/>
        <c:auto val="1"/>
        <c:lblAlgn val="ctr"/>
        <c:lblOffset val="100"/>
        <c:noMultiLvlLbl val="0"/>
      </c:catAx>
      <c:valAx>
        <c:axId val="247763456"/>
        <c:scaling>
          <c:orientation val="minMax"/>
          <c:max val="15"/>
          <c:min val="4"/>
        </c:scaling>
        <c:delete val="1"/>
        <c:axPos val="l"/>
        <c:numFmt formatCode="#,##0" sourceLinked="0"/>
        <c:majorTickMark val="out"/>
        <c:minorTickMark val="none"/>
        <c:tickLblPos val="nextTo"/>
        <c:crossAx val="15246438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217410323709539E-2"/>
          <c:y val="4.4562190142898805E-2"/>
          <c:w val="0.86445450568678905"/>
          <c:h val="0.73798410615339749"/>
        </c:manualLayout>
      </c:layout>
      <c:lineChart>
        <c:grouping val="standard"/>
        <c:varyColors val="0"/>
        <c:ser>
          <c:idx val="1"/>
          <c:order val="0"/>
          <c:spPr>
            <a:ln>
              <a:solidFill>
                <a:srgbClr val="003397"/>
              </a:solidFill>
            </a:ln>
          </c:spPr>
          <c:marker>
            <c:symbol val="none"/>
          </c:marker>
          <c:dPt>
            <c:idx val="157"/>
            <c:bubble3D val="0"/>
            <c:spPr>
              <a:ln>
                <a:solidFill>
                  <a:srgbClr val="1A4B9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FA1-45BE-B8D0-E5FBBF2E139A}"/>
              </c:ext>
            </c:extLst>
          </c:dPt>
          <c:dPt>
            <c:idx val="158"/>
            <c:bubble3D val="0"/>
            <c:extLst>
              <c:ext xmlns:c16="http://schemas.microsoft.com/office/drawing/2014/chart" uri="{C3380CC4-5D6E-409C-BE32-E72D297353CC}">
                <c16:uniqueId val="{00000003-1D32-4BF8-B675-ED5B0AD3E2FA}"/>
              </c:ext>
            </c:extLst>
          </c:dPt>
          <c:dPt>
            <c:idx val="159"/>
            <c:bubble3D val="0"/>
            <c:extLst>
              <c:ext xmlns:c16="http://schemas.microsoft.com/office/drawing/2014/chart" uri="{C3380CC4-5D6E-409C-BE32-E72D297353CC}">
                <c16:uniqueId val="{00000004-952B-4F72-9881-31957BCBFBC2}"/>
              </c:ext>
            </c:extLst>
          </c:dPt>
          <c:dPt>
            <c:idx val="160"/>
            <c:bubble3D val="0"/>
            <c:extLst>
              <c:ext xmlns:c16="http://schemas.microsoft.com/office/drawing/2014/chart" uri="{C3380CC4-5D6E-409C-BE32-E72D297353CC}">
                <c16:uniqueId val="{00000006-1C6E-4424-89B6-F802408BD112}"/>
              </c:ext>
            </c:extLst>
          </c:dPt>
          <c:dPt>
            <c:idx val="161"/>
            <c:bubble3D val="0"/>
            <c:extLst>
              <c:ext xmlns:c16="http://schemas.microsoft.com/office/drawing/2014/chart" uri="{C3380CC4-5D6E-409C-BE32-E72D297353CC}">
                <c16:uniqueId val="{00000007-1C6E-4424-89B6-F802408BD112}"/>
              </c:ext>
            </c:extLst>
          </c:dPt>
          <c:dPt>
            <c:idx val="162"/>
            <c:bubble3D val="0"/>
            <c:extLst>
              <c:ext xmlns:c16="http://schemas.microsoft.com/office/drawing/2014/chart" uri="{C3380CC4-5D6E-409C-BE32-E72D297353CC}">
                <c16:uniqueId val="{00000007-3814-4800-B805-0A63605C643F}"/>
              </c:ext>
            </c:extLst>
          </c:dPt>
          <c:dPt>
            <c:idx val="163"/>
            <c:bubble3D val="0"/>
            <c:extLst>
              <c:ext xmlns:c16="http://schemas.microsoft.com/office/drawing/2014/chart" uri="{C3380CC4-5D6E-409C-BE32-E72D297353CC}">
                <c16:uniqueId val="{00000008-6762-4507-B077-81981DA9EE5A}"/>
              </c:ext>
            </c:extLst>
          </c:dPt>
          <c:dPt>
            <c:idx val="165"/>
            <c:bubble3D val="0"/>
            <c:extLst>
              <c:ext xmlns:c16="http://schemas.microsoft.com/office/drawing/2014/chart" uri="{C3380CC4-5D6E-409C-BE32-E72D297353CC}">
                <c16:uniqueId val="{00000009-21F0-45A1-9EE1-9EF41DCC0FFC}"/>
              </c:ext>
            </c:extLst>
          </c:dPt>
          <c:dPt>
            <c:idx val="166"/>
            <c:bubble3D val="0"/>
            <c:extLst>
              <c:ext xmlns:c16="http://schemas.microsoft.com/office/drawing/2014/chart" uri="{C3380CC4-5D6E-409C-BE32-E72D297353CC}">
                <c16:uniqueId val="{0000000A-0322-428B-913C-5DE3DA5BC828}"/>
              </c:ext>
            </c:extLst>
          </c:dPt>
          <c:dPt>
            <c:idx val="167"/>
            <c:marker>
              <c:symbol val="circle"/>
              <c:size val="5"/>
              <c:spPr>
                <a:solidFill>
                  <a:srgbClr val="003397"/>
                </a:solidFill>
                <a:ln>
                  <a:solidFill>
                    <a:srgbClr val="003397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C10-4836-BE96-454B549CEBB2}"/>
              </c:ext>
            </c:extLst>
          </c:dPt>
          <c:dLbls>
            <c:dLbl>
              <c:idx val="165"/>
              <c:layout>
                <c:manualLayout>
                  <c:x val="-1.1456829520182288E-2"/>
                  <c:y val="-9.74269538621721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5,8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1F0-45A1-9EE1-9EF41DCC0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1A4B9F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Emprego!$A$3:$A$170</c:f>
              <c:numCache>
                <c:formatCode>mmm\-yy</c:formatCode>
                <c:ptCount val="168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  <c:pt idx="142">
                  <c:v>45292</c:v>
                </c:pt>
                <c:pt idx="143">
                  <c:v>45323</c:v>
                </c:pt>
                <c:pt idx="144">
                  <c:v>45352</c:v>
                </c:pt>
                <c:pt idx="145">
                  <c:v>45383</c:v>
                </c:pt>
                <c:pt idx="146">
                  <c:v>45413</c:v>
                </c:pt>
                <c:pt idx="147">
                  <c:v>45444</c:v>
                </c:pt>
                <c:pt idx="148">
                  <c:v>45474</c:v>
                </c:pt>
                <c:pt idx="149">
                  <c:v>45505</c:v>
                </c:pt>
                <c:pt idx="150">
                  <c:v>45536</c:v>
                </c:pt>
                <c:pt idx="151">
                  <c:v>45566</c:v>
                </c:pt>
                <c:pt idx="152">
                  <c:v>45597</c:v>
                </c:pt>
                <c:pt idx="153">
                  <c:v>45627</c:v>
                </c:pt>
                <c:pt idx="154">
                  <c:v>45658</c:v>
                </c:pt>
                <c:pt idx="155">
                  <c:v>45689</c:v>
                </c:pt>
                <c:pt idx="156">
                  <c:v>45717</c:v>
                </c:pt>
                <c:pt idx="157">
                  <c:v>45748</c:v>
                </c:pt>
                <c:pt idx="158">
                  <c:v>45778</c:v>
                </c:pt>
                <c:pt idx="159">
                  <c:v>45809</c:v>
                </c:pt>
                <c:pt idx="160">
                  <c:v>45839</c:v>
                </c:pt>
                <c:pt idx="161">
                  <c:v>45870</c:v>
                </c:pt>
                <c:pt idx="162">
                  <c:v>45901</c:v>
                </c:pt>
                <c:pt idx="163">
                  <c:v>45931</c:v>
                </c:pt>
                <c:pt idx="164">
                  <c:v>45962</c:v>
                </c:pt>
                <c:pt idx="165">
                  <c:v>45992</c:v>
                </c:pt>
                <c:pt idx="166">
                  <c:v>46023</c:v>
                </c:pt>
                <c:pt idx="167">
                  <c:v>46054</c:v>
                </c:pt>
              </c:numCache>
            </c:numRef>
          </c:cat>
          <c:val>
            <c:numRef>
              <c:f>Emprego!$H$3:$H$170</c:f>
              <c:numCache>
                <c:formatCode>General</c:formatCode>
                <c:ptCount val="168"/>
                <c:pt idx="0" formatCode="0.0">
                  <c:v>8</c:v>
                </c:pt>
                <c:pt idx="1">
                  <c:v>7.8</c:v>
                </c:pt>
                <c:pt idx="2">
                  <c:v>7.7</c:v>
                </c:pt>
                <c:pt idx="3">
                  <c:v>7.6</c:v>
                </c:pt>
                <c:pt idx="4">
                  <c:v>7.5</c:v>
                </c:pt>
                <c:pt idx="5">
                  <c:v>7.3</c:v>
                </c:pt>
                <c:pt idx="6">
                  <c:v>7.1</c:v>
                </c:pt>
                <c:pt idx="7">
                  <c:v>6.9</c:v>
                </c:pt>
                <c:pt idx="8">
                  <c:v>6.8</c:v>
                </c:pt>
                <c:pt idx="9">
                  <c:v>6.9</c:v>
                </c:pt>
                <c:pt idx="10">
                  <c:v>7.2</c:v>
                </c:pt>
                <c:pt idx="11">
                  <c:v>7.8</c:v>
                </c:pt>
                <c:pt idx="12">
                  <c:v>8</c:v>
                </c:pt>
                <c:pt idx="13">
                  <c:v>7.9</c:v>
                </c:pt>
                <c:pt idx="14">
                  <c:v>7.6</c:v>
                </c:pt>
                <c:pt idx="15">
                  <c:v>7.5</c:v>
                </c:pt>
                <c:pt idx="16">
                  <c:v>7.4</c:v>
                </c:pt>
                <c:pt idx="17">
                  <c:v>7.2</c:v>
                </c:pt>
                <c:pt idx="18">
                  <c:v>7</c:v>
                </c:pt>
                <c:pt idx="19">
                  <c:v>6.8</c:v>
                </c:pt>
                <c:pt idx="20">
                  <c:v>6.5</c:v>
                </c:pt>
                <c:pt idx="21">
                  <c:v>6.2</c:v>
                </c:pt>
                <c:pt idx="22">
                  <c:v>6.5</c:v>
                </c:pt>
                <c:pt idx="23">
                  <c:v>6.8</c:v>
                </c:pt>
                <c:pt idx="24">
                  <c:v>7.2</c:v>
                </c:pt>
                <c:pt idx="25">
                  <c:v>7.2</c:v>
                </c:pt>
                <c:pt idx="26">
                  <c:v>7</c:v>
                </c:pt>
                <c:pt idx="27">
                  <c:v>6.9</c:v>
                </c:pt>
                <c:pt idx="28">
                  <c:v>7</c:v>
                </c:pt>
                <c:pt idx="29">
                  <c:v>7</c:v>
                </c:pt>
                <c:pt idx="30">
                  <c:v>6.8</c:v>
                </c:pt>
                <c:pt idx="31">
                  <c:v>6.7</c:v>
                </c:pt>
                <c:pt idx="32">
                  <c:v>6.6</c:v>
                </c:pt>
                <c:pt idx="33">
                  <c:v>6.6</c:v>
                </c:pt>
                <c:pt idx="34">
                  <c:v>6.9</c:v>
                </c:pt>
                <c:pt idx="35">
                  <c:v>7.5</c:v>
                </c:pt>
                <c:pt idx="36">
                  <c:v>8</c:v>
                </c:pt>
                <c:pt idx="37">
                  <c:v>8.1</c:v>
                </c:pt>
                <c:pt idx="38">
                  <c:v>8.1999999999999993</c:v>
                </c:pt>
                <c:pt idx="39">
                  <c:v>8.4</c:v>
                </c:pt>
                <c:pt idx="40">
                  <c:v>8.6</c:v>
                </c:pt>
                <c:pt idx="41">
                  <c:v>8.8000000000000007</c:v>
                </c:pt>
                <c:pt idx="42">
                  <c:v>9</c:v>
                </c:pt>
                <c:pt idx="43">
                  <c:v>9.1</c:v>
                </c:pt>
                <c:pt idx="44">
                  <c:v>9.1</c:v>
                </c:pt>
                <c:pt idx="45">
                  <c:v>9.1</c:v>
                </c:pt>
                <c:pt idx="46">
                  <c:v>9.6</c:v>
                </c:pt>
                <c:pt idx="47">
                  <c:v>10.3</c:v>
                </c:pt>
                <c:pt idx="48">
                  <c:v>11</c:v>
                </c:pt>
                <c:pt idx="49">
                  <c:v>11.3</c:v>
                </c:pt>
                <c:pt idx="50">
                  <c:v>11.3</c:v>
                </c:pt>
                <c:pt idx="51">
                  <c:v>11.4</c:v>
                </c:pt>
                <c:pt idx="52">
                  <c:v>11.7</c:v>
                </c:pt>
                <c:pt idx="53">
                  <c:v>11.9</c:v>
                </c:pt>
                <c:pt idx="54">
                  <c:v>11.9</c:v>
                </c:pt>
                <c:pt idx="55">
                  <c:v>11.9</c:v>
                </c:pt>
                <c:pt idx="56">
                  <c:v>12</c:v>
                </c:pt>
                <c:pt idx="57">
                  <c:v>12.1</c:v>
                </c:pt>
                <c:pt idx="58">
                  <c:v>12.7</c:v>
                </c:pt>
                <c:pt idx="59">
                  <c:v>13.3</c:v>
                </c:pt>
                <c:pt idx="60">
                  <c:v>13.9</c:v>
                </c:pt>
                <c:pt idx="61">
                  <c:v>13.7</c:v>
                </c:pt>
                <c:pt idx="62">
                  <c:v>13.4</c:v>
                </c:pt>
                <c:pt idx="63">
                  <c:v>13.1</c:v>
                </c:pt>
                <c:pt idx="64">
                  <c:v>12.9</c:v>
                </c:pt>
                <c:pt idx="65">
                  <c:v>12.7</c:v>
                </c:pt>
                <c:pt idx="66">
                  <c:v>12.5</c:v>
                </c:pt>
                <c:pt idx="67">
                  <c:v>12.3</c:v>
                </c:pt>
                <c:pt idx="68">
                  <c:v>12.1</c:v>
                </c:pt>
                <c:pt idx="69">
                  <c:v>11.9</c:v>
                </c:pt>
                <c:pt idx="70">
                  <c:v>12.3</c:v>
                </c:pt>
                <c:pt idx="71">
                  <c:v>12.7</c:v>
                </c:pt>
                <c:pt idx="72">
                  <c:v>13.2</c:v>
                </c:pt>
                <c:pt idx="73">
                  <c:v>13</c:v>
                </c:pt>
                <c:pt idx="74">
                  <c:v>12.8</c:v>
                </c:pt>
                <c:pt idx="75">
                  <c:v>12.6</c:v>
                </c:pt>
                <c:pt idx="76">
                  <c:v>12.4</c:v>
                </c:pt>
                <c:pt idx="77">
                  <c:v>12.2</c:v>
                </c:pt>
                <c:pt idx="78">
                  <c:v>12</c:v>
                </c:pt>
                <c:pt idx="79">
                  <c:v>11.8</c:v>
                </c:pt>
                <c:pt idx="80">
                  <c:v>11.7</c:v>
                </c:pt>
                <c:pt idx="81">
                  <c:v>11.7</c:v>
                </c:pt>
                <c:pt idx="82">
                  <c:v>12.2</c:v>
                </c:pt>
                <c:pt idx="83">
                  <c:v>12.5</c:v>
                </c:pt>
                <c:pt idx="84">
                  <c:v>12.8</c:v>
                </c:pt>
                <c:pt idx="85">
                  <c:v>12.6</c:v>
                </c:pt>
                <c:pt idx="86">
                  <c:v>12.4</c:v>
                </c:pt>
                <c:pt idx="87">
                  <c:v>12.1</c:v>
                </c:pt>
                <c:pt idx="88">
                  <c:v>11.9</c:v>
                </c:pt>
                <c:pt idx="89">
                  <c:v>11.9</c:v>
                </c:pt>
                <c:pt idx="90">
                  <c:v>11.9</c:v>
                </c:pt>
                <c:pt idx="91">
                  <c:v>11.7</c:v>
                </c:pt>
                <c:pt idx="92">
                  <c:v>11.3</c:v>
                </c:pt>
                <c:pt idx="93">
                  <c:v>11.1</c:v>
                </c:pt>
                <c:pt idx="94">
                  <c:v>11.3</c:v>
                </c:pt>
                <c:pt idx="95">
                  <c:v>11.7</c:v>
                </c:pt>
                <c:pt idx="96">
                  <c:v>12.4</c:v>
                </c:pt>
                <c:pt idx="97">
                  <c:v>12.7</c:v>
                </c:pt>
                <c:pt idx="98">
                  <c:v>13.1</c:v>
                </c:pt>
                <c:pt idx="99">
                  <c:v>13.6</c:v>
                </c:pt>
                <c:pt idx="100">
                  <c:v>14.1</c:v>
                </c:pt>
                <c:pt idx="101">
                  <c:v>14.8</c:v>
                </c:pt>
                <c:pt idx="102">
                  <c:v>14.9</c:v>
                </c:pt>
                <c:pt idx="103">
                  <c:v>14.6</c:v>
                </c:pt>
                <c:pt idx="104">
                  <c:v>14.3</c:v>
                </c:pt>
                <c:pt idx="105">
                  <c:v>14.2</c:v>
                </c:pt>
                <c:pt idx="106">
                  <c:v>14.4</c:v>
                </c:pt>
                <c:pt idx="107">
                  <c:v>14.6</c:v>
                </c:pt>
                <c:pt idx="108">
                  <c:v>14.9</c:v>
                </c:pt>
                <c:pt idx="109">
                  <c:v>14.8</c:v>
                </c:pt>
                <c:pt idx="110">
                  <c:v>14.7</c:v>
                </c:pt>
                <c:pt idx="111">
                  <c:v>14.2</c:v>
                </c:pt>
                <c:pt idx="112">
                  <c:v>13.7</c:v>
                </c:pt>
                <c:pt idx="113">
                  <c:v>13.2</c:v>
                </c:pt>
                <c:pt idx="114">
                  <c:v>12.7</c:v>
                </c:pt>
                <c:pt idx="115">
                  <c:v>12.1</c:v>
                </c:pt>
                <c:pt idx="116">
                  <c:v>11.6</c:v>
                </c:pt>
                <c:pt idx="117">
                  <c:v>11.1</c:v>
                </c:pt>
                <c:pt idx="118">
                  <c:v>11.2</c:v>
                </c:pt>
                <c:pt idx="119">
                  <c:v>11.2</c:v>
                </c:pt>
                <c:pt idx="120">
                  <c:v>11.1</c:v>
                </c:pt>
                <c:pt idx="121">
                  <c:v>10.5</c:v>
                </c:pt>
                <c:pt idx="122">
                  <c:v>9.8000000000000007</c:v>
                </c:pt>
                <c:pt idx="123">
                  <c:v>9.3000000000000007</c:v>
                </c:pt>
                <c:pt idx="124">
                  <c:v>9.1</c:v>
                </c:pt>
                <c:pt idx="125">
                  <c:v>8.9</c:v>
                </c:pt>
                <c:pt idx="126">
                  <c:v>8.6999999999999993</c:v>
                </c:pt>
                <c:pt idx="127">
                  <c:v>8.3000000000000007</c:v>
                </c:pt>
                <c:pt idx="128">
                  <c:v>8.1</c:v>
                </c:pt>
                <c:pt idx="129">
                  <c:v>7.9</c:v>
                </c:pt>
                <c:pt idx="130">
                  <c:v>8.4</c:v>
                </c:pt>
                <c:pt idx="131">
                  <c:v>8.6</c:v>
                </c:pt>
                <c:pt idx="132">
                  <c:v>8.8000000000000007</c:v>
                </c:pt>
                <c:pt idx="133">
                  <c:v>8.5</c:v>
                </c:pt>
                <c:pt idx="134">
                  <c:v>8.3000000000000007</c:v>
                </c:pt>
                <c:pt idx="135">
                  <c:v>8</c:v>
                </c:pt>
                <c:pt idx="136">
                  <c:v>7.9</c:v>
                </c:pt>
                <c:pt idx="137">
                  <c:v>7.8</c:v>
                </c:pt>
                <c:pt idx="138">
                  <c:v>7.7</c:v>
                </c:pt>
                <c:pt idx="139">
                  <c:v>7.6</c:v>
                </c:pt>
                <c:pt idx="140">
                  <c:v>7.5</c:v>
                </c:pt>
                <c:pt idx="141">
                  <c:v>7.4</c:v>
                </c:pt>
                <c:pt idx="142">
                  <c:v>7.6</c:v>
                </c:pt>
                <c:pt idx="143">
                  <c:v>7.8</c:v>
                </c:pt>
                <c:pt idx="144">
                  <c:v>7.9</c:v>
                </c:pt>
                <c:pt idx="145">
                  <c:v>7.5</c:v>
                </c:pt>
                <c:pt idx="146">
                  <c:v>7.1</c:v>
                </c:pt>
                <c:pt idx="147">
                  <c:v>6.9</c:v>
                </c:pt>
                <c:pt idx="148">
                  <c:v>6.8</c:v>
                </c:pt>
                <c:pt idx="149">
                  <c:v>6.6</c:v>
                </c:pt>
                <c:pt idx="150">
                  <c:v>6.4</c:v>
                </c:pt>
                <c:pt idx="151">
                  <c:v>6.2</c:v>
                </c:pt>
                <c:pt idx="152" formatCode="#,##0.0">
                  <c:v>6.1</c:v>
                </c:pt>
                <c:pt idx="153" formatCode="#,##0.0">
                  <c:v>6.2</c:v>
                </c:pt>
                <c:pt idx="154" formatCode="#,##0.0">
                  <c:v>6.5</c:v>
                </c:pt>
                <c:pt idx="155" formatCode="#,##0.0">
                  <c:v>6.8</c:v>
                </c:pt>
                <c:pt idx="156" formatCode="#,##0.0">
                  <c:v>7</c:v>
                </c:pt>
                <c:pt idx="157" formatCode="#,##0.0">
                  <c:v>6.6</c:v>
                </c:pt>
                <c:pt idx="158" formatCode="#,##0.0">
                  <c:v>6.2</c:v>
                </c:pt>
                <c:pt idx="159" formatCode="#,##0.0">
                  <c:v>5.8</c:v>
                </c:pt>
                <c:pt idx="160" formatCode="#,##0.0">
                  <c:v>5.6</c:v>
                </c:pt>
                <c:pt idx="161" formatCode="#,##0.0">
                  <c:v>5.6</c:v>
                </c:pt>
                <c:pt idx="162" formatCode="#,##0.0">
                  <c:v>5.6</c:v>
                </c:pt>
                <c:pt idx="163" formatCode="#,##0.0">
                  <c:v>5.4</c:v>
                </c:pt>
                <c:pt idx="164" formatCode="#,##0.0">
                  <c:v>5.2</c:v>
                </c:pt>
                <c:pt idx="165" formatCode="#,##0.0">
                  <c:v>5.0999999999999996</c:v>
                </c:pt>
                <c:pt idx="166" formatCode="#,##0.0">
                  <c:v>5.4</c:v>
                </c:pt>
                <c:pt idx="167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F-45F6-87B6-53FE47DF5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47248"/>
        <c:axId val="472147792"/>
      </c:lineChart>
      <c:dateAx>
        <c:axId val="472147248"/>
        <c:scaling>
          <c:orientation val="minMax"/>
          <c:max val="46054"/>
          <c:min val="41671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200" b="0">
                <a:solidFill>
                  <a:schemeClr val="tx1"/>
                </a:solidFill>
              </a:defRPr>
            </a:pPr>
            <a:endParaRPr lang="pt-BR"/>
          </a:p>
        </c:txPr>
        <c:crossAx val="472147792"/>
        <c:crosses val="autoZero"/>
        <c:auto val="1"/>
        <c:lblOffset val="100"/>
        <c:baseTimeUnit val="months"/>
        <c:majorUnit val="9"/>
        <c:majorTimeUnit val="months"/>
      </c:dateAx>
      <c:valAx>
        <c:axId val="472147792"/>
        <c:scaling>
          <c:orientation val="minMax"/>
          <c:max val="15"/>
          <c:min val="4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0">
                <a:solidFill>
                  <a:schemeClr val="tx1"/>
                </a:solidFill>
              </a:defRPr>
            </a:pPr>
            <a:endParaRPr lang="pt-BR"/>
          </a:p>
        </c:txPr>
        <c:crossAx val="47214724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A4B9F"/>
            </a:solidFill>
            <a:ln>
              <a:solidFill>
                <a:srgbClr val="1A4B9F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dLbl>
              <c:idx val="0"/>
              <c:layout>
                <c:manualLayout>
                  <c:x val="-1.2026515151515156E-2"/>
                  <c:y val="-2.59948467816485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15-402C-BA6F-AA846FB97F96}"/>
                </c:ext>
              </c:extLst>
            </c:dLbl>
            <c:dLbl>
              <c:idx val="2"/>
              <c:layout>
                <c:manualLayout>
                  <c:x val="-1.603535353535357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15-402C-BA6F-AA846FB97F96}"/>
                </c:ext>
              </c:extLst>
            </c:dLbl>
            <c:dLbl>
              <c:idx val="7"/>
              <c:layout>
                <c:manualLayout>
                  <c:x val="-1.6035353535353535E-2"/>
                  <c:y val="1.0397938712659416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15-402C-BA6F-AA846FB97F9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solidFill>
                      <a:srgbClr val="1A4B9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Renda!$E$178:$E$190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Renda!$F$178:$F$190</c:f>
              <c:numCache>
                <c:formatCode>0.0</c:formatCode>
                <c:ptCount val="13"/>
                <c:pt idx="0">
                  <c:v>3.5569748565244197</c:v>
                </c:pt>
                <c:pt idx="1">
                  <c:v>5.6747427763957692</c:v>
                </c:pt>
                <c:pt idx="2">
                  <c:v>0.26151847866588973</c:v>
                </c:pt>
                <c:pt idx="3">
                  <c:v>-3.9806196165601548</c:v>
                </c:pt>
                <c:pt idx="4">
                  <c:v>-0.48795662286269526</c:v>
                </c:pt>
                <c:pt idx="5">
                  <c:v>2.9671767656573866</c:v>
                </c:pt>
                <c:pt idx="6">
                  <c:v>2.9575709651114002</c:v>
                </c:pt>
                <c:pt idx="7">
                  <c:v>1.5158528515246017</c:v>
                </c:pt>
                <c:pt idx="8">
                  <c:v>-6.4352589910562248</c:v>
                </c:pt>
                <c:pt idx="9">
                  <c:v>2.9239871633368608E-2</c:v>
                </c:pt>
                <c:pt idx="10">
                  <c:v>10.608083724287255</c:v>
                </c:pt>
                <c:pt idx="11" formatCode="#,##0.0">
                  <c:v>6.5632392045547272</c:v>
                </c:pt>
                <c:pt idx="12" formatCode="#,##0.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15-402C-BA6F-AA846FB97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6130048"/>
        <c:axId val="476119712"/>
      </c:barChart>
      <c:catAx>
        <c:axId val="4761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476119712"/>
        <c:crosses val="autoZero"/>
        <c:auto val="1"/>
        <c:lblAlgn val="ctr"/>
        <c:lblOffset val="100"/>
        <c:noMultiLvlLbl val="0"/>
      </c:catAx>
      <c:valAx>
        <c:axId val="476119712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4761300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455537642242412"/>
          <c:y val="4.440213838885175E-2"/>
          <c:w val="0.84970680033748325"/>
          <c:h val="0.7094833218374320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1A4B9F"/>
              </a:solidFill>
            </a:ln>
            <a:effectLst/>
          </c:spPr>
          <c:marker>
            <c:symbol val="none"/>
          </c:marker>
          <c:cat>
            <c:numRef>
              <c:f>Renda!$A$5:$A$172</c:f>
              <c:numCache>
                <c:formatCode>mmm\-yy</c:formatCode>
                <c:ptCount val="168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  <c:pt idx="142">
                  <c:v>45292</c:v>
                </c:pt>
                <c:pt idx="143">
                  <c:v>45323</c:v>
                </c:pt>
                <c:pt idx="144">
                  <c:v>45352</c:v>
                </c:pt>
                <c:pt idx="145">
                  <c:v>45383</c:v>
                </c:pt>
                <c:pt idx="146">
                  <c:v>45413</c:v>
                </c:pt>
                <c:pt idx="147">
                  <c:v>45444</c:v>
                </c:pt>
                <c:pt idx="148">
                  <c:v>45474</c:v>
                </c:pt>
                <c:pt idx="149">
                  <c:v>45505</c:v>
                </c:pt>
                <c:pt idx="150">
                  <c:v>45536</c:v>
                </c:pt>
                <c:pt idx="151">
                  <c:v>45566</c:v>
                </c:pt>
                <c:pt idx="152">
                  <c:v>45597</c:v>
                </c:pt>
                <c:pt idx="153">
                  <c:v>45627</c:v>
                </c:pt>
                <c:pt idx="154">
                  <c:v>45658</c:v>
                </c:pt>
                <c:pt idx="155">
                  <c:v>45689</c:v>
                </c:pt>
                <c:pt idx="156">
                  <c:v>45717</c:v>
                </c:pt>
                <c:pt idx="157">
                  <c:v>45748</c:v>
                </c:pt>
                <c:pt idx="158">
                  <c:v>45778</c:v>
                </c:pt>
                <c:pt idx="159">
                  <c:v>45809</c:v>
                </c:pt>
                <c:pt idx="160">
                  <c:v>45839</c:v>
                </c:pt>
                <c:pt idx="161">
                  <c:v>45870</c:v>
                </c:pt>
                <c:pt idx="162">
                  <c:v>45901</c:v>
                </c:pt>
                <c:pt idx="163">
                  <c:v>45931</c:v>
                </c:pt>
                <c:pt idx="164">
                  <c:v>45962</c:v>
                </c:pt>
                <c:pt idx="165">
                  <c:v>45992</c:v>
                </c:pt>
                <c:pt idx="166">
                  <c:v>46023</c:v>
                </c:pt>
                <c:pt idx="167">
                  <c:v>46054</c:v>
                </c:pt>
              </c:numCache>
            </c:numRef>
          </c:cat>
          <c:val>
            <c:numRef>
              <c:f>Renda!$F$5:$F$172</c:f>
              <c:numCache>
                <c:formatCode>#,##0</c:formatCode>
                <c:ptCount val="168"/>
                <c:pt idx="0">
                  <c:v>262.41399999999999</c:v>
                </c:pt>
                <c:pt idx="1">
                  <c:v>265.20400000000001</c:v>
                </c:pt>
                <c:pt idx="2">
                  <c:v>265.46600000000001</c:v>
                </c:pt>
                <c:pt idx="3">
                  <c:v>266.43400000000003</c:v>
                </c:pt>
                <c:pt idx="4">
                  <c:v>268.15899999999999</c:v>
                </c:pt>
                <c:pt idx="5">
                  <c:v>269.89800000000002</c:v>
                </c:pt>
                <c:pt idx="6">
                  <c:v>270.31400000000002</c:v>
                </c:pt>
                <c:pt idx="7">
                  <c:v>270.67899999999997</c:v>
                </c:pt>
                <c:pt idx="8">
                  <c:v>270.82600000000002</c:v>
                </c:pt>
                <c:pt idx="9">
                  <c:v>270.233</c:v>
                </c:pt>
                <c:pt idx="10">
                  <c:v>270.411</c:v>
                </c:pt>
                <c:pt idx="11">
                  <c:v>270.86700000000002</c:v>
                </c:pt>
                <c:pt idx="12">
                  <c:v>271.74799999999999</c:v>
                </c:pt>
                <c:pt idx="13">
                  <c:v>273.52699999999999</c:v>
                </c:pt>
                <c:pt idx="14">
                  <c:v>274.96199999999999</c:v>
                </c:pt>
                <c:pt idx="15">
                  <c:v>278.09699999999998</c:v>
                </c:pt>
                <c:pt idx="16">
                  <c:v>280.78100000000001</c:v>
                </c:pt>
                <c:pt idx="17">
                  <c:v>283.21100000000001</c:v>
                </c:pt>
                <c:pt idx="18">
                  <c:v>283.90800000000002</c:v>
                </c:pt>
                <c:pt idx="19">
                  <c:v>285.28399999999999</c:v>
                </c:pt>
                <c:pt idx="20">
                  <c:v>285.18299999999999</c:v>
                </c:pt>
                <c:pt idx="21">
                  <c:v>283.32299999999998</c:v>
                </c:pt>
                <c:pt idx="22">
                  <c:v>282.01600000000002</c:v>
                </c:pt>
                <c:pt idx="23">
                  <c:v>284.32299999999998</c:v>
                </c:pt>
                <c:pt idx="24">
                  <c:v>287.16899999999998</c:v>
                </c:pt>
                <c:pt idx="25">
                  <c:v>287.79300000000001</c:v>
                </c:pt>
                <c:pt idx="26">
                  <c:v>287.96300000000002</c:v>
                </c:pt>
                <c:pt idx="27">
                  <c:v>286.98399999999998</c:v>
                </c:pt>
                <c:pt idx="28">
                  <c:v>286.30399999999997</c:v>
                </c:pt>
                <c:pt idx="29">
                  <c:v>288.29899999999998</c:v>
                </c:pt>
                <c:pt idx="30">
                  <c:v>290.495</c:v>
                </c:pt>
                <c:pt idx="31">
                  <c:v>292.65699999999998</c:v>
                </c:pt>
                <c:pt idx="32">
                  <c:v>291.31900000000002</c:v>
                </c:pt>
                <c:pt idx="33">
                  <c:v>291.57600000000002</c:v>
                </c:pt>
                <c:pt idx="34">
                  <c:v>291.03899999999999</c:v>
                </c:pt>
                <c:pt idx="35">
                  <c:v>288.988</c:v>
                </c:pt>
                <c:pt idx="36">
                  <c:v>287.92</c:v>
                </c:pt>
                <c:pt idx="37">
                  <c:v>287.90600000000001</c:v>
                </c:pt>
                <c:pt idx="38">
                  <c:v>286.55700000000002</c:v>
                </c:pt>
                <c:pt idx="39">
                  <c:v>287.48200000000003</c:v>
                </c:pt>
                <c:pt idx="40">
                  <c:v>285.42899999999997</c:v>
                </c:pt>
                <c:pt idx="41">
                  <c:v>283.892</c:v>
                </c:pt>
                <c:pt idx="42">
                  <c:v>284.09500000000003</c:v>
                </c:pt>
                <c:pt idx="43">
                  <c:v>283.71300000000002</c:v>
                </c:pt>
                <c:pt idx="44">
                  <c:v>281.57499999999999</c:v>
                </c:pt>
                <c:pt idx="45">
                  <c:v>280.53500000000003</c:v>
                </c:pt>
                <c:pt idx="46">
                  <c:v>279.81900000000002</c:v>
                </c:pt>
                <c:pt idx="47">
                  <c:v>276.67200000000003</c:v>
                </c:pt>
                <c:pt idx="48">
                  <c:v>276.459</c:v>
                </c:pt>
                <c:pt idx="49">
                  <c:v>274.76400000000001</c:v>
                </c:pt>
                <c:pt idx="50">
                  <c:v>276.33699999999999</c:v>
                </c:pt>
                <c:pt idx="51">
                  <c:v>273.30099999999999</c:v>
                </c:pt>
                <c:pt idx="52">
                  <c:v>272.529</c:v>
                </c:pt>
                <c:pt idx="53">
                  <c:v>274.173</c:v>
                </c:pt>
                <c:pt idx="54">
                  <c:v>273.11099999999999</c:v>
                </c:pt>
                <c:pt idx="55">
                  <c:v>273.67</c:v>
                </c:pt>
                <c:pt idx="56">
                  <c:v>274.86099999999999</c:v>
                </c:pt>
                <c:pt idx="57">
                  <c:v>276.24599999999998</c:v>
                </c:pt>
                <c:pt idx="58">
                  <c:v>275.67899999999997</c:v>
                </c:pt>
                <c:pt idx="59">
                  <c:v>274.87599999999998</c:v>
                </c:pt>
                <c:pt idx="60">
                  <c:v>275.11</c:v>
                </c:pt>
                <c:pt idx="61">
                  <c:v>274.803</c:v>
                </c:pt>
                <c:pt idx="62">
                  <c:v>275.77499999999998</c:v>
                </c:pt>
                <c:pt idx="63">
                  <c:v>276.41500000000002</c:v>
                </c:pt>
                <c:pt idx="64">
                  <c:v>277.577</c:v>
                </c:pt>
                <c:pt idx="65">
                  <c:v>278.28500000000003</c:v>
                </c:pt>
                <c:pt idx="66">
                  <c:v>280.43900000000002</c:v>
                </c:pt>
                <c:pt idx="67">
                  <c:v>282.47899999999998</c:v>
                </c:pt>
                <c:pt idx="68">
                  <c:v>284.84899999999999</c:v>
                </c:pt>
                <c:pt idx="69">
                  <c:v>285.58199999999999</c:v>
                </c:pt>
                <c:pt idx="70">
                  <c:v>285.37099999999998</c:v>
                </c:pt>
                <c:pt idx="71">
                  <c:v>284.78100000000001</c:v>
                </c:pt>
                <c:pt idx="72">
                  <c:v>283.27300000000002</c:v>
                </c:pt>
                <c:pt idx="73">
                  <c:v>284.78199999999998</c:v>
                </c:pt>
                <c:pt idx="74">
                  <c:v>285.34500000000003</c:v>
                </c:pt>
                <c:pt idx="75">
                  <c:v>285.75400000000002</c:v>
                </c:pt>
                <c:pt idx="76">
                  <c:v>286.16300000000001</c:v>
                </c:pt>
                <c:pt idx="77">
                  <c:v>288.69</c:v>
                </c:pt>
                <c:pt idx="78">
                  <c:v>289.07100000000003</c:v>
                </c:pt>
                <c:pt idx="79">
                  <c:v>290.45600000000002</c:v>
                </c:pt>
                <c:pt idx="80">
                  <c:v>291.68299999999999</c:v>
                </c:pt>
                <c:pt idx="81">
                  <c:v>293.20299999999997</c:v>
                </c:pt>
                <c:pt idx="82">
                  <c:v>293.37599999999998</c:v>
                </c:pt>
                <c:pt idx="83">
                  <c:v>293.05900000000003</c:v>
                </c:pt>
                <c:pt idx="84">
                  <c:v>291.65100000000001</c:v>
                </c:pt>
                <c:pt idx="85">
                  <c:v>292.01400000000001</c:v>
                </c:pt>
                <c:pt idx="86">
                  <c:v>291.495</c:v>
                </c:pt>
                <c:pt idx="87">
                  <c:v>292.59300000000002</c:v>
                </c:pt>
                <c:pt idx="88">
                  <c:v>292.505</c:v>
                </c:pt>
                <c:pt idx="89">
                  <c:v>294.149</c:v>
                </c:pt>
                <c:pt idx="90">
                  <c:v>294.99400000000003</c:v>
                </c:pt>
                <c:pt idx="91">
                  <c:v>298.13499999999999</c:v>
                </c:pt>
                <c:pt idx="92">
                  <c:v>300.74200000000002</c:v>
                </c:pt>
                <c:pt idx="93">
                  <c:v>300.19099999999997</c:v>
                </c:pt>
                <c:pt idx="94">
                  <c:v>299.774</c:v>
                </c:pt>
                <c:pt idx="95">
                  <c:v>298.61599999999999</c:v>
                </c:pt>
                <c:pt idx="96">
                  <c:v>296.072</c:v>
                </c:pt>
                <c:pt idx="97">
                  <c:v>289.58300000000003</c:v>
                </c:pt>
                <c:pt idx="98">
                  <c:v>283.03199999999998</c:v>
                </c:pt>
                <c:pt idx="99">
                  <c:v>278.44900000000001</c:v>
                </c:pt>
                <c:pt idx="100">
                  <c:v>277.02</c:v>
                </c:pt>
                <c:pt idx="101">
                  <c:v>275.89400000000001</c:v>
                </c:pt>
                <c:pt idx="102">
                  <c:v>278.78199999999998</c:v>
                </c:pt>
                <c:pt idx="103">
                  <c:v>280.82100000000003</c:v>
                </c:pt>
                <c:pt idx="104">
                  <c:v>282.02699999999999</c:v>
                </c:pt>
                <c:pt idx="105">
                  <c:v>279.94099999999997</c:v>
                </c:pt>
                <c:pt idx="106">
                  <c:v>279.14400000000001</c:v>
                </c:pt>
                <c:pt idx="107">
                  <c:v>276.971</c:v>
                </c:pt>
                <c:pt idx="108">
                  <c:v>277.01900000000001</c:v>
                </c:pt>
                <c:pt idx="109">
                  <c:v>275.08199999999999</c:v>
                </c:pt>
                <c:pt idx="110">
                  <c:v>276.85399999999998</c:v>
                </c:pt>
                <c:pt idx="111">
                  <c:v>276.36799999999999</c:v>
                </c:pt>
                <c:pt idx="112">
                  <c:v>277.76400000000001</c:v>
                </c:pt>
                <c:pt idx="113">
                  <c:v>277.04399999999998</c:v>
                </c:pt>
                <c:pt idx="114">
                  <c:v>275.90899999999999</c:v>
                </c:pt>
                <c:pt idx="115">
                  <c:v>274.87</c:v>
                </c:pt>
                <c:pt idx="116">
                  <c:v>274.197</c:v>
                </c:pt>
                <c:pt idx="117">
                  <c:v>274.43700000000001</c:v>
                </c:pt>
                <c:pt idx="118">
                  <c:v>276.12</c:v>
                </c:pt>
                <c:pt idx="119">
                  <c:v>275.87</c:v>
                </c:pt>
                <c:pt idx="120">
                  <c:v>277.10000000000002</c:v>
                </c:pt>
                <c:pt idx="121">
                  <c:v>279.846</c:v>
                </c:pt>
                <c:pt idx="122">
                  <c:v>284.67500000000001</c:v>
                </c:pt>
                <c:pt idx="123">
                  <c:v>289.20499999999998</c:v>
                </c:pt>
                <c:pt idx="124">
                  <c:v>294.41899999999998</c:v>
                </c:pt>
                <c:pt idx="125">
                  <c:v>298.10700000000003</c:v>
                </c:pt>
                <c:pt idx="126">
                  <c:v>303.14</c:v>
                </c:pt>
                <c:pt idx="127">
                  <c:v>306.18</c:v>
                </c:pt>
                <c:pt idx="128">
                  <c:v>309.40100000000001</c:v>
                </c:pt>
                <c:pt idx="129">
                  <c:v>309.18299999999999</c:v>
                </c:pt>
                <c:pt idx="130">
                  <c:v>308.46499999999997</c:v>
                </c:pt>
                <c:pt idx="131">
                  <c:v>306.74400000000003</c:v>
                </c:pt>
                <c:pt idx="132">
                  <c:v>306.495</c:v>
                </c:pt>
                <c:pt idx="133">
                  <c:v>306.08999999999997</c:v>
                </c:pt>
                <c:pt idx="134">
                  <c:v>306.77</c:v>
                </c:pt>
                <c:pt idx="135">
                  <c:v>309.58499999999998</c:v>
                </c:pt>
                <c:pt idx="136">
                  <c:v>312.221</c:v>
                </c:pt>
                <c:pt idx="137">
                  <c:v>314.10000000000002</c:v>
                </c:pt>
                <c:pt idx="138">
                  <c:v>317.786</c:v>
                </c:pt>
                <c:pt idx="139">
                  <c:v>320.02800000000002</c:v>
                </c:pt>
                <c:pt idx="140">
                  <c:v>323.899</c:v>
                </c:pt>
                <c:pt idx="141">
                  <c:v>324.33600000000001</c:v>
                </c:pt>
                <c:pt idx="142">
                  <c:v>326.75099999999998</c:v>
                </c:pt>
                <c:pt idx="143">
                  <c:v>327.01499999999999</c:v>
                </c:pt>
                <c:pt idx="144">
                  <c:v>326.61099999999999</c:v>
                </c:pt>
                <c:pt idx="145">
                  <c:v>330.214</c:v>
                </c:pt>
                <c:pt idx="146">
                  <c:v>334.02499999999998</c:v>
                </c:pt>
                <c:pt idx="147">
                  <c:v>337.79599999999999</c:v>
                </c:pt>
                <c:pt idx="148">
                  <c:v>336.428</c:v>
                </c:pt>
                <c:pt idx="149">
                  <c:v>339.77800000000002</c:v>
                </c:pt>
                <c:pt idx="150">
                  <c:v>340.452</c:v>
                </c:pt>
                <c:pt idx="151">
                  <c:v>344.30799999999999</c:v>
                </c:pt>
                <c:pt idx="152">
                  <c:v>346.947</c:v>
                </c:pt>
                <c:pt idx="153">
                  <c:v>347.98700000000002</c:v>
                </c:pt>
                <c:pt idx="154">
                  <c:v>346.75799999999998</c:v>
                </c:pt>
                <c:pt idx="155">
                  <c:v>347.01</c:v>
                </c:pt>
                <c:pt idx="156">
                  <c:v>347.78500000000003</c:v>
                </c:pt>
                <c:pt idx="157">
                  <c:v>349.30599999999998</c:v>
                </c:pt>
                <c:pt idx="158">
                  <c:v>352.95299999999997</c:v>
                </c:pt>
                <c:pt idx="159">
                  <c:v>357.84699999999998</c:v>
                </c:pt>
                <c:pt idx="160">
                  <c:v>358.072</c:v>
                </c:pt>
                <c:pt idx="161">
                  <c:v>357.94099999999997</c:v>
                </c:pt>
                <c:pt idx="162">
                  <c:v>359.20800000000003</c:v>
                </c:pt>
                <c:pt idx="163">
                  <c:v>361.39800000000002</c:v>
                </c:pt>
                <c:pt idx="164">
                  <c:v>367.005</c:v>
                </c:pt>
                <c:pt idx="165">
                  <c:v>370.17200000000003</c:v>
                </c:pt>
                <c:pt idx="166">
                  <c:v>371.97300000000001</c:v>
                </c:pt>
                <c:pt idx="167">
                  <c:v>371.09199999999998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A-4302-94C4-6EEB83F90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125152"/>
        <c:axId val="476120256"/>
      </c:lineChart>
      <c:dateAx>
        <c:axId val="476125152"/>
        <c:scaling>
          <c:orientation val="minMax"/>
          <c:max val="46054"/>
          <c:min val="41671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476120256"/>
        <c:crosses val="autoZero"/>
        <c:auto val="1"/>
        <c:lblOffset val="100"/>
        <c:baseTimeUnit val="months"/>
        <c:majorUnit val="9"/>
        <c:majorTimeUnit val="months"/>
      </c:dateAx>
      <c:valAx>
        <c:axId val="476120256"/>
        <c:scaling>
          <c:orientation val="minMax"/>
          <c:min val="240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7612515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A4B9F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Lbls>
            <c:dLbl>
              <c:idx val="0"/>
              <c:layout>
                <c:manualLayout>
                  <c:x val="-7.2557379479826679E-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12-42A2-8905-3C135340BA8E}"/>
                </c:ext>
              </c:extLst>
            </c:dLbl>
            <c:dLbl>
              <c:idx val="2"/>
              <c:layout>
                <c:manualLayout>
                  <c:x val="-1.603535353535357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12-42A2-8905-3C135340BA8E}"/>
                </c:ext>
              </c:extLst>
            </c:dLbl>
            <c:dLbl>
              <c:idx val="7"/>
              <c:layout>
                <c:manualLayout>
                  <c:x val="-9.7794728865583237E-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12-42A2-8905-3C135340BA8E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solidFill>
                      <a:srgbClr val="1A4B9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Renda!$K$178:$K$190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Renda!$L$178:$L$190</c:f>
              <c:numCache>
                <c:formatCode>0.0</c:formatCode>
                <c:ptCount val="13"/>
                <c:pt idx="0">
                  <c:v>2.0738820479585307</c:v>
                </c:pt>
                <c:pt idx="1">
                  <c:v>3.5555555555555562</c:v>
                </c:pt>
                <c:pt idx="2">
                  <c:v>-0.18393623543838666</c:v>
                </c:pt>
                <c:pt idx="3">
                  <c:v>-3.0712530712530661</c:v>
                </c:pt>
                <c:pt idx="4">
                  <c:v>1.6793409378960789</c:v>
                </c:pt>
                <c:pt idx="5">
                  <c:v>0.9348706762231318</c:v>
                </c:pt>
                <c:pt idx="6">
                  <c:v>1.1423278789749913</c:v>
                </c:pt>
                <c:pt idx="7">
                  <c:v>0.9157509157509125</c:v>
                </c:pt>
                <c:pt idx="8">
                  <c:v>0.36297640653357721</c:v>
                </c:pt>
                <c:pt idx="9">
                  <c:v>-8.770343580470163</c:v>
                </c:pt>
                <c:pt idx="10">
                  <c:v>7.2348860257680947</c:v>
                </c:pt>
                <c:pt idx="11">
                  <c:v>3.912507701786816</c:v>
                </c:pt>
                <c:pt idx="12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12-42A2-8905-3C135340B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6131136"/>
        <c:axId val="476131680"/>
      </c:barChart>
      <c:catAx>
        <c:axId val="47613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476131680"/>
        <c:crosses val="autoZero"/>
        <c:auto val="1"/>
        <c:lblAlgn val="ctr"/>
        <c:lblOffset val="100"/>
        <c:noMultiLvlLbl val="0"/>
      </c:catAx>
      <c:valAx>
        <c:axId val="476131680"/>
        <c:scaling>
          <c:orientation val="minMax"/>
          <c:min val="-14"/>
        </c:scaling>
        <c:delete val="1"/>
        <c:axPos val="l"/>
        <c:numFmt formatCode="#,##0" sourceLinked="0"/>
        <c:majorTickMark val="out"/>
        <c:minorTickMark val="none"/>
        <c:tickLblPos val="nextTo"/>
        <c:crossAx val="47613113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58824950614152"/>
          <c:y val="3.8089449494294166E-2"/>
          <c:w val="0.83131780032569214"/>
          <c:h val="0.73726122776319636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1A4B9F"/>
              </a:solidFill>
            </a:ln>
            <a:effectLst/>
          </c:spPr>
          <c:marker>
            <c:symbol val="none"/>
          </c:marker>
          <c:dPt>
            <c:idx val="157"/>
            <c:bubble3D val="0"/>
            <c:extLst>
              <c:ext xmlns:c16="http://schemas.microsoft.com/office/drawing/2014/chart" uri="{C3380CC4-5D6E-409C-BE32-E72D297353CC}">
                <c16:uniqueId val="{00000001-8E0D-4B2B-939A-A108AF8A5543}"/>
              </c:ext>
            </c:extLst>
          </c:dPt>
          <c:dPt>
            <c:idx val="158"/>
            <c:bubble3D val="0"/>
            <c:extLst>
              <c:ext xmlns:c16="http://schemas.microsoft.com/office/drawing/2014/chart" uri="{C3380CC4-5D6E-409C-BE32-E72D297353CC}">
                <c16:uniqueId val="{00000002-9913-460B-B4FE-E7D1B3BAF8D4}"/>
              </c:ext>
            </c:extLst>
          </c:dPt>
          <c:dPt>
            <c:idx val="159"/>
            <c:bubble3D val="0"/>
            <c:extLst>
              <c:ext xmlns:c16="http://schemas.microsoft.com/office/drawing/2014/chart" uri="{C3380CC4-5D6E-409C-BE32-E72D297353CC}">
                <c16:uniqueId val="{00000003-B15C-4B26-A517-53C9C7D0B5E1}"/>
              </c:ext>
            </c:extLst>
          </c:dPt>
          <c:dPt>
            <c:idx val="160"/>
            <c:bubble3D val="0"/>
            <c:extLst>
              <c:ext xmlns:c16="http://schemas.microsoft.com/office/drawing/2014/chart" uri="{C3380CC4-5D6E-409C-BE32-E72D297353CC}">
                <c16:uniqueId val="{00000006-1A16-4835-807D-CCA9714308DA}"/>
              </c:ext>
            </c:extLst>
          </c:dPt>
          <c:dPt>
            <c:idx val="161"/>
            <c:bubble3D val="0"/>
            <c:extLst>
              <c:ext xmlns:c16="http://schemas.microsoft.com/office/drawing/2014/chart" uri="{C3380CC4-5D6E-409C-BE32-E72D297353CC}">
                <c16:uniqueId val="{00000006-C680-4E0B-8CEC-9C252AA6B251}"/>
              </c:ext>
            </c:extLst>
          </c:dPt>
          <c:dPt>
            <c:idx val="162"/>
            <c:bubble3D val="0"/>
            <c:extLst>
              <c:ext xmlns:c16="http://schemas.microsoft.com/office/drawing/2014/chart" uri="{C3380CC4-5D6E-409C-BE32-E72D297353CC}">
                <c16:uniqueId val="{00000007-2180-484C-B857-2F28251FDDBD}"/>
              </c:ext>
            </c:extLst>
          </c:dPt>
          <c:dPt>
            <c:idx val="163"/>
            <c:bubble3D val="0"/>
            <c:extLst>
              <c:ext xmlns:c16="http://schemas.microsoft.com/office/drawing/2014/chart" uri="{C3380CC4-5D6E-409C-BE32-E72D297353CC}">
                <c16:uniqueId val="{00000006-F271-497F-A7C8-07EBCDBA29DF}"/>
              </c:ext>
            </c:extLst>
          </c:dPt>
          <c:dPt>
            <c:idx val="165"/>
            <c:bubble3D val="0"/>
            <c:extLst>
              <c:ext xmlns:c16="http://schemas.microsoft.com/office/drawing/2014/chart" uri="{C3380CC4-5D6E-409C-BE32-E72D297353CC}">
                <c16:uniqueId val="{00000009-D6EF-4409-AE9A-04760B7380D7}"/>
              </c:ext>
            </c:extLst>
          </c:dPt>
          <c:dPt>
            <c:idx val="166"/>
            <c:bubble3D val="0"/>
            <c:extLst>
              <c:ext xmlns:c16="http://schemas.microsoft.com/office/drawing/2014/chart" uri="{C3380CC4-5D6E-409C-BE32-E72D297353CC}">
                <c16:uniqueId val="{0000000A-6E1A-4F5C-89EA-F8D07A8E6C5F}"/>
              </c:ext>
            </c:extLst>
          </c:dPt>
          <c:dPt>
            <c:idx val="167"/>
            <c:marker>
              <c:symbol val="circle"/>
              <c:size val="5"/>
              <c:spPr>
                <a:solidFill>
                  <a:srgbClr val="1A4B9F"/>
                </a:solidFill>
                <a:ln>
                  <a:solidFill>
                    <a:srgbClr val="1A4B9F"/>
                  </a:solidFill>
                </a:ln>
              </c:spPr>
            </c:marker>
            <c:bubble3D val="0"/>
            <c:spPr>
              <a:ln w="28575">
                <a:solidFill>
                  <a:srgbClr val="00339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1A-4F5C-89EA-F8D07A8E6C5F}"/>
              </c:ext>
            </c:extLst>
          </c:dPt>
          <c:dLbls>
            <c:dLbl>
              <c:idx val="165"/>
              <c:layout>
                <c:manualLayout>
                  <c:x val="-5.5593262184172746E-3"/>
                  <c:y val="-7.9008132746895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3.679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6EF-4409-AE9A-04760B738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1A4B9F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Renda!$J$5:$J$172</c:f>
              <c:numCache>
                <c:formatCode>mmm\-yy</c:formatCode>
                <c:ptCount val="168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  <c:pt idx="142">
                  <c:v>45292</c:v>
                </c:pt>
                <c:pt idx="143">
                  <c:v>45323</c:v>
                </c:pt>
                <c:pt idx="144">
                  <c:v>45352</c:v>
                </c:pt>
                <c:pt idx="145">
                  <c:v>45383</c:v>
                </c:pt>
                <c:pt idx="146">
                  <c:v>45413</c:v>
                </c:pt>
                <c:pt idx="147">
                  <c:v>45444</c:v>
                </c:pt>
                <c:pt idx="148">
                  <c:v>45474</c:v>
                </c:pt>
                <c:pt idx="149">
                  <c:v>45505</c:v>
                </c:pt>
                <c:pt idx="150">
                  <c:v>45536</c:v>
                </c:pt>
                <c:pt idx="151">
                  <c:v>45566</c:v>
                </c:pt>
                <c:pt idx="152">
                  <c:v>45597</c:v>
                </c:pt>
                <c:pt idx="153">
                  <c:v>45627</c:v>
                </c:pt>
                <c:pt idx="154">
                  <c:v>45658</c:v>
                </c:pt>
                <c:pt idx="155">
                  <c:v>45689</c:v>
                </c:pt>
                <c:pt idx="156">
                  <c:v>45717</c:v>
                </c:pt>
                <c:pt idx="157">
                  <c:v>45748</c:v>
                </c:pt>
                <c:pt idx="158">
                  <c:v>45778</c:v>
                </c:pt>
                <c:pt idx="159">
                  <c:v>45809</c:v>
                </c:pt>
                <c:pt idx="160">
                  <c:v>45839</c:v>
                </c:pt>
                <c:pt idx="161">
                  <c:v>45870</c:v>
                </c:pt>
                <c:pt idx="162">
                  <c:v>45901</c:v>
                </c:pt>
                <c:pt idx="163">
                  <c:v>45931</c:v>
                </c:pt>
                <c:pt idx="164">
                  <c:v>45962</c:v>
                </c:pt>
                <c:pt idx="165">
                  <c:v>45992</c:v>
                </c:pt>
                <c:pt idx="166">
                  <c:v>46023</c:v>
                </c:pt>
                <c:pt idx="167">
                  <c:v>46054</c:v>
                </c:pt>
              </c:numCache>
            </c:numRef>
          </c:cat>
          <c:val>
            <c:numRef>
              <c:f>Renda!$L$5:$L$172</c:f>
              <c:numCache>
                <c:formatCode>_-* #,##0_-;\-* #,##0_-;_-* "-"??_-;_-@_-</c:formatCode>
                <c:ptCount val="168"/>
                <c:pt idx="0">
                  <c:v>3086</c:v>
                </c:pt>
                <c:pt idx="1">
                  <c:v>3097</c:v>
                </c:pt>
                <c:pt idx="2">
                  <c:v>3089</c:v>
                </c:pt>
                <c:pt idx="3">
                  <c:v>3095</c:v>
                </c:pt>
                <c:pt idx="4">
                  <c:v>3111</c:v>
                </c:pt>
                <c:pt idx="5">
                  <c:v>3121</c:v>
                </c:pt>
                <c:pt idx="6">
                  <c:v>3115</c:v>
                </c:pt>
                <c:pt idx="7">
                  <c:v>3111</c:v>
                </c:pt>
                <c:pt idx="8">
                  <c:v>3109</c:v>
                </c:pt>
                <c:pt idx="9">
                  <c:v>3101</c:v>
                </c:pt>
                <c:pt idx="10">
                  <c:v>3114</c:v>
                </c:pt>
                <c:pt idx="11">
                  <c:v>3132</c:v>
                </c:pt>
                <c:pt idx="12">
                  <c:v>3150</c:v>
                </c:pt>
                <c:pt idx="13">
                  <c:v>3157</c:v>
                </c:pt>
                <c:pt idx="14">
                  <c:v>3159</c:v>
                </c:pt>
                <c:pt idx="15">
                  <c:v>3185</c:v>
                </c:pt>
                <c:pt idx="16">
                  <c:v>3206</c:v>
                </c:pt>
                <c:pt idx="17">
                  <c:v>3227</c:v>
                </c:pt>
                <c:pt idx="18">
                  <c:v>3227</c:v>
                </c:pt>
                <c:pt idx="19">
                  <c:v>3237</c:v>
                </c:pt>
                <c:pt idx="20">
                  <c:v>3223</c:v>
                </c:pt>
                <c:pt idx="21">
                  <c:v>3198</c:v>
                </c:pt>
                <c:pt idx="22">
                  <c:v>3195</c:v>
                </c:pt>
                <c:pt idx="23">
                  <c:v>3226</c:v>
                </c:pt>
                <c:pt idx="24">
                  <c:v>3262</c:v>
                </c:pt>
                <c:pt idx="25">
                  <c:v>3260</c:v>
                </c:pt>
                <c:pt idx="26">
                  <c:v>3254</c:v>
                </c:pt>
                <c:pt idx="27">
                  <c:v>3236</c:v>
                </c:pt>
                <c:pt idx="28">
                  <c:v>3230</c:v>
                </c:pt>
                <c:pt idx="29">
                  <c:v>3253</c:v>
                </c:pt>
                <c:pt idx="30">
                  <c:v>3264</c:v>
                </c:pt>
                <c:pt idx="31">
                  <c:v>3277</c:v>
                </c:pt>
                <c:pt idx="32">
                  <c:v>3255</c:v>
                </c:pt>
                <c:pt idx="33">
                  <c:v>3256</c:v>
                </c:pt>
                <c:pt idx="34">
                  <c:v>3261</c:v>
                </c:pt>
                <c:pt idx="35">
                  <c:v>3255</c:v>
                </c:pt>
                <c:pt idx="36">
                  <c:v>3256</c:v>
                </c:pt>
                <c:pt idx="37">
                  <c:v>3248</c:v>
                </c:pt>
                <c:pt idx="38">
                  <c:v>3233</c:v>
                </c:pt>
                <c:pt idx="39">
                  <c:v>3242</c:v>
                </c:pt>
                <c:pt idx="40">
                  <c:v>3220</c:v>
                </c:pt>
                <c:pt idx="41">
                  <c:v>3204</c:v>
                </c:pt>
                <c:pt idx="42">
                  <c:v>3203</c:v>
                </c:pt>
                <c:pt idx="43">
                  <c:v>3190</c:v>
                </c:pt>
                <c:pt idx="44">
                  <c:v>3166</c:v>
                </c:pt>
                <c:pt idx="45">
                  <c:v>3150</c:v>
                </c:pt>
                <c:pt idx="46">
                  <c:v>3160</c:v>
                </c:pt>
                <c:pt idx="47">
                  <c:v>3141</c:v>
                </c:pt>
                <c:pt idx="48">
                  <c:v>3156</c:v>
                </c:pt>
                <c:pt idx="49">
                  <c:v>3140</c:v>
                </c:pt>
                <c:pt idx="50">
                  <c:v>3151</c:v>
                </c:pt>
                <c:pt idx="51">
                  <c:v>3117</c:v>
                </c:pt>
                <c:pt idx="52">
                  <c:v>3119</c:v>
                </c:pt>
                <c:pt idx="53">
                  <c:v>3146</c:v>
                </c:pt>
                <c:pt idx="54">
                  <c:v>3143</c:v>
                </c:pt>
                <c:pt idx="55">
                  <c:v>3148</c:v>
                </c:pt>
                <c:pt idx="56">
                  <c:v>3154</c:v>
                </c:pt>
                <c:pt idx="57">
                  <c:v>3170</c:v>
                </c:pt>
                <c:pt idx="58">
                  <c:v>3181</c:v>
                </c:pt>
                <c:pt idx="59">
                  <c:v>3192</c:v>
                </c:pt>
                <c:pt idx="60">
                  <c:v>3209</c:v>
                </c:pt>
                <c:pt idx="61">
                  <c:v>3195</c:v>
                </c:pt>
                <c:pt idx="62">
                  <c:v>3190</c:v>
                </c:pt>
                <c:pt idx="63">
                  <c:v>3177</c:v>
                </c:pt>
                <c:pt idx="64">
                  <c:v>3179</c:v>
                </c:pt>
                <c:pt idx="65">
                  <c:v>3174</c:v>
                </c:pt>
                <c:pt idx="66">
                  <c:v>3190</c:v>
                </c:pt>
                <c:pt idx="67">
                  <c:v>3200</c:v>
                </c:pt>
                <c:pt idx="68">
                  <c:v>3214</c:v>
                </c:pt>
                <c:pt idx="69">
                  <c:v>3215</c:v>
                </c:pt>
                <c:pt idx="70">
                  <c:v>3227</c:v>
                </c:pt>
                <c:pt idx="71">
                  <c:v>3239</c:v>
                </c:pt>
                <c:pt idx="72">
                  <c:v>3239</c:v>
                </c:pt>
                <c:pt idx="73">
                  <c:v>3249</c:v>
                </c:pt>
                <c:pt idx="74">
                  <c:v>3250</c:v>
                </c:pt>
                <c:pt idx="75">
                  <c:v>3245</c:v>
                </c:pt>
                <c:pt idx="76">
                  <c:v>3234</c:v>
                </c:pt>
                <c:pt idx="77">
                  <c:v>3248</c:v>
                </c:pt>
                <c:pt idx="78">
                  <c:v>3234</c:v>
                </c:pt>
                <c:pt idx="79">
                  <c:v>3237</c:v>
                </c:pt>
                <c:pt idx="80">
                  <c:v>3240</c:v>
                </c:pt>
                <c:pt idx="81">
                  <c:v>3258</c:v>
                </c:pt>
                <c:pt idx="82">
                  <c:v>3278</c:v>
                </c:pt>
                <c:pt idx="83">
                  <c:v>3290</c:v>
                </c:pt>
                <c:pt idx="84">
                  <c:v>3276</c:v>
                </c:pt>
                <c:pt idx="85">
                  <c:v>3259</c:v>
                </c:pt>
                <c:pt idx="86">
                  <c:v>3236</c:v>
                </c:pt>
                <c:pt idx="87">
                  <c:v>3236</c:v>
                </c:pt>
                <c:pt idx="88">
                  <c:v>3229</c:v>
                </c:pt>
                <c:pt idx="89">
                  <c:v>3242</c:v>
                </c:pt>
                <c:pt idx="90">
                  <c:v>3241</c:v>
                </c:pt>
                <c:pt idx="91">
                  <c:v>3265</c:v>
                </c:pt>
                <c:pt idx="92">
                  <c:v>3279</c:v>
                </c:pt>
                <c:pt idx="93">
                  <c:v>3268</c:v>
                </c:pt>
                <c:pt idx="94">
                  <c:v>3276</c:v>
                </c:pt>
                <c:pt idx="95">
                  <c:v>3279</c:v>
                </c:pt>
                <c:pt idx="96">
                  <c:v>3306</c:v>
                </c:pt>
                <c:pt idx="97">
                  <c:v>3342</c:v>
                </c:pt>
                <c:pt idx="98">
                  <c:v>3396</c:v>
                </c:pt>
                <c:pt idx="99">
                  <c:v>3449</c:v>
                </c:pt>
                <c:pt idx="100">
                  <c:v>3490</c:v>
                </c:pt>
                <c:pt idx="101">
                  <c:v>3485</c:v>
                </c:pt>
                <c:pt idx="102">
                  <c:v>3487</c:v>
                </c:pt>
                <c:pt idx="103">
                  <c:v>3436</c:v>
                </c:pt>
                <c:pt idx="104">
                  <c:v>3399</c:v>
                </c:pt>
                <c:pt idx="105">
                  <c:v>3347</c:v>
                </c:pt>
                <c:pt idx="106">
                  <c:v>3339</c:v>
                </c:pt>
                <c:pt idx="107">
                  <c:v>3309</c:v>
                </c:pt>
                <c:pt idx="108">
                  <c:v>3318</c:v>
                </c:pt>
                <c:pt idx="109">
                  <c:v>3279</c:v>
                </c:pt>
                <c:pt idx="110">
                  <c:v>3276</c:v>
                </c:pt>
                <c:pt idx="111">
                  <c:v>3224</c:v>
                </c:pt>
                <c:pt idx="112">
                  <c:v>3194</c:v>
                </c:pt>
                <c:pt idx="113">
                  <c:v>3149</c:v>
                </c:pt>
                <c:pt idx="114">
                  <c:v>3093</c:v>
                </c:pt>
                <c:pt idx="115">
                  <c:v>3048</c:v>
                </c:pt>
                <c:pt idx="116">
                  <c:v>3008</c:v>
                </c:pt>
                <c:pt idx="117">
                  <c:v>2984</c:v>
                </c:pt>
                <c:pt idx="118">
                  <c:v>3011</c:v>
                </c:pt>
                <c:pt idx="119">
                  <c:v>3015</c:v>
                </c:pt>
                <c:pt idx="120">
                  <c:v>3027</c:v>
                </c:pt>
                <c:pt idx="121">
                  <c:v>3016</c:v>
                </c:pt>
                <c:pt idx="122">
                  <c:v>3035</c:v>
                </c:pt>
                <c:pt idx="123">
                  <c:v>3057</c:v>
                </c:pt>
                <c:pt idx="124">
                  <c:v>3100</c:v>
                </c:pt>
                <c:pt idx="125">
                  <c:v>3127</c:v>
                </c:pt>
                <c:pt idx="126">
                  <c:v>3169</c:v>
                </c:pt>
                <c:pt idx="127">
                  <c:v>3188</c:v>
                </c:pt>
                <c:pt idx="128">
                  <c:v>3219</c:v>
                </c:pt>
                <c:pt idx="129">
                  <c:v>3226</c:v>
                </c:pt>
                <c:pt idx="130">
                  <c:v>3240</c:v>
                </c:pt>
                <c:pt idx="131">
                  <c:v>3238</c:v>
                </c:pt>
                <c:pt idx="132">
                  <c:v>3246</c:v>
                </c:pt>
                <c:pt idx="133">
                  <c:v>3236</c:v>
                </c:pt>
                <c:pt idx="134">
                  <c:v>3230</c:v>
                </c:pt>
                <c:pt idx="135">
                  <c:v>3245</c:v>
                </c:pt>
                <c:pt idx="136">
                  <c:v>3256</c:v>
                </c:pt>
                <c:pt idx="137">
                  <c:v>3266</c:v>
                </c:pt>
                <c:pt idx="138">
                  <c:v>3298</c:v>
                </c:pt>
                <c:pt idx="139">
                  <c:v>3309</c:v>
                </c:pt>
                <c:pt idx="140">
                  <c:v>3338</c:v>
                </c:pt>
                <c:pt idx="141">
                  <c:v>3324</c:v>
                </c:pt>
                <c:pt idx="142">
                  <c:v>3361</c:v>
                </c:pt>
                <c:pt idx="143">
                  <c:v>3376</c:v>
                </c:pt>
                <c:pt idx="144">
                  <c:v>3373</c:v>
                </c:pt>
                <c:pt idx="145">
                  <c:v>3388</c:v>
                </c:pt>
                <c:pt idx="146">
                  <c:v>3409</c:v>
                </c:pt>
                <c:pt idx="147">
                  <c:v>3431</c:v>
                </c:pt>
                <c:pt idx="148">
                  <c:v>3411</c:v>
                </c:pt>
                <c:pt idx="149">
                  <c:v>3429</c:v>
                </c:pt>
                <c:pt idx="150">
                  <c:v>3417</c:v>
                </c:pt>
                <c:pt idx="151">
                  <c:v>3436</c:v>
                </c:pt>
                <c:pt idx="152">
                  <c:v>3451</c:v>
                </c:pt>
                <c:pt idx="153">
                  <c:v>3465</c:v>
                </c:pt>
                <c:pt idx="154">
                  <c:v>3482</c:v>
                </c:pt>
                <c:pt idx="155">
                  <c:v>3495</c:v>
                </c:pt>
                <c:pt idx="156">
                  <c:v>3505</c:v>
                </c:pt>
                <c:pt idx="157">
                  <c:v>3494</c:v>
                </c:pt>
                <c:pt idx="158">
                  <c:v>3509</c:v>
                </c:pt>
                <c:pt idx="159">
                  <c:v>3543</c:v>
                </c:pt>
                <c:pt idx="160">
                  <c:v>3541</c:v>
                </c:pt>
                <c:pt idx="161">
                  <c:v>3541</c:v>
                </c:pt>
                <c:pt idx="162">
                  <c:v>3552</c:v>
                </c:pt>
                <c:pt idx="163">
                  <c:v>3568</c:v>
                </c:pt>
                <c:pt idx="164">
                  <c:v>3606</c:v>
                </c:pt>
                <c:pt idx="165">
                  <c:v>3639</c:v>
                </c:pt>
                <c:pt idx="166">
                  <c:v>3668</c:v>
                </c:pt>
                <c:pt idx="167">
                  <c:v>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B-4814-90DF-6B2C67E5D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119168"/>
        <c:axId val="482189920"/>
      </c:lineChart>
      <c:dateAx>
        <c:axId val="476119168"/>
        <c:scaling>
          <c:orientation val="minMax"/>
          <c:max val="46054"/>
          <c:min val="41671"/>
        </c:scaling>
        <c:delete val="0"/>
        <c:axPos val="b"/>
        <c:numFmt formatCode="mmm\-yy" sourceLinked="1"/>
        <c:majorTickMark val="out"/>
        <c:minorTickMark val="none"/>
        <c:tickLblPos val="nextTo"/>
        <c:crossAx val="482189920"/>
        <c:crosses val="autoZero"/>
        <c:auto val="1"/>
        <c:lblOffset val="100"/>
        <c:baseTimeUnit val="months"/>
        <c:majorUnit val="9"/>
        <c:majorTimeUnit val="months"/>
      </c:dateAx>
      <c:valAx>
        <c:axId val="482189920"/>
        <c:scaling>
          <c:orientation val="minMax"/>
          <c:min val="2900"/>
        </c:scaling>
        <c:delete val="0"/>
        <c:axPos val="l"/>
        <c:numFmt formatCode="#,##0" sourceLinked="0"/>
        <c:majorTickMark val="out"/>
        <c:minorTickMark val="none"/>
        <c:tickLblPos val="nextTo"/>
        <c:crossAx val="4761191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solidFill>
            <a:schemeClr val="tx1"/>
          </a:solidFill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58824950614152"/>
          <c:y val="3.8089449494294166E-2"/>
          <c:w val="0.84970680033748325"/>
          <c:h val="0.7094833218374320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1A4B9F"/>
              </a:solidFill>
            </a:ln>
            <a:effectLst/>
          </c:spPr>
          <c:marker>
            <c:symbol val="none"/>
          </c:marker>
          <c:cat>
            <c:numRef>
              <c:f>População!$C$4:$FC$4</c:f>
              <c:numCache>
                <c:formatCode>mmm\-yy</c:formatCode>
                <c:ptCount val="157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  <c:pt idx="142">
                  <c:v>45292</c:v>
                </c:pt>
                <c:pt idx="143">
                  <c:v>45323</c:v>
                </c:pt>
                <c:pt idx="144">
                  <c:v>45352</c:v>
                </c:pt>
                <c:pt idx="145">
                  <c:v>45383</c:v>
                </c:pt>
                <c:pt idx="146">
                  <c:v>45413</c:v>
                </c:pt>
                <c:pt idx="147">
                  <c:v>45444</c:v>
                </c:pt>
                <c:pt idx="148">
                  <c:v>45474</c:v>
                </c:pt>
                <c:pt idx="149">
                  <c:v>45505</c:v>
                </c:pt>
                <c:pt idx="150">
                  <c:v>45536</c:v>
                </c:pt>
                <c:pt idx="151">
                  <c:v>45566</c:v>
                </c:pt>
                <c:pt idx="152">
                  <c:v>45597</c:v>
                </c:pt>
                <c:pt idx="153">
                  <c:v>45627</c:v>
                </c:pt>
                <c:pt idx="154">
                  <c:v>45658</c:v>
                </c:pt>
                <c:pt idx="155">
                  <c:v>45689</c:v>
                </c:pt>
                <c:pt idx="156">
                  <c:v>45717</c:v>
                </c:pt>
              </c:numCache>
            </c:numRef>
          </c:cat>
          <c:val>
            <c:numRef>
              <c:f>População!$C$5:$FC$5</c:f>
              <c:numCache>
                <c:formatCode>#,##0</c:formatCode>
                <c:ptCount val="157"/>
                <c:pt idx="0">
                  <c:v>88012</c:v>
                </c:pt>
                <c:pt idx="1">
                  <c:v>88845</c:v>
                </c:pt>
                <c:pt idx="2">
                  <c:v>89379</c:v>
                </c:pt>
                <c:pt idx="3">
                  <c:v>89647</c:v>
                </c:pt>
                <c:pt idx="4">
                  <c:v>89786</c:v>
                </c:pt>
                <c:pt idx="5">
                  <c:v>90086</c:v>
                </c:pt>
                <c:pt idx="6">
                  <c:v>90320</c:v>
                </c:pt>
                <c:pt idx="7">
                  <c:v>90466</c:v>
                </c:pt>
                <c:pt idx="8">
                  <c:v>90555</c:v>
                </c:pt>
                <c:pt idx="9">
                  <c:v>90593</c:v>
                </c:pt>
                <c:pt idx="10">
                  <c:v>90284</c:v>
                </c:pt>
                <c:pt idx="11">
                  <c:v>89901</c:v>
                </c:pt>
                <c:pt idx="12">
                  <c:v>89688</c:v>
                </c:pt>
                <c:pt idx="13">
                  <c:v>90088</c:v>
                </c:pt>
                <c:pt idx="14">
                  <c:v>90546</c:v>
                </c:pt>
                <c:pt idx="15">
                  <c:v>90850</c:v>
                </c:pt>
                <c:pt idx="16">
                  <c:v>91104</c:v>
                </c:pt>
                <c:pt idx="17">
                  <c:v>91232</c:v>
                </c:pt>
                <c:pt idx="18">
                  <c:v>91438</c:v>
                </c:pt>
                <c:pt idx="19">
                  <c:v>91605</c:v>
                </c:pt>
                <c:pt idx="20">
                  <c:v>92000</c:v>
                </c:pt>
                <c:pt idx="21">
                  <c:v>92171</c:v>
                </c:pt>
                <c:pt idx="22">
                  <c:v>91870</c:v>
                </c:pt>
                <c:pt idx="23">
                  <c:v>91700</c:v>
                </c:pt>
                <c:pt idx="24">
                  <c:v>91456</c:v>
                </c:pt>
                <c:pt idx="25">
                  <c:v>91697</c:v>
                </c:pt>
                <c:pt idx="26">
                  <c:v>91892</c:v>
                </c:pt>
                <c:pt idx="27">
                  <c:v>92117</c:v>
                </c:pt>
                <c:pt idx="28">
                  <c:v>92056</c:v>
                </c:pt>
                <c:pt idx="29">
                  <c:v>92056</c:v>
                </c:pt>
                <c:pt idx="30">
                  <c:v>92406</c:v>
                </c:pt>
                <c:pt idx="31">
                  <c:v>92692</c:v>
                </c:pt>
                <c:pt idx="32">
                  <c:v>92878</c:v>
                </c:pt>
                <c:pt idx="33">
                  <c:v>92961</c:v>
                </c:pt>
                <c:pt idx="34">
                  <c:v>92743</c:v>
                </c:pt>
                <c:pt idx="35">
                  <c:v>92308</c:v>
                </c:pt>
                <c:pt idx="36">
                  <c:v>91962</c:v>
                </c:pt>
                <c:pt idx="37">
                  <c:v>92173</c:v>
                </c:pt>
                <c:pt idx="38">
                  <c:v>92147</c:v>
                </c:pt>
                <c:pt idx="39">
                  <c:v>92249</c:v>
                </c:pt>
                <c:pt idx="40">
                  <c:v>92230</c:v>
                </c:pt>
                <c:pt idx="41">
                  <c:v>92173</c:v>
                </c:pt>
                <c:pt idx="42">
                  <c:v>92200</c:v>
                </c:pt>
                <c:pt idx="43">
                  <c:v>92386</c:v>
                </c:pt>
                <c:pt idx="44">
                  <c:v>92288</c:v>
                </c:pt>
                <c:pt idx="45">
                  <c:v>91583</c:v>
                </c:pt>
                <c:pt idx="46">
                  <c:v>91013</c:v>
                </c:pt>
                <c:pt idx="47">
                  <c:v>90508</c:v>
                </c:pt>
                <c:pt idx="48">
                  <c:v>89909</c:v>
                </c:pt>
                <c:pt idx="49">
                  <c:v>89737</c:v>
                </c:pt>
                <c:pt idx="50">
                  <c:v>89880</c:v>
                </c:pt>
                <c:pt idx="51">
                  <c:v>89826</c:v>
                </c:pt>
                <c:pt idx="52">
                  <c:v>89472</c:v>
                </c:pt>
                <c:pt idx="53">
                  <c:v>89209</c:v>
                </c:pt>
                <c:pt idx="54">
                  <c:v>88939</c:v>
                </c:pt>
                <c:pt idx="55">
                  <c:v>88987</c:v>
                </c:pt>
                <c:pt idx="56">
                  <c:v>89232</c:v>
                </c:pt>
                <c:pt idx="57">
                  <c:v>89238</c:v>
                </c:pt>
                <c:pt idx="58">
                  <c:v>88797</c:v>
                </c:pt>
                <c:pt idx="59">
                  <c:v>88281</c:v>
                </c:pt>
                <c:pt idx="60">
                  <c:v>87882</c:v>
                </c:pt>
                <c:pt idx="61">
                  <c:v>88172</c:v>
                </c:pt>
                <c:pt idx="62">
                  <c:v>88616</c:v>
                </c:pt>
                <c:pt idx="63">
                  <c:v>89162</c:v>
                </c:pt>
                <c:pt idx="64">
                  <c:v>89535</c:v>
                </c:pt>
                <c:pt idx="65">
                  <c:v>89926</c:v>
                </c:pt>
                <c:pt idx="66">
                  <c:v>90175</c:v>
                </c:pt>
                <c:pt idx="67">
                  <c:v>90485</c:v>
                </c:pt>
                <c:pt idx="68">
                  <c:v>90883</c:v>
                </c:pt>
                <c:pt idx="69">
                  <c:v>91067</c:v>
                </c:pt>
                <c:pt idx="70">
                  <c:v>90684</c:v>
                </c:pt>
                <c:pt idx="71">
                  <c:v>90134</c:v>
                </c:pt>
                <c:pt idx="72">
                  <c:v>89690</c:v>
                </c:pt>
                <c:pt idx="73">
                  <c:v>89843</c:v>
                </c:pt>
                <c:pt idx="74">
                  <c:v>89953</c:v>
                </c:pt>
                <c:pt idx="75">
                  <c:v>90211</c:v>
                </c:pt>
                <c:pt idx="76">
                  <c:v>90632</c:v>
                </c:pt>
                <c:pt idx="77">
                  <c:v>91073</c:v>
                </c:pt>
                <c:pt idx="78">
                  <c:v>91606</c:v>
                </c:pt>
                <c:pt idx="79">
                  <c:v>91974</c:v>
                </c:pt>
                <c:pt idx="80">
                  <c:v>92247</c:v>
                </c:pt>
                <c:pt idx="81">
                  <c:v>92152</c:v>
                </c:pt>
                <c:pt idx="82">
                  <c:v>91658</c:v>
                </c:pt>
                <c:pt idx="83">
                  <c:v>91238</c:v>
                </c:pt>
                <c:pt idx="84">
                  <c:v>91201</c:v>
                </c:pt>
                <c:pt idx="85">
                  <c:v>91774</c:v>
                </c:pt>
                <c:pt idx="86">
                  <c:v>92294</c:v>
                </c:pt>
                <c:pt idx="87">
                  <c:v>92663</c:v>
                </c:pt>
                <c:pt idx="88">
                  <c:v>92874</c:v>
                </c:pt>
                <c:pt idx="89">
                  <c:v>92971</c:v>
                </c:pt>
                <c:pt idx="90">
                  <c:v>93191</c:v>
                </c:pt>
                <c:pt idx="91">
                  <c:v>93479</c:v>
                </c:pt>
                <c:pt idx="92">
                  <c:v>93826</c:v>
                </c:pt>
                <c:pt idx="93">
                  <c:v>93920</c:v>
                </c:pt>
                <c:pt idx="94">
                  <c:v>93526</c:v>
                </c:pt>
                <c:pt idx="95">
                  <c:v>93075</c:v>
                </c:pt>
                <c:pt idx="96">
                  <c:v>91523</c:v>
                </c:pt>
                <c:pt idx="97">
                  <c:v>88586</c:v>
                </c:pt>
                <c:pt idx="98">
                  <c:v>85224</c:v>
                </c:pt>
                <c:pt idx="99">
                  <c:v>82611</c:v>
                </c:pt>
                <c:pt idx="100">
                  <c:v>81286</c:v>
                </c:pt>
                <c:pt idx="101">
                  <c:v>81129</c:v>
                </c:pt>
                <c:pt idx="102">
                  <c:v>81955</c:v>
                </c:pt>
                <c:pt idx="103">
                  <c:v>83769</c:v>
                </c:pt>
                <c:pt idx="104">
                  <c:v>85025</c:v>
                </c:pt>
                <c:pt idx="105">
                  <c:v>85671</c:v>
                </c:pt>
                <c:pt idx="106">
                  <c:v>85650</c:v>
                </c:pt>
                <c:pt idx="107">
                  <c:v>85708</c:v>
                </c:pt>
                <c:pt idx="108">
                  <c:v>85496</c:v>
                </c:pt>
                <c:pt idx="109">
                  <c:v>85880</c:v>
                </c:pt>
                <c:pt idx="110">
                  <c:v>86538</c:v>
                </c:pt>
                <c:pt idx="111">
                  <c:v>87743</c:v>
                </c:pt>
                <c:pt idx="112">
                  <c:v>88993</c:v>
                </c:pt>
                <c:pt idx="113">
                  <c:v>90033</c:v>
                </c:pt>
                <c:pt idx="114">
                  <c:v>91265</c:v>
                </c:pt>
                <c:pt idx="115">
                  <c:v>92230</c:v>
                </c:pt>
                <c:pt idx="116">
                  <c:v>93184</c:v>
                </c:pt>
                <c:pt idx="117">
                  <c:v>93988</c:v>
                </c:pt>
                <c:pt idx="118">
                  <c:v>93679</c:v>
                </c:pt>
                <c:pt idx="119">
                  <c:v>93490</c:v>
                </c:pt>
                <c:pt idx="120">
                  <c:v>93523</c:v>
                </c:pt>
                <c:pt idx="121">
                  <c:v>94729</c:v>
                </c:pt>
                <c:pt idx="122">
                  <c:v>95709</c:v>
                </c:pt>
                <c:pt idx="123">
                  <c:v>96445</c:v>
                </c:pt>
                <c:pt idx="124">
                  <c:v>96834</c:v>
                </c:pt>
                <c:pt idx="125">
                  <c:v>97177</c:v>
                </c:pt>
                <c:pt idx="126">
                  <c:v>97435</c:v>
                </c:pt>
                <c:pt idx="127">
                  <c:v>97820</c:v>
                </c:pt>
                <c:pt idx="128">
                  <c:v>97844</c:v>
                </c:pt>
                <c:pt idx="129">
                  <c:v>97518</c:v>
                </c:pt>
                <c:pt idx="130">
                  <c:v>96789</c:v>
                </c:pt>
                <c:pt idx="131">
                  <c:v>96275</c:v>
                </c:pt>
                <c:pt idx="132">
                  <c:v>95978</c:v>
                </c:pt>
                <c:pt idx="133">
                  <c:v>96177</c:v>
                </c:pt>
                <c:pt idx="134">
                  <c:v>96534</c:v>
                </c:pt>
                <c:pt idx="135">
                  <c:v>97038</c:v>
                </c:pt>
                <c:pt idx="136">
                  <c:v>97461</c:v>
                </c:pt>
                <c:pt idx="137">
                  <c:v>97760</c:v>
                </c:pt>
                <c:pt idx="138">
                  <c:v>97938</c:v>
                </c:pt>
                <c:pt idx="139">
                  <c:v>98303</c:v>
                </c:pt>
                <c:pt idx="140">
                  <c:v>98597</c:v>
                </c:pt>
                <c:pt idx="141">
                  <c:v>99063</c:v>
                </c:pt>
                <c:pt idx="142">
                  <c:v>98676</c:v>
                </c:pt>
                <c:pt idx="143">
                  <c:v>98333</c:v>
                </c:pt>
                <c:pt idx="144">
                  <c:v>98291</c:v>
                </c:pt>
                <c:pt idx="145">
                  <c:v>98877</c:v>
                </c:pt>
                <c:pt idx="146">
                  <c:v>99394</c:v>
                </c:pt>
                <c:pt idx="147">
                  <c:v>99882</c:v>
                </c:pt>
                <c:pt idx="148">
                  <c:v>100080</c:v>
                </c:pt>
                <c:pt idx="149">
                  <c:v>100560</c:v>
                </c:pt>
                <c:pt idx="150">
                  <c:v>101057</c:v>
                </c:pt>
                <c:pt idx="151">
                  <c:v>101629</c:v>
                </c:pt>
                <c:pt idx="152">
                  <c:v>101917</c:v>
                </c:pt>
                <c:pt idx="153">
                  <c:v>101831</c:v>
                </c:pt>
                <c:pt idx="154">
                  <c:v>100989</c:v>
                </c:pt>
                <c:pt idx="155">
                  <c:v>100683</c:v>
                </c:pt>
                <c:pt idx="156">
                  <c:v>100510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6-4DDD-A6FA-662005934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70688"/>
        <c:axId val="310494176"/>
      </c:lineChart>
      <c:dateAx>
        <c:axId val="430370688"/>
        <c:scaling>
          <c:orientation val="minMax"/>
          <c:min val="41334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310494176"/>
        <c:crosses val="autoZero"/>
        <c:auto val="1"/>
        <c:lblOffset val="100"/>
        <c:baseTimeUnit val="months"/>
        <c:majorUnit val="9"/>
        <c:majorTimeUnit val="months"/>
      </c:dateAx>
      <c:valAx>
        <c:axId val="310494176"/>
        <c:scaling>
          <c:orientation val="minMax"/>
          <c:min val="80000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30370688"/>
        <c:crosses val="autoZero"/>
        <c:crossBetween val="between"/>
        <c:dispUnits>
          <c:builtInUnit val="thousands"/>
        </c:dispUnits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3557319708753042E-2"/>
          <c:y val="3.7807870370370374E-2"/>
          <c:w val="0.86598668437575621"/>
          <c:h val="0.715112499999999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População!$B$41</c:f>
              <c:strCache>
                <c:ptCount val="1"/>
                <c:pt idx="0">
                  <c:v>Formal</c:v>
                </c:pt>
              </c:strCache>
            </c:strRef>
          </c:tx>
          <c:spPr>
            <a:solidFill>
              <a:srgbClr val="1A4B9F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numRef>
              <c:f>População!$BH$39:$FC$39</c:f>
              <c:numCache>
                <c:formatCode>mmm\-yy</c:formatCode>
                <c:ptCount val="100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</c:numCache>
            </c:numRef>
          </c:cat>
          <c:val>
            <c:numRef>
              <c:f>População!$BH$41:$FC$41</c:f>
              <c:numCache>
                <c:formatCode>#,##0.0</c:formatCode>
                <c:ptCount val="100"/>
                <c:pt idx="0">
                  <c:v>-2.3355862987672391</c:v>
                </c:pt>
                <c:pt idx="1">
                  <c:v>-2.5677650445540783</c:v>
                </c:pt>
                <c:pt idx="2">
                  <c:v>-2.5146948336058705</c:v>
                </c:pt>
                <c:pt idx="3">
                  <c:v>-2.3423683947102041</c:v>
                </c:pt>
                <c:pt idx="4">
                  <c:v>-2.0626943178399086</c:v>
                </c:pt>
                <c:pt idx="5">
                  <c:v>-1.8635959056519773</c:v>
                </c:pt>
                <c:pt idx="6">
                  <c:v>-1.5819473203749452</c:v>
                </c:pt>
                <c:pt idx="7">
                  <c:v>-1.1098444206008553</c:v>
                </c:pt>
                <c:pt idx="8">
                  <c:v>-1.082850385050836</c:v>
                </c:pt>
                <c:pt idx="9">
                  <c:v>-0.95571121780096724</c:v>
                </c:pt>
                <c:pt idx="10">
                  <c:v>-0.68661714632474669</c:v>
                </c:pt>
                <c:pt idx="11">
                  <c:v>-0.48188990496683004</c:v>
                </c:pt>
                <c:pt idx="12">
                  <c:v>0</c:v>
                </c:pt>
                <c:pt idx="13">
                  <c:v>0.20270955099834059</c:v>
                </c:pt>
                <c:pt idx="14">
                  <c:v>0.28431938922304928</c:v>
                </c:pt>
                <c:pt idx="15">
                  <c:v>0.2935754762067278</c:v>
                </c:pt>
                <c:pt idx="16">
                  <c:v>0.23250011341469429</c:v>
                </c:pt>
                <c:pt idx="17">
                  <c:v>0.19635280310552833</c:v>
                </c:pt>
                <c:pt idx="18">
                  <c:v>0.22206769700096932</c:v>
                </c:pt>
                <c:pt idx="19">
                  <c:v>0.39202546490199713</c:v>
                </c:pt>
                <c:pt idx="20">
                  <c:v>0.43813802459800089</c:v>
                </c:pt>
                <c:pt idx="21">
                  <c:v>0.5056833934017132</c:v>
                </c:pt>
                <c:pt idx="22">
                  <c:v>0.40006630933303988</c:v>
                </c:pt>
                <c:pt idx="23">
                  <c:v>0.36750547407105821</c:v>
                </c:pt>
                <c:pt idx="24">
                  <c:v>0.25036511579387244</c:v>
                </c:pt>
                <c:pt idx="25">
                  <c:v>0.305456309823123</c:v>
                </c:pt>
                <c:pt idx="26">
                  <c:v>0.61353096500765492</c:v>
                </c:pt>
                <c:pt idx="27">
                  <c:v>0.7815810012264498</c:v>
                </c:pt>
                <c:pt idx="28">
                  <c:v>1.1497835112362633</c:v>
                </c:pt>
                <c:pt idx="29">
                  <c:v>1.2328660522717407</c:v>
                </c:pt>
                <c:pt idx="30">
                  <c:v>1.0087461617762805</c:v>
                </c:pt>
                <c:pt idx="31">
                  <c:v>0.64767411068937941</c:v>
                </c:pt>
                <c:pt idx="32">
                  <c:v>0.52155962799073641</c:v>
                </c:pt>
                <c:pt idx="33">
                  <c:v>0.67026177324628855</c:v>
                </c:pt>
                <c:pt idx="34">
                  <c:v>0.83501859221083818</c:v>
                </c:pt>
                <c:pt idx="35">
                  <c:v>1.0471885264561465</c:v>
                </c:pt>
                <c:pt idx="36">
                  <c:v>1.2294904071534012</c:v>
                </c:pt>
                <c:pt idx="37">
                  <c:v>1.4706845010801013</c:v>
                </c:pt>
                <c:pt idx="38">
                  <c:v>1.2637278327012813</c:v>
                </c:pt>
                <c:pt idx="39">
                  <c:v>1.0789355379875187</c:v>
                </c:pt>
                <c:pt idx="40">
                  <c:v>-1.4165231982911532E-2</c:v>
                </c:pt>
                <c:pt idx="41">
                  <c:v>-1.3597850347801621</c:v>
                </c:pt>
                <c:pt idx="42">
                  <c:v>-2.6202475637525255</c:v>
                </c:pt>
                <c:pt idx="43">
                  <c:v>-3.9989663414949264</c:v>
                </c:pt>
                <c:pt idx="44">
                  <c:v>-4.614342106678424</c:v>
                </c:pt>
                <c:pt idx="45">
                  <c:v>-4.5272612162118646</c:v>
                </c:pt>
                <c:pt idx="46">
                  <c:v>-3.9976893205960673</c:v>
                </c:pt>
                <c:pt idx="47">
                  <c:v>-3.7750730074819367</c:v>
                </c:pt>
                <c:pt idx="48">
                  <c:v>-3.8138841567291339</c:v>
                </c:pt>
                <c:pt idx="49">
                  <c:v>-3.9849881316425395</c:v>
                </c:pt>
                <c:pt idx="50">
                  <c:v>-3.6475960247112562</c:v>
                </c:pt>
                <c:pt idx="51">
                  <c:v>-3.60892890311725</c:v>
                </c:pt>
                <c:pt idx="52">
                  <c:v>-2.7769624997177877</c:v>
                </c:pt>
                <c:pt idx="53">
                  <c:v>-1.3376513658124465</c:v>
                </c:pt>
                <c:pt idx="54">
                  <c:v>0.24451949498251377</c:v>
                </c:pt>
                <c:pt idx="55">
                  <c:v>2.5588662254262693</c:v>
                </c:pt>
                <c:pt idx="56">
                  <c:v>3.5942757830122414</c:v>
                </c:pt>
                <c:pt idx="57">
                  <c:v>4.1632603257885394</c:v>
                </c:pt>
                <c:pt idx="58">
                  <c:v>3.7245281667442627</c:v>
                </c:pt>
                <c:pt idx="59">
                  <c:v>3.7871214348720996</c:v>
                </c:pt>
                <c:pt idx="60">
                  <c:v>4.1134106056892055</c:v>
                </c:pt>
                <c:pt idx="61">
                  <c:v>4.3607705779334465</c:v>
                </c:pt>
                <c:pt idx="62">
                  <c:v>4.2271433238437499</c:v>
                </c:pt>
                <c:pt idx="63">
                  <c:v>4.6247777673809241</c:v>
                </c:pt>
                <c:pt idx="64">
                  <c:v>5.3027480204937074</c:v>
                </c:pt>
                <c:pt idx="65">
                  <c:v>5.6772747232429719</c:v>
                </c:pt>
                <c:pt idx="66">
                  <c:v>6.0016183627183928</c:v>
                </c:pt>
                <c:pt idx="67">
                  <c:v>5.6768509882799822</c:v>
                </c:pt>
                <c:pt idx="68">
                  <c:v>5.661257538902408</c:v>
                </c:pt>
                <c:pt idx="69">
                  <c:v>5.2342080753848625</c:v>
                </c:pt>
                <c:pt idx="70">
                  <c:v>5.2824460587661273</c:v>
                </c:pt>
                <c:pt idx="71">
                  <c:v>4.7915951236263785</c:v>
                </c:pt>
                <c:pt idx="72">
                  <c:v>4.195216410605604</c:v>
                </c:pt>
                <c:pt idx="73">
                  <c:v>3.4351348754790263</c:v>
                </c:pt>
                <c:pt idx="74">
                  <c:v>3.1425820943416354</c:v>
                </c:pt>
                <c:pt idx="75">
                  <c:v>2.7608181944548411</c:v>
                </c:pt>
                <c:pt idx="76">
                  <c:v>2.2379630313842678</c:v>
                </c:pt>
                <c:pt idx="77">
                  <c:v>1.7250206354679352</c:v>
                </c:pt>
                <c:pt idx="78">
                  <c:v>1.203794909015506</c:v>
                </c:pt>
                <c:pt idx="79">
                  <c:v>1.0533490302992725</c:v>
                </c:pt>
                <c:pt idx="80">
                  <c:v>0.97245232925486791</c:v>
                </c:pt>
                <c:pt idx="81">
                  <c:v>0.68045363575717721</c:v>
                </c:pt>
                <c:pt idx="82">
                  <c:v>0.32202003680229419</c:v>
                </c:pt>
                <c:pt idx="83">
                  <c:v>0.21156126078246471</c:v>
                </c:pt>
                <c:pt idx="84">
                  <c:v>0.63885641625136214</c:v>
                </c:pt>
                <c:pt idx="85">
                  <c:v>1.217080453357299</c:v>
                </c:pt>
                <c:pt idx="86">
                  <c:v>1.5569981822903125</c:v>
                </c:pt>
                <c:pt idx="87">
                  <c:v>1.5909896017837419</c:v>
                </c:pt>
                <c:pt idx="88">
                  <c:v>1.8559530864967713</c:v>
                </c:pt>
                <c:pt idx="89">
                  <c:v>2.1463940166159055</c:v>
                </c:pt>
                <c:pt idx="90">
                  <c:v>2.3465034316453397</c:v>
                </c:pt>
                <c:pt idx="91">
                  <c:v>2.1783072203240312</c:v>
                </c:pt>
                <c:pt idx="92">
                  <c:v>2.0427577741407492</c:v>
                </c:pt>
                <c:pt idx="93">
                  <c:v>2.2646980742918927</c:v>
                </c:pt>
                <c:pt idx="94">
                  <c:v>2.316307742388326</c:v>
                </c:pt>
                <c:pt idx="95">
                  <c:v>2.5487590900331663</c:v>
                </c:pt>
                <c:pt idx="96">
                  <c:v>2.3096413393497071</c:v>
                </c:pt>
                <c:pt idx="97">
                  <c:v>2.0866269406947975</c:v>
                </c:pt>
                <c:pt idx="98">
                  <c:v>2.1366174122624089</c:v>
                </c:pt>
                <c:pt idx="99">
                  <c:v>2.3125209836098874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2-44B3-BAEA-4224865FAF66}"/>
            </c:ext>
          </c:extLst>
        </c:ser>
        <c:ser>
          <c:idx val="1"/>
          <c:order val="1"/>
          <c:tx>
            <c:strRef>
              <c:f>População!$B$42</c:f>
              <c:strCache>
                <c:ptCount val="1"/>
                <c:pt idx="0">
                  <c:v>Informal</c:v>
                </c:pt>
              </c:strCache>
            </c:strRef>
          </c:tx>
          <c:spPr>
            <a:solidFill>
              <a:srgbClr val="949494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numRef>
              <c:f>População!$BH$39:$FC$39</c:f>
              <c:numCache>
                <c:formatCode>mmm\-yy</c:formatCode>
                <c:ptCount val="100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</c:numCache>
            </c:numRef>
          </c:cat>
          <c:val>
            <c:numRef>
              <c:f>População!$BH$42:$FC$42</c:f>
              <c:numCache>
                <c:formatCode>#,##0.0</c:formatCode>
                <c:ptCount val="100"/>
                <c:pt idx="0">
                  <c:v>-0.22493257482283677</c:v>
                </c:pt>
                <c:pt idx="1">
                  <c:v>0.13294804038983574</c:v>
                </c:pt>
                <c:pt idx="2">
                  <c:v>5.4138860653203585E-2</c:v>
                </c:pt>
                <c:pt idx="3">
                  <c:v>8.7866620694261391E-2</c:v>
                </c:pt>
                <c:pt idx="4">
                  <c:v>0.31870911664085316</c:v>
                </c:pt>
                <c:pt idx="5">
                  <c:v>0.45727636849132514</c:v>
                </c:pt>
                <c:pt idx="6">
                  <c:v>0.84274040923563187</c:v>
                </c:pt>
                <c:pt idx="7">
                  <c:v>1.1802575107296134</c:v>
                </c:pt>
                <c:pt idx="8">
                  <c:v>1.8865809503525444</c:v>
                </c:pt>
                <c:pt idx="9">
                  <c:v>2.3454277650974289</c:v>
                </c:pt>
                <c:pt idx="10">
                  <c:v>2.3700091024531695</c:v>
                </c:pt>
                <c:pt idx="11">
                  <c:v>2.3321230051999273</c:v>
                </c:pt>
                <c:pt idx="12">
                  <c:v>2.0495752930366007</c:v>
                </c:pt>
                <c:pt idx="13">
                  <c:v>1.9223622419676365</c:v>
                </c:pt>
                <c:pt idx="14">
                  <c:v>1.8146600061168356</c:v>
                </c:pt>
                <c:pt idx="15">
                  <c:v>1.7637286361257121</c:v>
                </c:pt>
                <c:pt idx="16">
                  <c:v>1.6626593476387022</c:v>
                </c:pt>
                <c:pt idx="17">
                  <c:v>1.3124040805272212</c:v>
                </c:pt>
                <c:pt idx="18">
                  <c:v>0.95444247549404737</c:v>
                </c:pt>
                <c:pt idx="19">
                  <c:v>0.83319372312503259</c:v>
                </c:pt>
                <c:pt idx="20">
                  <c:v>0.8373551586860295</c:v>
                </c:pt>
                <c:pt idx="21">
                  <c:v>1.0812309398392059</c:v>
                </c:pt>
                <c:pt idx="22">
                  <c:v>1.2455103055755126</c:v>
                </c:pt>
                <c:pt idx="23">
                  <c:v>1.1333252643508718</c:v>
                </c:pt>
                <c:pt idx="24">
                  <c:v>0.94106536945326114</c:v>
                </c:pt>
                <c:pt idx="25">
                  <c:v>0.76860306117947874</c:v>
                </c:pt>
                <c:pt idx="26">
                  <c:v>0.61131204650852855</c:v>
                </c:pt>
                <c:pt idx="27">
                  <c:v>0.90311071468390858</c:v>
                </c:pt>
                <c:pt idx="28">
                  <c:v>0.99952138730896956</c:v>
                </c:pt>
                <c:pt idx="29">
                  <c:v>1.3696041265994441</c:v>
                </c:pt>
                <c:pt idx="30">
                  <c:v>1.7093259136912353</c:v>
                </c:pt>
                <c:pt idx="31">
                  <c:v>1.8260658487068611</c:v>
                </c:pt>
                <c:pt idx="32">
                  <c:v>1.5624828434332938</c:v>
                </c:pt>
                <c:pt idx="33">
                  <c:v>1.0599742374953647</c:v>
                </c:pt>
                <c:pt idx="34">
                  <c:v>0.80131341466066175</c:v>
                </c:pt>
                <c:pt idx="35">
                  <c:v>0.66452025540125892</c:v>
                </c:pt>
                <c:pt idx="36">
                  <c:v>0.68907891310009162</c:v>
                </c:pt>
                <c:pt idx="37">
                  <c:v>0.56732636540182346</c:v>
                </c:pt>
                <c:pt idx="38">
                  <c:v>0.74968763015410533</c:v>
                </c:pt>
                <c:pt idx="39">
                  <c:v>-0.72586923388998092</c:v>
                </c:pt>
                <c:pt idx="40">
                  <c:v>-3.4595855035195155</c:v>
                </c:pt>
                <c:pt idx="41">
                  <c:v>-6.300517910156672</c:v>
                </c:pt>
                <c:pt idx="42">
                  <c:v>-8.2276636845342797</c:v>
                </c:pt>
                <c:pt idx="43">
                  <c:v>-8.4781531968042696</c:v>
                </c:pt>
                <c:pt idx="44">
                  <c:v>-8.1229630745071049</c:v>
                </c:pt>
                <c:pt idx="45">
                  <c:v>-7.5296970737517563</c:v>
                </c:pt>
                <c:pt idx="46">
                  <c:v>-6.3896704072572472</c:v>
                </c:pt>
                <c:pt idx="47">
                  <c:v>-5.6050561677999706</c:v>
                </c:pt>
                <c:pt idx="48">
                  <c:v>-4.9691226575809182</c:v>
                </c:pt>
                <c:pt idx="49">
                  <c:v>-4.4361995594807837</c:v>
                </c:pt>
                <c:pt idx="50">
                  <c:v>-4.267526188557615</c:v>
                </c:pt>
                <c:pt idx="51">
                  <c:v>-2.9763010390830704</c:v>
                </c:pt>
                <c:pt idx="52">
                  <c:v>-0.27769624997177916</c:v>
                </c:pt>
                <c:pt idx="53">
                  <c:v>2.8794705716699482</c:v>
                </c:pt>
                <c:pt idx="54">
                  <c:v>5.9677282686325075</c:v>
                </c:pt>
                <c:pt idx="55">
                  <c:v>6.9224712742661758</c:v>
                </c:pt>
                <c:pt idx="56">
                  <c:v>7.3808379247864524</c:v>
                </c:pt>
                <c:pt idx="57">
                  <c:v>7.1966322982124327</c:v>
                </c:pt>
                <c:pt idx="58">
                  <c:v>6.3758669674939386</c:v>
                </c:pt>
                <c:pt idx="59">
                  <c:v>5.8088797412525688</c:v>
                </c:pt>
                <c:pt idx="60">
                  <c:v>5.594658635944481</c:v>
                </c:pt>
                <c:pt idx="61">
                  <c:v>5.0134267367192065</c:v>
                </c:pt>
                <c:pt idx="62">
                  <c:v>4.8525225183180076</c:v>
                </c:pt>
                <c:pt idx="63">
                  <c:v>4.7639655656405013</c:v>
                </c:pt>
                <c:pt idx="64">
                  <c:v>5.0011644154634372</c:v>
                </c:pt>
                <c:pt idx="65">
                  <c:v>4.9203817975918103</c:v>
                </c:pt>
                <c:pt idx="66">
                  <c:v>3.9159819016901638</c:v>
                </c:pt>
                <c:pt idx="67">
                  <c:v>3.1339543559605816</c:v>
                </c:pt>
                <c:pt idx="68">
                  <c:v>2.2736107871558242</c:v>
                </c:pt>
                <c:pt idx="69">
                  <c:v>1.5263244398181139</c:v>
                </c:pt>
                <c:pt idx="70">
                  <c:v>0.77848856120568177</c:v>
                </c:pt>
                <c:pt idx="71">
                  <c:v>0.2092633928571454</c:v>
                </c:pt>
                <c:pt idx="72">
                  <c:v>-0.43941779801676695</c:v>
                </c:pt>
                <c:pt idx="73">
                  <c:v>-0.11528731092347204</c:v>
                </c:pt>
                <c:pt idx="74">
                  <c:v>-0.1636538667237156</c:v>
                </c:pt>
                <c:pt idx="75">
                  <c:v>-0.13579547277140436</c:v>
                </c:pt>
                <c:pt idx="76">
                  <c:v>-0.70939205523123994</c:v>
                </c:pt>
                <c:pt idx="77">
                  <c:v>-0.86303273464355523</c:v>
                </c:pt>
                <c:pt idx="78">
                  <c:v>-0.58893669967338813</c:v>
                </c:pt>
                <c:pt idx="79">
                  <c:v>-0.40584918520354563</c:v>
                </c:pt>
                <c:pt idx="80">
                  <c:v>-0.37251613036006648</c:v>
                </c:pt>
                <c:pt idx="81">
                  <c:v>-0.16421203879509633</c:v>
                </c:pt>
                <c:pt idx="82">
                  <c:v>0.17174401962788657</c:v>
                </c:pt>
                <c:pt idx="83">
                  <c:v>0.55803115162912409</c:v>
                </c:pt>
                <c:pt idx="84">
                  <c:v>0.94546647798355465</c:v>
                </c:pt>
                <c:pt idx="85">
                  <c:v>0.73252125758092634</c:v>
                </c:pt>
                <c:pt idx="86">
                  <c:v>0.58062840820565964</c:v>
                </c:pt>
                <c:pt idx="87">
                  <c:v>0.81893767321678146</c:v>
                </c:pt>
                <c:pt idx="88">
                  <c:v>0.95137090988489881</c:v>
                </c:pt>
                <c:pt idx="89">
                  <c:v>0.81629270516087649</c:v>
                </c:pt>
                <c:pt idx="90">
                  <c:v>0.58430717863105308</c:v>
                </c:pt>
                <c:pt idx="91">
                  <c:v>0.508921517324876</c:v>
                </c:pt>
                <c:pt idx="92">
                  <c:v>0.82139934533551517</c:v>
                </c:pt>
                <c:pt idx="93">
                  <c:v>0.91996977679756209</c:v>
                </c:pt>
                <c:pt idx="94">
                  <c:v>1.0671088369632629</c:v>
                </c:pt>
                <c:pt idx="95">
                  <c:v>0.81848332099353649</c:v>
                </c:pt>
                <c:pt idx="96">
                  <c:v>0.48454014112231319</c:v>
                </c:pt>
                <c:pt idx="97">
                  <c:v>0.2574080830191699</c:v>
                </c:pt>
                <c:pt idx="98">
                  <c:v>0.25322119735998994</c:v>
                </c:pt>
                <c:pt idx="99">
                  <c:v>-5.4938905901863531E-2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2-44B3-BAEA-4224865FA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30358720"/>
        <c:axId val="430359808"/>
      </c:barChart>
      <c:lineChart>
        <c:grouping val="standard"/>
        <c:varyColors val="0"/>
        <c:ser>
          <c:idx val="2"/>
          <c:order val="2"/>
          <c:tx>
            <c:strRef>
              <c:f>População!$B$40</c:f>
              <c:strCache>
                <c:ptCount val="1"/>
                <c:pt idx="0">
                  <c:v>População ocupada Total</c:v>
                </c:pt>
              </c:strCache>
            </c:strRef>
          </c:tx>
          <c:spPr>
            <a:ln>
              <a:solidFill>
                <a:srgbClr val="00ADEA"/>
              </a:solidFill>
            </a:ln>
            <a:effectLst/>
          </c:spPr>
          <c:marker>
            <c:symbol val="none"/>
          </c:marker>
          <c:cat>
            <c:strRef>
              <c:f>'[37]G 4.1 - G 4'!#REF!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População!$BH$40:$EW$40</c:f>
              <c:numCache>
                <c:formatCode>#,##0.0</c:formatCode>
                <c:ptCount val="94"/>
                <c:pt idx="0">
                  <c:v>-2.5605188735900759</c:v>
                </c:pt>
                <c:pt idx="1">
                  <c:v>-2.4348170041642425</c:v>
                </c:pt>
                <c:pt idx="2">
                  <c:v>-2.4605559729526671</c:v>
                </c:pt>
                <c:pt idx="3">
                  <c:v>-2.2545017740159428</c:v>
                </c:pt>
                <c:pt idx="4">
                  <c:v>-1.7439852011990555</c:v>
                </c:pt>
                <c:pt idx="5">
                  <c:v>-1.4063195371606523</c:v>
                </c:pt>
                <c:pt idx="6">
                  <c:v>-0.73920691113931336</c:v>
                </c:pt>
                <c:pt idx="7">
                  <c:v>7.0413090128758071E-2</c:v>
                </c:pt>
                <c:pt idx="8">
                  <c:v>0.80373056530170839</c:v>
                </c:pt>
                <c:pt idx="9">
                  <c:v>1.3897165472964617</c:v>
                </c:pt>
                <c:pt idx="10">
                  <c:v>1.683391956128423</c:v>
                </c:pt>
                <c:pt idx="11">
                  <c:v>1.8502331002330972</c:v>
                </c:pt>
                <c:pt idx="12">
                  <c:v>2.0495752930366007</c:v>
                </c:pt>
                <c:pt idx="13">
                  <c:v>2.125071792965977</c:v>
                </c:pt>
                <c:pt idx="14">
                  <c:v>2.0989793953398848</c:v>
                </c:pt>
                <c:pt idx="15">
                  <c:v>2.05730411233244</c:v>
                </c:pt>
                <c:pt idx="16">
                  <c:v>1.8951594610533964</c:v>
                </c:pt>
                <c:pt idx="17">
                  <c:v>1.5087568836327496</c:v>
                </c:pt>
                <c:pt idx="18">
                  <c:v>1.1765101724950167</c:v>
                </c:pt>
                <c:pt idx="19">
                  <c:v>1.2252191880270298</c:v>
                </c:pt>
                <c:pt idx="20">
                  <c:v>1.2754931832840304</c:v>
                </c:pt>
                <c:pt idx="21">
                  <c:v>1.586914333240919</c:v>
                </c:pt>
                <c:pt idx="22">
                  <c:v>1.6455766149085524</c:v>
                </c:pt>
                <c:pt idx="23">
                  <c:v>1.5008307384219299</c:v>
                </c:pt>
                <c:pt idx="24">
                  <c:v>1.1914304852471336</c:v>
                </c:pt>
                <c:pt idx="25">
                  <c:v>1.0740593710026016</c:v>
                </c:pt>
                <c:pt idx="26">
                  <c:v>1.2248430115161835</c:v>
                </c:pt>
                <c:pt idx="27">
                  <c:v>1.6846917159103585</c:v>
                </c:pt>
                <c:pt idx="28">
                  <c:v>2.1493048985452328</c:v>
                </c:pt>
                <c:pt idx="29">
                  <c:v>2.6024701788711848</c:v>
                </c:pt>
                <c:pt idx="30">
                  <c:v>2.7180720754675161</c:v>
                </c:pt>
                <c:pt idx="31">
                  <c:v>2.4737399593962404</c:v>
                </c:pt>
                <c:pt idx="32">
                  <c:v>2.0840424714240302</c:v>
                </c:pt>
                <c:pt idx="33">
                  <c:v>1.7302360107416532</c:v>
                </c:pt>
                <c:pt idx="34">
                  <c:v>1.6363320068714999</c:v>
                </c:pt>
                <c:pt idx="35">
                  <c:v>1.7117087818574053</c:v>
                </c:pt>
                <c:pt idx="36">
                  <c:v>1.9185693202534928</c:v>
                </c:pt>
                <c:pt idx="37">
                  <c:v>2.0380108664819248</c:v>
                </c:pt>
                <c:pt idx="38">
                  <c:v>2.0134154628553866</c:v>
                </c:pt>
                <c:pt idx="39">
                  <c:v>0.35306630409753781</c:v>
                </c:pt>
                <c:pt idx="40">
                  <c:v>-3.4737507355024273</c:v>
                </c:pt>
                <c:pt idx="41">
                  <c:v>-7.6603029449368343</c:v>
                </c:pt>
                <c:pt idx="42">
                  <c:v>-10.847911248286806</c:v>
                </c:pt>
                <c:pt idx="43">
                  <c:v>-12.477119538299196</c:v>
                </c:pt>
                <c:pt idx="44">
                  <c:v>-12.73730518118553</c:v>
                </c:pt>
                <c:pt idx="45">
                  <c:v>-12.056958289963621</c:v>
                </c:pt>
                <c:pt idx="46">
                  <c:v>-10.387359727853315</c:v>
                </c:pt>
                <c:pt idx="47">
                  <c:v>-9.3801291752819083</c:v>
                </c:pt>
                <c:pt idx="48">
                  <c:v>-8.7830068143100526</c:v>
                </c:pt>
                <c:pt idx="49">
                  <c:v>-8.4211876911233237</c:v>
                </c:pt>
                <c:pt idx="50">
                  <c:v>-7.9151222132688712</c:v>
                </c:pt>
                <c:pt idx="51">
                  <c:v>-6.5852299422003204</c:v>
                </c:pt>
                <c:pt idx="52">
                  <c:v>-3.0546587496895667</c:v>
                </c:pt>
                <c:pt idx="53">
                  <c:v>1.5418192058575018</c:v>
                </c:pt>
                <c:pt idx="54">
                  <c:v>6.2122477636150215</c:v>
                </c:pt>
                <c:pt idx="55">
                  <c:v>9.4813374996924455</c:v>
                </c:pt>
                <c:pt idx="56">
                  <c:v>10.975113707798695</c:v>
                </c:pt>
                <c:pt idx="57">
                  <c:v>11.359892624000972</c:v>
                </c:pt>
                <c:pt idx="58">
                  <c:v>10.100395134238202</c:v>
                </c:pt>
                <c:pt idx="59">
                  <c:v>9.596001176124668</c:v>
                </c:pt>
                <c:pt idx="60">
                  <c:v>9.7080692416336873</c:v>
                </c:pt>
                <c:pt idx="61">
                  <c:v>9.3741973146526529</c:v>
                </c:pt>
                <c:pt idx="62">
                  <c:v>9.0796658421617575</c:v>
                </c:pt>
                <c:pt idx="63">
                  <c:v>9.3887433330214254</c:v>
                </c:pt>
                <c:pt idx="64">
                  <c:v>10.303912435957145</c:v>
                </c:pt>
                <c:pt idx="65">
                  <c:v>10.597656520834782</c:v>
                </c:pt>
                <c:pt idx="66">
                  <c:v>9.9176002644085557</c:v>
                </c:pt>
                <c:pt idx="67">
                  <c:v>8.8108053442405634</c:v>
                </c:pt>
                <c:pt idx="68">
                  <c:v>7.9348683260582327</c:v>
                </c:pt>
                <c:pt idx="69">
                  <c:v>6.7605325152029767</c:v>
                </c:pt>
                <c:pt idx="70">
                  <c:v>6.0609346199718086</c:v>
                </c:pt>
                <c:pt idx="71">
                  <c:v>5.0008585164835235</c:v>
                </c:pt>
                <c:pt idx="72">
                  <c:v>3.755798612588837</c:v>
                </c:pt>
                <c:pt idx="73">
                  <c:v>3.3198475645555541</c:v>
                </c:pt>
                <c:pt idx="74">
                  <c:v>2.9789282276179199</c:v>
                </c:pt>
                <c:pt idx="75">
                  <c:v>2.625022721683437</c:v>
                </c:pt>
                <c:pt idx="76">
                  <c:v>1.5285709761530279</c:v>
                </c:pt>
                <c:pt idx="77">
                  <c:v>0.86198790082437993</c:v>
                </c:pt>
                <c:pt idx="78">
                  <c:v>0.61485820934211788</c:v>
                </c:pt>
                <c:pt idx="79">
                  <c:v>0.64749984509572689</c:v>
                </c:pt>
                <c:pt idx="80">
                  <c:v>0.59993619889480143</c:v>
                </c:pt>
                <c:pt idx="81">
                  <c:v>0.51624159696208083</c:v>
                </c:pt>
                <c:pt idx="82">
                  <c:v>0.49376405643018073</c:v>
                </c:pt>
                <c:pt idx="83">
                  <c:v>0.76959241241158882</c:v>
                </c:pt>
                <c:pt idx="84">
                  <c:v>1.5843228942349168</c:v>
                </c:pt>
                <c:pt idx="85">
                  <c:v>1.9496017109382253</c:v>
                </c:pt>
                <c:pt idx="86">
                  <c:v>2.1376265904959721</c:v>
                </c:pt>
                <c:pt idx="87">
                  <c:v>2.4099272750005234</c:v>
                </c:pt>
                <c:pt idx="88">
                  <c:v>2.8073239963816699</c:v>
                </c:pt>
                <c:pt idx="89">
                  <c:v>2.9626867217767821</c:v>
                </c:pt>
                <c:pt idx="90">
                  <c:v>2.9308106102763927</c:v>
                </c:pt>
                <c:pt idx="91">
                  <c:v>2.6872287376489075</c:v>
                </c:pt>
                <c:pt idx="92">
                  <c:v>2.8641571194762645</c:v>
                </c:pt>
                <c:pt idx="93">
                  <c:v>3.184667851089455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2-44B3-BAEA-4224865FA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358720"/>
        <c:axId val="430359808"/>
      </c:lineChart>
      <c:dateAx>
        <c:axId val="430358720"/>
        <c:scaling>
          <c:orientation val="minMax"/>
          <c:max val="45717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430359808"/>
        <c:crosses val="autoZero"/>
        <c:auto val="1"/>
        <c:lblOffset val="100"/>
        <c:baseTimeUnit val="months"/>
        <c:majorUnit val="9"/>
        <c:majorTimeUnit val="months"/>
      </c:dateAx>
      <c:valAx>
        <c:axId val="43035980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30358720"/>
        <c:crosses val="autoZero"/>
        <c:crossBetween val="between"/>
        <c:majorUnit val="3"/>
      </c:valAx>
      <c:spPr>
        <a:noFill/>
      </c:spPr>
    </c:plotArea>
    <c:legend>
      <c:legendPos val="b"/>
      <c:layout>
        <c:manualLayout>
          <c:xMode val="edge"/>
          <c:yMode val="edge"/>
          <c:x val="0.10231734646620609"/>
          <c:y val="1.2482906350709087E-2"/>
          <c:w val="0.59877224764810577"/>
          <c:h val="0.27900956284153006"/>
        </c:manualLayout>
      </c:layout>
      <c:overlay val="0"/>
      <c:txPr>
        <a:bodyPr/>
        <a:lstStyle/>
        <a:p>
          <a:pPr>
            <a:defRPr sz="1000" b="0"/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Tabela!$C$4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AF2-444F-9CE8-EB17571F917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5AF2-444F-9CE8-EB17571F9177}"/>
              </c:ext>
            </c:extLst>
          </c:dPt>
          <c:cat>
            <c:strRef>
              <c:f>Tabela!$B$5:$B$18</c:f>
              <c:strCache>
                <c:ptCount val="14"/>
                <c:pt idx="0">
                  <c:v>nov-dez-jan 2025</c:v>
                </c:pt>
                <c:pt idx="1">
                  <c:v>dez-jan-fev 2025</c:v>
                </c:pt>
                <c:pt idx="2">
                  <c:v>jan-fev-mar 2025</c:v>
                </c:pt>
                <c:pt idx="3">
                  <c:v>fev-mar-abr 2025</c:v>
                </c:pt>
                <c:pt idx="4">
                  <c:v>mar-abr-mai 2025</c:v>
                </c:pt>
                <c:pt idx="5">
                  <c:v>abr-mai-jun 2025</c:v>
                </c:pt>
                <c:pt idx="6">
                  <c:v>mai-jun-jul 2025</c:v>
                </c:pt>
                <c:pt idx="7">
                  <c:v>jun-jul-ago 2025</c:v>
                </c:pt>
                <c:pt idx="8">
                  <c:v>jul-ago-set 2025</c:v>
                </c:pt>
                <c:pt idx="9">
                  <c:v>ago-set-out 2025</c:v>
                </c:pt>
                <c:pt idx="10">
                  <c:v>set-out-nov 2025</c:v>
                </c:pt>
                <c:pt idx="11">
                  <c:v>out-nov-dez 2025</c:v>
                </c:pt>
                <c:pt idx="12">
                  <c:v>nov-dez-jan 2026</c:v>
                </c:pt>
                <c:pt idx="13">
                  <c:v>dez-jan-fev 2026</c:v>
                </c:pt>
              </c:strCache>
            </c:strRef>
          </c:cat>
          <c:val>
            <c:numRef>
              <c:f>Tabela!$C$5:$C$18</c:f>
              <c:numCache>
                <c:formatCode>General</c:formatCode>
                <c:ptCount val="14"/>
                <c:pt idx="0">
                  <c:v>2.2999999999999998</c:v>
                </c:pt>
                <c:pt idx="1">
                  <c:v>2.4</c:v>
                </c:pt>
                <c:pt idx="2">
                  <c:v>2.2999999999999998</c:v>
                </c:pt>
                <c:pt idx="3">
                  <c:v>2.4</c:v>
                </c:pt>
                <c:pt idx="4">
                  <c:v>2.5</c:v>
                </c:pt>
                <c:pt idx="5">
                  <c:v>2.4</c:v>
                </c:pt>
                <c:pt idx="6">
                  <c:v>2.4</c:v>
                </c:pt>
                <c:pt idx="7">
                  <c:v>1.8</c:v>
                </c:pt>
                <c:pt idx="8">
                  <c:v>1.4</c:v>
                </c:pt>
                <c:pt idx="9">
                  <c:v>0.9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1.7</c:v>
                </c:pt>
                <c:pt idx="1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2-444F-9CE8-EB17571F9177}"/>
            </c:ext>
          </c:extLst>
        </c:ser>
        <c:ser>
          <c:idx val="1"/>
          <c:order val="1"/>
          <c:tx>
            <c:strRef>
              <c:f>Tabela!$D$4</c:f>
              <c:strCache>
                <c:ptCount val="1"/>
                <c:pt idx="0">
                  <c:v>Empregado</c:v>
                </c:pt>
              </c:strCache>
            </c:strRef>
          </c:tx>
          <c:spPr>
            <a:ln>
              <a:solidFill>
                <a:schemeClr val="accent2"/>
              </a:solidFill>
            </a:ln>
            <a:effectLst/>
          </c:spPr>
          <c:marker>
            <c:symbol val="none"/>
          </c:marker>
          <c:cat>
            <c:strRef>
              <c:f>Tabela!$B$5:$B$18</c:f>
              <c:strCache>
                <c:ptCount val="14"/>
                <c:pt idx="0">
                  <c:v>nov-dez-jan 2025</c:v>
                </c:pt>
                <c:pt idx="1">
                  <c:v>dez-jan-fev 2025</c:v>
                </c:pt>
                <c:pt idx="2">
                  <c:v>jan-fev-mar 2025</c:v>
                </c:pt>
                <c:pt idx="3">
                  <c:v>fev-mar-abr 2025</c:v>
                </c:pt>
                <c:pt idx="4">
                  <c:v>mar-abr-mai 2025</c:v>
                </c:pt>
                <c:pt idx="5">
                  <c:v>abr-mai-jun 2025</c:v>
                </c:pt>
                <c:pt idx="6">
                  <c:v>mai-jun-jul 2025</c:v>
                </c:pt>
                <c:pt idx="7">
                  <c:v>jun-jul-ago 2025</c:v>
                </c:pt>
                <c:pt idx="8">
                  <c:v>jul-ago-set 2025</c:v>
                </c:pt>
                <c:pt idx="9">
                  <c:v>ago-set-out 2025</c:v>
                </c:pt>
                <c:pt idx="10">
                  <c:v>set-out-nov 2025</c:v>
                </c:pt>
                <c:pt idx="11">
                  <c:v>out-nov-dez 2025</c:v>
                </c:pt>
                <c:pt idx="12">
                  <c:v>nov-dez-jan 2026</c:v>
                </c:pt>
                <c:pt idx="13">
                  <c:v>dez-jan-fev 2026</c:v>
                </c:pt>
              </c:strCache>
            </c:strRef>
          </c:cat>
          <c:val>
            <c:numRef>
              <c:f>Tabela!$D$5:$D$18</c:f>
              <c:numCache>
                <c:formatCode>General</c:formatCode>
                <c:ptCount val="14"/>
                <c:pt idx="0">
                  <c:v>3</c:v>
                </c:pt>
                <c:pt idx="1">
                  <c:v>2.8</c:v>
                </c:pt>
                <c:pt idx="2">
                  <c:v>2.6</c:v>
                </c:pt>
                <c:pt idx="3">
                  <c:v>2.7</c:v>
                </c:pt>
                <c:pt idx="4">
                  <c:v>2.7</c:v>
                </c:pt>
                <c:pt idx="5">
                  <c:v>2.5</c:v>
                </c:pt>
                <c:pt idx="6">
                  <c:v>2.1</c:v>
                </c:pt>
                <c:pt idx="7">
                  <c:v>1.3</c:v>
                </c:pt>
                <c:pt idx="8">
                  <c:v>0.6</c:v>
                </c:pt>
                <c:pt idx="9">
                  <c:v>0.4</c:v>
                </c:pt>
                <c:pt idx="10">
                  <c:v>0.8</c:v>
                </c:pt>
                <c:pt idx="11">
                  <c:v>1.1000000000000001</c:v>
                </c:pt>
                <c:pt idx="12">
                  <c:v>1.3</c:v>
                </c:pt>
                <c:pt idx="1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F2-444F-9CE8-EB17571F9177}"/>
            </c:ext>
          </c:extLst>
        </c:ser>
        <c:ser>
          <c:idx val="3"/>
          <c:order val="2"/>
          <c:tx>
            <c:strRef>
              <c:f>Tabela!$F$4</c:f>
              <c:strCache>
                <c:ptCount val="1"/>
                <c:pt idx="0">
                  <c:v>Empregado no setor privado, exclusive trabalhador doméstico - com carteira de trabalho assinada</c:v>
                </c:pt>
              </c:strCache>
            </c:strRef>
          </c:tx>
          <c:spPr>
            <a:ln>
              <a:solidFill>
                <a:schemeClr val="accent4"/>
              </a:solidFill>
            </a:ln>
            <a:effectLst/>
          </c:spPr>
          <c:marker>
            <c:symbol val="none"/>
          </c:marker>
          <c:cat>
            <c:strRef>
              <c:f>Tabela!$B$5:$B$18</c:f>
              <c:strCache>
                <c:ptCount val="14"/>
                <c:pt idx="0">
                  <c:v>nov-dez-jan 2025</c:v>
                </c:pt>
                <c:pt idx="1">
                  <c:v>dez-jan-fev 2025</c:v>
                </c:pt>
                <c:pt idx="2">
                  <c:v>jan-fev-mar 2025</c:v>
                </c:pt>
                <c:pt idx="3">
                  <c:v>fev-mar-abr 2025</c:v>
                </c:pt>
                <c:pt idx="4">
                  <c:v>mar-abr-mai 2025</c:v>
                </c:pt>
                <c:pt idx="5">
                  <c:v>abr-mai-jun 2025</c:v>
                </c:pt>
                <c:pt idx="6">
                  <c:v>mai-jun-jul 2025</c:v>
                </c:pt>
                <c:pt idx="7">
                  <c:v>jun-jul-ago 2025</c:v>
                </c:pt>
                <c:pt idx="8">
                  <c:v>jul-ago-set 2025</c:v>
                </c:pt>
                <c:pt idx="9">
                  <c:v>ago-set-out 2025</c:v>
                </c:pt>
                <c:pt idx="10">
                  <c:v>set-out-nov 2025</c:v>
                </c:pt>
                <c:pt idx="11">
                  <c:v>out-nov-dez 2025</c:v>
                </c:pt>
                <c:pt idx="12">
                  <c:v>nov-dez-jan 2026</c:v>
                </c:pt>
                <c:pt idx="13">
                  <c:v>dez-jan-fev 2026</c:v>
                </c:pt>
              </c:strCache>
            </c:strRef>
          </c:cat>
          <c:val>
            <c:numRef>
              <c:f>Tabela!$F$5:$F$18</c:f>
              <c:numCache>
                <c:formatCode>General</c:formatCode>
                <c:ptCount val="14"/>
                <c:pt idx="0">
                  <c:v>3.6</c:v>
                </c:pt>
                <c:pt idx="1">
                  <c:v>4.0999999999999996</c:v>
                </c:pt>
                <c:pt idx="2">
                  <c:v>3.9</c:v>
                </c:pt>
                <c:pt idx="3">
                  <c:v>3.8</c:v>
                </c:pt>
                <c:pt idx="4">
                  <c:v>3.8</c:v>
                </c:pt>
                <c:pt idx="5">
                  <c:v>3.7</c:v>
                </c:pt>
                <c:pt idx="6">
                  <c:v>3.5</c:v>
                </c:pt>
                <c:pt idx="7">
                  <c:v>3.3</c:v>
                </c:pt>
                <c:pt idx="8">
                  <c:v>2.7</c:v>
                </c:pt>
                <c:pt idx="9">
                  <c:v>2.4</c:v>
                </c:pt>
                <c:pt idx="10">
                  <c:v>2.6</c:v>
                </c:pt>
                <c:pt idx="11">
                  <c:v>2.4</c:v>
                </c:pt>
                <c:pt idx="12">
                  <c:v>2.1</c:v>
                </c:pt>
                <c:pt idx="1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F2-444F-9CE8-EB17571F9177}"/>
            </c:ext>
          </c:extLst>
        </c:ser>
        <c:ser>
          <c:idx val="4"/>
          <c:order val="3"/>
          <c:tx>
            <c:strRef>
              <c:f>Tabela!$G$4</c:f>
              <c:strCache>
                <c:ptCount val="1"/>
                <c:pt idx="0">
                  <c:v>Empregado no setor privado, exclusive trabalhador doméstico - sem carteira de trabalho assinada</c:v>
                </c:pt>
              </c:strCache>
            </c:strRef>
          </c:tx>
          <c:spPr>
            <a:ln>
              <a:solidFill>
                <a:schemeClr val="accent5"/>
              </a:solidFill>
            </a:ln>
            <a:effectLst/>
          </c:spPr>
          <c:marker>
            <c:symbol val="none"/>
          </c:marker>
          <c:cat>
            <c:strRef>
              <c:f>Tabela!$B$5:$B$18</c:f>
              <c:strCache>
                <c:ptCount val="14"/>
                <c:pt idx="0">
                  <c:v>nov-dez-jan 2025</c:v>
                </c:pt>
                <c:pt idx="1">
                  <c:v>dez-jan-fev 2025</c:v>
                </c:pt>
                <c:pt idx="2">
                  <c:v>jan-fev-mar 2025</c:v>
                </c:pt>
                <c:pt idx="3">
                  <c:v>fev-mar-abr 2025</c:v>
                </c:pt>
                <c:pt idx="4">
                  <c:v>mar-abr-mai 2025</c:v>
                </c:pt>
                <c:pt idx="5">
                  <c:v>abr-mai-jun 2025</c:v>
                </c:pt>
                <c:pt idx="6">
                  <c:v>mai-jun-jul 2025</c:v>
                </c:pt>
                <c:pt idx="7">
                  <c:v>jun-jul-ago 2025</c:v>
                </c:pt>
                <c:pt idx="8">
                  <c:v>jul-ago-set 2025</c:v>
                </c:pt>
                <c:pt idx="9">
                  <c:v>ago-set-out 2025</c:v>
                </c:pt>
                <c:pt idx="10">
                  <c:v>set-out-nov 2025</c:v>
                </c:pt>
                <c:pt idx="11">
                  <c:v>out-nov-dez 2025</c:v>
                </c:pt>
                <c:pt idx="12">
                  <c:v>nov-dez-jan 2026</c:v>
                </c:pt>
                <c:pt idx="13">
                  <c:v>dez-jan-fev 2026</c:v>
                </c:pt>
              </c:strCache>
            </c:strRef>
          </c:cat>
          <c:val>
            <c:numRef>
              <c:f>Tabela!$G$5:$G$18</c:f>
              <c:numCache>
                <c:formatCode>General</c:formatCode>
                <c:ptCount val="14"/>
                <c:pt idx="0">
                  <c:v>3.2</c:v>
                </c:pt>
                <c:pt idx="1">
                  <c:v>1.9</c:v>
                </c:pt>
                <c:pt idx="2">
                  <c:v>0.6</c:v>
                </c:pt>
                <c:pt idx="3">
                  <c:v>0.9</c:v>
                </c:pt>
                <c:pt idx="4">
                  <c:v>0.2</c:v>
                </c:pt>
                <c:pt idx="5">
                  <c:v>0</c:v>
                </c:pt>
                <c:pt idx="6">
                  <c:v>-1.4</c:v>
                </c:pt>
                <c:pt idx="7">
                  <c:v>-3.3</c:v>
                </c:pt>
                <c:pt idx="8">
                  <c:v>-4</c:v>
                </c:pt>
                <c:pt idx="9">
                  <c:v>-3.9</c:v>
                </c:pt>
                <c:pt idx="10">
                  <c:v>-3.4</c:v>
                </c:pt>
                <c:pt idx="11">
                  <c:v>-2.6</c:v>
                </c:pt>
                <c:pt idx="12">
                  <c:v>-1.3</c:v>
                </c:pt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F2-444F-9CE8-EB17571F9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83392"/>
        <c:axId val="145163968"/>
      </c:lineChart>
      <c:catAx>
        <c:axId val="14508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 b="0"/>
            </a:pPr>
            <a:endParaRPr lang="pt-BR"/>
          </a:p>
        </c:txPr>
        <c:crossAx val="145163968"/>
        <c:crosses val="autoZero"/>
        <c:auto val="1"/>
        <c:lblAlgn val="ctr"/>
        <c:lblOffset val="100"/>
        <c:noMultiLvlLbl val="0"/>
      </c:catAx>
      <c:valAx>
        <c:axId val="14516396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0"/>
            </a:pPr>
            <a:endParaRPr lang="pt-BR"/>
          </a:p>
        </c:txPr>
        <c:crossAx val="145083392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1200" b="0"/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pt-BR"/>
              <a:t>Taxa de desemprego</a:t>
            </a:r>
            <a:r>
              <a:rPr lang="pt-BR" baseline="0"/>
              <a:t> - Brasil (%)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1917709926546952E-2"/>
          <c:y val="0.10281444763196118"/>
          <c:w val="0.89557440661643917"/>
          <c:h val="0.64848414132188514"/>
        </c:manualLayout>
      </c:layout>
      <c:lineChart>
        <c:grouping val="standard"/>
        <c:varyColors val="0"/>
        <c:ser>
          <c:idx val="1"/>
          <c:order val="0"/>
          <c:tx>
            <c:strRef>
              <c:f>'G 4.5 - G 4.6 (set)'!$H$1</c:f>
              <c:strCache>
                <c:ptCount val="1"/>
                <c:pt idx="0">
                  <c:v>TaxaD</c:v>
                </c:pt>
              </c:strCache>
            </c:strRef>
          </c:tx>
          <c:spPr>
            <a:ln w="28575">
              <a:solidFill>
                <a:srgbClr val="65B638"/>
              </a:solidFill>
            </a:ln>
            <a:effectLst/>
          </c:spPr>
          <c:marker>
            <c:symbol val="none"/>
          </c:marke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0-50B2-481E-A1C1-8503CA3C125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01-50B2-481E-A1C1-8503CA3C125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2-50B2-481E-A1C1-8503CA3C125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03-50B2-481E-A1C1-8503CA3C1253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04-50B2-481E-A1C1-8503CA3C1253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05-50B2-481E-A1C1-8503CA3C1253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06-50B2-481E-A1C1-8503CA3C1253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07-50B2-481E-A1C1-8503CA3C1253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08-50B2-481E-A1C1-8503CA3C1253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09-50B2-481E-A1C1-8503CA3C1253}"/>
              </c:ext>
            </c:extLst>
          </c:dPt>
          <c:dPt>
            <c:idx val="102"/>
            <c:bubble3D val="0"/>
            <c:extLst>
              <c:ext xmlns:c16="http://schemas.microsoft.com/office/drawing/2014/chart" uri="{C3380CC4-5D6E-409C-BE32-E72D297353CC}">
                <c16:uniqueId val="{0000000A-50B2-481E-A1C1-8503CA3C1253}"/>
              </c:ext>
            </c:extLst>
          </c:dPt>
          <c:dPt>
            <c:idx val="105"/>
            <c:bubble3D val="0"/>
            <c:extLst>
              <c:ext xmlns:c16="http://schemas.microsoft.com/office/drawing/2014/chart" uri="{C3380CC4-5D6E-409C-BE32-E72D297353CC}">
                <c16:uniqueId val="{0000000B-50B2-481E-A1C1-8503CA3C1253}"/>
              </c:ext>
            </c:extLst>
          </c:dPt>
          <c:dPt>
            <c:idx val="113"/>
            <c:bubble3D val="0"/>
            <c:extLst>
              <c:ext xmlns:c16="http://schemas.microsoft.com/office/drawing/2014/chart" uri="{C3380CC4-5D6E-409C-BE32-E72D297353CC}">
                <c16:uniqueId val="{0000000C-50B2-481E-A1C1-8503CA3C1253}"/>
              </c:ext>
            </c:extLst>
          </c:dPt>
          <c:dPt>
            <c:idx val="114"/>
            <c:bubble3D val="0"/>
            <c:extLst>
              <c:ext xmlns:c16="http://schemas.microsoft.com/office/drawing/2014/chart" uri="{C3380CC4-5D6E-409C-BE32-E72D297353CC}">
                <c16:uniqueId val="{0000000D-50B2-481E-A1C1-8503CA3C1253}"/>
              </c:ext>
            </c:extLst>
          </c:dPt>
          <c:cat>
            <c:numRef>
              <c:f>'G 4.5 - G 4.6 (set)'!$A$3:$A$144</c:f>
              <c:numCache>
                <c:formatCode>mmm\-yy</c:formatCode>
                <c:ptCount val="142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</c:numCache>
            </c:numRef>
          </c:cat>
          <c:val>
            <c:numRef>
              <c:f>'G 4.5 - G 4.6 (set)'!$H$3:$H$147</c:f>
              <c:numCache>
                <c:formatCode>0.0</c:formatCode>
                <c:ptCount val="145"/>
                <c:pt idx="0">
                  <c:v>7.9998745609633719</c:v>
                </c:pt>
                <c:pt idx="1">
                  <c:v>7.8169744760323718</c:v>
                </c:pt>
                <c:pt idx="2">
                  <c:v>7.6882558896130053</c:v>
                </c:pt>
                <c:pt idx="3">
                  <c:v>7.5899391815276775</c:v>
                </c:pt>
                <c:pt idx="4">
                  <c:v>7.5095801227903909</c:v>
                </c:pt>
                <c:pt idx="5">
                  <c:v>7.3647516118749161</c:v>
                </c:pt>
                <c:pt idx="6">
                  <c:v>7.1374960158748113</c:v>
                </c:pt>
                <c:pt idx="7">
                  <c:v>6.9595713389487113</c:v>
                </c:pt>
                <c:pt idx="8">
                  <c:v>6.8239579367610892</c:v>
                </c:pt>
                <c:pt idx="9">
                  <c:v>6.9151887548550173</c:v>
                </c:pt>
                <c:pt idx="10">
                  <c:v>7.2669193397631453</c:v>
                </c:pt>
                <c:pt idx="11">
                  <c:v>7.7835220745117351</c:v>
                </c:pt>
                <c:pt idx="12">
                  <c:v>8.0632265206962295</c:v>
                </c:pt>
                <c:pt idx="13">
                  <c:v>7.9307490265414362</c:v>
                </c:pt>
                <c:pt idx="14">
                  <c:v>7.6683832152143987</c:v>
                </c:pt>
                <c:pt idx="15">
                  <c:v>7.5252946804828884</c:v>
                </c:pt>
                <c:pt idx="16">
                  <c:v>7.3808240903591793</c:v>
                </c:pt>
                <c:pt idx="17">
                  <c:v>7.2006184455452598</c:v>
                </c:pt>
                <c:pt idx="18">
                  <c:v>7.0317424812412304</c:v>
                </c:pt>
                <c:pt idx="19">
                  <c:v>6.7936469175747582</c:v>
                </c:pt>
                <c:pt idx="20">
                  <c:v>6.5657847966282432</c:v>
                </c:pt>
                <c:pt idx="21">
                  <c:v>6.2560388930137005</c:v>
                </c:pt>
                <c:pt idx="22">
                  <c:v>6.4774566591674896</c:v>
                </c:pt>
                <c:pt idx="23">
                  <c:v>6.8251097382539427</c:v>
                </c:pt>
                <c:pt idx="24">
                  <c:v>7.2426138726330418</c:v>
                </c:pt>
                <c:pt idx="25">
                  <c:v>7.21830985915493</c:v>
                </c:pt>
                <c:pt idx="26">
                  <c:v>7.0521119922317519</c:v>
                </c:pt>
                <c:pt idx="27">
                  <c:v>6.931773406480163</c:v>
                </c:pt>
                <c:pt idx="28">
                  <c:v>6.98595534000202</c:v>
                </c:pt>
                <c:pt idx="29">
                  <c:v>6.9821959056645717</c:v>
                </c:pt>
                <c:pt idx="30">
                  <c:v>6.8656204960743397</c:v>
                </c:pt>
                <c:pt idx="31">
                  <c:v>6.7062553469880726</c:v>
                </c:pt>
                <c:pt idx="32">
                  <c:v>6.5933844900586323</c:v>
                </c:pt>
                <c:pt idx="33">
                  <c:v>6.5868805016278786</c:v>
                </c:pt>
                <c:pt idx="34">
                  <c:v>6.8994940571795702</c:v>
                </c:pt>
                <c:pt idx="35">
                  <c:v>7.5236931214810951</c:v>
                </c:pt>
                <c:pt idx="36">
                  <c:v>8.0444368894177405</c:v>
                </c:pt>
                <c:pt idx="37">
                  <c:v>8.1264265850668309</c:v>
                </c:pt>
                <c:pt idx="38">
                  <c:v>8.2538481451243548</c:v>
                </c:pt>
                <c:pt idx="39">
                  <c:v>8.4350743453834394</c:v>
                </c:pt>
                <c:pt idx="40">
                  <c:v>8.6759347275031686</c:v>
                </c:pt>
                <c:pt idx="41">
                  <c:v>8.8533117101437817</c:v>
                </c:pt>
                <c:pt idx="42">
                  <c:v>9.0307239970795425</c:v>
                </c:pt>
                <c:pt idx="43">
                  <c:v>9.1046831955922869</c:v>
                </c:pt>
                <c:pt idx="44">
                  <c:v>9.1430877980585574</c:v>
                </c:pt>
                <c:pt idx="45">
                  <c:v>9.0778438398236023</c:v>
                </c:pt>
                <c:pt idx="46">
                  <c:v>9.6204774796948076</c:v>
                </c:pt>
                <c:pt idx="47">
                  <c:v>10.350143356506029</c:v>
                </c:pt>
                <c:pt idx="48">
                  <c:v>11.060888322384548</c:v>
                </c:pt>
                <c:pt idx="49">
                  <c:v>11.336864883919041</c:v>
                </c:pt>
                <c:pt idx="50">
                  <c:v>11.319131463431326</c:v>
                </c:pt>
                <c:pt idx="51">
                  <c:v>11.442635439353836</c:v>
                </c:pt>
                <c:pt idx="52">
                  <c:v>11.707264623084141</c:v>
                </c:pt>
                <c:pt idx="53">
                  <c:v>11.892721955418187</c:v>
                </c:pt>
                <c:pt idx="54">
                  <c:v>11.920218086253897</c:v>
                </c:pt>
                <c:pt idx="55">
                  <c:v>11.937139945918407</c:v>
                </c:pt>
                <c:pt idx="56">
                  <c:v>11.988050025872084</c:v>
                </c:pt>
                <c:pt idx="57">
                  <c:v>12.153921091086216</c:v>
                </c:pt>
                <c:pt idx="58">
                  <c:v>12.67720749209438</c:v>
                </c:pt>
                <c:pt idx="59">
                  <c:v>13.280080850484911</c:v>
                </c:pt>
                <c:pt idx="60">
                  <c:v>13.86801872982327</c:v>
                </c:pt>
                <c:pt idx="61">
                  <c:v>13.715015677621647</c:v>
                </c:pt>
                <c:pt idx="62">
                  <c:v>13.420277254504178</c:v>
                </c:pt>
                <c:pt idx="63">
                  <c:v>13.101328631576919</c:v>
                </c:pt>
                <c:pt idx="64">
                  <c:v>12.910048840518401</c:v>
                </c:pt>
                <c:pt idx="65">
                  <c:v>12.677880878585205</c:v>
                </c:pt>
                <c:pt idx="66">
                  <c:v>12.524919490875632</c:v>
                </c:pt>
                <c:pt idx="67">
                  <c:v>12.305659799341349</c:v>
                </c:pt>
                <c:pt idx="68">
                  <c:v>12.132756628760752</c:v>
                </c:pt>
                <c:pt idx="69">
                  <c:v>11.896027970424715</c:v>
                </c:pt>
                <c:pt idx="70">
                  <c:v>12.272340913214972</c:v>
                </c:pt>
                <c:pt idx="71">
                  <c:v>12.706258006539073</c:v>
                </c:pt>
                <c:pt idx="72">
                  <c:v>13.24283300398087</c:v>
                </c:pt>
                <c:pt idx="73">
                  <c:v>12.998194031704777</c:v>
                </c:pt>
                <c:pt idx="74">
                  <c:v>12.827695661319005</c:v>
                </c:pt>
                <c:pt idx="75">
                  <c:v>12.568588089092822</c:v>
                </c:pt>
                <c:pt idx="76">
                  <c:v>12.443910943439366</c:v>
                </c:pt>
                <c:pt idx="77">
                  <c:v>12.266937682246896</c:v>
                </c:pt>
                <c:pt idx="78">
                  <c:v>12.018101946527304</c:v>
                </c:pt>
                <c:pt idx="79">
                  <c:v>11.861765428134268</c:v>
                </c:pt>
                <c:pt idx="80">
                  <c:v>11.709782987994078</c:v>
                </c:pt>
                <c:pt idx="81">
                  <c:v>11.716235476228681</c:v>
                </c:pt>
                <c:pt idx="82">
                  <c:v>12.166205718277153</c:v>
                </c:pt>
                <c:pt idx="83">
                  <c:v>12.550500283179158</c:v>
                </c:pt>
                <c:pt idx="84">
                  <c:v>12.845219387803111</c:v>
                </c:pt>
                <c:pt idx="85">
                  <c:v>12.614132778371486</c:v>
                </c:pt>
                <c:pt idx="86">
                  <c:v>12.395003130051295</c:v>
                </c:pt>
                <c:pt idx="87">
                  <c:v>12.14052440048521</c:v>
                </c:pt>
                <c:pt idx="88">
                  <c:v>11.950712173645378</c:v>
                </c:pt>
                <c:pt idx="89">
                  <c:v>11.947042820407706</c:v>
                </c:pt>
                <c:pt idx="90">
                  <c:v>11.901241456270052</c:v>
                </c:pt>
                <c:pt idx="91">
                  <c:v>11.752198256251219</c:v>
                </c:pt>
                <c:pt idx="92">
                  <c:v>11.287773128777314</c:v>
                </c:pt>
                <c:pt idx="93">
                  <c:v>11.08101063136532</c:v>
                </c:pt>
                <c:pt idx="94">
                  <c:v>11.354338486771599</c:v>
                </c:pt>
                <c:pt idx="95">
                  <c:v>11.753027040630855</c:v>
                </c:pt>
                <c:pt idx="96">
                  <c:v>12.373074353255602</c:v>
                </c:pt>
                <c:pt idx="97">
                  <c:v>12.74008674101611</c:v>
                </c:pt>
                <c:pt idx="98">
                  <c:v>13.113226452905813</c:v>
                </c:pt>
                <c:pt idx="99">
                  <c:v>13.598001624194328</c:v>
                </c:pt>
                <c:pt idx="100">
                  <c:v>14.108021679091307</c:v>
                </c:pt>
                <c:pt idx="101">
                  <c:v>14.775869897222108</c:v>
                </c:pt>
                <c:pt idx="102">
                  <c:v>14.890296520701368</c:v>
                </c:pt>
                <c:pt idx="103">
                  <c:v>14.581038040103364</c:v>
                </c:pt>
                <c:pt idx="104">
                  <c:v>14.357929308417502</c:v>
                </c:pt>
                <c:pt idx="105">
                  <c:v>14.179875439062545</c:v>
                </c:pt>
                <c:pt idx="106">
                  <c:v>14.460856431079463</c:v>
                </c:pt>
                <c:pt idx="107">
                  <c:v>14.608137589637732</c:v>
                </c:pt>
                <c:pt idx="108">
                  <c:v>14.908294980408252</c:v>
                </c:pt>
                <c:pt idx="109">
                  <c:v>14.794720693517752</c:v>
                </c:pt>
                <c:pt idx="110">
                  <c:v>14.727789815817985</c:v>
                </c:pt>
                <c:pt idx="111">
                  <c:v>14.23197973439779</c:v>
                </c:pt>
                <c:pt idx="112">
                  <c:v>13.711419679651291</c:v>
                </c:pt>
                <c:pt idx="113">
                  <c:v>13.138381992253715</c:v>
                </c:pt>
                <c:pt idx="114">
                  <c:v>12.640233017006484</c:v>
                </c:pt>
                <c:pt idx="115">
                  <c:v>12.077032489893696</c:v>
                </c:pt>
                <c:pt idx="116">
                  <c:v>11.557381631169992</c:v>
                </c:pt>
                <c:pt idx="117">
                  <c:v>11.146272202527886</c:v>
                </c:pt>
                <c:pt idx="118" formatCode="#,##0.0">
                  <c:v>11.209944545759052</c:v>
                </c:pt>
                <c:pt idx="119" formatCode="#,##0.0">
                  <c:v>11.203834068382921</c:v>
                </c:pt>
                <c:pt idx="120" formatCode="#,##0.0">
                  <c:v>11.143960307393867</c:v>
                </c:pt>
                <c:pt idx="121" formatCode="#,##0.0">
                  <c:v>10.521875376642161</c:v>
                </c:pt>
                <c:pt idx="122" formatCode="#,##0.0">
                  <c:v>9.8301386076359041</c:v>
                </c:pt>
                <c:pt idx="123" formatCode="#,##0.0">
                  <c:v>9.303269988647795</c:v>
                </c:pt>
                <c:pt idx="124" formatCode="#,##0.0">
                  <c:v>9.1038066109002482</c:v>
                </c:pt>
                <c:pt idx="125" formatCode="#,##0.0">
                  <c:v>8.9176310415248476</c:v>
                </c:pt>
                <c:pt idx="126" formatCode="#,##0.0">
                  <c:v>8.7005306771882385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B2-481E-A1C1-8503CA3C1253}"/>
            </c:ext>
          </c:extLst>
        </c:ser>
        <c:ser>
          <c:idx val="12"/>
          <c:order val="1"/>
          <c:tx>
            <c:strRef>
              <c:f>'G 4.5 - G 4.6 (set)'!$K$1</c:f>
              <c:strCache>
                <c:ptCount val="1"/>
                <c:pt idx="0">
                  <c:v>Previsões TaxaD - UEE Giovani</c:v>
                </c:pt>
              </c:strCache>
            </c:strRef>
          </c:tx>
          <c:spPr>
            <a:ln>
              <a:solidFill>
                <a:srgbClr val="272525"/>
              </a:solidFill>
            </a:ln>
          </c:spPr>
          <c:marker>
            <c:symbol val="none"/>
          </c:marker>
          <c:dLbls>
            <c:dLbl>
              <c:idx val="126"/>
              <c:layout>
                <c:manualLayout>
                  <c:x val="-6.8708284255987587E-2"/>
                  <c:y val="6.813149378300057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accent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0B2-481E-A1C1-8503CA3C1253}"/>
                </c:ext>
              </c:extLst>
            </c:dLbl>
            <c:dLbl>
              <c:idx val="129"/>
              <c:layout>
                <c:manualLayout>
                  <c:x val="-3.140950137416583E-2"/>
                  <c:y val="4.08788962698007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0B2-481E-A1C1-8503CA3C1253}"/>
                </c:ext>
              </c:extLst>
            </c:dLbl>
            <c:dLbl>
              <c:idx val="141"/>
              <c:layout>
                <c:manualLayout>
                  <c:x val="-2.3557126030624265E-2"/>
                  <c:y val="4.08788962698007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0B2-481E-A1C1-8503CA3C1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 4.5 - G 4.6 (set)'!$A$3:$A$144</c:f>
              <c:numCache>
                <c:formatCode>mmm\-yy</c:formatCode>
                <c:ptCount val="142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</c:numCache>
            </c:numRef>
          </c:cat>
          <c:val>
            <c:numRef>
              <c:f>'G 4.5 - G 4.6 (set)'!$AA$3:$AA$144</c:f>
              <c:numCache>
                <c:formatCode>#,##0.0</c:formatCode>
                <c:ptCount val="142"/>
                <c:pt idx="126">
                  <c:v>8.7005306771882385</c:v>
                </c:pt>
                <c:pt idx="127">
                  <c:v>8.5822364546449954</c:v>
                </c:pt>
                <c:pt idx="128">
                  <c:v>8.3456480095585093</c:v>
                </c:pt>
                <c:pt idx="129">
                  <c:v>8.2273537870152662</c:v>
                </c:pt>
                <c:pt idx="130">
                  <c:v>8.5297490001641378</c:v>
                </c:pt>
                <c:pt idx="131">
                  <c:v>9.1345394264618847</c:v>
                </c:pt>
                <c:pt idx="132">
                  <c:v>9.4369346396107563</c:v>
                </c:pt>
                <c:pt idx="133">
                  <c:v>9.3603482237787752</c:v>
                </c:pt>
                <c:pt idx="134">
                  <c:v>9.2071753921148147</c:v>
                </c:pt>
                <c:pt idx="135">
                  <c:v>9.1305889762828336</c:v>
                </c:pt>
                <c:pt idx="136">
                  <c:v>9.0884292445272017</c:v>
                </c:pt>
                <c:pt idx="137">
                  <c:v>9.0041097810159378</c:v>
                </c:pt>
                <c:pt idx="138">
                  <c:v>8.9619500492603059</c:v>
                </c:pt>
                <c:pt idx="139">
                  <c:v>8.8901015146268723</c:v>
                </c:pt>
                <c:pt idx="140">
                  <c:v>8.7464044453600032</c:v>
                </c:pt>
                <c:pt idx="141">
                  <c:v>8.6745559107265695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B2-481E-A1C1-8503CA3C1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74080"/>
        <c:axId val="247759424"/>
      </c:lineChart>
      <c:dateAx>
        <c:axId val="148974080"/>
        <c:scaling>
          <c:orientation val="minMax"/>
          <c:min val="41061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200" b="0"/>
            </a:pPr>
            <a:endParaRPr lang="pt-BR"/>
          </a:p>
        </c:txPr>
        <c:crossAx val="247759424"/>
        <c:crosses val="autoZero"/>
        <c:auto val="1"/>
        <c:lblOffset val="100"/>
        <c:baseTimeUnit val="months"/>
        <c:majorUnit val="6"/>
        <c:majorTimeUnit val="months"/>
      </c:dateAx>
      <c:valAx>
        <c:axId val="247759424"/>
        <c:scaling>
          <c:orientation val="minMax"/>
          <c:max val="16"/>
          <c:min val="4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200" b="0"/>
            </a:pPr>
            <a:endParaRPr lang="pt-BR"/>
          </a:p>
        </c:txPr>
        <c:crossAx val="148974080"/>
        <c:crosses val="autoZero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6.0311941251596425E-2"/>
          <c:y val="0.90052313896381586"/>
          <c:w val="0.9"/>
          <c:h val="8.8522467320261436E-2"/>
        </c:manualLayout>
      </c:layout>
      <c:overlay val="0"/>
      <c:txPr>
        <a:bodyPr/>
        <a:lstStyle/>
        <a:p>
          <a:pPr rtl="0">
            <a:defRPr sz="1200"/>
          </a:pPr>
          <a:endParaRPr lang="pt-BR"/>
        </a:p>
      </c:txPr>
    </c:legend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444"/>
            </a:pPr>
            <a:r>
              <a:rPr lang="pt-BR" sz="1444"/>
              <a:t>Taxa de desemprego</a:t>
            </a:r>
            <a:r>
              <a:rPr lang="pt-BR" sz="1444" baseline="0"/>
              <a:t> - Brasil (média do ano - %)</a:t>
            </a:r>
            <a:endParaRPr lang="pt-BR" sz="1444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604086845466157E-2"/>
          <c:y val="0.1706237094158233"/>
          <c:w val="0.91079182630906774"/>
          <c:h val="0.65122029429579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5B638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96C-4897-AC87-7D389238447A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96C-4897-AC87-7D389238447A}"/>
              </c:ext>
            </c:extLst>
          </c:dPt>
          <c:dPt>
            <c:idx val="10"/>
            <c:invertIfNegative val="0"/>
            <c:bubble3D val="0"/>
            <c:spPr>
              <a:solidFill>
                <a:srgbClr val="949494"/>
              </a:solidFill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6C-4897-AC87-7D389238447A}"/>
              </c:ext>
            </c:extLst>
          </c:dPt>
          <c:dPt>
            <c:idx val="11"/>
            <c:invertIfNegative val="0"/>
            <c:bubble3D val="0"/>
            <c:spPr>
              <a:solidFill>
                <a:srgbClr val="949494"/>
              </a:solidFill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6C-4897-AC87-7D389238447A}"/>
              </c:ext>
            </c:extLst>
          </c:dPt>
          <c:dLbls>
            <c:dLbl>
              <c:idx val="8"/>
              <c:numFmt formatCode="#,##0.0" sourceLinked="0"/>
              <c:spPr/>
              <c:txPr>
                <a:bodyPr/>
                <a:lstStyle/>
                <a:p>
                  <a:pPr>
                    <a:defRPr sz="1200">
                      <a:solidFill>
                        <a:schemeClr val="accent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96C-4897-AC87-7D389238447A}"/>
                </c:ext>
              </c:extLst>
            </c:dLbl>
            <c:dLbl>
              <c:idx val="9"/>
              <c:numFmt formatCode="#,##0.0" sourceLinked="0"/>
              <c:spPr/>
              <c:txPr>
                <a:bodyPr/>
                <a:lstStyle/>
                <a:p>
                  <a:pPr>
                    <a:defRPr sz="1200">
                      <a:solidFill>
                        <a:schemeClr val="accent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96C-4897-AC87-7D389238447A}"/>
                </c:ext>
              </c:extLst>
            </c:dLbl>
            <c:dLbl>
              <c:idx val="10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200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96C-4897-AC87-7D389238447A}"/>
                </c:ext>
              </c:extLst>
            </c:dLbl>
            <c:dLbl>
              <c:idx val="1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200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96C-4897-AC87-7D389238447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 4.5 - G 4.6 (set)'!$AN$176:$AN$187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'G 4.5 - G 4.6 (set)'!$AO$176:$AO$187</c:f>
              <c:numCache>
                <c:formatCode>0.0</c:formatCode>
                <c:ptCount val="12"/>
                <c:pt idx="0">
                  <c:v>7.4106246283052197</c:v>
                </c:pt>
                <c:pt idx="1">
                  <c:v>7.2190756438585124</c:v>
                </c:pt>
                <c:pt idx="2">
                  <c:v>6.9067220692038553</c:v>
                </c:pt>
                <c:pt idx="3">
                  <c:v>8.6470197679260803</c:v>
                </c:pt>
                <c:pt idx="4">
                  <c:v>11.644415734769625</c:v>
                </c:pt>
                <c:pt idx="5">
                  <c:v>12.847573705675133</c:v>
                </c:pt>
                <c:pt idx="6">
                  <c:v>12.386439628957419</c:v>
                </c:pt>
                <c:pt idx="7">
                  <c:v>11.991998968980925</c:v>
                </c:pt>
                <c:pt idx="8">
                  <c:v>13.76031198430346</c:v>
                </c:pt>
                <c:pt idx="9">
                  <c:v>13.231694983585102</c:v>
                </c:pt>
                <c:pt idx="10">
                  <c:v>9.343778690061292</c:v>
                </c:pt>
                <c:pt idx="11">
                  <c:v>9.0510073939701172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6C-4897-AC87-7D3892384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464384"/>
        <c:axId val="247763456"/>
      </c:barChart>
      <c:catAx>
        <c:axId val="15246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247763456"/>
        <c:crosses val="autoZero"/>
        <c:auto val="1"/>
        <c:lblAlgn val="ctr"/>
        <c:lblOffset val="100"/>
        <c:noMultiLvlLbl val="0"/>
      </c:catAx>
      <c:valAx>
        <c:axId val="247763456"/>
        <c:scaling>
          <c:orientation val="minMax"/>
          <c:max val="15"/>
          <c:min val="4"/>
        </c:scaling>
        <c:delete val="1"/>
        <c:axPos val="l"/>
        <c:numFmt formatCode="#,##0" sourceLinked="0"/>
        <c:majorTickMark val="out"/>
        <c:minorTickMark val="none"/>
        <c:tickLblPos val="nextTo"/>
        <c:crossAx val="15246438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58824950614152"/>
          <c:y val="3.8089449494294166E-2"/>
          <c:w val="0.83362391317493334"/>
          <c:h val="0.65845210356802386"/>
        </c:manualLayout>
      </c:layout>
      <c:lineChart>
        <c:grouping val="standard"/>
        <c:varyColors val="0"/>
        <c:ser>
          <c:idx val="1"/>
          <c:order val="0"/>
          <c:tx>
            <c:v>Taxa observada</c:v>
          </c:tx>
          <c:spPr>
            <a:ln w="28575">
              <a:solidFill>
                <a:srgbClr val="65B638"/>
              </a:solidFill>
            </a:ln>
            <a:effectLst/>
          </c:spPr>
          <c:marker>
            <c:symbol val="none"/>
          </c:marke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0-B8B8-41E1-9B4E-C2286CA6847C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01-B8B8-41E1-9B4E-C2286CA6847C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2-B8B8-41E1-9B4E-C2286CA6847C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03-B8B8-41E1-9B4E-C2286CA6847C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04-B8B8-41E1-9B4E-C2286CA6847C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05-B8B8-41E1-9B4E-C2286CA6847C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06-B8B8-41E1-9B4E-C2286CA6847C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07-B8B8-41E1-9B4E-C2286CA6847C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08-B8B8-41E1-9B4E-C2286CA6847C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09-B8B8-41E1-9B4E-C2286CA6847C}"/>
              </c:ext>
            </c:extLst>
          </c:dPt>
          <c:dPt>
            <c:idx val="102"/>
            <c:bubble3D val="0"/>
            <c:extLst>
              <c:ext xmlns:c16="http://schemas.microsoft.com/office/drawing/2014/chart" uri="{C3380CC4-5D6E-409C-BE32-E72D297353CC}">
                <c16:uniqueId val="{0000000A-B8B8-41E1-9B4E-C2286CA6847C}"/>
              </c:ext>
            </c:extLst>
          </c:dPt>
          <c:dPt>
            <c:idx val="105"/>
            <c:bubble3D val="0"/>
            <c:extLst>
              <c:ext xmlns:c16="http://schemas.microsoft.com/office/drawing/2014/chart" uri="{C3380CC4-5D6E-409C-BE32-E72D297353CC}">
                <c16:uniqueId val="{0000000B-B8B8-41E1-9B4E-C2286CA6847C}"/>
              </c:ext>
            </c:extLst>
          </c:dPt>
          <c:dPt>
            <c:idx val="113"/>
            <c:bubble3D val="0"/>
            <c:extLst>
              <c:ext xmlns:c16="http://schemas.microsoft.com/office/drawing/2014/chart" uri="{C3380CC4-5D6E-409C-BE32-E72D297353CC}">
                <c16:uniqueId val="{0000000C-B8B8-41E1-9B4E-C2286CA6847C}"/>
              </c:ext>
            </c:extLst>
          </c:dPt>
          <c:dPt>
            <c:idx val="114"/>
            <c:bubble3D val="0"/>
            <c:extLst>
              <c:ext xmlns:c16="http://schemas.microsoft.com/office/drawing/2014/chart" uri="{C3380CC4-5D6E-409C-BE32-E72D297353CC}">
                <c16:uniqueId val="{0000000D-B8B8-41E1-9B4E-C2286CA6847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8B8-41E1-9B4E-C2286CA6847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 4.5 - G 4.6 (set)'!$A$3:$A$144</c:f>
              <c:numCache>
                <c:formatCode>mmm\-yy</c:formatCode>
                <c:ptCount val="142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</c:numCache>
            </c:numRef>
          </c:cat>
          <c:val>
            <c:numRef>
              <c:f>'G 4.5 - G 4.6 (set)'!$H$3:$H$144</c:f>
              <c:numCache>
                <c:formatCode>0.0</c:formatCode>
                <c:ptCount val="142"/>
                <c:pt idx="0">
                  <c:v>7.9998745609633719</c:v>
                </c:pt>
                <c:pt idx="1">
                  <c:v>7.8169744760323718</c:v>
                </c:pt>
                <c:pt idx="2">
                  <c:v>7.6882558896130053</c:v>
                </c:pt>
                <c:pt idx="3">
                  <c:v>7.5899391815276775</c:v>
                </c:pt>
                <c:pt idx="4">
                  <c:v>7.5095801227903909</c:v>
                </c:pt>
                <c:pt idx="5">
                  <c:v>7.3647516118749161</c:v>
                </c:pt>
                <c:pt idx="6">
                  <c:v>7.1374960158748113</c:v>
                </c:pt>
                <c:pt idx="7">
                  <c:v>6.9595713389487113</c:v>
                </c:pt>
                <c:pt idx="8">
                  <c:v>6.8239579367610892</c:v>
                </c:pt>
                <c:pt idx="9">
                  <c:v>6.9151887548550173</c:v>
                </c:pt>
                <c:pt idx="10">
                  <c:v>7.2669193397631453</c:v>
                </c:pt>
                <c:pt idx="11">
                  <c:v>7.7835220745117351</c:v>
                </c:pt>
                <c:pt idx="12">
                  <c:v>8.0632265206962295</c:v>
                </c:pt>
                <c:pt idx="13">
                  <c:v>7.9307490265414362</c:v>
                </c:pt>
                <c:pt idx="14">
                  <c:v>7.6683832152143987</c:v>
                </c:pt>
                <c:pt idx="15">
                  <c:v>7.5252946804828884</c:v>
                </c:pt>
                <c:pt idx="16">
                  <c:v>7.3808240903591793</c:v>
                </c:pt>
                <c:pt idx="17">
                  <c:v>7.2006184455452598</c:v>
                </c:pt>
                <c:pt idx="18">
                  <c:v>7.0317424812412304</c:v>
                </c:pt>
                <c:pt idx="19">
                  <c:v>6.7936469175747582</c:v>
                </c:pt>
                <c:pt idx="20">
                  <c:v>6.5657847966282432</c:v>
                </c:pt>
                <c:pt idx="21">
                  <c:v>6.2560388930137005</c:v>
                </c:pt>
                <c:pt idx="22">
                  <c:v>6.4774566591674896</c:v>
                </c:pt>
                <c:pt idx="23">
                  <c:v>6.8251097382539427</c:v>
                </c:pt>
                <c:pt idx="24">
                  <c:v>7.2426138726330418</c:v>
                </c:pt>
                <c:pt idx="25">
                  <c:v>7.21830985915493</c:v>
                </c:pt>
                <c:pt idx="26">
                  <c:v>7.0521119922317519</c:v>
                </c:pt>
                <c:pt idx="27">
                  <c:v>6.931773406480163</c:v>
                </c:pt>
                <c:pt idx="28">
                  <c:v>6.98595534000202</c:v>
                </c:pt>
                <c:pt idx="29">
                  <c:v>6.9821959056645717</c:v>
                </c:pt>
                <c:pt idx="30">
                  <c:v>6.8656204960743397</c:v>
                </c:pt>
                <c:pt idx="31">
                  <c:v>6.7062553469880726</c:v>
                </c:pt>
                <c:pt idx="32">
                  <c:v>6.5933844900586323</c:v>
                </c:pt>
                <c:pt idx="33">
                  <c:v>6.5868805016278786</c:v>
                </c:pt>
                <c:pt idx="34">
                  <c:v>6.8994940571795702</c:v>
                </c:pt>
                <c:pt idx="35">
                  <c:v>7.5236931214810951</c:v>
                </c:pt>
                <c:pt idx="36">
                  <c:v>8.0444368894177405</c:v>
                </c:pt>
                <c:pt idx="37">
                  <c:v>8.1264265850668309</c:v>
                </c:pt>
                <c:pt idx="38">
                  <c:v>8.2538481451243548</c:v>
                </c:pt>
                <c:pt idx="39">
                  <c:v>8.4350743453834394</c:v>
                </c:pt>
                <c:pt idx="40">
                  <c:v>8.6759347275031686</c:v>
                </c:pt>
                <c:pt idx="41">
                  <c:v>8.8533117101437817</c:v>
                </c:pt>
                <c:pt idx="42">
                  <c:v>9.0307239970795425</c:v>
                </c:pt>
                <c:pt idx="43">
                  <c:v>9.1046831955922869</c:v>
                </c:pt>
                <c:pt idx="44">
                  <c:v>9.1430877980585574</c:v>
                </c:pt>
                <c:pt idx="45">
                  <c:v>9.0778438398236023</c:v>
                </c:pt>
                <c:pt idx="46">
                  <c:v>9.6204774796948076</c:v>
                </c:pt>
                <c:pt idx="47">
                  <c:v>10.350143356506029</c:v>
                </c:pt>
                <c:pt idx="48">
                  <c:v>11.060888322384548</c:v>
                </c:pt>
                <c:pt idx="49">
                  <c:v>11.336864883919041</c:v>
                </c:pt>
                <c:pt idx="50">
                  <c:v>11.319131463431326</c:v>
                </c:pt>
                <c:pt idx="51">
                  <c:v>11.442635439353836</c:v>
                </c:pt>
                <c:pt idx="52">
                  <c:v>11.707264623084141</c:v>
                </c:pt>
                <c:pt idx="53">
                  <c:v>11.892721955418187</c:v>
                </c:pt>
                <c:pt idx="54">
                  <c:v>11.920218086253897</c:v>
                </c:pt>
                <c:pt idx="55">
                  <c:v>11.937139945918407</c:v>
                </c:pt>
                <c:pt idx="56">
                  <c:v>11.988050025872084</c:v>
                </c:pt>
                <c:pt idx="57">
                  <c:v>12.153921091086216</c:v>
                </c:pt>
                <c:pt idx="58">
                  <c:v>12.67720749209438</c:v>
                </c:pt>
                <c:pt idx="59">
                  <c:v>13.280080850484911</c:v>
                </c:pt>
                <c:pt idx="60">
                  <c:v>13.86801872982327</c:v>
                </c:pt>
                <c:pt idx="61">
                  <c:v>13.715015677621647</c:v>
                </c:pt>
                <c:pt idx="62">
                  <c:v>13.420277254504178</c:v>
                </c:pt>
                <c:pt idx="63">
                  <c:v>13.101328631576919</c:v>
                </c:pt>
                <c:pt idx="64">
                  <c:v>12.910048840518401</c:v>
                </c:pt>
                <c:pt idx="65">
                  <c:v>12.677880878585205</c:v>
                </c:pt>
                <c:pt idx="66">
                  <c:v>12.524919490875632</c:v>
                </c:pt>
                <c:pt idx="67">
                  <c:v>12.305659799341349</c:v>
                </c:pt>
                <c:pt idx="68">
                  <c:v>12.132756628760752</c:v>
                </c:pt>
                <c:pt idx="69">
                  <c:v>11.896027970424715</c:v>
                </c:pt>
                <c:pt idx="70">
                  <c:v>12.272340913214972</c:v>
                </c:pt>
                <c:pt idx="71">
                  <c:v>12.706258006539073</c:v>
                </c:pt>
                <c:pt idx="72">
                  <c:v>13.24283300398087</c:v>
                </c:pt>
                <c:pt idx="73">
                  <c:v>12.998194031704777</c:v>
                </c:pt>
                <c:pt idx="74">
                  <c:v>12.827695661319005</c:v>
                </c:pt>
                <c:pt idx="75">
                  <c:v>12.568588089092822</c:v>
                </c:pt>
                <c:pt idx="76">
                  <c:v>12.443910943439366</c:v>
                </c:pt>
                <c:pt idx="77">
                  <c:v>12.266937682246896</c:v>
                </c:pt>
                <c:pt idx="78">
                  <c:v>12.018101946527304</c:v>
                </c:pt>
                <c:pt idx="79">
                  <c:v>11.861765428134268</c:v>
                </c:pt>
                <c:pt idx="80">
                  <c:v>11.709782987994078</c:v>
                </c:pt>
                <c:pt idx="81">
                  <c:v>11.716235476228681</c:v>
                </c:pt>
                <c:pt idx="82">
                  <c:v>12.166205718277153</c:v>
                </c:pt>
                <c:pt idx="83">
                  <c:v>12.550500283179158</c:v>
                </c:pt>
                <c:pt idx="84">
                  <c:v>12.845219387803111</c:v>
                </c:pt>
                <c:pt idx="85">
                  <c:v>12.614132778371486</c:v>
                </c:pt>
                <c:pt idx="86">
                  <c:v>12.395003130051295</c:v>
                </c:pt>
                <c:pt idx="87">
                  <c:v>12.14052440048521</c:v>
                </c:pt>
                <c:pt idx="88">
                  <c:v>11.950712173645378</c:v>
                </c:pt>
                <c:pt idx="89">
                  <c:v>11.947042820407706</c:v>
                </c:pt>
                <c:pt idx="90">
                  <c:v>11.901241456270052</c:v>
                </c:pt>
                <c:pt idx="91">
                  <c:v>11.752198256251219</c:v>
                </c:pt>
                <c:pt idx="92">
                  <c:v>11.287773128777314</c:v>
                </c:pt>
                <c:pt idx="93">
                  <c:v>11.08101063136532</c:v>
                </c:pt>
                <c:pt idx="94">
                  <c:v>11.354338486771599</c:v>
                </c:pt>
                <c:pt idx="95">
                  <c:v>11.753027040630855</c:v>
                </c:pt>
                <c:pt idx="96">
                  <c:v>12.373074353255602</c:v>
                </c:pt>
                <c:pt idx="97">
                  <c:v>12.74008674101611</c:v>
                </c:pt>
                <c:pt idx="98">
                  <c:v>13.113226452905813</c:v>
                </c:pt>
                <c:pt idx="99">
                  <c:v>13.598001624194328</c:v>
                </c:pt>
                <c:pt idx="100">
                  <c:v>14.108021679091307</c:v>
                </c:pt>
                <c:pt idx="101">
                  <c:v>14.775869897222108</c:v>
                </c:pt>
                <c:pt idx="102">
                  <c:v>14.890296520701368</c:v>
                </c:pt>
                <c:pt idx="103">
                  <c:v>14.581038040103364</c:v>
                </c:pt>
                <c:pt idx="104">
                  <c:v>14.357929308417502</c:v>
                </c:pt>
                <c:pt idx="105">
                  <c:v>14.179875439062545</c:v>
                </c:pt>
                <c:pt idx="106">
                  <c:v>14.460856431079463</c:v>
                </c:pt>
                <c:pt idx="107">
                  <c:v>14.608137589637732</c:v>
                </c:pt>
                <c:pt idx="108">
                  <c:v>14.908294980408252</c:v>
                </c:pt>
                <c:pt idx="109">
                  <c:v>14.794720693517752</c:v>
                </c:pt>
                <c:pt idx="110">
                  <c:v>14.727789815817985</c:v>
                </c:pt>
                <c:pt idx="111">
                  <c:v>14.23197973439779</c:v>
                </c:pt>
                <c:pt idx="112">
                  <c:v>13.711419679651291</c:v>
                </c:pt>
                <c:pt idx="113">
                  <c:v>13.138381992253715</c:v>
                </c:pt>
                <c:pt idx="114">
                  <c:v>12.640233017006484</c:v>
                </c:pt>
                <c:pt idx="115">
                  <c:v>12.077032489893696</c:v>
                </c:pt>
                <c:pt idx="116">
                  <c:v>11.557381631169992</c:v>
                </c:pt>
                <c:pt idx="117">
                  <c:v>11.146272202527886</c:v>
                </c:pt>
                <c:pt idx="118" formatCode="#,##0.0">
                  <c:v>11.209944545759052</c:v>
                </c:pt>
                <c:pt idx="119" formatCode="#,##0.0">
                  <c:v>11.203834068382921</c:v>
                </c:pt>
                <c:pt idx="120" formatCode="#,##0.0">
                  <c:v>11.143960307393867</c:v>
                </c:pt>
                <c:pt idx="121" formatCode="#,##0.0">
                  <c:v>10.521875376642161</c:v>
                </c:pt>
                <c:pt idx="122" formatCode="#,##0.0">
                  <c:v>9.8301386076359041</c:v>
                </c:pt>
                <c:pt idx="123" formatCode="#,##0.0">
                  <c:v>9.303269988647795</c:v>
                </c:pt>
                <c:pt idx="124" formatCode="#,##0.0">
                  <c:v>9.1038066109002482</c:v>
                </c:pt>
                <c:pt idx="125" formatCode="#,##0.0">
                  <c:v>8.9176310415248476</c:v>
                </c:pt>
                <c:pt idx="126" formatCode="#,##0.0">
                  <c:v>8.7005306771882385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8B8-41E1-9B4E-C2286CA6847C}"/>
            </c:ext>
          </c:extLst>
        </c:ser>
        <c:ser>
          <c:idx val="12"/>
          <c:order val="1"/>
          <c:tx>
            <c:v>Projeção UEE</c:v>
          </c:tx>
          <c:spPr>
            <a:ln>
              <a:solidFill>
                <a:srgbClr val="7F7F7F"/>
              </a:solidFill>
              <a:prstDash val="sysDot"/>
            </a:ln>
          </c:spPr>
          <c:marker>
            <c:symbol val="none"/>
          </c:marker>
          <c:dPt>
            <c:idx val="102"/>
            <c:marker>
              <c:symbol val="circle"/>
              <c:size val="5"/>
              <c:spPr>
                <a:solidFill>
                  <a:srgbClr val="27252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B8B8-41E1-9B4E-C2286CA6847C}"/>
              </c:ext>
            </c:extLst>
          </c:dPt>
          <c:dPt>
            <c:idx val="105"/>
            <c:marker>
              <c:symbol val="circle"/>
              <c:size val="5"/>
              <c:spPr>
                <a:solidFill>
                  <a:srgbClr val="7F7F7F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B8B8-41E1-9B4E-C2286CA6847C}"/>
              </c:ext>
            </c:extLst>
          </c:dPt>
          <c:dPt>
            <c:idx val="114"/>
            <c:marker>
              <c:symbol val="circle"/>
              <c:size val="5"/>
              <c:spPr>
                <a:solidFill>
                  <a:srgbClr val="27252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B8B8-41E1-9B4E-C2286CA6847C}"/>
              </c:ext>
            </c:extLst>
          </c:dPt>
          <c:dPt>
            <c:idx val="117"/>
            <c:marker>
              <c:symbol val="circle"/>
              <c:size val="5"/>
              <c:spPr>
                <a:solidFill>
                  <a:srgbClr val="7F7F7F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B8B8-41E1-9B4E-C2286CA6847C}"/>
              </c:ext>
            </c:extLst>
          </c:dPt>
          <c:dPt>
            <c:idx val="126"/>
            <c:marker>
              <c:symbol val="circle"/>
              <c:size val="5"/>
              <c:spPr>
                <a:solidFill>
                  <a:srgbClr val="272525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B8B8-41E1-9B4E-C2286CA6847C}"/>
              </c:ext>
            </c:extLst>
          </c:dPt>
          <c:dPt>
            <c:idx val="129"/>
            <c:marker>
              <c:symbol val="circle"/>
              <c:size val="5"/>
              <c:spPr>
                <a:solidFill>
                  <a:srgbClr val="7F7F7F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B8B8-41E1-9B4E-C2286CA6847C}"/>
              </c:ext>
            </c:extLst>
          </c:dPt>
          <c:dPt>
            <c:idx val="141"/>
            <c:marker>
              <c:symbol val="circle"/>
              <c:size val="5"/>
              <c:spPr>
                <a:solidFill>
                  <a:srgbClr val="949494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B8B8-41E1-9B4E-C2286CA6847C}"/>
              </c:ext>
            </c:extLst>
          </c:dPt>
          <c:dLbls>
            <c:dLbl>
              <c:idx val="105"/>
              <c:layout>
                <c:manualLayout>
                  <c:x val="-0.13298902353750372"/>
                  <c:y val="-3.4652511455253325E-2"/>
                </c:manualLayout>
              </c:layout>
              <c:spPr/>
              <c:txPr>
                <a:bodyPr/>
                <a:lstStyle/>
                <a:p>
                  <a:pPr>
                    <a:defRPr sz="1000" b="1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8B8-41E1-9B4E-C2286CA6847C}"/>
                </c:ext>
              </c:extLst>
            </c:dLbl>
            <c:dLbl>
              <c:idx val="114"/>
              <c:layout>
                <c:manualLayout>
                  <c:x val="-0.12959609323903176"/>
                  <c:y val="3.17072876412732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00" b="1">
                      <a:solidFill>
                        <a:sysClr val="windowText" lastClr="00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8B8-41E1-9B4E-C2286CA6847C}"/>
                </c:ext>
              </c:extLst>
            </c:dLbl>
            <c:dLbl>
              <c:idx val="117"/>
              <c:layout>
                <c:manualLayout>
                  <c:x val="-6.9202209128679928E-2"/>
                  <c:y val="6.4083673950882006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="1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8B8-41E1-9B4E-C2286CA6847C}"/>
                </c:ext>
              </c:extLst>
            </c:dLbl>
            <c:dLbl>
              <c:idx val="126"/>
              <c:layout>
                <c:manualLayout>
                  <c:x val="-0.12116424524847973"/>
                  <c:y val="1.1076901607459029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00" b="1">
                      <a:solidFill>
                        <a:sysClr val="windowText" lastClr="00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8B8-41E1-9B4E-C2286CA6847C}"/>
                </c:ext>
              </c:extLst>
            </c:dLbl>
            <c:dLbl>
              <c:idx val="129"/>
              <c:layout>
                <c:manualLayout>
                  <c:x val="-6.865519763411454E-2"/>
                  <c:y val="5.8685337496620235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00" b="1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8B8-41E1-9B4E-C2286CA6847C}"/>
                </c:ext>
              </c:extLst>
            </c:dLbl>
            <c:dLbl>
              <c:idx val="141"/>
              <c:layout>
                <c:manualLayout>
                  <c:x val="-1.6154164149203423E-2"/>
                  <c:y val="4.9846057233565631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00" b="1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8B8-41E1-9B4E-C2286CA684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chemeClr val="accent2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 4.5 - G 4.6 (set)'!$A$3:$A$144</c:f>
              <c:numCache>
                <c:formatCode>mmm\-yy</c:formatCode>
                <c:ptCount val="142"/>
                <c:pt idx="0">
                  <c:v>40969</c:v>
                </c:pt>
                <c:pt idx="1">
                  <c:v>41000</c:v>
                </c:pt>
                <c:pt idx="2">
                  <c:v>41030</c:v>
                </c:pt>
                <c:pt idx="3">
                  <c:v>41061</c:v>
                </c:pt>
                <c:pt idx="4">
                  <c:v>41091</c:v>
                </c:pt>
                <c:pt idx="5">
                  <c:v>41122</c:v>
                </c:pt>
                <c:pt idx="6">
                  <c:v>41153</c:v>
                </c:pt>
                <c:pt idx="7">
                  <c:v>41183</c:v>
                </c:pt>
                <c:pt idx="8">
                  <c:v>41214</c:v>
                </c:pt>
                <c:pt idx="9">
                  <c:v>41244</c:v>
                </c:pt>
                <c:pt idx="10">
                  <c:v>41275</c:v>
                </c:pt>
                <c:pt idx="11">
                  <c:v>41306</c:v>
                </c:pt>
                <c:pt idx="12">
                  <c:v>41334</c:v>
                </c:pt>
                <c:pt idx="13">
                  <c:v>41365</c:v>
                </c:pt>
                <c:pt idx="14">
                  <c:v>41395</c:v>
                </c:pt>
                <c:pt idx="15">
                  <c:v>41426</c:v>
                </c:pt>
                <c:pt idx="16">
                  <c:v>41456</c:v>
                </c:pt>
                <c:pt idx="17">
                  <c:v>41487</c:v>
                </c:pt>
                <c:pt idx="18">
                  <c:v>41518</c:v>
                </c:pt>
                <c:pt idx="19">
                  <c:v>41548</c:v>
                </c:pt>
                <c:pt idx="20">
                  <c:v>41579</c:v>
                </c:pt>
                <c:pt idx="21">
                  <c:v>41609</c:v>
                </c:pt>
                <c:pt idx="22">
                  <c:v>41640</c:v>
                </c:pt>
                <c:pt idx="23">
                  <c:v>41671</c:v>
                </c:pt>
                <c:pt idx="24">
                  <c:v>41699</c:v>
                </c:pt>
                <c:pt idx="25">
                  <c:v>41730</c:v>
                </c:pt>
                <c:pt idx="26">
                  <c:v>41760</c:v>
                </c:pt>
                <c:pt idx="27">
                  <c:v>41791</c:v>
                </c:pt>
                <c:pt idx="28">
                  <c:v>41821</c:v>
                </c:pt>
                <c:pt idx="29">
                  <c:v>41852</c:v>
                </c:pt>
                <c:pt idx="30">
                  <c:v>41883</c:v>
                </c:pt>
                <c:pt idx="31">
                  <c:v>41913</c:v>
                </c:pt>
                <c:pt idx="32">
                  <c:v>41944</c:v>
                </c:pt>
                <c:pt idx="33">
                  <c:v>41974</c:v>
                </c:pt>
                <c:pt idx="34">
                  <c:v>42005</c:v>
                </c:pt>
                <c:pt idx="35">
                  <c:v>42036</c:v>
                </c:pt>
                <c:pt idx="36">
                  <c:v>42064</c:v>
                </c:pt>
                <c:pt idx="37">
                  <c:v>42095</c:v>
                </c:pt>
                <c:pt idx="38">
                  <c:v>42125</c:v>
                </c:pt>
                <c:pt idx="39">
                  <c:v>42156</c:v>
                </c:pt>
                <c:pt idx="40">
                  <c:v>42186</c:v>
                </c:pt>
                <c:pt idx="41">
                  <c:v>42217</c:v>
                </c:pt>
                <c:pt idx="42">
                  <c:v>42248</c:v>
                </c:pt>
                <c:pt idx="43">
                  <c:v>42278</c:v>
                </c:pt>
                <c:pt idx="44">
                  <c:v>42309</c:v>
                </c:pt>
                <c:pt idx="45">
                  <c:v>42339</c:v>
                </c:pt>
                <c:pt idx="46">
                  <c:v>42370</c:v>
                </c:pt>
                <c:pt idx="47">
                  <c:v>42401</c:v>
                </c:pt>
                <c:pt idx="48">
                  <c:v>42430</c:v>
                </c:pt>
                <c:pt idx="49">
                  <c:v>42461</c:v>
                </c:pt>
                <c:pt idx="50">
                  <c:v>42491</c:v>
                </c:pt>
                <c:pt idx="51">
                  <c:v>42522</c:v>
                </c:pt>
                <c:pt idx="52">
                  <c:v>42552</c:v>
                </c:pt>
                <c:pt idx="53">
                  <c:v>42583</c:v>
                </c:pt>
                <c:pt idx="54">
                  <c:v>42614</c:v>
                </c:pt>
                <c:pt idx="55">
                  <c:v>42644</c:v>
                </c:pt>
                <c:pt idx="56">
                  <c:v>42675</c:v>
                </c:pt>
                <c:pt idx="57">
                  <c:v>42705</c:v>
                </c:pt>
                <c:pt idx="58">
                  <c:v>42736</c:v>
                </c:pt>
                <c:pt idx="59">
                  <c:v>42767</c:v>
                </c:pt>
                <c:pt idx="60">
                  <c:v>42795</c:v>
                </c:pt>
                <c:pt idx="61">
                  <c:v>42826</c:v>
                </c:pt>
                <c:pt idx="62">
                  <c:v>42856</c:v>
                </c:pt>
                <c:pt idx="63">
                  <c:v>42887</c:v>
                </c:pt>
                <c:pt idx="64">
                  <c:v>42917</c:v>
                </c:pt>
                <c:pt idx="65">
                  <c:v>42948</c:v>
                </c:pt>
                <c:pt idx="66">
                  <c:v>42979</c:v>
                </c:pt>
                <c:pt idx="67">
                  <c:v>43009</c:v>
                </c:pt>
                <c:pt idx="68">
                  <c:v>43040</c:v>
                </c:pt>
                <c:pt idx="69">
                  <c:v>43070</c:v>
                </c:pt>
                <c:pt idx="70">
                  <c:v>43101</c:v>
                </c:pt>
                <c:pt idx="71">
                  <c:v>43132</c:v>
                </c:pt>
                <c:pt idx="72">
                  <c:v>43160</c:v>
                </c:pt>
                <c:pt idx="73">
                  <c:v>43191</c:v>
                </c:pt>
                <c:pt idx="74">
                  <c:v>43221</c:v>
                </c:pt>
                <c:pt idx="75">
                  <c:v>43252</c:v>
                </c:pt>
                <c:pt idx="76">
                  <c:v>43282</c:v>
                </c:pt>
                <c:pt idx="77">
                  <c:v>43313</c:v>
                </c:pt>
                <c:pt idx="78">
                  <c:v>43344</c:v>
                </c:pt>
                <c:pt idx="79">
                  <c:v>43374</c:v>
                </c:pt>
                <c:pt idx="80">
                  <c:v>43405</c:v>
                </c:pt>
                <c:pt idx="81">
                  <c:v>43435</c:v>
                </c:pt>
                <c:pt idx="82">
                  <c:v>43466</c:v>
                </c:pt>
                <c:pt idx="83">
                  <c:v>43497</c:v>
                </c:pt>
                <c:pt idx="84">
                  <c:v>43525</c:v>
                </c:pt>
                <c:pt idx="85">
                  <c:v>43556</c:v>
                </c:pt>
                <c:pt idx="86">
                  <c:v>43586</c:v>
                </c:pt>
                <c:pt idx="87">
                  <c:v>43617</c:v>
                </c:pt>
                <c:pt idx="88">
                  <c:v>43647</c:v>
                </c:pt>
                <c:pt idx="89">
                  <c:v>43678</c:v>
                </c:pt>
                <c:pt idx="90">
                  <c:v>43709</c:v>
                </c:pt>
                <c:pt idx="91">
                  <c:v>43739</c:v>
                </c:pt>
                <c:pt idx="92">
                  <c:v>43770</c:v>
                </c:pt>
                <c:pt idx="93">
                  <c:v>43800</c:v>
                </c:pt>
                <c:pt idx="94">
                  <c:v>43831</c:v>
                </c:pt>
                <c:pt idx="95">
                  <c:v>43862</c:v>
                </c:pt>
                <c:pt idx="96">
                  <c:v>43891</c:v>
                </c:pt>
                <c:pt idx="97">
                  <c:v>43922</c:v>
                </c:pt>
                <c:pt idx="98">
                  <c:v>43952</c:v>
                </c:pt>
                <c:pt idx="99">
                  <c:v>43983</c:v>
                </c:pt>
                <c:pt idx="100">
                  <c:v>44013</c:v>
                </c:pt>
                <c:pt idx="101">
                  <c:v>44044</c:v>
                </c:pt>
                <c:pt idx="102">
                  <c:v>44075</c:v>
                </c:pt>
                <c:pt idx="103">
                  <c:v>44105</c:v>
                </c:pt>
                <c:pt idx="104">
                  <c:v>44136</c:v>
                </c:pt>
                <c:pt idx="105">
                  <c:v>44166</c:v>
                </c:pt>
                <c:pt idx="106">
                  <c:v>44197</c:v>
                </c:pt>
                <c:pt idx="107">
                  <c:v>44228</c:v>
                </c:pt>
                <c:pt idx="108">
                  <c:v>44256</c:v>
                </c:pt>
                <c:pt idx="109">
                  <c:v>44287</c:v>
                </c:pt>
                <c:pt idx="110">
                  <c:v>44317</c:v>
                </c:pt>
                <c:pt idx="111">
                  <c:v>44348</c:v>
                </c:pt>
                <c:pt idx="112">
                  <c:v>44378</c:v>
                </c:pt>
                <c:pt idx="113">
                  <c:v>44409</c:v>
                </c:pt>
                <c:pt idx="114">
                  <c:v>44440</c:v>
                </c:pt>
                <c:pt idx="115">
                  <c:v>44470</c:v>
                </c:pt>
                <c:pt idx="116">
                  <c:v>44501</c:v>
                </c:pt>
                <c:pt idx="117">
                  <c:v>44531</c:v>
                </c:pt>
                <c:pt idx="118">
                  <c:v>44562</c:v>
                </c:pt>
                <c:pt idx="119">
                  <c:v>44593</c:v>
                </c:pt>
                <c:pt idx="120">
                  <c:v>44621</c:v>
                </c:pt>
                <c:pt idx="121">
                  <c:v>44652</c:v>
                </c:pt>
                <c:pt idx="122">
                  <c:v>44682</c:v>
                </c:pt>
                <c:pt idx="123">
                  <c:v>44713</c:v>
                </c:pt>
                <c:pt idx="124">
                  <c:v>44743</c:v>
                </c:pt>
                <c:pt idx="125">
                  <c:v>44774</c:v>
                </c:pt>
                <c:pt idx="126">
                  <c:v>44805</c:v>
                </c:pt>
                <c:pt idx="127">
                  <c:v>44835</c:v>
                </c:pt>
                <c:pt idx="128">
                  <c:v>44866</c:v>
                </c:pt>
                <c:pt idx="129">
                  <c:v>44896</c:v>
                </c:pt>
                <c:pt idx="130">
                  <c:v>44927</c:v>
                </c:pt>
                <c:pt idx="131">
                  <c:v>44958</c:v>
                </c:pt>
                <c:pt idx="132">
                  <c:v>44986</c:v>
                </c:pt>
                <c:pt idx="133">
                  <c:v>45017</c:v>
                </c:pt>
                <c:pt idx="134">
                  <c:v>45047</c:v>
                </c:pt>
                <c:pt idx="135">
                  <c:v>45078</c:v>
                </c:pt>
                <c:pt idx="136">
                  <c:v>45108</c:v>
                </c:pt>
                <c:pt idx="137">
                  <c:v>45139</c:v>
                </c:pt>
                <c:pt idx="138">
                  <c:v>45170</c:v>
                </c:pt>
                <c:pt idx="139">
                  <c:v>45200</c:v>
                </c:pt>
                <c:pt idx="140">
                  <c:v>45231</c:v>
                </c:pt>
                <c:pt idx="141">
                  <c:v>45261</c:v>
                </c:pt>
              </c:numCache>
            </c:numRef>
          </c:cat>
          <c:val>
            <c:numRef>
              <c:f>'G 4.5 - G 4.6 (set)'!$AA$3:$AA$144</c:f>
              <c:numCache>
                <c:formatCode>#,##0.0</c:formatCode>
                <c:ptCount val="142"/>
                <c:pt idx="126">
                  <c:v>8.7005306771882385</c:v>
                </c:pt>
                <c:pt idx="127">
                  <c:v>8.5822364546449954</c:v>
                </c:pt>
                <c:pt idx="128">
                  <c:v>8.3456480095585093</c:v>
                </c:pt>
                <c:pt idx="129">
                  <c:v>8.2273537870152662</c:v>
                </c:pt>
                <c:pt idx="130">
                  <c:v>8.5297490001641378</c:v>
                </c:pt>
                <c:pt idx="131">
                  <c:v>9.1345394264618847</c:v>
                </c:pt>
                <c:pt idx="132">
                  <c:v>9.4369346396107563</c:v>
                </c:pt>
                <c:pt idx="133">
                  <c:v>9.3603482237787752</c:v>
                </c:pt>
                <c:pt idx="134">
                  <c:v>9.2071753921148147</c:v>
                </c:pt>
                <c:pt idx="135">
                  <c:v>9.1305889762828336</c:v>
                </c:pt>
                <c:pt idx="136">
                  <c:v>9.0884292445272017</c:v>
                </c:pt>
                <c:pt idx="137">
                  <c:v>9.0041097810159378</c:v>
                </c:pt>
                <c:pt idx="138">
                  <c:v>8.9619500492603059</c:v>
                </c:pt>
                <c:pt idx="139">
                  <c:v>8.8901015146268723</c:v>
                </c:pt>
                <c:pt idx="140">
                  <c:v>8.7464044453600032</c:v>
                </c:pt>
                <c:pt idx="141">
                  <c:v>8.6745559107265695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8B8-41E1-9B4E-C2286CA68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47248"/>
        <c:axId val="472147792"/>
      </c:lineChart>
      <c:dateAx>
        <c:axId val="472147248"/>
        <c:scaling>
          <c:orientation val="minMax"/>
          <c:min val="41000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472147792"/>
        <c:crosses val="autoZero"/>
        <c:auto val="1"/>
        <c:lblOffset val="100"/>
        <c:baseTimeUnit val="months"/>
      </c:dateAx>
      <c:valAx>
        <c:axId val="472147792"/>
        <c:scaling>
          <c:orientation val="minMax"/>
          <c:max val="15"/>
          <c:min val="5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72147248"/>
        <c:crosses val="autoZero"/>
        <c:crossBetween val="between"/>
        <c:majorUnit val="1"/>
      </c:valAx>
      <c:spPr>
        <a:noFill/>
      </c:spPr>
    </c:plotArea>
    <c:legend>
      <c:legendPos val="b"/>
      <c:layout>
        <c:manualLayout>
          <c:xMode val="edge"/>
          <c:yMode val="edge"/>
          <c:x val="6.0311941251596425E-2"/>
          <c:y val="0.90052313896381586"/>
          <c:w val="0.9"/>
          <c:h val="8.8522467320261436E-2"/>
        </c:manualLayout>
      </c:layout>
      <c:overlay val="0"/>
      <c:txPr>
        <a:bodyPr/>
        <a:lstStyle/>
        <a:p>
          <a:pPr rtl="0">
            <a:defRPr sz="1000"/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4604086845466157E-2"/>
          <c:y val="5.7066993464052286E-2"/>
          <c:w val="0.91079182630906774"/>
          <c:h val="0.695071895424836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5B638"/>
            </a:solidFill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Pt>
            <c:idx val="8"/>
            <c:invertIfNegative val="0"/>
            <c:bubble3D val="0"/>
            <c:spPr>
              <a:solidFill>
                <a:srgbClr val="65B638"/>
              </a:solidFill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D08-40C4-957C-171479B9D302}"/>
              </c:ext>
            </c:extLst>
          </c:dPt>
          <c:dPt>
            <c:idx val="9"/>
            <c:invertIfNegative val="0"/>
            <c:bubble3D val="0"/>
            <c:spPr>
              <a:solidFill>
                <a:srgbClr val="65B638"/>
              </a:solidFill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D08-40C4-957C-171479B9D302}"/>
              </c:ext>
            </c:extLst>
          </c:dPt>
          <c:dPt>
            <c:idx val="10"/>
            <c:invertIfNegative val="0"/>
            <c:bubble3D val="0"/>
            <c:spPr>
              <a:solidFill>
                <a:srgbClr val="7F7F7F"/>
              </a:solidFill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D08-40C4-957C-171479B9D302}"/>
              </c:ext>
            </c:extLst>
          </c:dPt>
          <c:dPt>
            <c:idx val="11"/>
            <c:invertIfNegative val="0"/>
            <c:bubble3D val="0"/>
            <c:spPr>
              <a:solidFill>
                <a:srgbClr val="7F7F7F"/>
              </a:solidFill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0D08-40C4-957C-171479B9D302}"/>
              </c:ext>
            </c:extLst>
          </c:dPt>
          <c:dLbls>
            <c:dLbl>
              <c:idx val="5"/>
              <c:layout>
                <c:manualLayout>
                  <c:x val="0"/>
                  <c:y val="-1.16953355870644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D08-40C4-957C-171479B9D302}"/>
                </c:ext>
              </c:extLst>
            </c:dLbl>
            <c:dLbl>
              <c:idx val="7"/>
              <c:layout>
                <c:manualLayout>
                  <c:x val="0"/>
                  <c:y val="1.1695335587064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08-40C4-957C-171479B9D302}"/>
                </c:ext>
              </c:extLst>
            </c:dLbl>
            <c:dLbl>
              <c:idx val="8"/>
              <c:numFmt formatCode="#,##0.0" sourceLinked="0"/>
              <c:spPr/>
              <c:txPr>
                <a:bodyPr/>
                <a:lstStyle/>
                <a:p>
                  <a:pPr>
                    <a:defRPr sz="1000">
                      <a:solidFill>
                        <a:schemeClr val="accent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D08-40C4-957C-171479B9D302}"/>
                </c:ext>
              </c:extLst>
            </c:dLbl>
            <c:dLbl>
              <c:idx val="9"/>
              <c:numFmt formatCode="#,##0.0" sourceLinked="0"/>
              <c:spPr/>
              <c:txPr>
                <a:bodyPr/>
                <a:lstStyle/>
                <a:p>
                  <a:pPr>
                    <a:defRPr sz="1000">
                      <a:solidFill>
                        <a:schemeClr val="accent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D08-40C4-957C-171479B9D302}"/>
                </c:ext>
              </c:extLst>
            </c:dLbl>
            <c:dLbl>
              <c:idx val="10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00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D08-40C4-957C-171479B9D302}"/>
                </c:ext>
              </c:extLst>
            </c:dLbl>
            <c:dLbl>
              <c:idx val="1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00"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0D08-40C4-957C-171479B9D302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 4.5 - G 4.6 (set)'!$AN$176:$AN$187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'G 4.5 - G 4.6 (set)'!$AO$176:$AO$187</c:f>
              <c:numCache>
                <c:formatCode>0.0</c:formatCode>
                <c:ptCount val="12"/>
                <c:pt idx="0">
                  <c:v>7.4106246283052197</c:v>
                </c:pt>
                <c:pt idx="1">
                  <c:v>7.2190756438585124</c:v>
                </c:pt>
                <c:pt idx="2">
                  <c:v>6.9067220692038553</c:v>
                </c:pt>
                <c:pt idx="3">
                  <c:v>8.6470197679260803</c:v>
                </c:pt>
                <c:pt idx="4">
                  <c:v>11.644415734769625</c:v>
                </c:pt>
                <c:pt idx="5">
                  <c:v>12.847573705675133</c:v>
                </c:pt>
                <c:pt idx="6">
                  <c:v>12.386439628957419</c:v>
                </c:pt>
                <c:pt idx="7">
                  <c:v>11.991998968980925</c:v>
                </c:pt>
                <c:pt idx="8">
                  <c:v>13.76031198430346</c:v>
                </c:pt>
                <c:pt idx="9">
                  <c:v>13.231694983585102</c:v>
                </c:pt>
                <c:pt idx="10">
                  <c:v>9.343778690061292</c:v>
                </c:pt>
                <c:pt idx="11">
                  <c:v>9.0510073939701172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08-40C4-957C-171479B9D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2137456"/>
        <c:axId val="472133648"/>
      </c:barChart>
      <c:catAx>
        <c:axId val="47213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1000" b="0"/>
            </a:pPr>
            <a:endParaRPr lang="pt-BR"/>
          </a:p>
        </c:txPr>
        <c:crossAx val="472133648"/>
        <c:crosses val="autoZero"/>
        <c:auto val="1"/>
        <c:lblAlgn val="ctr"/>
        <c:lblOffset val="100"/>
        <c:noMultiLvlLbl val="0"/>
      </c:catAx>
      <c:valAx>
        <c:axId val="472133648"/>
        <c:scaling>
          <c:orientation val="minMax"/>
          <c:max val="15"/>
          <c:min val="4"/>
        </c:scaling>
        <c:delete val="1"/>
        <c:axPos val="l"/>
        <c:numFmt formatCode="#,##0" sourceLinked="0"/>
        <c:majorTickMark val="out"/>
        <c:minorTickMark val="none"/>
        <c:tickLblPos val="nextTo"/>
        <c:crossAx val="47213745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 b="1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pt-BR"/>
              <a:t>Geração empregos BR - Acum.</a:t>
            </a:r>
            <a:r>
              <a:rPr lang="pt-BR" baseline="0"/>
              <a:t> 12 meses (mil)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944652410252"/>
          <c:y val="0.11669919465195056"/>
          <c:w val="0.83866819413966676"/>
          <c:h val="0.68480214011710072"/>
        </c:manualLayout>
      </c:layout>
      <c:lineChart>
        <c:grouping val="standard"/>
        <c:varyColors val="0"/>
        <c:ser>
          <c:idx val="0"/>
          <c:order val="0"/>
          <c:spPr>
            <a:ln w="28575">
              <a:solidFill>
                <a:schemeClr val="accent1"/>
              </a:solidFill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FF7-4777-BB6D-62ED6846223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1FF7-4777-BB6D-62ED6846223C}"/>
              </c:ext>
            </c:extLst>
          </c:dPt>
          <c:cat>
            <c:numRef>
              <c:f>'G 4.7 - T 4.1 (set)'!$N$136:$N$193</c:f>
              <c:numCache>
                <c:formatCode>mmm\-yy</c:formatCode>
                <c:ptCount val="58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43556</c:v>
                </c:pt>
                <c:pt idx="14">
                  <c:v>43586</c:v>
                </c:pt>
                <c:pt idx="15">
                  <c:v>43617</c:v>
                </c:pt>
                <c:pt idx="16">
                  <c:v>43647</c:v>
                </c:pt>
                <c:pt idx="17">
                  <c:v>43678</c:v>
                </c:pt>
                <c:pt idx="18">
                  <c:v>43709</c:v>
                </c:pt>
                <c:pt idx="19">
                  <c:v>43739</c:v>
                </c:pt>
                <c:pt idx="20">
                  <c:v>43770</c:v>
                </c:pt>
                <c:pt idx="21">
                  <c:v>43800</c:v>
                </c:pt>
                <c:pt idx="22">
                  <c:v>43831</c:v>
                </c:pt>
                <c:pt idx="23">
                  <c:v>43862</c:v>
                </c:pt>
                <c:pt idx="24">
                  <c:v>43891</c:v>
                </c:pt>
                <c:pt idx="25">
                  <c:v>43922</c:v>
                </c:pt>
                <c:pt idx="26">
                  <c:v>43952</c:v>
                </c:pt>
                <c:pt idx="27">
                  <c:v>43983</c:v>
                </c:pt>
                <c:pt idx="28">
                  <c:v>44013</c:v>
                </c:pt>
                <c:pt idx="29">
                  <c:v>44044</c:v>
                </c:pt>
                <c:pt idx="30">
                  <c:v>44075</c:v>
                </c:pt>
                <c:pt idx="31">
                  <c:v>44105</c:v>
                </c:pt>
                <c:pt idx="32">
                  <c:v>44136</c:v>
                </c:pt>
                <c:pt idx="33">
                  <c:v>44166</c:v>
                </c:pt>
                <c:pt idx="34">
                  <c:v>44197</c:v>
                </c:pt>
                <c:pt idx="35">
                  <c:v>44228</c:v>
                </c:pt>
                <c:pt idx="36">
                  <c:v>44256</c:v>
                </c:pt>
                <c:pt idx="37">
                  <c:v>44287</c:v>
                </c:pt>
                <c:pt idx="38">
                  <c:v>44317</c:v>
                </c:pt>
                <c:pt idx="39">
                  <c:v>44348</c:v>
                </c:pt>
                <c:pt idx="40">
                  <c:v>44378</c:v>
                </c:pt>
                <c:pt idx="41">
                  <c:v>44409</c:v>
                </c:pt>
                <c:pt idx="42">
                  <c:v>44440</c:v>
                </c:pt>
                <c:pt idx="43">
                  <c:v>44470</c:v>
                </c:pt>
                <c:pt idx="44">
                  <c:v>44501</c:v>
                </c:pt>
                <c:pt idx="45">
                  <c:v>44531</c:v>
                </c:pt>
                <c:pt idx="46">
                  <c:v>44562</c:v>
                </c:pt>
                <c:pt idx="47">
                  <c:v>44593</c:v>
                </c:pt>
                <c:pt idx="48">
                  <c:v>44621</c:v>
                </c:pt>
                <c:pt idx="49">
                  <c:v>44652</c:v>
                </c:pt>
                <c:pt idx="50">
                  <c:v>44682</c:v>
                </c:pt>
                <c:pt idx="51">
                  <c:v>44713</c:v>
                </c:pt>
                <c:pt idx="52">
                  <c:v>44743</c:v>
                </c:pt>
                <c:pt idx="53">
                  <c:v>44774</c:v>
                </c:pt>
                <c:pt idx="54">
                  <c:v>44805</c:v>
                </c:pt>
                <c:pt idx="55">
                  <c:v>44835</c:v>
                </c:pt>
                <c:pt idx="56">
                  <c:v>44866</c:v>
                </c:pt>
                <c:pt idx="57">
                  <c:v>44896</c:v>
                </c:pt>
              </c:numCache>
            </c:numRef>
          </c:cat>
          <c:val>
            <c:numRef>
              <c:f>'G 4.7 - T 4.1 (set)'!$P$136:$P$193</c:f>
              <c:numCache>
                <c:formatCode>#,##0</c:formatCode>
                <c:ptCount val="58"/>
                <c:pt idx="0">
                  <c:v>270.29199999999997</c:v>
                </c:pt>
                <c:pt idx="1">
                  <c:v>327.37</c:v>
                </c:pt>
                <c:pt idx="2">
                  <c:v>325.58800000000002</c:v>
                </c:pt>
                <c:pt idx="3">
                  <c:v>317.13400000000001</c:v>
                </c:pt>
                <c:pt idx="4">
                  <c:v>324.49799999999999</c:v>
                </c:pt>
                <c:pt idx="5">
                  <c:v>398.8</c:v>
                </c:pt>
                <c:pt idx="6">
                  <c:v>500.52300000000002</c:v>
                </c:pt>
                <c:pt idx="7">
                  <c:v>480.20299999999997</c:v>
                </c:pt>
                <c:pt idx="8">
                  <c:v>548.17200000000003</c:v>
                </c:pt>
                <c:pt idx="9">
                  <c:v>546.44500000000005</c:v>
                </c:pt>
                <c:pt idx="10">
                  <c:v>500.04399999999998</c:v>
                </c:pt>
                <c:pt idx="11">
                  <c:v>615.51599999999996</c:v>
                </c:pt>
                <c:pt idx="12">
                  <c:v>501.786</c:v>
                </c:pt>
                <c:pt idx="13">
                  <c:v>506.71</c:v>
                </c:pt>
                <c:pt idx="14">
                  <c:v>504.322</c:v>
                </c:pt>
                <c:pt idx="15">
                  <c:v>555.45500000000004</c:v>
                </c:pt>
                <c:pt idx="16">
                  <c:v>548.93499999999995</c:v>
                </c:pt>
                <c:pt idx="17">
                  <c:v>553.02200000000005</c:v>
                </c:pt>
                <c:pt idx="18">
                  <c:v>564.04999999999995</c:v>
                </c:pt>
                <c:pt idx="19">
                  <c:v>571.60299999999995</c:v>
                </c:pt>
                <c:pt idx="20">
                  <c:v>609.03200000000004</c:v>
                </c:pt>
                <c:pt idx="21">
                  <c:v>644.07899999999995</c:v>
                </c:pt>
                <c:pt idx="22">
                  <c:v>711.45100000000002</c:v>
                </c:pt>
                <c:pt idx="23">
                  <c:v>736.22799999999995</c:v>
                </c:pt>
                <c:pt idx="24">
                  <c:v>479.81</c:v>
                </c:pt>
                <c:pt idx="25">
                  <c:v>-638.26800000000003</c:v>
                </c:pt>
                <c:pt idx="26">
                  <c:v>-1077.384</c:v>
                </c:pt>
                <c:pt idx="27">
                  <c:v>-1190.5070000000001</c:v>
                </c:pt>
                <c:pt idx="28">
                  <c:v>-1133.742</c:v>
                </c:pt>
                <c:pt idx="29">
                  <c:v>-1047.182</c:v>
                </c:pt>
                <c:pt idx="30">
                  <c:v>-909.75599999999997</c:v>
                </c:pt>
                <c:pt idx="31">
                  <c:v>-618.01099999999997</c:v>
                </c:pt>
                <c:pt idx="32">
                  <c:v>-342.43599999999998</c:v>
                </c:pt>
                <c:pt idx="33">
                  <c:v>-192.58</c:v>
                </c:pt>
                <c:pt idx="34">
                  <c:v>-50.359000000000002</c:v>
                </c:pt>
                <c:pt idx="35">
                  <c:v>130.02500000000001</c:v>
                </c:pt>
                <c:pt idx="36">
                  <c:v>578.53499999999997</c:v>
                </c:pt>
                <c:pt idx="37">
                  <c:v>1649.808</c:v>
                </c:pt>
                <c:pt idx="38">
                  <c:v>2314.616</c:v>
                </c:pt>
                <c:pt idx="39">
                  <c:v>2686.0709999999999</c:v>
                </c:pt>
                <c:pt idx="40">
                  <c:v>2884.1219999999998</c:v>
                </c:pt>
                <c:pt idx="41">
                  <c:v>3057.991</c:v>
                </c:pt>
                <c:pt idx="42">
                  <c:v>3088.7080000000001</c:v>
                </c:pt>
                <c:pt idx="43">
                  <c:v>2974.6860000000001</c:v>
                </c:pt>
                <c:pt idx="44">
                  <c:v>2910.8560000000002</c:v>
                </c:pt>
                <c:pt idx="45">
                  <c:v>2777.404</c:v>
                </c:pt>
                <c:pt idx="46">
                  <c:v>2682.393</c:v>
                </c:pt>
                <c:pt idx="47">
                  <c:v>2629.3229999999999</c:v>
                </c:pt>
                <c:pt idx="48">
                  <c:v>2571.2710000000002</c:v>
                </c:pt>
                <c:pt idx="49">
                  <c:v>2682.895</c:v>
                </c:pt>
                <c:pt idx="50">
                  <c:v>2694.3780000000002</c:v>
                </c:pt>
                <c:pt idx="51">
                  <c:v>2659.029</c:v>
                </c:pt>
                <c:pt idx="52">
                  <c:v>2575.9540000000002</c:v>
                </c:pt>
                <c:pt idx="53">
                  <c:v>2473.0079999999998</c:v>
                </c:pt>
                <c:pt idx="54">
                  <c:v>2420.9160000000002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F7-4777-BB6D-62ED6846223C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  <a:effectLst/>
          </c:spPr>
          <c:marker>
            <c:symbol val="none"/>
          </c:marker>
          <c:dLbls>
            <c:dLbl>
              <c:idx val="54"/>
              <c:layout>
                <c:manualLayout>
                  <c:x val="-3.4153005464480878E-2"/>
                  <c:y val="-6.99300699300699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F7-4777-BB6D-62ED6846223C}"/>
                </c:ext>
              </c:extLst>
            </c:dLbl>
            <c:dLbl>
              <c:idx val="57"/>
              <c:layout>
                <c:manualLayout>
                  <c:x val="0"/>
                  <c:y val="5.05050505050505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F7-4777-BB6D-62ED6846223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 4.7 - T 4.1 (set)'!$N$136:$N$193</c:f>
              <c:numCache>
                <c:formatCode>mmm\-yy</c:formatCode>
                <c:ptCount val="58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43556</c:v>
                </c:pt>
                <c:pt idx="14">
                  <c:v>43586</c:v>
                </c:pt>
                <c:pt idx="15">
                  <c:v>43617</c:v>
                </c:pt>
                <c:pt idx="16">
                  <c:v>43647</c:v>
                </c:pt>
                <c:pt idx="17">
                  <c:v>43678</c:v>
                </c:pt>
                <c:pt idx="18">
                  <c:v>43709</c:v>
                </c:pt>
                <c:pt idx="19">
                  <c:v>43739</c:v>
                </c:pt>
                <c:pt idx="20">
                  <c:v>43770</c:v>
                </c:pt>
                <c:pt idx="21">
                  <c:v>43800</c:v>
                </c:pt>
                <c:pt idx="22">
                  <c:v>43831</c:v>
                </c:pt>
                <c:pt idx="23">
                  <c:v>43862</c:v>
                </c:pt>
                <c:pt idx="24">
                  <c:v>43891</c:v>
                </c:pt>
                <c:pt idx="25">
                  <c:v>43922</c:v>
                </c:pt>
                <c:pt idx="26">
                  <c:v>43952</c:v>
                </c:pt>
                <c:pt idx="27">
                  <c:v>43983</c:v>
                </c:pt>
                <c:pt idx="28">
                  <c:v>44013</c:v>
                </c:pt>
                <c:pt idx="29">
                  <c:v>44044</c:v>
                </c:pt>
                <c:pt idx="30">
                  <c:v>44075</c:v>
                </c:pt>
                <c:pt idx="31">
                  <c:v>44105</c:v>
                </c:pt>
                <c:pt idx="32">
                  <c:v>44136</c:v>
                </c:pt>
                <c:pt idx="33">
                  <c:v>44166</c:v>
                </c:pt>
                <c:pt idx="34">
                  <c:v>44197</c:v>
                </c:pt>
                <c:pt idx="35">
                  <c:v>44228</c:v>
                </c:pt>
                <c:pt idx="36">
                  <c:v>44256</c:v>
                </c:pt>
                <c:pt idx="37">
                  <c:v>44287</c:v>
                </c:pt>
                <c:pt idx="38">
                  <c:v>44317</c:v>
                </c:pt>
                <c:pt idx="39">
                  <c:v>44348</c:v>
                </c:pt>
                <c:pt idx="40">
                  <c:v>44378</c:v>
                </c:pt>
                <c:pt idx="41">
                  <c:v>44409</c:v>
                </c:pt>
                <c:pt idx="42">
                  <c:v>44440</c:v>
                </c:pt>
                <c:pt idx="43">
                  <c:v>44470</c:v>
                </c:pt>
                <c:pt idx="44">
                  <c:v>44501</c:v>
                </c:pt>
                <c:pt idx="45">
                  <c:v>44531</c:v>
                </c:pt>
                <c:pt idx="46">
                  <c:v>44562</c:v>
                </c:pt>
                <c:pt idx="47">
                  <c:v>44593</c:v>
                </c:pt>
                <c:pt idx="48">
                  <c:v>44621</c:v>
                </c:pt>
                <c:pt idx="49">
                  <c:v>44652</c:v>
                </c:pt>
                <c:pt idx="50">
                  <c:v>44682</c:v>
                </c:pt>
                <c:pt idx="51">
                  <c:v>44713</c:v>
                </c:pt>
                <c:pt idx="52">
                  <c:v>44743</c:v>
                </c:pt>
                <c:pt idx="53">
                  <c:v>44774</c:v>
                </c:pt>
                <c:pt idx="54">
                  <c:v>44805</c:v>
                </c:pt>
                <c:pt idx="55">
                  <c:v>44835</c:v>
                </c:pt>
                <c:pt idx="56">
                  <c:v>44866</c:v>
                </c:pt>
                <c:pt idx="57">
                  <c:v>44896</c:v>
                </c:pt>
              </c:numCache>
            </c:numRef>
          </c:cat>
          <c:val>
            <c:numRef>
              <c:f>'G 4.7 - T 4.1 (set)'!$Q$136:$Q$193</c:f>
              <c:numCache>
                <c:formatCode>#,##0</c:formatCode>
                <c:ptCount val="58"/>
                <c:pt idx="54">
                  <c:v>2420.9160000000002</c:v>
                </c:pt>
                <c:pt idx="55">
                  <c:v>2357.9457499999999</c:v>
                </c:pt>
                <c:pt idx="56">
                  <c:v>2279.8602500000002</c:v>
                </c:pt>
                <c:pt idx="57">
                  <c:v>2207.1334999999999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F7-4777-BB6D-62ED68462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87712"/>
        <c:axId val="136530176"/>
      </c:lineChart>
      <c:dateAx>
        <c:axId val="137587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200" b="0"/>
            </a:pPr>
            <a:endParaRPr lang="pt-BR"/>
          </a:p>
        </c:txPr>
        <c:crossAx val="136530176"/>
        <c:crosses val="autoZero"/>
        <c:auto val="1"/>
        <c:lblOffset val="100"/>
        <c:baseTimeUnit val="months"/>
      </c:dateAx>
      <c:valAx>
        <c:axId val="136530176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200" b="0"/>
            </a:pPr>
            <a:endParaRPr lang="pt-BR"/>
          </a:p>
        </c:txPr>
        <c:crossAx val="13758771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4177680288535404E-2"/>
          <c:y val="3.8089449494294166E-2"/>
          <c:w val="0.86141177121159052"/>
          <c:h val="0.7094833218374320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65B638"/>
              </a:solidFill>
            </a:ln>
            <a:effectLst/>
          </c:spPr>
          <c:marker>
            <c:symbol val="none"/>
          </c:marker>
          <c:cat>
            <c:numRef>
              <c:f>'G 4.7 - T 4.1 (set)'!$A$134:$A$190</c:f>
              <c:numCache>
                <c:formatCode>mmm\-yy</c:formatCode>
                <c:ptCount val="5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</c:numCache>
            </c:numRef>
          </c:cat>
          <c:val>
            <c:numRef>
              <c:f>'G 4.7 - T 4.1 (set)'!$P$134:$P$190</c:f>
              <c:numCache>
                <c:formatCode>#,##0</c:formatCode>
                <c:ptCount val="57"/>
                <c:pt idx="0">
                  <c:v>110.178</c:v>
                </c:pt>
                <c:pt idx="1">
                  <c:v>137.58000000000001</c:v>
                </c:pt>
                <c:pt idx="2">
                  <c:v>270.29199999999997</c:v>
                </c:pt>
                <c:pt idx="3">
                  <c:v>327.37</c:v>
                </c:pt>
                <c:pt idx="4">
                  <c:v>325.58800000000002</c:v>
                </c:pt>
                <c:pt idx="5">
                  <c:v>317.13400000000001</c:v>
                </c:pt>
                <c:pt idx="6">
                  <c:v>324.49799999999999</c:v>
                </c:pt>
                <c:pt idx="7">
                  <c:v>398.8</c:v>
                </c:pt>
                <c:pt idx="8">
                  <c:v>500.52300000000002</c:v>
                </c:pt>
                <c:pt idx="9">
                  <c:v>480.20299999999997</c:v>
                </c:pt>
                <c:pt idx="10">
                  <c:v>548.17200000000003</c:v>
                </c:pt>
                <c:pt idx="11">
                  <c:v>546.44500000000005</c:v>
                </c:pt>
                <c:pt idx="12">
                  <c:v>500.04399999999998</c:v>
                </c:pt>
                <c:pt idx="13">
                  <c:v>615.51599999999996</c:v>
                </c:pt>
                <c:pt idx="14">
                  <c:v>501.786</c:v>
                </c:pt>
                <c:pt idx="15">
                  <c:v>506.71</c:v>
                </c:pt>
                <c:pt idx="16">
                  <c:v>504.322</c:v>
                </c:pt>
                <c:pt idx="17">
                  <c:v>555.45500000000004</c:v>
                </c:pt>
                <c:pt idx="18">
                  <c:v>548.93499999999995</c:v>
                </c:pt>
                <c:pt idx="19">
                  <c:v>553.02200000000005</c:v>
                </c:pt>
                <c:pt idx="20">
                  <c:v>564.04999999999995</c:v>
                </c:pt>
                <c:pt idx="21">
                  <c:v>571.60299999999995</c:v>
                </c:pt>
                <c:pt idx="22">
                  <c:v>609.03200000000004</c:v>
                </c:pt>
                <c:pt idx="23">
                  <c:v>644.07899999999995</c:v>
                </c:pt>
                <c:pt idx="24">
                  <c:v>711.45100000000002</c:v>
                </c:pt>
                <c:pt idx="25">
                  <c:v>736.22799999999995</c:v>
                </c:pt>
                <c:pt idx="26">
                  <c:v>479.81</c:v>
                </c:pt>
                <c:pt idx="27">
                  <c:v>-638.26800000000003</c:v>
                </c:pt>
                <c:pt idx="28">
                  <c:v>-1077.384</c:v>
                </c:pt>
                <c:pt idx="29">
                  <c:v>-1190.5070000000001</c:v>
                </c:pt>
                <c:pt idx="30">
                  <c:v>-1133.742</c:v>
                </c:pt>
                <c:pt idx="31">
                  <c:v>-1047.182</c:v>
                </c:pt>
                <c:pt idx="32">
                  <c:v>-909.75599999999997</c:v>
                </c:pt>
                <c:pt idx="33">
                  <c:v>-618.01099999999997</c:v>
                </c:pt>
                <c:pt idx="34">
                  <c:v>-342.43599999999998</c:v>
                </c:pt>
                <c:pt idx="35">
                  <c:v>-192.58</c:v>
                </c:pt>
                <c:pt idx="36">
                  <c:v>-50.359000000000002</c:v>
                </c:pt>
                <c:pt idx="37">
                  <c:v>130.02500000000001</c:v>
                </c:pt>
                <c:pt idx="38">
                  <c:v>578.53499999999997</c:v>
                </c:pt>
                <c:pt idx="39">
                  <c:v>1649.808</c:v>
                </c:pt>
                <c:pt idx="40">
                  <c:v>2314.616</c:v>
                </c:pt>
                <c:pt idx="41">
                  <c:v>2686.0709999999999</c:v>
                </c:pt>
                <c:pt idx="42">
                  <c:v>2884.1219999999998</c:v>
                </c:pt>
                <c:pt idx="43">
                  <c:v>3057.991</c:v>
                </c:pt>
                <c:pt idx="44">
                  <c:v>3088.7080000000001</c:v>
                </c:pt>
                <c:pt idx="45">
                  <c:v>2974.6860000000001</c:v>
                </c:pt>
                <c:pt idx="46">
                  <c:v>2910.8560000000002</c:v>
                </c:pt>
                <c:pt idx="47">
                  <c:v>2777.404</c:v>
                </c:pt>
                <c:pt idx="48">
                  <c:v>2682.393</c:v>
                </c:pt>
                <c:pt idx="49">
                  <c:v>2629.3229999999999</c:v>
                </c:pt>
                <c:pt idx="50">
                  <c:v>2571.2710000000002</c:v>
                </c:pt>
                <c:pt idx="51">
                  <c:v>2682.895</c:v>
                </c:pt>
                <c:pt idx="52">
                  <c:v>2694.3780000000002</c:v>
                </c:pt>
                <c:pt idx="53">
                  <c:v>2659.029</c:v>
                </c:pt>
                <c:pt idx="54">
                  <c:v>2575.9540000000002</c:v>
                </c:pt>
                <c:pt idx="55">
                  <c:v>2473.0079999999998</c:v>
                </c:pt>
                <c:pt idx="56">
                  <c:v>2420.9160000000002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0-4C95-A834-88D8308F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70688"/>
        <c:axId val="310494176"/>
      </c:lineChart>
      <c:dateAx>
        <c:axId val="43037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310494176"/>
        <c:crosses val="autoZero"/>
        <c:auto val="1"/>
        <c:lblOffset val="100"/>
        <c:baseTimeUnit val="months"/>
      </c:dateAx>
      <c:valAx>
        <c:axId val="3104941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30370688"/>
        <c:crosses val="autoZero"/>
        <c:crossBetween val="between"/>
        <c:dispUnits>
          <c:builtInUnit val="thousands"/>
        </c:dispUnits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pt-BR"/>
              <a:t>Geração de empregos RS - Aum. 12 meses (mil)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944652410252"/>
          <c:y val="0.11669919465195056"/>
          <c:w val="0.83866819413966676"/>
          <c:h val="0.68480214011710072"/>
        </c:manualLayout>
      </c:layout>
      <c:lineChart>
        <c:grouping val="standard"/>
        <c:varyColors val="0"/>
        <c:ser>
          <c:idx val="0"/>
          <c:order val="0"/>
          <c:spPr>
            <a:ln w="28575">
              <a:solidFill>
                <a:schemeClr val="accent1"/>
              </a:solidFill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376-413A-880D-839AC0AB2DF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0376-413A-880D-839AC0AB2DF5}"/>
              </c:ext>
            </c:extLst>
          </c:dPt>
          <c:cat>
            <c:numRef>
              <c:f>'T 4.2 (set)'!$O$136:$O$193</c:f>
              <c:numCache>
                <c:formatCode>mmm\-yy</c:formatCode>
                <c:ptCount val="58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43556</c:v>
                </c:pt>
                <c:pt idx="14">
                  <c:v>43586</c:v>
                </c:pt>
                <c:pt idx="15">
                  <c:v>43617</c:v>
                </c:pt>
                <c:pt idx="16">
                  <c:v>43647</c:v>
                </c:pt>
                <c:pt idx="17">
                  <c:v>43678</c:v>
                </c:pt>
                <c:pt idx="18">
                  <c:v>43709</c:v>
                </c:pt>
                <c:pt idx="19">
                  <c:v>43739</c:v>
                </c:pt>
                <c:pt idx="20">
                  <c:v>43770</c:v>
                </c:pt>
                <c:pt idx="21">
                  <c:v>43800</c:v>
                </c:pt>
                <c:pt idx="22">
                  <c:v>43831</c:v>
                </c:pt>
                <c:pt idx="23">
                  <c:v>43862</c:v>
                </c:pt>
                <c:pt idx="24">
                  <c:v>43891</c:v>
                </c:pt>
                <c:pt idx="25">
                  <c:v>43922</c:v>
                </c:pt>
                <c:pt idx="26">
                  <c:v>43952</c:v>
                </c:pt>
                <c:pt idx="27">
                  <c:v>43983</c:v>
                </c:pt>
                <c:pt idx="28">
                  <c:v>44013</c:v>
                </c:pt>
                <c:pt idx="29">
                  <c:v>44044</c:v>
                </c:pt>
                <c:pt idx="30">
                  <c:v>44075</c:v>
                </c:pt>
                <c:pt idx="31">
                  <c:v>44105</c:v>
                </c:pt>
                <c:pt idx="32">
                  <c:v>44136</c:v>
                </c:pt>
                <c:pt idx="33">
                  <c:v>44166</c:v>
                </c:pt>
                <c:pt idx="34">
                  <c:v>44197</c:v>
                </c:pt>
                <c:pt idx="35">
                  <c:v>44228</c:v>
                </c:pt>
                <c:pt idx="36">
                  <c:v>44256</c:v>
                </c:pt>
                <c:pt idx="37">
                  <c:v>44287</c:v>
                </c:pt>
                <c:pt idx="38">
                  <c:v>44317</c:v>
                </c:pt>
                <c:pt idx="39">
                  <c:v>44348</c:v>
                </c:pt>
                <c:pt idx="40">
                  <c:v>44378</c:v>
                </c:pt>
                <c:pt idx="41">
                  <c:v>44409</c:v>
                </c:pt>
                <c:pt idx="42">
                  <c:v>44440</c:v>
                </c:pt>
                <c:pt idx="43">
                  <c:v>44470</c:v>
                </c:pt>
                <c:pt idx="44">
                  <c:v>44501</c:v>
                </c:pt>
                <c:pt idx="45">
                  <c:v>44531</c:v>
                </c:pt>
                <c:pt idx="46">
                  <c:v>44562</c:v>
                </c:pt>
                <c:pt idx="47">
                  <c:v>44593</c:v>
                </c:pt>
                <c:pt idx="48">
                  <c:v>44621</c:v>
                </c:pt>
                <c:pt idx="49">
                  <c:v>44652</c:v>
                </c:pt>
                <c:pt idx="50">
                  <c:v>44682</c:v>
                </c:pt>
                <c:pt idx="51">
                  <c:v>44713</c:v>
                </c:pt>
                <c:pt idx="52">
                  <c:v>44743</c:v>
                </c:pt>
                <c:pt idx="53">
                  <c:v>44774</c:v>
                </c:pt>
                <c:pt idx="54">
                  <c:v>44805</c:v>
                </c:pt>
                <c:pt idx="55">
                  <c:v>44835</c:v>
                </c:pt>
                <c:pt idx="56">
                  <c:v>44866</c:v>
                </c:pt>
                <c:pt idx="57">
                  <c:v>44896</c:v>
                </c:pt>
              </c:numCache>
            </c:numRef>
          </c:cat>
          <c:val>
            <c:numRef>
              <c:f>'T 4.2 (set)'!$Q$136:$Q$193</c:f>
              <c:numCache>
                <c:formatCode>#,##0</c:formatCode>
                <c:ptCount val="58"/>
                <c:pt idx="0">
                  <c:v>11.079000000000001</c:v>
                </c:pt>
                <c:pt idx="1">
                  <c:v>13.198</c:v>
                </c:pt>
                <c:pt idx="2">
                  <c:v>15.097</c:v>
                </c:pt>
                <c:pt idx="3">
                  <c:v>17.881</c:v>
                </c:pt>
                <c:pt idx="4">
                  <c:v>16.507000000000001</c:v>
                </c:pt>
                <c:pt idx="5">
                  <c:v>14.272</c:v>
                </c:pt>
                <c:pt idx="6">
                  <c:v>15.923</c:v>
                </c:pt>
                <c:pt idx="7">
                  <c:v>16.847000000000001</c:v>
                </c:pt>
                <c:pt idx="8">
                  <c:v>18.13</c:v>
                </c:pt>
                <c:pt idx="9">
                  <c:v>20.510999999999999</c:v>
                </c:pt>
                <c:pt idx="10">
                  <c:v>15.481999999999999</c:v>
                </c:pt>
                <c:pt idx="11">
                  <c:v>25.544</c:v>
                </c:pt>
                <c:pt idx="12">
                  <c:v>15.436</c:v>
                </c:pt>
                <c:pt idx="13">
                  <c:v>13.718</c:v>
                </c:pt>
                <c:pt idx="14">
                  <c:v>12.909000000000001</c:v>
                </c:pt>
                <c:pt idx="15">
                  <c:v>15.59</c:v>
                </c:pt>
                <c:pt idx="16">
                  <c:v>14.173999999999999</c:v>
                </c:pt>
                <c:pt idx="17">
                  <c:v>15.917999999999999</c:v>
                </c:pt>
                <c:pt idx="18">
                  <c:v>15.734</c:v>
                </c:pt>
                <c:pt idx="19">
                  <c:v>14.638</c:v>
                </c:pt>
                <c:pt idx="20">
                  <c:v>16.565000000000001</c:v>
                </c:pt>
                <c:pt idx="21">
                  <c:v>20.425999999999998</c:v>
                </c:pt>
                <c:pt idx="22">
                  <c:v>20.114000000000001</c:v>
                </c:pt>
                <c:pt idx="23">
                  <c:v>19.038</c:v>
                </c:pt>
                <c:pt idx="24">
                  <c:v>-0.19800000000000001</c:v>
                </c:pt>
                <c:pt idx="25">
                  <c:v>-79.986000000000004</c:v>
                </c:pt>
                <c:pt idx="26">
                  <c:v>-106.023</c:v>
                </c:pt>
                <c:pt idx="27">
                  <c:v>-110.89400000000001</c:v>
                </c:pt>
                <c:pt idx="28">
                  <c:v>-107.374</c:v>
                </c:pt>
                <c:pt idx="29">
                  <c:v>-100.43</c:v>
                </c:pt>
                <c:pt idx="30">
                  <c:v>-87.525999999999996</c:v>
                </c:pt>
                <c:pt idx="31">
                  <c:v>-71.474000000000004</c:v>
                </c:pt>
                <c:pt idx="32">
                  <c:v>-56.503999999999998</c:v>
                </c:pt>
                <c:pt idx="33">
                  <c:v>-42.552999999999997</c:v>
                </c:pt>
                <c:pt idx="34">
                  <c:v>-29.187999999999999</c:v>
                </c:pt>
                <c:pt idx="35">
                  <c:v>-24.433</c:v>
                </c:pt>
                <c:pt idx="36">
                  <c:v>5.6420000000000003</c:v>
                </c:pt>
                <c:pt idx="37">
                  <c:v>85.733999999999995</c:v>
                </c:pt>
                <c:pt idx="38">
                  <c:v>129.494</c:v>
                </c:pt>
                <c:pt idx="39">
                  <c:v>149.60900000000001</c:v>
                </c:pt>
                <c:pt idx="40">
                  <c:v>163.57</c:v>
                </c:pt>
                <c:pt idx="41">
                  <c:v>170.626</c:v>
                </c:pt>
                <c:pt idx="42">
                  <c:v>170.39699999999999</c:v>
                </c:pt>
                <c:pt idx="43">
                  <c:v>164.96700000000001</c:v>
                </c:pt>
                <c:pt idx="44">
                  <c:v>155.36000000000001</c:v>
                </c:pt>
                <c:pt idx="45">
                  <c:v>140.934</c:v>
                </c:pt>
                <c:pt idx="46">
                  <c:v>131.71</c:v>
                </c:pt>
                <c:pt idx="47">
                  <c:v>130.72800000000001</c:v>
                </c:pt>
                <c:pt idx="48">
                  <c:v>127.616</c:v>
                </c:pt>
                <c:pt idx="49">
                  <c:v>138.91200000000001</c:v>
                </c:pt>
                <c:pt idx="50">
                  <c:v>136.267</c:v>
                </c:pt>
                <c:pt idx="51">
                  <c:v>132.77799999999999</c:v>
                </c:pt>
                <c:pt idx="52">
                  <c:v>126.637</c:v>
                </c:pt>
                <c:pt idx="53">
                  <c:v>124.312</c:v>
                </c:pt>
                <c:pt idx="54">
                  <c:v>120.43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76-413A-880D-839AC0AB2DF5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  <a:effectLst/>
          </c:spPr>
          <c:marker>
            <c:symbol val="none"/>
          </c:marker>
          <c:dLbls>
            <c:dLbl>
              <c:idx val="54"/>
              <c:layout>
                <c:manualLayout>
                  <c:x val="-3.4153005464480878E-2"/>
                  <c:y val="-6.99300699300699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76-413A-880D-839AC0AB2DF5}"/>
                </c:ext>
              </c:extLst>
            </c:dLbl>
            <c:dLbl>
              <c:idx val="57"/>
              <c:layout>
                <c:manualLayout>
                  <c:x val="0"/>
                  <c:y val="5.05050505050505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76-413A-880D-839AC0AB2DF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 4.2 (set)'!$O$136:$O$193</c:f>
              <c:numCache>
                <c:formatCode>mmm\-yy</c:formatCode>
                <c:ptCount val="58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43556</c:v>
                </c:pt>
                <c:pt idx="14">
                  <c:v>43586</c:v>
                </c:pt>
                <c:pt idx="15">
                  <c:v>43617</c:v>
                </c:pt>
                <c:pt idx="16">
                  <c:v>43647</c:v>
                </c:pt>
                <c:pt idx="17">
                  <c:v>43678</c:v>
                </c:pt>
                <c:pt idx="18">
                  <c:v>43709</c:v>
                </c:pt>
                <c:pt idx="19">
                  <c:v>43739</c:v>
                </c:pt>
                <c:pt idx="20">
                  <c:v>43770</c:v>
                </c:pt>
                <c:pt idx="21">
                  <c:v>43800</c:v>
                </c:pt>
                <c:pt idx="22">
                  <c:v>43831</c:v>
                </c:pt>
                <c:pt idx="23">
                  <c:v>43862</c:v>
                </c:pt>
                <c:pt idx="24">
                  <c:v>43891</c:v>
                </c:pt>
                <c:pt idx="25">
                  <c:v>43922</c:v>
                </c:pt>
                <c:pt idx="26">
                  <c:v>43952</c:v>
                </c:pt>
                <c:pt idx="27">
                  <c:v>43983</c:v>
                </c:pt>
                <c:pt idx="28">
                  <c:v>44013</c:v>
                </c:pt>
                <c:pt idx="29">
                  <c:v>44044</c:v>
                </c:pt>
                <c:pt idx="30">
                  <c:v>44075</c:v>
                </c:pt>
                <c:pt idx="31">
                  <c:v>44105</c:v>
                </c:pt>
                <c:pt idx="32">
                  <c:v>44136</c:v>
                </c:pt>
                <c:pt idx="33">
                  <c:v>44166</c:v>
                </c:pt>
                <c:pt idx="34">
                  <c:v>44197</c:v>
                </c:pt>
                <c:pt idx="35">
                  <c:v>44228</c:v>
                </c:pt>
                <c:pt idx="36">
                  <c:v>44256</c:v>
                </c:pt>
                <c:pt idx="37">
                  <c:v>44287</c:v>
                </c:pt>
                <c:pt idx="38">
                  <c:v>44317</c:v>
                </c:pt>
                <c:pt idx="39">
                  <c:v>44348</c:v>
                </c:pt>
                <c:pt idx="40">
                  <c:v>44378</c:v>
                </c:pt>
                <c:pt idx="41">
                  <c:v>44409</c:v>
                </c:pt>
                <c:pt idx="42">
                  <c:v>44440</c:v>
                </c:pt>
                <c:pt idx="43">
                  <c:v>44470</c:v>
                </c:pt>
                <c:pt idx="44">
                  <c:v>44501</c:v>
                </c:pt>
                <c:pt idx="45">
                  <c:v>44531</c:v>
                </c:pt>
                <c:pt idx="46">
                  <c:v>44562</c:v>
                </c:pt>
                <c:pt idx="47">
                  <c:v>44593</c:v>
                </c:pt>
                <c:pt idx="48">
                  <c:v>44621</c:v>
                </c:pt>
                <c:pt idx="49">
                  <c:v>44652</c:v>
                </c:pt>
                <c:pt idx="50">
                  <c:v>44682</c:v>
                </c:pt>
                <c:pt idx="51">
                  <c:v>44713</c:v>
                </c:pt>
                <c:pt idx="52">
                  <c:v>44743</c:v>
                </c:pt>
                <c:pt idx="53">
                  <c:v>44774</c:v>
                </c:pt>
                <c:pt idx="54">
                  <c:v>44805</c:v>
                </c:pt>
                <c:pt idx="55">
                  <c:v>44835</c:v>
                </c:pt>
                <c:pt idx="56">
                  <c:v>44866</c:v>
                </c:pt>
                <c:pt idx="57">
                  <c:v>44896</c:v>
                </c:pt>
              </c:numCache>
            </c:numRef>
          </c:cat>
          <c:val>
            <c:numRef>
              <c:f>'T 4.2 (set)'!$R$136:$R$193</c:f>
              <c:numCache>
                <c:formatCode>#,##0</c:formatCode>
                <c:ptCount val="58"/>
                <c:pt idx="54">
                  <c:v>120.43</c:v>
                </c:pt>
                <c:pt idx="55">
                  <c:v>115.64675</c:v>
                </c:pt>
                <c:pt idx="56">
                  <c:v>111.16200000000001</c:v>
                </c:pt>
                <c:pt idx="57">
                  <c:v>106.37125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6-413A-880D-839AC0AB2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87712"/>
        <c:axId val="136530176"/>
      </c:lineChart>
      <c:dateAx>
        <c:axId val="137587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200" b="0"/>
            </a:pPr>
            <a:endParaRPr lang="pt-BR"/>
          </a:p>
        </c:txPr>
        <c:crossAx val="136530176"/>
        <c:crosses val="autoZero"/>
        <c:auto val="1"/>
        <c:lblOffset val="100"/>
        <c:baseTimeUnit val="months"/>
      </c:dateAx>
      <c:valAx>
        <c:axId val="136530176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200" b="0"/>
            </a:pPr>
            <a:endParaRPr lang="pt-BR"/>
          </a:p>
        </c:txPr>
        <c:crossAx val="13758771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ysClr val="window" lastClr="FFFFFF"/>
    </a:solidFill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58824950614152"/>
          <c:y val="3.8089449494294166E-2"/>
          <c:w val="0.84970680033748325"/>
          <c:h val="0.7094833218374320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rgbClr val="65B638"/>
              </a:solidFill>
            </a:ln>
            <a:effectLst/>
          </c:spPr>
          <c:marker>
            <c:symbol val="none"/>
          </c:marker>
          <c:cat>
            <c:numRef>
              <c:f>'T 4.2 (set)'!$A$134:$A$190</c:f>
              <c:numCache>
                <c:formatCode>mmm\-yy</c:formatCode>
                <c:ptCount val="5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</c:numCache>
            </c:numRef>
          </c:cat>
          <c:val>
            <c:numRef>
              <c:f>'T 4.2 (set)'!$P$134:$P$190</c:f>
              <c:numCache>
                <c:formatCode>#,##0</c:formatCode>
                <c:ptCount val="57"/>
                <c:pt idx="0">
                  <c:v>1480</c:v>
                </c:pt>
                <c:pt idx="1">
                  <c:v>3563</c:v>
                </c:pt>
                <c:pt idx="2">
                  <c:v>11079</c:v>
                </c:pt>
                <c:pt idx="3">
                  <c:v>13198</c:v>
                </c:pt>
                <c:pt idx="4">
                  <c:v>15097</c:v>
                </c:pt>
                <c:pt idx="5">
                  <c:v>17881</c:v>
                </c:pt>
                <c:pt idx="6">
                  <c:v>16507</c:v>
                </c:pt>
                <c:pt idx="7">
                  <c:v>14272</c:v>
                </c:pt>
                <c:pt idx="8">
                  <c:v>15923</c:v>
                </c:pt>
                <c:pt idx="9">
                  <c:v>16847</c:v>
                </c:pt>
                <c:pt idx="10">
                  <c:v>18130</c:v>
                </c:pt>
                <c:pt idx="11">
                  <c:v>20511</c:v>
                </c:pt>
                <c:pt idx="12">
                  <c:v>15482</c:v>
                </c:pt>
                <c:pt idx="13">
                  <c:v>25544</c:v>
                </c:pt>
                <c:pt idx="14">
                  <c:v>15436</c:v>
                </c:pt>
                <c:pt idx="15">
                  <c:v>13718</c:v>
                </c:pt>
                <c:pt idx="16">
                  <c:v>12909</c:v>
                </c:pt>
                <c:pt idx="17">
                  <c:v>15590</c:v>
                </c:pt>
                <c:pt idx="18">
                  <c:v>14174</c:v>
                </c:pt>
                <c:pt idx="19">
                  <c:v>15918</c:v>
                </c:pt>
                <c:pt idx="20">
                  <c:v>15734</c:v>
                </c:pt>
                <c:pt idx="21">
                  <c:v>14638</c:v>
                </c:pt>
                <c:pt idx="22">
                  <c:v>16565</c:v>
                </c:pt>
                <c:pt idx="23">
                  <c:v>20426</c:v>
                </c:pt>
                <c:pt idx="24">
                  <c:v>20114</c:v>
                </c:pt>
                <c:pt idx="25">
                  <c:v>19038</c:v>
                </c:pt>
                <c:pt idx="26">
                  <c:v>-198</c:v>
                </c:pt>
                <c:pt idx="27">
                  <c:v>-79986</c:v>
                </c:pt>
                <c:pt idx="28">
                  <c:v>-106023</c:v>
                </c:pt>
                <c:pt idx="29">
                  <c:v>-110894</c:v>
                </c:pt>
                <c:pt idx="30">
                  <c:v>-107374</c:v>
                </c:pt>
                <c:pt idx="31">
                  <c:v>-100430</c:v>
                </c:pt>
                <c:pt idx="32">
                  <c:v>-87526</c:v>
                </c:pt>
                <c:pt idx="33">
                  <c:v>-71474</c:v>
                </c:pt>
                <c:pt idx="34">
                  <c:v>-56504</c:v>
                </c:pt>
                <c:pt idx="35">
                  <c:v>-42553</c:v>
                </c:pt>
                <c:pt idx="36">
                  <c:v>-29188</c:v>
                </c:pt>
                <c:pt idx="37">
                  <c:v>-24433</c:v>
                </c:pt>
                <c:pt idx="38">
                  <c:v>5642</c:v>
                </c:pt>
                <c:pt idx="39">
                  <c:v>85734</c:v>
                </c:pt>
                <c:pt idx="40">
                  <c:v>129494</c:v>
                </c:pt>
                <c:pt idx="41">
                  <c:v>149609</c:v>
                </c:pt>
                <c:pt idx="42">
                  <c:v>163570</c:v>
                </c:pt>
                <c:pt idx="43">
                  <c:v>170626</c:v>
                </c:pt>
                <c:pt idx="44">
                  <c:v>170397</c:v>
                </c:pt>
                <c:pt idx="45">
                  <c:v>164967</c:v>
                </c:pt>
                <c:pt idx="46">
                  <c:v>155360</c:v>
                </c:pt>
                <c:pt idx="47">
                  <c:v>140934</c:v>
                </c:pt>
                <c:pt idx="48">
                  <c:v>131710</c:v>
                </c:pt>
                <c:pt idx="49">
                  <c:v>130728</c:v>
                </c:pt>
                <c:pt idx="50">
                  <c:v>127616</c:v>
                </c:pt>
                <c:pt idx="51">
                  <c:v>138912</c:v>
                </c:pt>
                <c:pt idx="52">
                  <c:v>136267</c:v>
                </c:pt>
                <c:pt idx="53">
                  <c:v>132778</c:v>
                </c:pt>
                <c:pt idx="54">
                  <c:v>126637</c:v>
                </c:pt>
                <c:pt idx="55">
                  <c:v>124312</c:v>
                </c:pt>
                <c:pt idx="56">
                  <c:v>120430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5-418B-8AAF-897AC9B7D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70688"/>
        <c:axId val="310494176"/>
      </c:lineChart>
      <c:dateAx>
        <c:axId val="43037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txPr>
          <a:bodyPr/>
          <a:lstStyle/>
          <a:p>
            <a:pPr>
              <a:defRPr sz="1000" b="0"/>
            </a:pPr>
            <a:endParaRPr lang="pt-BR"/>
          </a:p>
        </c:txPr>
        <c:crossAx val="310494176"/>
        <c:crosses val="autoZero"/>
        <c:auto val="1"/>
        <c:lblOffset val="100"/>
        <c:baseTimeUnit val="months"/>
      </c:dateAx>
      <c:valAx>
        <c:axId val="3104941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="0"/>
            </a:pPr>
            <a:endParaRPr lang="pt-BR"/>
          </a:p>
        </c:txPr>
        <c:crossAx val="430370688"/>
        <c:crosses val="autoZero"/>
        <c:crossBetween val="between"/>
        <c:dispUnits>
          <c:builtInUnit val="thousands"/>
        </c:dispUnits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240030</xdr:colOff>
      <xdr:row>161</xdr:row>
      <xdr:rowOff>130810</xdr:rowOff>
    </xdr:from>
    <xdr:to>
      <xdr:col>7</xdr:col>
      <xdr:colOff>217155</xdr:colOff>
      <xdr:row>173</xdr:row>
      <xdr:rowOff>130810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0C5494-EBFA-45A7-AC09-114BB2F13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145</xdr:row>
      <xdr:rowOff>138430</xdr:rowOff>
    </xdr:from>
    <xdr:to>
      <xdr:col>7</xdr:col>
      <xdr:colOff>229020</xdr:colOff>
      <xdr:row>158</xdr:row>
      <xdr:rowOff>45200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88773E-26A5-44C3-B143-B49D0ECF667D}"/>
            </a:ext>
            <a:ext uri="{147F2762-F138-4A5C-976F-8EAC2B608ADB}">
              <a16:predDERef xmlns:a16="http://schemas.microsoft.com/office/drawing/2014/main" pred="{130C5494-EBFA-45A7-AC09-114BB2F13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466090</xdr:colOff>
      <xdr:row>161</xdr:row>
      <xdr:rowOff>110490</xdr:rowOff>
    </xdr:from>
    <xdr:to>
      <xdr:col>14</xdr:col>
      <xdr:colOff>587995</xdr:colOff>
      <xdr:row>173</xdr:row>
      <xdr:rowOff>110490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75157D0-A497-478B-8F81-6524227D6DCC}"/>
            </a:ext>
            <a:ext uri="{147F2762-F138-4A5C-976F-8EAC2B608ADB}">
              <a16:predDERef xmlns:a16="http://schemas.microsoft.com/office/drawing/2014/main" pred="{3E88773E-26A5-44C3-B143-B49D0ECF6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317500</xdr:colOff>
      <xdr:row>145</xdr:row>
      <xdr:rowOff>143510</xdr:rowOff>
    </xdr:from>
    <xdr:to>
      <xdr:col>14</xdr:col>
      <xdr:colOff>462700</xdr:colOff>
      <xdr:row>158</xdr:row>
      <xdr:rowOff>50280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FE8EAA2-5EF8-40E6-92E7-03CC78654788}"/>
            </a:ext>
            <a:ext uri="{147F2762-F138-4A5C-976F-8EAC2B608ADB}">
              <a16:predDERef xmlns:a16="http://schemas.microsoft.com/office/drawing/2014/main" pred="{575157D0-A497-478B-8F81-6524227D6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621489</xdr:colOff>
      <xdr:row>51</xdr:row>
      <xdr:rowOff>141862</xdr:rowOff>
    </xdr:from>
    <xdr:to>
      <xdr:col>123</xdr:col>
      <xdr:colOff>65649</xdr:colOff>
      <xdr:row>63</xdr:row>
      <xdr:rowOff>45578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F06ED6-3A25-4D68-BC8F-EA2549702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123</xdr:col>
      <xdr:colOff>472873</xdr:colOff>
      <xdr:row>52</xdr:row>
      <xdr:rowOff>40532</xdr:rowOff>
    </xdr:from>
    <xdr:to>
      <xdr:col>128</xdr:col>
      <xdr:colOff>543266</xdr:colOff>
      <xdr:row>63</xdr:row>
      <xdr:rowOff>125622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31A235-2FEF-427F-8102-835634540E8C}"/>
            </a:ext>
            <a:ext uri="{147F2762-F138-4A5C-976F-8EAC2B608ADB}">
              <a16:predDERef xmlns:a16="http://schemas.microsoft.com/office/drawing/2014/main" pred="{6AF06ED6-3A25-4D68-BC8F-EA2549702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414336</xdr:colOff>
      <xdr:row>176</xdr:row>
      <xdr:rowOff>9526</xdr:rowOff>
    </xdr:from>
    <xdr:to>
      <xdr:col>10</xdr:col>
      <xdr:colOff>66675</xdr:colOff>
      <xdr:row>190</xdr:row>
      <xdr:rowOff>142876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76ADD2-2C97-4692-BE73-1FC382E16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161395</xdr:colOff>
      <xdr:row>196</xdr:row>
      <xdr:rowOff>89957</xdr:rowOff>
    </xdr:from>
    <xdr:to>
      <xdr:col>15</xdr:col>
      <xdr:colOff>404812</xdr:colOff>
      <xdr:row>212</xdr:row>
      <xdr:rowOff>107156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890051-749B-4D76-ACBA-FDF49F8AA9F0}"/>
            </a:ext>
            <a:ext uri="{147F2762-F138-4A5C-976F-8EAC2B608ADB}">
              <a16:predDERef xmlns:a16="http://schemas.microsoft.com/office/drawing/2014/main" pred="{F276ADD2-2C97-4692-BE73-1FC382E16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966789</xdr:colOff>
      <xdr:row>175</xdr:row>
      <xdr:rowOff>72232</xdr:rowOff>
    </xdr:from>
    <xdr:to>
      <xdr:col>18</xdr:col>
      <xdr:colOff>179389</xdr:colOff>
      <xdr:row>192</xdr:row>
      <xdr:rowOff>8732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9807E1-5591-4FC5-BE96-CEB7D261D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240030</xdr:colOff>
      <xdr:row>204</xdr:row>
      <xdr:rowOff>130810</xdr:rowOff>
    </xdr:from>
    <xdr:to>
      <xdr:col>7</xdr:col>
      <xdr:colOff>217155</xdr:colOff>
      <xdr:row>216</xdr:row>
      <xdr:rowOff>130810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D7160F-8699-449E-982A-AEF5E0551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190</xdr:row>
      <xdr:rowOff>62230</xdr:rowOff>
    </xdr:from>
    <xdr:to>
      <xdr:col>7</xdr:col>
      <xdr:colOff>19470</xdr:colOff>
      <xdr:row>202</xdr:row>
      <xdr:rowOff>130925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AA0D1A-3F35-4A4C-98A5-9E7B0FD3BA12}"/>
            </a:ext>
            <a:ext uri="{147F2762-F138-4A5C-976F-8EAC2B608ADB}">
              <a16:predDERef xmlns:a16="http://schemas.microsoft.com/office/drawing/2014/main" pred="{90D7160F-8699-449E-982A-AEF5E0551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466090</xdr:colOff>
      <xdr:row>206</xdr:row>
      <xdr:rowOff>110490</xdr:rowOff>
    </xdr:from>
    <xdr:to>
      <xdr:col>14</xdr:col>
      <xdr:colOff>587995</xdr:colOff>
      <xdr:row>218</xdr:row>
      <xdr:rowOff>110490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7C60D3-0902-402A-A395-E2BC3C356AD3}"/>
            </a:ext>
            <a:ext uri="{147F2762-F138-4A5C-976F-8EAC2B608ADB}">
              <a16:predDERef xmlns:a16="http://schemas.microsoft.com/office/drawing/2014/main" pred="{AEAA0D1A-3F35-4A4C-98A5-9E7B0FD3B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271064</xdr:colOff>
      <xdr:row>190</xdr:row>
      <xdr:rowOff>57784</xdr:rowOff>
    </xdr:from>
    <xdr:to>
      <xdr:col>16</xdr:col>
      <xdr:colOff>337739</xdr:colOff>
      <xdr:row>207</xdr:row>
      <xdr:rowOff>48259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4C76AB-2A69-4434-955A-7631EAB6732A}"/>
            </a:ext>
            <a:ext uri="{147F2762-F138-4A5C-976F-8EAC2B608ADB}">
              <a16:predDERef xmlns:a16="http://schemas.microsoft.com/office/drawing/2014/main" pred="{1A7C60D3-0902-402A-A395-E2BC3C356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506648</xdr:colOff>
      <xdr:row>51</xdr:row>
      <xdr:rowOff>172262</xdr:rowOff>
    </xdr:from>
    <xdr:to>
      <xdr:col>121</xdr:col>
      <xdr:colOff>587713</xdr:colOff>
      <xdr:row>62</xdr:row>
      <xdr:rowOff>40532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97D5F3-E8D3-496F-B948-C4EE2D0B3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123</xdr:col>
      <xdr:colOff>476250</xdr:colOff>
      <xdr:row>53</xdr:row>
      <xdr:rowOff>38100</xdr:rowOff>
    </xdr:from>
    <xdr:to>
      <xdr:col>129</xdr:col>
      <xdr:colOff>457200</xdr:colOff>
      <xdr:row>66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A11F05-D32C-4122-A589-31A4CE83BA3E}"/>
            </a:ext>
            <a:ext uri="{147F2762-F138-4A5C-976F-8EAC2B608ADB}">
              <a16:predDERef xmlns:a16="http://schemas.microsoft.com/office/drawing/2014/main" pred="{2197D5F3-E8D3-496F-B948-C4EE2D0B3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24</xdr:row>
      <xdr:rowOff>152400</xdr:rowOff>
    </xdr:from>
    <xdr:to>
      <xdr:col>22</xdr:col>
      <xdr:colOff>285749</xdr:colOff>
      <xdr:row>55</xdr:row>
      <xdr:rowOff>152400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56778395-CCBB-F6BA-BDAC-4EDD3AF5A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288290</xdr:colOff>
      <xdr:row>170</xdr:row>
      <xdr:rowOff>131445</xdr:rowOff>
    </xdr:from>
    <xdr:to>
      <xdr:col>20</xdr:col>
      <xdr:colOff>163195</xdr:colOff>
      <xdr:row>193</xdr:row>
      <xdr:rowOff>128905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CC5450-AACA-4E2B-A297-7051710FE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108992</xdr:colOff>
      <xdr:row>170</xdr:row>
      <xdr:rowOff>63500</xdr:rowOff>
    </xdr:from>
    <xdr:to>
      <xdr:col>31</xdr:col>
      <xdr:colOff>72390</xdr:colOff>
      <xdr:row>189</xdr:row>
      <xdr:rowOff>106045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13447B-A439-4B1D-B69A-966FCA747AA5}"/>
            </a:ext>
            <a:ext uri="{147F2762-F138-4A5C-976F-8EAC2B608ADB}">
              <a16:predDERef xmlns:a16="http://schemas.microsoft.com/office/drawing/2014/main" pred="{DDCC5450-AACA-4E2B-A297-7051710FE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155</xdr:row>
      <xdr:rowOff>0</xdr:rowOff>
    </xdr:from>
    <xdr:to>
      <xdr:col>16</xdr:col>
      <xdr:colOff>98400</xdr:colOff>
      <xdr:row>169</xdr:row>
      <xdr:rowOff>70560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7C1D35-E151-4AA8-9794-3585E06F8BA3}"/>
            </a:ext>
            <a:ext uri="{147F2762-F138-4A5C-976F-8EAC2B608ADB}">
              <a16:predDERef xmlns:a16="http://schemas.microsoft.com/office/drawing/2014/main" pred="{4313447B-A439-4B1D-B69A-966FCA74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155</xdr:row>
      <xdr:rowOff>0</xdr:rowOff>
    </xdr:from>
    <xdr:to>
      <xdr:col>23</xdr:col>
      <xdr:colOff>88234</xdr:colOff>
      <xdr:row>168</xdr:row>
      <xdr:rowOff>108056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F80CBE-04FB-4955-B553-5982C3905D28}"/>
            </a:ext>
            <a:ext uri="{147F2762-F138-4A5C-976F-8EAC2B608ADB}">
              <a16:predDERef xmlns:a16="http://schemas.microsoft.com/office/drawing/2014/main" pred="{E27C1D35-E151-4AA8-9794-3585E06F8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23118</xdr:colOff>
      <xdr:row>207</xdr:row>
      <xdr:rowOff>267731</xdr:rowOff>
    </xdr:from>
    <xdr:to>
      <xdr:col>21</xdr:col>
      <xdr:colOff>481711</xdr:colOff>
      <xdr:row>225</xdr:row>
      <xdr:rowOff>84114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42FD18-D7C8-4957-B822-630610C3E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800099</xdr:colOff>
      <xdr:row>196</xdr:row>
      <xdr:rowOff>0</xdr:rowOff>
    </xdr:from>
    <xdr:to>
      <xdr:col>20</xdr:col>
      <xdr:colOff>184199</xdr:colOff>
      <xdr:row>206</xdr:row>
      <xdr:rowOff>88100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059A21-F194-46CE-BCC4-3458150684DC}"/>
            </a:ext>
            <a:ext uri="{147F2762-F138-4A5C-976F-8EAC2B608ADB}">
              <a16:predDERef xmlns:a16="http://schemas.microsoft.com/office/drawing/2014/main" pred="{5F42FD18-D7C8-4957-B822-630610C3E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490220</xdr:colOff>
      <xdr:row>210</xdr:row>
      <xdr:rowOff>152400</xdr:rowOff>
    </xdr:from>
    <xdr:to>
      <xdr:col>21</xdr:col>
      <xdr:colOff>627380</xdr:colOff>
      <xdr:row>228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B65FD5-33D9-410F-B850-300CB74E2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196</xdr:row>
      <xdr:rowOff>0</xdr:rowOff>
    </xdr:from>
    <xdr:to>
      <xdr:col>20</xdr:col>
      <xdr:colOff>191127</xdr:colOff>
      <xdr:row>206</xdr:row>
      <xdr:rowOff>82327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AB3321-A8AF-40E2-89B1-FDCA7D2B9CA7}"/>
            </a:ext>
            <a:ext uri="{147F2762-F138-4A5C-976F-8EAC2B608ADB}">
              <a16:predDERef xmlns:a16="http://schemas.microsoft.com/office/drawing/2014/main" pred="{10B65FD5-33D9-410F-B850-300CB74E2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sp\KimR$\My%20Documents\xl%20stuff\PYRAMI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vi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9900/2&#186;%20Levantamento/Quadros/98-99/4&#186;%20Levantamento/SERIS/EVOLUCA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lioams/Configura&#231;&#245;es%20locais/Temporary%20Internet%20Files/OLK1/dados%20do%20emprego%20celetista%20RAIS%20e%20CAGED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lioams\Configura&#231;&#245;es%20locais\Temporary%20Internet%20Files\OLK1\dados%20do%20emprego%20celetista%20RAIS%20e%20CAGED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TFEM9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tesouro.fazenda.gov.br/CESEF/NOTA%20de%20IMPRENSA/Notas%20anteriores/2012/8%20-%20Nimago2012/Arquivos%20para%20internet%20e%20mail%20list/Tabelas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/sites/uee/Documentos%20Compartilhados/Publica&#231;&#245;es%20internas/Apresenta&#231;&#245;es/Reuni&#227;o%20de%20Diretoria/2022/06%20-%2021062022%20-%20Custos%20Industriais%20-%20Combust&#237;veis/Suporte_06%20-%2021062022%20-%20Custos%20Industriais%20-%20Combust&#237;veis_Giovani.xlsx?49DADCBF" TargetMode="External"/><Relationship Id="rId1" Type="http://schemas.openxmlformats.org/officeDocument/2006/relationships/externalLinkPath" Target="file:///\\49DADCBF\Suporte_06%20-%2021062022%20-%20Custos%20Industriais%20-%20Combust&#237;veis_Giovan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PAN\PREVIDENCIA\Acompanhamento%20Receita%20Previdenciaria%20-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&#231;&#245;es%20internas/Presid&#234;ncia/Especiais%20Presid&#234;ncia/2021/05%20-%20Maio/EP_05052021_COPOM/Dados/01_disponibilizacao-das-previso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pc.int/Documents%20and%20Settings/kimr/Local%20Settings/Temporary%20Internet%20Files/OLK16/PPA_Indicator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AME04\00-01\SAFRA\99-00\Safras\DEPAG\DIVAS\SF9798\3levant\SERIS\EVOLUCA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PAN\PREVIDENCIA\Acompanhamento%20Receita%20Previdenciaria%20-%20201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1B2_3008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677172\Reunioes%20do%20COPOM\DOCUME~1\DEPEP~1.LUI\CONFIG~1\Temp\_ZCTmp.Dir\Brent%20Oil%20e%20propano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207\depep$\Reunioes%20do%20COPOM\2008\COPOM%2007-2008\Trabalhos%20Extras\Pr&#233;vias%20Ap&#243;s%20RI\DOCUME~1\DEPEP~1.LUI\CONFIG~1\Temp\_ZCTmp.Dir\Brent%20Oil%20e%20propano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UEST\GlobalMacro\Bonds_Loans\Bonds_Loans_Issuance_MAIN_External_F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_graficos_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1B2_2308201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&#225;ficos%20se&#231;&#227;o%202.1%20Cose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Startup" Target="9900/2&#186;%20Levantamento/Quadros/98-99/4&#186;%20Levantamento/S9596_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mart_2000\Planilhas\planilhas%20antigas%20modelo%20Indec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Smart_2000/Planilhas/planilhas%20antigas%20modelo%20Indec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207\depep$\DepepCopom%23C\Reuni&#245;es%20do%20Copom\2012\COPOM%2004-2012\Planilhas\Pr&#233;via%203%20-%2011-04-2012\Pr&#233;via%203%20-%20Copom%20Abril%20-%209%20Ap&#243;s%20Travament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ssi/Downloads/Macro_medias_SLP2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lat&#243;rio%20de%20Infla&#231;&#227;o\2010\1mar&#231;o\Dimob\Graficos%20enviados\Cap%203.2%20Gr&#225;f%20-%20Emiss&#245;es%20prim&#225;rias%20no%20mercado%20de%20capitais%20XXXXXX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p%204%20Tabelas%20e%20Gr&#225;ficos%20Jun-201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&#231;&#245;es%20internas/Balan&#231;o%20Anual/Balan&#231;o%20Anual%202018/4.%20Emprego%20e%20Renda/Suportes/PNAD%20IBGE%20at&#233;%203&#186;T18/pnadc_201809_mensal_20181101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&#231;&#245;es%20internas/Balan&#231;o%20Anual/Balan&#231;o%20Anual%202018/4.%20Emprego%20e%20Renda/Suportes/PNAD%20IBGE%20at&#233;%203&#186;T18/PNAD%20Cont&#237;nua%20-%2043%20Rio%20Grande%20do%20Sul%20-%20Julho%20a%20Setembro%20-%2014%20de%20Novembro%20de%20201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&#231;&#245;es%20internas/Balan&#231;o%20Anual/Balan&#231;o%20Anual%202018/4.%20Emprego%20e%20Renda/4.%20Emprego%20e%20Renda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me.intranet.bcb.gov.br/Coace/PIB/PIB_cenarios/PIB2005III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ase_2010\PIB_Regional_publica&#231;&#227;o\Publica&#231;&#227;o\tabelas%20cd\2010_2014\uf\PIB_Regional_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RAMID"/>
      <sheetName val="GRAPH3"/>
      <sheetName val="GRAPH2"/>
      <sheetName val="GRAPH1"/>
    </sheetNames>
    <sheetDataSet>
      <sheetData sheetId="0" refreshError="1">
        <row r="1">
          <cell r="A1" t="str">
            <v>Table</v>
          </cell>
        </row>
        <row r="2">
          <cell r="A2" t="str">
            <v>COUNTRY: YEAR</v>
          </cell>
        </row>
        <row r="3">
          <cell r="A3" t="str">
            <v>Population, by Age and Sex</v>
          </cell>
        </row>
        <row r="4">
          <cell r="A4" t="str">
            <v>-</v>
          </cell>
          <cell r="B4" t="str">
            <v>-</v>
          </cell>
          <cell r="C4" t="str">
            <v>-</v>
          </cell>
        </row>
        <row r="5">
          <cell r="A5" t="str">
            <v>Age</v>
          </cell>
          <cell r="B5" t="str">
            <v>Male</v>
          </cell>
          <cell r="C5" t="str">
            <v>Female</v>
          </cell>
        </row>
        <row r="6">
          <cell r="A6" t="str">
            <v>-</v>
          </cell>
          <cell r="B6" t="str">
            <v>-</v>
          </cell>
          <cell r="C6" t="str">
            <v>-</v>
          </cell>
        </row>
        <row r="7">
          <cell r="A7" t="str">
            <v xml:space="preserve">  All ages</v>
          </cell>
          <cell r="B7">
            <v>2743766</v>
          </cell>
          <cell r="C7">
            <v>2992008</v>
          </cell>
        </row>
        <row r="9">
          <cell r="A9" t="str">
            <v>0-4</v>
          </cell>
          <cell r="B9">
            <v>427049</v>
          </cell>
          <cell r="C9">
            <v>447127</v>
          </cell>
        </row>
        <row r="10">
          <cell r="A10" t="str">
            <v>5-9</v>
          </cell>
          <cell r="B10">
            <v>433122</v>
          </cell>
          <cell r="C10">
            <v>392707</v>
          </cell>
        </row>
        <row r="11">
          <cell r="A11" t="str">
            <v>10-14</v>
          </cell>
          <cell r="B11">
            <v>347827</v>
          </cell>
          <cell r="C11">
            <v>273082</v>
          </cell>
        </row>
        <row r="12">
          <cell r="A12" t="str">
            <v>15-19</v>
          </cell>
          <cell r="B12">
            <v>201747</v>
          </cell>
          <cell r="C12">
            <v>191734</v>
          </cell>
        </row>
        <row r="13">
          <cell r="A13" t="str">
            <v>20-24</v>
          </cell>
          <cell r="B13">
            <v>211138</v>
          </cell>
          <cell r="C13">
            <v>244120</v>
          </cell>
        </row>
        <row r="14">
          <cell r="A14" t="str">
            <v>25-29</v>
          </cell>
          <cell r="B14">
            <v>221585</v>
          </cell>
          <cell r="C14">
            <v>271959</v>
          </cell>
        </row>
        <row r="15">
          <cell r="A15" t="str">
            <v>30-34</v>
          </cell>
          <cell r="B15">
            <v>199065</v>
          </cell>
          <cell r="C15">
            <v>271057</v>
          </cell>
        </row>
        <row r="16">
          <cell r="A16" t="str">
            <v>35-39</v>
          </cell>
          <cell r="B16">
            <v>200920</v>
          </cell>
          <cell r="C16">
            <v>237384</v>
          </cell>
        </row>
        <row r="17">
          <cell r="A17" t="str">
            <v>40-44</v>
          </cell>
          <cell r="B17">
            <v>160220</v>
          </cell>
          <cell r="C17">
            <v>193519</v>
          </cell>
        </row>
        <row r="18">
          <cell r="A18" t="str">
            <v>45-49</v>
          </cell>
          <cell r="B18">
            <v>128343</v>
          </cell>
          <cell r="C18">
            <v>139475</v>
          </cell>
        </row>
        <row r="19">
          <cell r="A19" t="str">
            <v>50-54</v>
          </cell>
          <cell r="B19">
            <v>63882</v>
          </cell>
          <cell r="C19">
            <v>89318</v>
          </cell>
        </row>
        <row r="20">
          <cell r="A20" t="str">
            <v>55-59</v>
          </cell>
          <cell r="B20">
            <v>39991</v>
          </cell>
          <cell r="C20">
            <v>63055</v>
          </cell>
        </row>
        <row r="21">
          <cell r="A21" t="str">
            <v>60-64</v>
          </cell>
          <cell r="B21">
            <v>46506</v>
          </cell>
          <cell r="C21">
            <v>86385</v>
          </cell>
        </row>
        <row r="22">
          <cell r="A22" t="str">
            <v>65-69</v>
          </cell>
          <cell r="B22">
            <v>32966</v>
          </cell>
          <cell r="C22">
            <v>45181</v>
          </cell>
        </row>
        <row r="23">
          <cell r="A23" t="str">
            <v>70-74</v>
          </cell>
          <cell r="B23">
            <v>17110</v>
          </cell>
          <cell r="C23">
            <v>25671</v>
          </cell>
        </row>
        <row r="24">
          <cell r="A24" t="str">
            <v>75-79</v>
          </cell>
          <cell r="B24">
            <v>6670</v>
          </cell>
          <cell r="C24">
            <v>10859</v>
          </cell>
        </row>
        <row r="25">
          <cell r="A25" t="str">
            <v>80-84</v>
          </cell>
          <cell r="B25">
            <v>3000</v>
          </cell>
          <cell r="C25">
            <v>5000</v>
          </cell>
        </row>
        <row r="26">
          <cell r="A26" t="str">
            <v>85-89</v>
          </cell>
          <cell r="B26">
            <v>1500</v>
          </cell>
          <cell r="C26">
            <v>2500</v>
          </cell>
        </row>
        <row r="27">
          <cell r="A27" t="str">
            <v>90-94</v>
          </cell>
          <cell r="B27">
            <v>750</v>
          </cell>
          <cell r="C27">
            <v>1250</v>
          </cell>
        </row>
        <row r="28">
          <cell r="A28" t="str">
            <v>95+</v>
          </cell>
          <cell r="B28">
            <v>375</v>
          </cell>
          <cell r="C28">
            <v>625</v>
          </cell>
        </row>
        <row r="29">
          <cell r="A29" t="str">
            <v>-</v>
          </cell>
          <cell r="B29" t="str">
            <v>-</v>
          </cell>
          <cell r="C29" t="str">
            <v>-</v>
          </cell>
        </row>
        <row r="30">
          <cell r="A30" t="str">
            <v>Source:</v>
          </cell>
        </row>
        <row r="42">
          <cell r="A42" t="str">
            <v>[FILENAME]  [DISK NAME]  [DATE]  [INITIALS]</v>
          </cell>
        </row>
        <row r="61">
          <cell r="A61" t="str">
            <v>U.S. BUREAU OF THE CENSUS      INTERNATIONAL PROGRAMS CENTER</v>
          </cell>
        </row>
        <row r="62">
          <cell r="B62" t="str">
            <v>POPULATION ANALYSIS SPREADSHEETS (PAS)</v>
          </cell>
        </row>
        <row r="64">
          <cell r="A64" t="str">
            <v>DOCUMENTATION:   PYRAMID</v>
          </cell>
        </row>
        <row r="66">
          <cell r="A66" t="str">
            <v>**** D E S C R I P T I O N ****</v>
          </cell>
        </row>
        <row r="68">
          <cell r="A68" t="str">
            <v>This spreadsheet produces population pyramid graphs for data</v>
          </cell>
        </row>
        <row r="69">
          <cell r="A69" t="str">
            <v>by 5-year age groups.  The pyramid can be plotted by</v>
          </cell>
        </row>
        <row r="70">
          <cell r="A70" t="str">
            <v>population, by percent of the total population for each sex,</v>
          </cell>
        </row>
        <row r="71">
          <cell r="A71" t="str">
            <v>or by percent of the total population for both sexes.</v>
          </cell>
        </row>
        <row r="73">
          <cell r="A73" t="str">
            <v>PRESS PgDn FOR FURTHER INSTRUCTIONS</v>
          </cell>
        </row>
        <row r="81">
          <cell r="A81" t="str">
            <v>**** I N P U T ****</v>
          </cell>
        </row>
        <row r="83">
          <cell r="A83" t="str">
            <v>CELL</v>
          </cell>
          <cell r="B83" t="str">
            <v>ITEM</v>
          </cell>
        </row>
        <row r="84">
          <cell r="A84" t="str">
            <v>------------</v>
          </cell>
          <cell r="B84" t="str">
            <v>-</v>
          </cell>
          <cell r="C84" t="str">
            <v>-</v>
          </cell>
          <cell r="D84" t="str">
            <v>-</v>
          </cell>
          <cell r="E84" t="str">
            <v>-</v>
          </cell>
          <cell r="F84" t="str">
            <v>-</v>
          </cell>
          <cell r="G84" t="str">
            <v>-</v>
          </cell>
        </row>
        <row r="85">
          <cell r="A85" t="str">
            <v>A1</v>
          </cell>
          <cell r="B85" t="str">
            <v>Table number.  Type both "Table" and the number.</v>
          </cell>
        </row>
        <row r="86">
          <cell r="A86" t="str">
            <v>A2</v>
          </cell>
          <cell r="B86" t="str">
            <v xml:space="preserve">Country name and year (e.g. Burundi:  1975).  </v>
          </cell>
        </row>
        <row r="87">
          <cell r="B87" t="str">
            <v xml:space="preserve"> Type over "COUNTRY:  YEAR".</v>
          </cell>
        </row>
        <row r="88">
          <cell r="A88" t="str">
            <v>B9-B28</v>
          </cell>
          <cell r="B88" t="str">
            <v>* Male population by 5-year age groups.</v>
          </cell>
        </row>
        <row r="89">
          <cell r="A89" t="str">
            <v>C9-C28</v>
          </cell>
          <cell r="B89" t="str">
            <v>* Female population by 5-year age groups.</v>
          </cell>
        </row>
        <row r="91">
          <cell r="A91" t="str">
            <v>*</v>
          </cell>
          <cell r="B91" t="str">
            <v>Enter data for all 5-year age groups plus the open-ended age</v>
          </cell>
        </row>
        <row r="92">
          <cell r="B92" t="str">
            <v>group.  The open-ended age group must be in the range 65+ to</v>
          </cell>
        </row>
        <row r="93">
          <cell r="B93" t="str">
            <v>95+. For age groups after the open-ended age group, enter 0.</v>
          </cell>
        </row>
        <row r="94">
          <cell r="B94" t="str">
            <v>Labels will change automatically after calculation.</v>
          </cell>
        </row>
        <row r="96">
          <cell r="A96" t="str">
            <v>A30-F41</v>
          </cell>
          <cell r="B96" t="str">
            <v>Sources of the input data.</v>
          </cell>
        </row>
        <row r="97">
          <cell r="A97" t="str">
            <v>A42</v>
          </cell>
          <cell r="B97" t="str">
            <v xml:space="preserve">Filename, disk name, date, and initials.  Type all of these </v>
          </cell>
        </row>
        <row r="98">
          <cell r="B98" t="str">
            <v xml:space="preserve"> into the same cell.</v>
          </cell>
        </row>
        <row r="100">
          <cell r="A100" t="str">
            <v>PRESS PgDn FOR FURTHER INSTRUCTIONS</v>
          </cell>
        </row>
        <row r="101">
          <cell r="A101" t="str">
            <v>**** I N P U T (continued) ****</v>
          </cell>
        </row>
        <row r="103">
          <cell r="A103" t="str">
            <v>CELL</v>
          </cell>
          <cell r="B103" t="str">
            <v>ITEM</v>
          </cell>
        </row>
        <row r="104">
          <cell r="A104" t="str">
            <v>------------</v>
          </cell>
          <cell r="B104" t="str">
            <v>-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</row>
        <row r="105">
          <cell r="A105" t="str">
            <v>**** R E S U L T S ****</v>
          </cell>
        </row>
        <row r="106">
          <cell r="A106" t="str">
            <v xml:space="preserve"> </v>
          </cell>
        </row>
        <row r="107">
          <cell r="A107" t="str">
            <v>CELL</v>
          </cell>
          <cell r="B107" t="str">
            <v>ITEM</v>
          </cell>
        </row>
        <row r="108">
          <cell r="A108" t="str">
            <v>------------</v>
          </cell>
          <cell r="B108" t="str">
            <v>-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</row>
        <row r="109">
          <cell r="A109" t="str">
            <v>A1-F43</v>
          </cell>
          <cell r="B109" t="str">
            <v>Population, by age and sex.</v>
          </cell>
        </row>
        <row r="112">
          <cell r="A112" t="str">
            <v>**** G R A P H S ****</v>
          </cell>
        </row>
        <row r="114">
          <cell r="A114" t="str">
            <v>NAME</v>
          </cell>
          <cell r="B114" t="str">
            <v>ITEM</v>
          </cell>
        </row>
        <row r="115">
          <cell r="A115" t="str">
            <v>-------------</v>
          </cell>
          <cell r="B115" t="str">
            <v>-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</row>
        <row r="116">
          <cell r="A116" t="str">
            <v>GRAPH1</v>
          </cell>
          <cell r="B116" t="str">
            <v>Pyramid (population by age and sex).</v>
          </cell>
        </row>
        <row r="117">
          <cell r="A117" t="str">
            <v>GRAPH2</v>
          </cell>
          <cell r="B117" t="str">
            <v>Pyramid (percent of each sex).</v>
          </cell>
        </row>
        <row r="118">
          <cell r="A118" t="str">
            <v>GRAPH3</v>
          </cell>
          <cell r="B118" t="str">
            <v>Pyramid (percent of total population).</v>
          </cell>
        </row>
        <row r="120">
          <cell r="A120" t="str">
            <v>PRESS PgDn FOR HELP SCREEN</v>
          </cell>
        </row>
        <row r="184">
          <cell r="A184" t="str">
            <v>0-4</v>
          </cell>
          <cell r="B184">
            <v>15.564337483590073</v>
          </cell>
          <cell r="C184">
            <v>14.944044267261317</v>
          </cell>
          <cell r="D184">
            <v>7.4453595975015752</v>
          </cell>
        </row>
        <row r="185">
          <cell r="A185" t="str">
            <v>5-9</v>
          </cell>
          <cell r="B185">
            <v>15.785675600616088</v>
          </cell>
          <cell r="C185">
            <v>13.125198863104645</v>
          </cell>
          <cell r="D185">
            <v>7.5512389435148597</v>
          </cell>
        </row>
        <row r="186">
          <cell r="A186" t="str">
            <v>10-14</v>
          </cell>
          <cell r="B186">
            <v>12.676992134168875</v>
          </cell>
          <cell r="C186">
            <v>9.1270477886422761</v>
          </cell>
          <cell r="D186">
            <v>6.0641684975733003</v>
          </cell>
        </row>
        <row r="187">
          <cell r="A187" t="str">
            <v>15-19</v>
          </cell>
          <cell r="B187">
            <v>7.3529229533422313</v>
          </cell>
          <cell r="C187">
            <v>6.4082047908962814</v>
          </cell>
          <cell r="D187">
            <v>3.5173456973723161</v>
          </cell>
        </row>
        <row r="188">
          <cell r="A188" t="str">
            <v>20-24</v>
          </cell>
          <cell r="B188">
            <v>7.6951897501463318</v>
          </cell>
          <cell r="C188">
            <v>8.1590690933981467</v>
          </cell>
          <cell r="D188">
            <v>3.6810725108764744</v>
          </cell>
        </row>
        <row r="189">
          <cell r="A189" t="str">
            <v>25-29</v>
          </cell>
          <cell r="B189">
            <v>8.0759437940407448</v>
          </cell>
          <cell r="C189">
            <v>9.0895144665388603</v>
          </cell>
          <cell r="D189">
            <v>3.8632100916110015</v>
          </cell>
        </row>
        <row r="190">
          <cell r="A190" t="str">
            <v>30-34</v>
          </cell>
          <cell r="B190">
            <v>7.255174092834447</v>
          </cell>
          <cell r="C190">
            <v>9.0593674883222235</v>
          </cell>
          <cell r="D190">
            <v>3.4705865328724599</v>
          </cell>
        </row>
        <row r="191">
          <cell r="A191" t="str">
            <v>35-39</v>
          </cell>
          <cell r="B191">
            <v>7.3227818990394953</v>
          </cell>
          <cell r="C191">
            <v>7.933936005518702</v>
          </cell>
          <cell r="D191">
            <v>3.5029274165962607</v>
          </cell>
        </row>
        <row r="192">
          <cell r="A192" t="str">
            <v>40-44</v>
          </cell>
          <cell r="B192">
            <v>5.8394192507670111</v>
          </cell>
          <cell r="C192">
            <v>6.467863722289513</v>
          </cell>
          <cell r="D192">
            <v>2.7933457629258056</v>
          </cell>
        </row>
        <row r="193">
          <cell r="A193" t="str">
            <v>45-49</v>
          </cell>
          <cell r="B193">
            <v>4.6776219254848996</v>
          </cell>
          <cell r="C193">
            <v>4.6615851294515256</v>
          </cell>
          <cell r="D193">
            <v>2.2375881615977198</v>
          </cell>
        </row>
        <row r="194">
          <cell r="A194" t="str">
            <v>50-54</v>
          </cell>
          <cell r="B194">
            <v>2.3282597714236566</v>
          </cell>
          <cell r="C194">
            <v>2.9852192908575113</v>
          </cell>
          <cell r="D194">
            <v>1.1137468108053072</v>
          </cell>
        </row>
        <row r="195">
          <cell r="A195" t="str">
            <v>55-59</v>
          </cell>
          <cell r="B195">
            <v>1.457522252262037</v>
          </cell>
          <cell r="C195">
            <v>2.1074475736695892</v>
          </cell>
          <cell r="D195">
            <v>0.69722063665688361</v>
          </cell>
        </row>
        <row r="196">
          <cell r="A196" t="str">
            <v>60-64</v>
          </cell>
          <cell r="B196">
            <v>1.6949696147557773</v>
          </cell>
          <cell r="C196">
            <v>2.8871914780976522</v>
          </cell>
          <cell r="D196">
            <v>0.81080600456015173</v>
          </cell>
        </row>
        <row r="197">
          <cell r="A197" t="str">
            <v>65-69</v>
          </cell>
          <cell r="B197">
            <v>1.2014872988439975</v>
          </cell>
          <cell r="C197">
            <v>1.5100561228445912</v>
          </cell>
          <cell r="D197">
            <v>0.57474370503440342</v>
          </cell>
        </row>
        <row r="198">
          <cell r="A198" t="str">
            <v>70-74</v>
          </cell>
          <cell r="B198">
            <v>0.6235954523818722</v>
          </cell>
          <cell r="C198">
            <v>0.85798567383509672</v>
          </cell>
          <cell r="D198">
            <v>0.29830324556023302</v>
          </cell>
        </row>
        <row r="199">
          <cell r="A199" t="str">
            <v>75-79</v>
          </cell>
          <cell r="B199">
            <v>0.24309653228445866</v>
          </cell>
          <cell r="C199">
            <v>0.36293352156812414</v>
          </cell>
          <cell r="D199">
            <v>0.11628770589636203</v>
          </cell>
        </row>
        <row r="200">
          <cell r="A200" t="str">
            <v>80-84</v>
          </cell>
          <cell r="B200">
            <v>0.10933877014293493</v>
          </cell>
          <cell r="C200">
            <v>0.16711185264210524</v>
          </cell>
          <cell r="D200">
            <v>5.2303315995365231E-2</v>
          </cell>
        </row>
        <row r="201">
          <cell r="A201" t="str">
            <v>85-89</v>
          </cell>
          <cell r="B201">
            <v>5.4669385071467465E-2</v>
          </cell>
          <cell r="C201">
            <v>8.3555926321052618E-2</v>
          </cell>
          <cell r="D201">
            <v>2.6151657997682615E-2</v>
          </cell>
        </row>
        <row r="202">
          <cell r="A202" t="str">
            <v>90-94</v>
          </cell>
          <cell r="B202">
            <v>2.7334692535733732E-2</v>
          </cell>
          <cell r="C202">
            <v>4.1777963160526309E-2</v>
          </cell>
          <cell r="D202">
            <v>1.3075828998841308E-2</v>
          </cell>
        </row>
        <row r="203">
          <cell r="A203" t="str">
            <v>95+</v>
          </cell>
          <cell r="B203">
            <v>1.3667346267866866E-2</v>
          </cell>
          <cell r="C203">
            <v>2.0888981580263154E-2</v>
          </cell>
          <cell r="D203">
            <v>6.5379144994206538E-3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%PIB"/>
      <sheetName val="Gráf22"/>
      <sheetName val="Plan22"/>
      <sheetName val="Gráf20 (2)"/>
      <sheetName val="Plan20 (2)"/>
      <sheetName val="Gráf19"/>
      <sheetName val="Plan19"/>
      <sheetName val="Gráf20"/>
      <sheetName val="Plan20"/>
      <sheetName val="Gráf11"/>
      <sheetName val="Plan11"/>
      <sheetName val="Gráf4"/>
      <sheetName val="Plan4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REBR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Gráfico2"/>
      <sheetName val="Gráfico3"/>
      <sheetName val="Gráfico4"/>
      <sheetName val="Gráfico5"/>
      <sheetName val="PNAD"/>
      <sheetName val="RAIS e CAG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Gráfico2"/>
      <sheetName val="Gráfico3"/>
      <sheetName val="Gráfico4"/>
      <sheetName val="Gráfico5"/>
      <sheetName val="PNAD"/>
      <sheetName val="RAIS e CAG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TFEM96"/>
    </sheetNames>
    <sheetDataSet>
      <sheetData sheetId="0" refreshError="1">
        <row r="1">
          <cell r="A1" t="str">
            <v>TABELA</v>
          </cell>
        </row>
        <row r="2">
          <cell r="A2" t="str">
            <v>BRASIL MULHERES PROXY URBANO 1996</v>
          </cell>
        </row>
        <row r="3">
          <cell r="A3" t="str">
            <v>A.  Life Table Control Parameters</v>
          </cell>
        </row>
        <row r="4">
          <cell r="A4" t="str">
            <v>-</v>
          </cell>
          <cell r="B4" t="str">
            <v>-</v>
          </cell>
          <cell r="C4" t="str">
            <v>-</v>
          </cell>
          <cell r="D4" t="str">
            <v>-</v>
          </cell>
          <cell r="E4" t="str">
            <v>-</v>
          </cell>
          <cell r="F4" t="str">
            <v>-</v>
          </cell>
          <cell r="G4" t="str">
            <v>-</v>
          </cell>
          <cell r="H4" t="str">
            <v>-</v>
          </cell>
        </row>
        <row r="5">
          <cell r="A5" t="str">
            <v>Item</v>
          </cell>
          <cell r="D5" t="str">
            <v>Value</v>
          </cell>
          <cell r="E5" t="str">
            <v xml:space="preserve">  Comments</v>
          </cell>
        </row>
        <row r="6">
          <cell r="A6" t="str">
            <v>-</v>
          </cell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</row>
        <row r="7">
          <cell r="A7" t="str">
            <v xml:space="preserve">Sex code </v>
          </cell>
          <cell r="D7">
            <v>2</v>
          </cell>
          <cell r="E7" t="str">
            <v xml:space="preserve">  Male=1, Female=2, Both sexes=3</v>
          </cell>
        </row>
        <row r="8">
          <cell r="A8" t="str">
            <v>Infant mortality rate</v>
          </cell>
          <cell r="D8">
            <v>0</v>
          </cell>
          <cell r="E8" t="str">
            <v xml:space="preserve">  Enter 0 if not available</v>
          </cell>
        </row>
        <row r="10">
          <cell r="A10" t="str">
            <v>SEPARATION FACTORS</v>
          </cell>
        </row>
        <row r="12">
          <cell r="A12" t="str">
            <v>Code *</v>
          </cell>
          <cell r="D12">
            <v>1</v>
          </cell>
          <cell r="E12" t="str">
            <v xml:space="preserve">  See below</v>
          </cell>
        </row>
        <row r="13">
          <cell r="A13" t="str">
            <v>Age 0</v>
          </cell>
          <cell r="D13">
            <v>0</v>
          </cell>
          <cell r="E13" t="str">
            <v xml:space="preserve">  Empirical values only</v>
          </cell>
        </row>
        <row r="14">
          <cell r="A14" t="str">
            <v>Ages 1-4</v>
          </cell>
          <cell r="D14">
            <v>0</v>
          </cell>
          <cell r="E14" t="str">
            <v xml:space="preserve">  Empirical values only</v>
          </cell>
        </row>
        <row r="16">
          <cell r="A16" t="str">
            <v>Sex ratio at birth</v>
          </cell>
          <cell r="D16">
            <v>0</v>
          </cell>
          <cell r="E16" t="str">
            <v xml:space="preserve">  Only for both sexes life table</v>
          </cell>
        </row>
        <row r="17">
          <cell r="A17" t="str">
            <v>-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</row>
        <row r="18">
          <cell r="A18" t="str">
            <v>* Code for separation factors:</v>
          </cell>
        </row>
        <row r="19">
          <cell r="A19" t="str">
            <v>Coale-Demeny region:  West=1, North=2, East=3, South=4</v>
          </cell>
        </row>
        <row r="20">
          <cell r="A20" t="str">
            <v>Empirical: Code=5, enter separation factors</v>
          </cell>
        </row>
        <row r="22">
          <cell r="A22" t="str">
            <v>B.  Population and Deaths by Age</v>
          </cell>
        </row>
        <row r="23">
          <cell r="A23" t="str">
            <v>-</v>
          </cell>
          <cell r="B23" t="str">
            <v>-</v>
          </cell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</row>
        <row r="24">
          <cell r="A24" t="str">
            <v>Age</v>
          </cell>
          <cell r="C24" t="str">
            <v>Deaths</v>
          </cell>
          <cell r="D24" t="str">
            <v>Population</v>
          </cell>
        </row>
        <row r="25">
          <cell r="A25" t="str">
            <v>-</v>
          </cell>
          <cell r="B25" t="str">
            <v>-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</row>
        <row r="26">
          <cell r="A26" t="str">
            <v>Under 1</v>
          </cell>
          <cell r="C26">
            <v>10711.412011072933</v>
          </cell>
          <cell r="D26">
            <v>400037</v>
          </cell>
          <cell r="E26">
            <v>9903</v>
          </cell>
        </row>
        <row r="27">
          <cell r="A27" t="str">
            <v>1-4</v>
          </cell>
          <cell r="C27">
            <v>1678.6944805801465</v>
          </cell>
          <cell r="D27">
            <v>1628555</v>
          </cell>
          <cell r="E27">
            <v>1552</v>
          </cell>
        </row>
        <row r="28">
          <cell r="A28" t="str">
            <v>5-9</v>
          </cell>
          <cell r="C28">
            <v>739.8370004618688</v>
          </cell>
          <cell r="D28">
            <v>2109988</v>
          </cell>
          <cell r="E28">
            <v>684</v>
          </cell>
        </row>
        <row r="29">
          <cell r="A29" t="str">
            <v>10-14</v>
          </cell>
          <cell r="C29">
            <v>911.81665407800494</v>
          </cell>
          <cell r="D29">
            <v>2304134</v>
          </cell>
          <cell r="E29">
            <v>843</v>
          </cell>
        </row>
        <row r="30">
          <cell r="A30" t="str">
            <v>15-19</v>
          </cell>
          <cell r="C30">
            <v>1692.7557101210887</v>
          </cell>
          <cell r="D30">
            <v>2327850</v>
          </cell>
          <cell r="E30">
            <v>1565</v>
          </cell>
          <cell r="F30">
            <v>80</v>
          </cell>
          <cell r="G30">
            <v>91</v>
          </cell>
          <cell r="H30">
            <v>96</v>
          </cell>
        </row>
        <row r="31">
          <cell r="A31" t="str">
            <v>20-24</v>
          </cell>
          <cell r="C31">
            <v>2077.8170729345757</v>
          </cell>
          <cell r="D31">
            <v>2192133</v>
          </cell>
          <cell r="E31">
            <v>1921</v>
          </cell>
          <cell r="F31">
            <v>1.1486000000000001</v>
          </cell>
          <cell r="G31">
            <v>1.0989</v>
          </cell>
          <cell r="H31">
            <v>1.0816330416109192</v>
          </cell>
        </row>
        <row r="32">
          <cell r="A32" t="str">
            <v>25-29</v>
          </cell>
          <cell r="C32">
            <v>2651.0825849883631</v>
          </cell>
          <cell r="D32">
            <v>2080198</v>
          </cell>
          <cell r="E32">
            <v>2451</v>
          </cell>
          <cell r="F32">
            <v>1.7456239211103928</v>
          </cell>
          <cell r="G32">
            <v>2.2095070006123252</v>
          </cell>
          <cell r="H32">
            <v>2.4203629458404623</v>
          </cell>
        </row>
        <row r="33">
          <cell r="A33" t="str">
            <v>30-34</v>
          </cell>
          <cell r="C33">
            <v>3559.654339941535</v>
          </cell>
          <cell r="D33">
            <v>2091842</v>
          </cell>
          <cell r="E33">
            <v>3291</v>
          </cell>
        </row>
        <row r="34">
          <cell r="A34" t="str">
            <v>35-39</v>
          </cell>
          <cell r="C34">
            <v>4379.5321854826116</v>
          </cell>
          <cell r="D34">
            <v>1911137</v>
          </cell>
          <cell r="E34">
            <v>4049</v>
          </cell>
        </row>
        <row r="35">
          <cell r="A35" t="str">
            <v>40-44</v>
          </cell>
          <cell r="C35">
            <v>5276.2059769780635</v>
          </cell>
          <cell r="D35">
            <v>1655832</v>
          </cell>
          <cell r="E35">
            <v>4878</v>
          </cell>
        </row>
        <row r="36">
          <cell r="A36" t="str">
            <v>45-49</v>
          </cell>
          <cell r="C36">
            <v>6263.7369439688337</v>
          </cell>
          <cell r="D36">
            <v>1317866</v>
          </cell>
          <cell r="E36">
            <v>5791</v>
          </cell>
        </row>
        <row r="37">
          <cell r="A37" t="str">
            <v>50-54</v>
          </cell>
          <cell r="C37">
            <v>7286.9618013327627</v>
          </cell>
          <cell r="D37">
            <v>1032903</v>
          </cell>
          <cell r="E37">
            <v>6737</v>
          </cell>
        </row>
        <row r="38">
          <cell r="A38" t="str">
            <v>55-59</v>
          </cell>
          <cell r="C38">
            <v>9127.9012381545472</v>
          </cell>
          <cell r="D38">
            <v>842922</v>
          </cell>
          <cell r="E38">
            <v>8439</v>
          </cell>
        </row>
        <row r="39">
          <cell r="A39" t="str">
            <v>60-64</v>
          </cell>
          <cell r="C39">
            <v>11714.085840646256</v>
          </cell>
          <cell r="D39">
            <v>736459</v>
          </cell>
          <cell r="E39">
            <v>10830</v>
          </cell>
        </row>
        <row r="40">
          <cell r="A40" t="str">
            <v>65-69</v>
          </cell>
          <cell r="C40">
            <v>14691.821604201115</v>
          </cell>
          <cell r="D40">
            <v>613183</v>
          </cell>
          <cell r="E40">
            <v>13583</v>
          </cell>
        </row>
        <row r="41">
          <cell r="A41" t="str">
            <v>70+</v>
          </cell>
          <cell r="C41">
            <v>71277.454176076353</v>
          </cell>
          <cell r="D41">
            <v>983550</v>
          </cell>
          <cell r="E41">
            <v>65898</v>
          </cell>
        </row>
        <row r="45">
          <cell r="F45">
            <v>0</v>
          </cell>
        </row>
        <row r="48">
          <cell r="A48" t="str">
            <v>Total, all ages</v>
          </cell>
          <cell r="C48">
            <v>154040.76962101908</v>
          </cell>
          <cell r="D48">
            <v>24228589</v>
          </cell>
        </row>
        <row r="49">
          <cell r="A49" t="str">
            <v>-</v>
          </cell>
          <cell r="B49" t="str">
            <v>-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H49" t="str">
            <v>-</v>
          </cell>
        </row>
        <row r="50">
          <cell r="A50" t="str">
            <v>Sources:</v>
          </cell>
        </row>
        <row r="52">
          <cell r="E52">
            <v>3.0170340392192428E-2</v>
          </cell>
          <cell r="F52" t="str">
            <v xml:space="preserve"> </v>
          </cell>
          <cell r="G52">
            <v>2.6165470822559586E-2</v>
          </cell>
          <cell r="H52">
            <v>2.1900836569476057E-2</v>
          </cell>
        </row>
        <row r="53">
          <cell r="A53" t="str">
            <v>[FILENAME]  [DISK NAME]  [DATE]  [INITIALS]</v>
          </cell>
          <cell r="E53">
            <v>0.72590618086442338</v>
          </cell>
          <cell r="G53">
            <v>4.1124743985157279E-3</v>
          </cell>
        </row>
        <row r="54">
          <cell r="A54" t="str">
            <v>‚::</v>
          </cell>
        </row>
        <row r="55">
          <cell r="A55" t="str">
            <v>C.  Abridged Life Table Based on Deaths and Population:</v>
          </cell>
          <cell r="G55" t="str">
            <v>Female</v>
          </cell>
        </row>
        <row r="56">
          <cell r="A56" t="str">
            <v>-</v>
          </cell>
          <cell r="B56" t="str">
            <v>-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</row>
        <row r="57">
          <cell r="A57" t="str">
            <v>Age,</v>
          </cell>
          <cell r="B57" t="str">
            <v>Width,</v>
          </cell>
        </row>
        <row r="58">
          <cell r="A58" t="str">
            <v>x</v>
          </cell>
          <cell r="B58" t="str">
            <v>n</v>
          </cell>
          <cell r="C58" t="str">
            <v>nMx</v>
          </cell>
          <cell r="D58" t="str">
            <v xml:space="preserve">    nax</v>
          </cell>
          <cell r="E58" t="str">
            <v>nqx</v>
          </cell>
          <cell r="F58" t="str">
            <v xml:space="preserve"> lx</v>
          </cell>
          <cell r="G58" t="str">
            <v>ndx</v>
          </cell>
          <cell r="H58" t="str">
            <v>nLx</v>
          </cell>
          <cell r="I58" t="str">
            <v>5Px</v>
          </cell>
          <cell r="J58" t="str">
            <v xml:space="preserve"> Tx</v>
          </cell>
          <cell r="K58" t="str">
            <v xml:space="preserve"> ex</v>
          </cell>
        </row>
        <row r="59">
          <cell r="A59" t="str">
            <v>-</v>
          </cell>
          <cell r="B59" t="str">
            <v>-</v>
          </cell>
          <cell r="C59" t="str">
            <v>-</v>
          </cell>
          <cell r="D59" t="str">
            <v>-</v>
          </cell>
          <cell r="E59" t="str">
            <v>-</v>
          </cell>
          <cell r="F59" t="str">
            <v>-</v>
          </cell>
          <cell r="G59" t="str">
            <v>-</v>
          </cell>
          <cell r="H59" t="str">
            <v>-</v>
          </cell>
          <cell r="I59" t="str">
            <v>-</v>
          </cell>
          <cell r="J59" t="str">
            <v>-</v>
          </cell>
          <cell r="K59" t="str">
            <v>-</v>
          </cell>
        </row>
        <row r="60">
          <cell r="A60" t="str">
            <v>0</v>
          </cell>
          <cell r="B60">
            <v>1</v>
          </cell>
          <cell r="C60">
            <v>2.6776053242757378E-2</v>
          </cell>
          <cell r="D60">
            <v>0.12849641246767934</v>
          </cell>
          <cell r="E60">
            <v>2.6165470822559586E-2</v>
          </cell>
          <cell r="F60">
            <v>1000000</v>
          </cell>
          <cell r="G60">
            <v>26165.470822559586</v>
          </cell>
          <cell r="H60">
            <v>977196.69830866705</v>
          </cell>
          <cell r="I60">
            <v>0.97248965315527602</v>
          </cell>
          <cell r="J60">
            <v>72954673.830956638</v>
          </cell>
          <cell r="K60">
            <v>72.954673830956636</v>
          </cell>
        </row>
        <row r="61">
          <cell r="A61" t="str">
            <v>1</v>
          </cell>
          <cell r="B61">
            <v>4</v>
          </cell>
          <cell r="C61">
            <v>1.0307877109340161E-3</v>
          </cell>
          <cell r="D61">
            <v>1.4814287789716956</v>
          </cell>
          <cell r="E61">
            <v>4.1124743985157279E-3</v>
          </cell>
          <cell r="F61">
            <v>973834.52917744045</v>
          </cell>
          <cell r="G61">
            <v>4004.8695696328414</v>
          </cell>
          <cell r="H61">
            <v>3885251.5674677128</v>
          </cell>
          <cell r="I61">
            <v>0.99639133323346962</v>
          </cell>
          <cell r="J61">
            <v>71977477.132647976</v>
          </cell>
          <cell r="K61">
            <v>73.911403812559925</v>
          </cell>
        </row>
        <row r="62">
          <cell r="A62" t="str">
            <v>5</v>
          </cell>
          <cell r="B62">
            <v>5</v>
          </cell>
          <cell r="C62">
            <v>3.5063564364435664E-4</v>
          </cell>
          <cell r="D62">
            <v>2.5</v>
          </cell>
          <cell r="E62">
            <v>1.7516427472664764E-3</v>
          </cell>
          <cell r="F62">
            <v>969829.65960780764</v>
          </cell>
          <cell r="G62">
            <v>1698.7950893359318</v>
          </cell>
          <cell r="H62">
            <v>4844901.3103156993</v>
          </cell>
          <cell r="I62">
            <v>0.99813592821585706</v>
          </cell>
          <cell r="J62">
            <v>68092225.565180257</v>
          </cell>
          <cell r="K62">
            <v>70.210500257041303</v>
          </cell>
        </row>
        <row r="63">
          <cell r="A63" t="str">
            <v>10</v>
          </cell>
          <cell r="B63">
            <v>5</v>
          </cell>
          <cell r="C63">
            <v>3.9573074052030177E-4</v>
          </cell>
          <cell r="D63">
            <v>2.5</v>
          </cell>
          <cell r="E63">
            <v>1.9766981020921939E-3</v>
          </cell>
          <cell r="F63">
            <v>968130.86451847176</v>
          </cell>
          <cell r="G63">
            <v>1913.702442470538</v>
          </cell>
          <cell r="H63">
            <v>4835870.0664861826</v>
          </cell>
          <cell r="I63">
            <v>0.9971978283369225</v>
          </cell>
          <cell r="J63">
            <v>63247324.254864551</v>
          </cell>
          <cell r="K63">
            <v>65.329312981176841</v>
          </cell>
        </row>
        <row r="64">
          <cell r="A64" t="str">
            <v>15</v>
          </cell>
          <cell r="B64">
            <v>5</v>
          </cell>
          <cell r="C64">
            <v>7.2717559555860074E-4</v>
          </cell>
          <cell r="D64">
            <v>2.5</v>
          </cell>
          <cell r="E64">
            <v>3.6292801678741962E-3</v>
          </cell>
          <cell r="F64">
            <v>966217.16207600117</v>
          </cell>
          <cell r="G64">
            <v>3506.6727841821189</v>
          </cell>
          <cell r="H64">
            <v>4822319.1284195501</v>
          </cell>
          <cell r="I64">
            <v>0.9958223311938843</v>
          </cell>
          <cell r="J64">
            <v>58411454.188378371</v>
          </cell>
          <cell r="K64">
            <v>60.453753546331455</v>
          </cell>
        </row>
        <row r="65">
          <cell r="A65" t="str">
            <v>20</v>
          </cell>
          <cell r="B65">
            <v>5</v>
          </cell>
          <cell r="C65">
            <v>9.4785173752440005E-4</v>
          </cell>
          <cell r="D65">
            <v>2.5</v>
          </cell>
          <cell r="E65">
            <v>4.72805494987363E-3</v>
          </cell>
          <cell r="F65">
            <v>962710.48929181905</v>
          </cell>
          <cell r="G65">
            <v>4551.7480941914491</v>
          </cell>
          <cell r="H65">
            <v>4802173.0762236165</v>
          </cell>
          <cell r="I65">
            <v>0.99446192144920464</v>
          </cell>
          <cell r="J65">
            <v>53589135.059958823</v>
          </cell>
          <cell r="K65">
            <v>55.664850083205813</v>
          </cell>
        </row>
        <row r="66">
          <cell r="A66" t="str">
            <v>25</v>
          </cell>
          <cell r="B66">
            <v>5</v>
          </cell>
          <cell r="C66">
            <v>1.2744376184326508E-3</v>
          </cell>
          <cell r="D66">
            <v>2.5</v>
          </cell>
          <cell r="E66">
            <v>6.3519501815089401E-3</v>
          </cell>
          <cell r="F66">
            <v>958158.74119762762</v>
          </cell>
          <cell r="G66">
            <v>6086.1765900646487</v>
          </cell>
          <cell r="H66">
            <v>4775578.2645129757</v>
          </cell>
          <cell r="I66">
            <v>0.99259121415495077</v>
          </cell>
          <cell r="J66">
            <v>48786961.983735204</v>
          </cell>
          <cell r="K66">
            <v>50.917410535497602</v>
          </cell>
        </row>
        <row r="67">
          <cell r="A67" t="str">
            <v>30</v>
          </cell>
          <cell r="B67">
            <v>5</v>
          </cell>
          <cell r="C67">
            <v>1.7016841329036969E-3</v>
          </cell>
          <cell r="D67">
            <v>2.5</v>
          </cell>
          <cell r="E67">
            <v>8.4723773890910143E-3</v>
          </cell>
          <cell r="F67">
            <v>952072.56460756296</v>
          </cell>
          <cell r="G67">
            <v>8066.3180691550106</v>
          </cell>
          <cell r="H67">
            <v>4740197.0278649274</v>
          </cell>
          <cell r="I67">
            <v>0.99007369549627944</v>
          </cell>
          <cell r="J67">
            <v>44011383.719222225</v>
          </cell>
          <cell r="K67">
            <v>46.226921513449327</v>
          </cell>
        </row>
        <row r="68">
          <cell r="A68" t="str">
            <v>35</v>
          </cell>
          <cell r="B68">
            <v>5</v>
          </cell>
          <cell r="C68">
            <v>2.291584635472293E-3</v>
          </cell>
          <cell r="D68">
            <v>2.5</v>
          </cell>
          <cell r="E68">
            <v>1.1392655093935222E-2</v>
          </cell>
          <cell r="F68">
            <v>944006.24653840798</v>
          </cell>
          <cell r="G68">
            <v>10754.737573332462</v>
          </cell>
          <cell r="H68">
            <v>4693144.3887587087</v>
          </cell>
          <cell r="I68">
            <v>0.98641317737494083</v>
          </cell>
          <cell r="J68">
            <v>39271186.6913573</v>
          </cell>
          <cell r="K68">
            <v>41.600558084611684</v>
          </cell>
        </row>
        <row r="69">
          <cell r="A69" t="str">
            <v>40</v>
          </cell>
          <cell r="B69">
            <v>5</v>
          </cell>
          <cell r="C69">
            <v>3.1864379822216645E-3</v>
          </cell>
          <cell r="D69">
            <v>2.5</v>
          </cell>
          <cell r="E69">
            <v>1.5806275618636602E-2</v>
          </cell>
          <cell r="F69">
            <v>933251.5089650756</v>
          </cell>
          <cell r="G69">
            <v>14751.230572210492</v>
          </cell>
          <cell r="H69">
            <v>4629379.4683948522</v>
          </cell>
          <cell r="I69">
            <v>0.98038463370457751</v>
          </cell>
          <cell r="J69">
            <v>34578042.302598588</v>
          </cell>
          <cell r="K69">
            <v>37.051150703140813</v>
          </cell>
        </row>
        <row r="70">
          <cell r="A70" t="str">
            <v>45</v>
          </cell>
          <cell r="B70">
            <v>5</v>
          </cell>
          <cell r="C70">
            <v>4.7529391789217067E-3</v>
          </cell>
          <cell r="D70">
            <v>2.5</v>
          </cell>
          <cell r="E70">
            <v>2.3485631449957984E-2</v>
          </cell>
          <cell r="F70">
            <v>918500.27839286509</v>
          </cell>
          <cell r="G70">
            <v>21571.559025018636</v>
          </cell>
          <cell r="H70">
            <v>4538572.494401779</v>
          </cell>
          <cell r="I70">
            <v>0.97099217443166874</v>
          </cell>
          <cell r="J70">
            <v>29948662.834203735</v>
          </cell>
          <cell r="K70">
            <v>32.606046550803505</v>
          </cell>
        </row>
        <row r="71">
          <cell r="A71" t="str">
            <v>50</v>
          </cell>
          <cell r="B71">
            <v>5</v>
          </cell>
          <cell r="C71">
            <v>7.054836515464436E-3</v>
          </cell>
          <cell r="D71">
            <v>2.5</v>
          </cell>
          <cell r="E71">
            <v>3.4662831061565896E-2</v>
          </cell>
          <cell r="F71">
            <v>896928.7193678465</v>
          </cell>
          <cell r="G71">
            <v>31090.088673714312</v>
          </cell>
          <cell r="H71">
            <v>4406918.375154946</v>
          </cell>
          <cell r="I71">
            <v>0.95646918353670463</v>
          </cell>
          <cell r="J71">
            <v>25410090.339801956</v>
          </cell>
          <cell r="K71">
            <v>28.330111179527105</v>
          </cell>
        </row>
        <row r="72">
          <cell r="A72" t="str">
            <v>55</v>
          </cell>
          <cell r="B72">
            <v>5</v>
          </cell>
          <cell r="C72">
            <v>1.0828880060260081E-2</v>
          </cell>
          <cell r="D72">
            <v>2.5</v>
          </cell>
          <cell r="E72">
            <v>5.2717228928364078E-2</v>
          </cell>
          <cell r="F72">
            <v>865838.63069413218</v>
          </cell>
          <cell r="G72">
            <v>45644.613309323846</v>
          </cell>
          <cell r="H72">
            <v>4215081.620197352</v>
          </cell>
          <cell r="I72">
            <v>0.93571903108928878</v>
          </cell>
          <cell r="J72">
            <v>21003171.96464701</v>
          </cell>
          <cell r="K72">
            <v>24.257605539971145</v>
          </cell>
        </row>
        <row r="73">
          <cell r="A73" t="str">
            <v>60</v>
          </cell>
          <cell r="B73">
            <v>5</v>
          </cell>
          <cell r="C73">
            <v>1.5905957888553545E-2</v>
          </cell>
          <cell r="D73">
            <v>2.5</v>
          </cell>
          <cell r="E73">
            <v>7.6488242531095069E-2</v>
          </cell>
          <cell r="F73">
            <v>820194.01738480839</v>
          </cell>
          <cell r="G73">
            <v>62735.198924282427</v>
          </cell>
          <cell r="H73">
            <v>3944132.0896133357</v>
          </cell>
          <cell r="I73">
            <v>0.905967793554181</v>
          </cell>
          <cell r="J73">
            <v>16788090.344449658</v>
          </cell>
          <cell r="K73">
            <v>20.468437941035642</v>
          </cell>
        </row>
        <row r="74">
          <cell r="A74" t="str">
            <v>65</v>
          </cell>
          <cell r="B74">
            <v>5</v>
          </cell>
          <cell r="C74">
            <v>2.3959929750500448E-2</v>
          </cell>
          <cell r="D74">
            <v>2.5</v>
          </cell>
          <cell r="E74">
            <v>0.1130292184197729</v>
          </cell>
          <cell r="F74">
            <v>757458.81846052594</v>
          </cell>
          <cell r="G74">
            <v>85614.978235757895</v>
          </cell>
          <cell r="H74">
            <v>3573256.6467132349</v>
          </cell>
          <cell r="I74">
            <v>0.72179474770811058</v>
          </cell>
          <cell r="J74">
            <v>12843958.254836321</v>
          </cell>
          <cell r="K74">
            <v>16.956642317453813</v>
          </cell>
        </row>
        <row r="75">
          <cell r="A75" t="str">
            <v>70</v>
          </cell>
          <cell r="B75" t="str">
            <v xml:space="preserve">   +</v>
          </cell>
          <cell r="C75">
            <v>7.2469578746455543E-2</v>
          </cell>
          <cell r="D75">
            <v>13.79889351225061</v>
          </cell>
          <cell r="E75">
            <v>1</v>
          </cell>
          <cell r="F75">
            <v>671843.84022476804</v>
          </cell>
          <cell r="G75">
            <v>671843.84022476804</v>
          </cell>
          <cell r="H75">
            <v>9270701.6081230864</v>
          </cell>
          <cell r="I75" t="str">
            <v xml:space="preserve"> </v>
          </cell>
          <cell r="J75">
            <v>9270701.6081230864</v>
          </cell>
          <cell r="K75">
            <v>13.79889351225061</v>
          </cell>
        </row>
        <row r="76">
          <cell r="A76" t="str">
            <v/>
          </cell>
          <cell r="B76" t="str">
            <v xml:space="preserve"> </v>
          </cell>
          <cell r="D76" t="str">
            <v xml:space="preserve"> </v>
          </cell>
          <cell r="E76" t="str">
            <v xml:space="preserve"> </v>
          </cell>
          <cell r="F76" t="str">
            <v xml:space="preserve"> </v>
          </cell>
          <cell r="G76" t="str">
            <v xml:space="preserve"> </v>
          </cell>
          <cell r="H76" t="str">
            <v xml:space="preserve"> </v>
          </cell>
          <cell r="I76" t="str">
            <v xml:space="preserve"> </v>
          </cell>
          <cell r="J76" t="str">
            <v xml:space="preserve"> </v>
          </cell>
          <cell r="K76" t="str">
            <v xml:space="preserve"> </v>
          </cell>
        </row>
        <row r="77">
          <cell r="A77" t="str">
            <v/>
          </cell>
          <cell r="B77" t="str">
            <v xml:space="preserve"> </v>
          </cell>
          <cell r="C77" t="str">
            <v/>
          </cell>
          <cell r="D77" t="str">
            <v xml:space="preserve"> </v>
          </cell>
          <cell r="E77" t="str">
            <v xml:space="preserve"> </v>
          </cell>
          <cell r="F77" t="str">
            <v xml:space="preserve"> </v>
          </cell>
          <cell r="G77" t="str">
            <v xml:space="preserve"> </v>
          </cell>
          <cell r="H77" t="str">
            <v xml:space="preserve"> </v>
          </cell>
          <cell r="I77" t="str">
            <v xml:space="preserve"> </v>
          </cell>
          <cell r="J77" t="str">
            <v xml:space="preserve"> </v>
          </cell>
          <cell r="K77" t="str">
            <v xml:space="preserve"> </v>
          </cell>
        </row>
        <row r="78">
          <cell r="A78" t="str">
            <v/>
          </cell>
          <cell r="B78" t="str">
            <v xml:space="preserve"> </v>
          </cell>
          <cell r="C78" t="str">
            <v/>
          </cell>
          <cell r="D78" t="str">
            <v xml:space="preserve"> </v>
          </cell>
          <cell r="E78" t="str">
            <v xml:space="preserve"> </v>
          </cell>
          <cell r="F78" t="str">
            <v xml:space="preserve"> </v>
          </cell>
          <cell r="G78" t="str">
            <v xml:space="preserve"> </v>
          </cell>
          <cell r="H78" t="str">
            <v xml:space="preserve"> </v>
          </cell>
          <cell r="I78" t="str">
            <v xml:space="preserve"> </v>
          </cell>
          <cell r="J78" t="str">
            <v xml:space="preserve"> </v>
          </cell>
          <cell r="K78" t="str">
            <v xml:space="preserve"> </v>
          </cell>
        </row>
        <row r="79">
          <cell r="A79" t="str">
            <v/>
          </cell>
          <cell r="B79" t="str">
            <v xml:space="preserve"> </v>
          </cell>
          <cell r="C79" t="str">
            <v/>
          </cell>
          <cell r="D79" t="str">
            <v xml:space="preserve"> </v>
          </cell>
          <cell r="E79" t="str">
            <v xml:space="preserve"> </v>
          </cell>
          <cell r="F79" t="str">
            <v xml:space="preserve"> </v>
          </cell>
          <cell r="G79" t="str">
            <v xml:space="preserve"> </v>
          </cell>
          <cell r="H79" t="str">
            <v xml:space="preserve"> </v>
          </cell>
          <cell r="I79" t="str">
            <v xml:space="preserve"> </v>
          </cell>
          <cell r="J79" t="str">
            <v xml:space="preserve"> </v>
          </cell>
          <cell r="K79" t="str">
            <v xml:space="preserve"> </v>
          </cell>
        </row>
        <row r="80">
          <cell r="A80" t="str">
            <v/>
          </cell>
          <cell r="B80" t="str">
            <v xml:space="preserve"> </v>
          </cell>
          <cell r="C80" t="str">
            <v/>
          </cell>
          <cell r="D80" t="str">
            <v xml:space="preserve"> </v>
          </cell>
          <cell r="E80" t="str">
            <v xml:space="preserve"> </v>
          </cell>
          <cell r="F80" t="str">
            <v xml:space="preserve"> </v>
          </cell>
          <cell r="G80" t="str">
            <v xml:space="preserve"> </v>
          </cell>
          <cell r="H80" t="str">
            <v xml:space="preserve"> </v>
          </cell>
          <cell r="I80" t="str">
            <v xml:space="preserve"> </v>
          </cell>
          <cell r="J80" t="str">
            <v xml:space="preserve"> </v>
          </cell>
          <cell r="K80" t="str">
            <v xml:space="preserve"> </v>
          </cell>
        </row>
        <row r="81">
          <cell r="A81" t="str">
            <v/>
          </cell>
          <cell r="B81" t="str">
            <v xml:space="preserve"> </v>
          </cell>
          <cell r="C81" t="str">
            <v/>
          </cell>
          <cell r="D81" t="str">
            <v xml:space="preserve"> </v>
          </cell>
          <cell r="E81" t="str">
            <v xml:space="preserve"> </v>
          </cell>
          <cell r="F81" t="str">
            <v xml:space="preserve"> </v>
          </cell>
          <cell r="G81" t="str">
            <v xml:space="preserve"> </v>
          </cell>
          <cell r="H81" t="str">
            <v xml:space="preserve"> </v>
          </cell>
          <cell r="J81" t="str">
            <v xml:space="preserve"> </v>
          </cell>
          <cell r="K81" t="str">
            <v xml:space="preserve"> </v>
          </cell>
        </row>
        <row r="82">
          <cell r="A82" t="str">
            <v>-</v>
          </cell>
          <cell r="B82" t="str">
            <v>-</v>
          </cell>
          <cell r="C82" t="str">
            <v>-</v>
          </cell>
          <cell r="D82" t="str">
            <v>-</v>
          </cell>
          <cell r="E82" t="str">
            <v>-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</row>
        <row r="83">
          <cell r="A83" t="str">
            <v>nMx = Age-specific central death rate.</v>
          </cell>
        </row>
        <row r="84">
          <cell r="A84" t="str">
            <v>nax = Average person-years lived by those who die between ages x</v>
          </cell>
        </row>
        <row r="85">
          <cell r="A85" t="str">
            <v xml:space="preserve">      and x+n.</v>
          </cell>
        </row>
        <row r="86">
          <cell r="A86" t="str">
            <v>nqx = Probability of dying between exact ages x and x+n</v>
          </cell>
        </row>
        <row r="87">
          <cell r="A87" t="str">
            <v xml:space="preserve">      (age-specific mortality rate).</v>
          </cell>
        </row>
        <row r="88">
          <cell r="A88" t="str">
            <v xml:space="preserve"> lx = Number of survivors at age x.</v>
          </cell>
        </row>
        <row r="89">
          <cell r="A89" t="str">
            <v>ndx = Number of deaths occurring between ages x and x+n.</v>
          </cell>
        </row>
        <row r="90">
          <cell r="A90" t="str">
            <v>nLx = Number of person-years lived between ages x and x+n.</v>
          </cell>
        </row>
        <row r="91">
          <cell r="A91" t="str">
            <v>5Px = Survival ratio for persons aged x to x+5 surviving 5 years to</v>
          </cell>
        </row>
        <row r="92">
          <cell r="A92" t="str">
            <v xml:space="preserve">      ages x+5 to x+10 = 5Lx+5/5Lx (first 5Px = 5L0/5l0, </v>
          </cell>
        </row>
        <row r="93">
          <cell r="A93" t="str">
            <v xml:space="preserve">      second 5Px= 5L5/5L0, last 5Px = Tx+5/Tx).</v>
          </cell>
        </row>
        <row r="94">
          <cell r="A94" t="str">
            <v xml:space="preserve"> Tx = Number of person-years lived after age x.</v>
          </cell>
        </row>
        <row r="95">
          <cell r="A95" t="str">
            <v xml:space="preserve"> ex = Life expectancy at age x.</v>
          </cell>
        </row>
        <row r="96">
          <cell r="A96" t="str">
            <v>Note:</v>
          </cell>
        </row>
        <row r="97">
          <cell r="A97" t="str">
            <v>Separation factors:</v>
          </cell>
          <cell r="D97" t="str">
            <v xml:space="preserve"> West</v>
          </cell>
        </row>
        <row r="98">
          <cell r="A98" t="str">
            <v>‚::</v>
          </cell>
        </row>
        <row r="99">
          <cell r="A99" t="str">
            <v>D.  Smoothed Abridged Life Table Based on Deaths and Population:</v>
          </cell>
          <cell r="H99" t="str">
            <v>Female</v>
          </cell>
        </row>
        <row r="100">
          <cell r="A100" t="str">
            <v>-</v>
          </cell>
          <cell r="B100" t="str">
            <v>-</v>
          </cell>
          <cell r="C100" t="str">
            <v>-</v>
          </cell>
          <cell r="D100" t="str">
            <v>-</v>
          </cell>
          <cell r="E100" t="str">
            <v>-</v>
          </cell>
          <cell r="F100" t="str">
            <v>-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</row>
        <row r="101">
          <cell r="A101" t="str">
            <v>Age,</v>
          </cell>
          <cell r="B101" t="str">
            <v>Width,</v>
          </cell>
        </row>
        <row r="102">
          <cell r="A102" t="str">
            <v>x</v>
          </cell>
          <cell r="B102" t="str">
            <v>n</v>
          </cell>
          <cell r="C102" t="str">
            <v>nMx</v>
          </cell>
          <cell r="D102" t="str">
            <v xml:space="preserve">    nax</v>
          </cell>
          <cell r="E102" t="str">
            <v>nqx</v>
          </cell>
          <cell r="F102" t="str">
            <v xml:space="preserve"> lx</v>
          </cell>
          <cell r="G102" t="str">
            <v>ndx</v>
          </cell>
          <cell r="H102" t="str">
            <v>nLx</v>
          </cell>
          <cell r="I102" t="str">
            <v>5Px</v>
          </cell>
          <cell r="J102" t="str">
            <v xml:space="preserve"> Tx</v>
          </cell>
          <cell r="K102" t="str">
            <v xml:space="preserve"> ex</v>
          </cell>
        </row>
        <row r="103">
          <cell r="A103" t="str">
            <v>-</v>
          </cell>
          <cell r="B103" t="str">
            <v>-</v>
          </cell>
          <cell r="C103" t="str">
            <v>-</v>
          </cell>
          <cell r="D103" t="str">
            <v>-</v>
          </cell>
          <cell r="E103" t="str">
            <v>-</v>
          </cell>
          <cell r="F103" t="str">
            <v>-</v>
          </cell>
          <cell r="G103" t="str">
            <v>-</v>
          </cell>
          <cell r="H103" t="str">
            <v>-</v>
          </cell>
          <cell r="I103" t="str">
            <v>-</v>
          </cell>
          <cell r="J103" t="str">
            <v>-</v>
          </cell>
          <cell r="K103" t="str">
            <v>-</v>
          </cell>
        </row>
        <row r="104">
          <cell r="A104" t="str">
            <v>0</v>
          </cell>
          <cell r="B104">
            <v>1</v>
          </cell>
          <cell r="C104">
            <v>2.6776053242757378E-2</v>
          </cell>
          <cell r="D104">
            <v>0.12849641246767934</v>
          </cell>
          <cell r="E104">
            <v>2.6165470822559586E-2</v>
          </cell>
          <cell r="F104">
            <v>100000</v>
          </cell>
          <cell r="G104">
            <v>2616.5470822559587</v>
          </cell>
          <cell r="H104">
            <v>97719.669830866711</v>
          </cell>
          <cell r="I104">
            <v>0.9724896531552758</v>
          </cell>
          <cell r="J104">
            <v>7295947.7849618252</v>
          </cell>
          <cell r="K104">
            <v>72.959477849618253</v>
          </cell>
        </row>
        <row r="105">
          <cell r="A105" t="str">
            <v>1</v>
          </cell>
          <cell r="B105">
            <v>4</v>
          </cell>
          <cell r="C105">
            <v>1.0307877109340161E-3</v>
          </cell>
          <cell r="D105">
            <v>1.4814287789716956</v>
          </cell>
          <cell r="E105">
            <v>4.1124743985157279E-3</v>
          </cell>
          <cell r="F105">
            <v>97383.452917744042</v>
          </cell>
          <cell r="G105">
            <v>400.48695696328411</v>
          </cell>
          <cell r="H105">
            <v>388525.15674677124</v>
          </cell>
          <cell r="I105">
            <v>0.9963913332334694</v>
          </cell>
          <cell r="J105">
            <v>7198228.1151309581</v>
          </cell>
          <cell r="K105">
            <v>73.916336907985979</v>
          </cell>
        </row>
        <row r="106">
          <cell r="A106" t="str">
            <v>5</v>
          </cell>
          <cell r="B106">
            <v>5</v>
          </cell>
          <cell r="C106">
            <v>3.5063564364435664E-4</v>
          </cell>
          <cell r="D106">
            <v>2.5</v>
          </cell>
          <cell r="E106">
            <v>1.7516427472664764E-3</v>
          </cell>
          <cell r="F106">
            <v>96982.965960780755</v>
          </cell>
          <cell r="G106">
            <v>169.87950893359317</v>
          </cell>
          <cell r="H106">
            <v>484490.13103156979</v>
          </cell>
          <cell r="I106">
            <v>0.99813592821585706</v>
          </cell>
          <cell r="J106">
            <v>6809702.958384187</v>
          </cell>
          <cell r="K106">
            <v>70.215453723471228</v>
          </cell>
        </row>
        <row r="107">
          <cell r="A107" t="str">
            <v>10</v>
          </cell>
          <cell r="B107">
            <v>5</v>
          </cell>
          <cell r="C107">
            <v>3.9573074052030177E-4</v>
          </cell>
          <cell r="D107">
            <v>2.5</v>
          </cell>
          <cell r="E107">
            <v>1.9766981020921939E-3</v>
          </cell>
          <cell r="F107">
            <v>96813.086451847164</v>
          </cell>
          <cell r="G107">
            <v>191.37024424705379</v>
          </cell>
          <cell r="H107">
            <v>483587.00664861815</v>
          </cell>
          <cell r="I107">
            <v>0.99739514052339584</v>
          </cell>
          <cell r="J107">
            <v>6325212.8273526169</v>
          </cell>
          <cell r="K107">
            <v>65.334275139535478</v>
          </cell>
        </row>
        <row r="108">
          <cell r="A108" t="str">
            <v>15</v>
          </cell>
          <cell r="B108">
            <v>5</v>
          </cell>
          <cell r="C108">
            <v>6.4790074050519088E-4</v>
          </cell>
          <cell r="D108">
            <v>2.5</v>
          </cell>
          <cell r="E108">
            <v>3.2342649958115133E-3</v>
          </cell>
          <cell r="F108">
            <v>96621.716207600111</v>
          </cell>
          <cell r="G108">
            <v>312.50023456547501</v>
          </cell>
          <cell r="H108">
            <v>482327.33045158687</v>
          </cell>
          <cell r="I108">
            <v>0.99599785652409634</v>
          </cell>
          <cell r="J108">
            <v>5841625.8207039991</v>
          </cell>
          <cell r="K108">
            <v>60.458725532806319</v>
          </cell>
        </row>
        <row r="109">
          <cell r="A109" t="str">
            <v>20</v>
          </cell>
          <cell r="B109">
            <v>5</v>
          </cell>
          <cell r="C109">
            <v>9.5678584408002802E-4</v>
          </cell>
          <cell r="D109">
            <v>2.5</v>
          </cell>
          <cell r="E109">
            <v>4.7725135369181314E-3</v>
          </cell>
          <cell r="F109">
            <v>96309.215973034647</v>
          </cell>
          <cell r="G109">
            <v>459.63703696127976</v>
          </cell>
          <cell r="H109">
            <v>480396.98727277003</v>
          </cell>
          <cell r="I109">
            <v>0.99444999569342729</v>
          </cell>
          <cell r="J109">
            <v>5359298.4902524119</v>
          </cell>
          <cell r="K109">
            <v>55.646787652730424</v>
          </cell>
        </row>
        <row r="110">
          <cell r="A110" t="str">
            <v>25</v>
          </cell>
          <cell r="B110">
            <v>5</v>
          </cell>
          <cell r="C110">
            <v>1.2702658595401121E-3</v>
          </cell>
          <cell r="D110">
            <v>2.5</v>
          </cell>
          <cell r="E110">
            <v>6.3312234551899417E-3</v>
          </cell>
          <cell r="F110">
            <v>95849.578936073376</v>
          </cell>
          <cell r="G110">
            <v>606.84510233014748</v>
          </cell>
          <cell r="H110">
            <v>477730.78192454157</v>
          </cell>
          <cell r="I110">
            <v>0.99259370919582102</v>
          </cell>
          <cell r="J110">
            <v>4878901.5029796418</v>
          </cell>
          <cell r="K110">
            <v>50.901647739460728</v>
          </cell>
        </row>
        <row r="111">
          <cell r="A111" t="str">
            <v>30</v>
          </cell>
          <cell r="B111">
            <v>5</v>
          </cell>
          <cell r="C111">
            <v>1.7048772790454834E-3</v>
          </cell>
          <cell r="D111">
            <v>2.5</v>
          </cell>
          <cell r="E111">
            <v>8.4882080127754358E-3</v>
          </cell>
          <cell r="F111">
            <v>95242.73383374323</v>
          </cell>
          <cell r="G111">
            <v>808.4401364862174</v>
          </cell>
          <cell r="H111">
            <v>474192.56882750063</v>
          </cell>
          <cell r="I111">
            <v>0.99001069955589693</v>
          </cell>
          <cell r="J111">
            <v>4401170.7210551007</v>
          </cell>
          <cell r="K111">
            <v>46.210041899236458</v>
          </cell>
        </row>
        <row r="112">
          <cell r="A112" t="str">
            <v>35</v>
          </cell>
          <cell r="B112">
            <v>5</v>
          </cell>
          <cell r="C112">
            <v>2.3139577174503597E-3</v>
          </cell>
          <cell r="D112">
            <v>2.5</v>
          </cell>
          <cell r="E112">
            <v>1.1503243539342865E-2</v>
          </cell>
          <cell r="F112">
            <v>94434.293697257017</v>
          </cell>
          <cell r="G112">
            <v>1086.3006788653784</v>
          </cell>
          <cell r="H112">
            <v>469455.71678912168</v>
          </cell>
          <cell r="I112">
            <v>0.98618083571459014</v>
          </cell>
          <cell r="J112">
            <v>3926978.1522275996</v>
          </cell>
          <cell r="K112">
            <v>41.584238082162564</v>
          </cell>
        </row>
        <row r="113">
          <cell r="A113" t="str">
            <v>40</v>
          </cell>
          <cell r="B113">
            <v>5</v>
          </cell>
          <cell r="C113">
            <v>3.2587410749924778E-3</v>
          </cell>
          <cell r="D113">
            <v>2.5</v>
          </cell>
          <cell r="E113">
            <v>1.616203565138077E-2</v>
          </cell>
          <cell r="F113">
            <v>93347.993018391644</v>
          </cell>
          <cell r="G113">
            <v>1508.6935911480889</v>
          </cell>
          <cell r="H113">
            <v>462968.23111408798</v>
          </cell>
          <cell r="I113">
            <v>0.98023587576713211</v>
          </cell>
          <cell r="J113">
            <v>3457522.4354384779</v>
          </cell>
          <cell r="K113">
            <v>37.03906558288049</v>
          </cell>
        </row>
        <row r="114">
          <cell r="A114" t="str">
            <v>45</v>
          </cell>
          <cell r="B114">
            <v>5</v>
          </cell>
          <cell r="C114">
            <v>4.7406024743973279E-3</v>
          </cell>
          <cell r="D114">
            <v>2.5</v>
          </cell>
          <cell r="E114">
            <v>2.3425386261795682E-2</v>
          </cell>
          <cell r="F114">
            <v>91839.299427243561</v>
          </cell>
          <cell r="G114">
            <v>2151.3710630958913</v>
          </cell>
          <cell r="H114">
            <v>453818.06947847805</v>
          </cell>
          <cell r="I114">
            <v>0.97084960540800802</v>
          </cell>
          <cell r="J114">
            <v>2994554.2043243898</v>
          </cell>
          <cell r="K114">
            <v>32.606457398956096</v>
          </cell>
        </row>
        <row r="115">
          <cell r="A115" t="str">
            <v>50</v>
          </cell>
          <cell r="B115">
            <v>5</v>
          </cell>
          <cell r="C115">
            <v>7.1273195393549002E-3</v>
          </cell>
          <cell r="D115">
            <v>2.5</v>
          </cell>
          <cell r="E115">
            <v>3.5012730402956604E-2</v>
          </cell>
          <cell r="F115">
            <v>89687.928364147665</v>
          </cell>
          <cell r="G115">
            <v>3140.219256213587</v>
          </cell>
          <cell r="H115">
            <v>440589.09368020436</v>
          </cell>
          <cell r="I115">
            <v>0.95668402402625929</v>
          </cell>
          <cell r="J115">
            <v>2540736.1348459115</v>
          </cell>
          <cell r="K115">
            <v>28.328629963779598</v>
          </cell>
        </row>
        <row r="116">
          <cell r="A116" t="str">
            <v>55</v>
          </cell>
          <cell r="B116">
            <v>5</v>
          </cell>
          <cell r="C116">
            <v>1.0660856243023686E-2</v>
          </cell>
          <cell r="D116">
            <v>2.5</v>
          </cell>
          <cell r="E116">
            <v>5.1920489040790052E-2</v>
          </cell>
          <cell r="F116">
            <v>86547.709107934075</v>
          </cell>
          <cell r="G116">
            <v>4493.5993822439768</v>
          </cell>
          <cell r="H116">
            <v>421504.54708406044</v>
          </cell>
          <cell r="I116">
            <v>0.93585569504552424</v>
          </cell>
          <cell r="J116">
            <v>2100147.0411657072</v>
          </cell>
          <cell r="K116">
            <v>24.265772749069573</v>
          </cell>
        </row>
        <row r="117">
          <cell r="A117" t="str">
            <v>60</v>
          </cell>
          <cell r="B117">
            <v>5</v>
          </cell>
          <cell r="C117">
            <v>1.602476302506993E-2</v>
          </cell>
          <cell r="D117">
            <v>2.5</v>
          </cell>
          <cell r="E117">
            <v>7.7037544152650669E-2</v>
          </cell>
          <cell r="F117">
            <v>82054.109725690098</v>
          </cell>
          <cell r="G117">
            <v>6321.2471008992934</v>
          </cell>
          <cell r="H117">
            <v>394467.4308762023</v>
          </cell>
          <cell r="I117">
            <v>0.90568756627754599</v>
          </cell>
          <cell r="J117">
            <v>1678642.4940816467</v>
          </cell>
          <cell r="K117">
            <v>20.457750375860638</v>
          </cell>
        </row>
        <row r="118">
          <cell r="A118" t="str">
            <v>65</v>
          </cell>
          <cell r="B118">
            <v>5</v>
          </cell>
          <cell r="C118">
            <v>2.3959929750500448E-2</v>
          </cell>
          <cell r="D118">
            <v>2.5</v>
          </cell>
          <cell r="E118">
            <v>0.1130292184197729</v>
          </cell>
          <cell r="F118">
            <v>75732.862624790811</v>
          </cell>
          <cell r="G118">
            <v>8560.0262711721352</v>
          </cell>
          <cell r="H118">
            <v>357264.24744602374</v>
          </cell>
          <cell r="I118">
            <v>0.72179474770811058</v>
          </cell>
          <cell r="J118">
            <v>1284175.0632054443</v>
          </cell>
          <cell r="K118">
            <v>16.956642317453817</v>
          </cell>
        </row>
        <row r="119">
          <cell r="A119" t="str">
            <v>70</v>
          </cell>
          <cell r="B119" t="str">
            <v xml:space="preserve">     +</v>
          </cell>
          <cell r="C119">
            <v>7.2469578746455543E-2</v>
          </cell>
          <cell r="D119">
            <v>13.79889351225061</v>
          </cell>
          <cell r="E119">
            <v>1</v>
          </cell>
          <cell r="F119">
            <v>67172.836353618681</v>
          </cell>
          <cell r="G119">
            <v>67172.836353618681</v>
          </cell>
          <cell r="H119">
            <v>926910.81575942063</v>
          </cell>
          <cell r="I119" t="str">
            <v xml:space="preserve"> </v>
          </cell>
          <cell r="J119">
            <v>926910.81575942063</v>
          </cell>
          <cell r="K119">
            <v>13.798893512250608</v>
          </cell>
        </row>
        <row r="120">
          <cell r="A120" t="str">
            <v/>
          </cell>
          <cell r="B120" t="str">
            <v xml:space="preserve"> </v>
          </cell>
          <cell r="C120" t="str">
            <v xml:space="preserve"> </v>
          </cell>
          <cell r="D120" t="str">
            <v xml:space="preserve"> </v>
          </cell>
          <cell r="E120" t="str">
            <v xml:space="preserve"> </v>
          </cell>
          <cell r="F120" t="str">
            <v xml:space="preserve"> </v>
          </cell>
          <cell r="G120" t="str">
            <v xml:space="preserve"> </v>
          </cell>
          <cell r="H120" t="str">
            <v xml:space="preserve"> </v>
          </cell>
          <cell r="I120" t="str">
            <v xml:space="preserve"> </v>
          </cell>
          <cell r="J120" t="str">
            <v xml:space="preserve"> </v>
          </cell>
          <cell r="K120" t="str">
            <v xml:space="preserve"> </v>
          </cell>
        </row>
        <row r="121">
          <cell r="A121" t="str">
            <v/>
          </cell>
          <cell r="B121" t="str">
            <v xml:space="preserve"> </v>
          </cell>
          <cell r="C121" t="str">
            <v xml:space="preserve"> </v>
          </cell>
          <cell r="D121" t="str">
            <v xml:space="preserve"> </v>
          </cell>
          <cell r="E121" t="str">
            <v xml:space="preserve"> </v>
          </cell>
          <cell r="F121" t="str">
            <v xml:space="preserve"> </v>
          </cell>
          <cell r="G121" t="str">
            <v xml:space="preserve"> </v>
          </cell>
          <cell r="H121" t="str">
            <v xml:space="preserve"> </v>
          </cell>
          <cell r="I121" t="str">
            <v xml:space="preserve"> </v>
          </cell>
          <cell r="J121" t="str">
            <v xml:space="preserve"> </v>
          </cell>
          <cell r="K121" t="str">
            <v xml:space="preserve"> </v>
          </cell>
        </row>
        <row r="122">
          <cell r="A122" t="str">
            <v/>
          </cell>
          <cell r="B122" t="str">
            <v xml:space="preserve"> </v>
          </cell>
          <cell r="C122" t="str">
            <v xml:space="preserve"> </v>
          </cell>
          <cell r="D122" t="str">
            <v xml:space="preserve"> </v>
          </cell>
          <cell r="E122" t="str">
            <v xml:space="preserve"> </v>
          </cell>
          <cell r="F122" t="str">
            <v xml:space="preserve"> </v>
          </cell>
          <cell r="G122" t="str">
            <v xml:space="preserve"> </v>
          </cell>
          <cell r="H122" t="str">
            <v xml:space="preserve"> </v>
          </cell>
          <cell r="I122" t="str">
            <v xml:space="preserve"> </v>
          </cell>
          <cell r="J122" t="str">
            <v xml:space="preserve"> </v>
          </cell>
          <cell r="K122" t="str">
            <v xml:space="preserve"> </v>
          </cell>
        </row>
        <row r="123">
          <cell r="A123" t="str">
            <v/>
          </cell>
          <cell r="B123" t="str">
            <v xml:space="preserve"> </v>
          </cell>
          <cell r="C123" t="str">
            <v xml:space="preserve"> </v>
          </cell>
          <cell r="D123" t="str">
            <v xml:space="preserve"> </v>
          </cell>
          <cell r="E123" t="str">
            <v xml:space="preserve"> </v>
          </cell>
          <cell r="F123" t="str">
            <v xml:space="preserve"> </v>
          </cell>
          <cell r="G123" t="str">
            <v xml:space="preserve"> </v>
          </cell>
          <cell r="H123" t="str">
            <v xml:space="preserve"> </v>
          </cell>
          <cell r="I123" t="str">
            <v xml:space="preserve"> </v>
          </cell>
          <cell r="J123" t="str">
            <v xml:space="preserve"> </v>
          </cell>
          <cell r="K123" t="str">
            <v xml:space="preserve"> </v>
          </cell>
        </row>
        <row r="124">
          <cell r="A124" t="str">
            <v/>
          </cell>
          <cell r="B124" t="str">
            <v xml:space="preserve"> </v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 xml:space="preserve"> </v>
          </cell>
          <cell r="I124" t="str">
            <v xml:space="preserve"> </v>
          </cell>
          <cell r="J124" t="str">
            <v xml:space="preserve"> </v>
          </cell>
          <cell r="K124" t="str">
            <v xml:space="preserve"> </v>
          </cell>
        </row>
        <row r="125">
          <cell r="A125" t="str">
            <v/>
          </cell>
          <cell r="B125" t="str">
            <v xml:space="preserve"> </v>
          </cell>
          <cell r="C125" t="str">
            <v xml:space="preserve"> </v>
          </cell>
          <cell r="D125" t="str">
            <v xml:space="preserve"> </v>
          </cell>
          <cell r="E125" t="str">
            <v xml:space="preserve"> </v>
          </cell>
          <cell r="F125" t="str">
            <v xml:space="preserve"> </v>
          </cell>
          <cell r="G125" t="str">
            <v xml:space="preserve"> </v>
          </cell>
          <cell r="H125" t="str">
            <v xml:space="preserve"> </v>
          </cell>
          <cell r="J125" t="str">
            <v xml:space="preserve"> </v>
          </cell>
          <cell r="K125" t="str">
            <v xml:space="preserve"> </v>
          </cell>
        </row>
        <row r="126">
          <cell r="A126" t="str">
            <v>-</v>
          </cell>
          <cell r="B126" t="str">
            <v>-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  <cell r="I126" t="str">
            <v>-</v>
          </cell>
          <cell r="J126" t="str">
            <v>-</v>
          </cell>
          <cell r="K126" t="str">
            <v>-</v>
          </cell>
        </row>
        <row r="127">
          <cell r="A127" t="str">
            <v>nMx = Age-specific central death rate.</v>
          </cell>
        </row>
        <row r="128">
          <cell r="A128" t="str">
            <v>nax = Average person-years lived by those who die between ages x</v>
          </cell>
        </row>
        <row r="129">
          <cell r="A129" t="str">
            <v xml:space="preserve">      and x+n.</v>
          </cell>
        </row>
        <row r="130">
          <cell r="A130" t="str">
            <v>nqx = Probability of dying between exact ages x and x+n</v>
          </cell>
        </row>
        <row r="131">
          <cell r="A131" t="str">
            <v xml:space="preserve">      (age-specific mortality rate).</v>
          </cell>
        </row>
        <row r="132">
          <cell r="A132" t="str">
            <v xml:space="preserve"> lx = Number of survivors at age x.</v>
          </cell>
        </row>
        <row r="133">
          <cell r="A133" t="str">
            <v>ndx = Number of deaths occurring between ages x and x=n.</v>
          </cell>
        </row>
        <row r="134">
          <cell r="A134" t="str">
            <v>nLx = Number of person-years lived between ages x and x+n.</v>
          </cell>
        </row>
        <row r="135">
          <cell r="A135" t="str">
            <v>5Px = Survival ratio for persons aged x to x+5 surviving 5 years to</v>
          </cell>
        </row>
        <row r="136">
          <cell r="A136" t="str">
            <v xml:space="preserve">      ages x+5 to x+10 = 5Lx+5/5Lx (first 5Px = 5L0/5l0, </v>
          </cell>
        </row>
        <row r="137">
          <cell r="A137" t="str">
            <v xml:space="preserve">      second 5Px= 5L5/5L0, last 5Px = Tx+5/Tx).</v>
          </cell>
        </row>
        <row r="138">
          <cell r="A138" t="str">
            <v xml:space="preserve"> Tx = Number of person-years lived after age x.</v>
          </cell>
        </row>
        <row r="139">
          <cell r="A139" t="str">
            <v xml:space="preserve"> ex = Life expectancy at age x.</v>
          </cell>
        </row>
        <row r="140">
          <cell r="A140" t="str">
            <v>Note:</v>
          </cell>
        </row>
        <row r="141">
          <cell r="A141" t="str">
            <v>nMx values were smoothed for ages 15+ based on a moving average of the</v>
          </cell>
        </row>
        <row r="142">
          <cell r="A142" t="str">
            <v xml:space="preserve">      logs:  smoothed log(5Mx) = 1/3 [log(5Mx-5)+log(5Mx)+log(5Mx+5)]</v>
          </cell>
        </row>
        <row r="143">
          <cell r="A143" t="str">
            <v>Separation factors:</v>
          </cell>
          <cell r="D143" t="str">
            <v xml:space="preserve"> West</v>
          </cell>
        </row>
        <row r="144">
          <cell r="A144" t="str">
            <v>‚::</v>
          </cell>
        </row>
        <row r="351">
          <cell r="F351">
            <v>-1.572253437077948</v>
          </cell>
          <cell r="G351">
            <v>-1.5822714461412126</v>
          </cell>
          <cell r="H351" t="str">
            <v xml:space="preserve">  Female</v>
          </cell>
        </row>
        <row r="352">
          <cell r="F352">
            <v>-2.9868307677553574</v>
          </cell>
          <cell r="G352">
            <v>-2.3858967926572778</v>
          </cell>
        </row>
        <row r="353">
          <cell r="F353">
            <v>-3.4551439380675637</v>
          </cell>
          <cell r="G353">
            <v>-2.7565544647841964</v>
          </cell>
        </row>
        <row r="354">
          <cell r="F354">
            <v>-3.4026002122566137</v>
          </cell>
          <cell r="G354">
            <v>-2.7040596547163003</v>
          </cell>
        </row>
        <row r="355">
          <cell r="F355">
            <v>-3.1884915236861993</v>
          </cell>
          <cell r="G355">
            <v>-2.4902243995490334</v>
          </cell>
        </row>
        <row r="356">
          <cell r="F356">
            <v>-3.0191852588190939</v>
          </cell>
          <cell r="G356">
            <v>-2.3212528310850535</v>
          </cell>
        </row>
        <row r="357">
          <cell r="F357">
            <v>-2.8961053741246072</v>
          </cell>
          <cell r="G357">
            <v>-2.1985123581507202</v>
          </cell>
        </row>
        <row r="358">
          <cell r="F358">
            <v>-2.7683068770536159</v>
          </cell>
          <cell r="G358">
            <v>-2.0711839861173655</v>
          </cell>
        </row>
        <row r="359">
          <cell r="F359">
            <v>-2.6356445810998101</v>
          </cell>
          <cell r="G359">
            <v>-1.9391796855052639</v>
          </cell>
        </row>
        <row r="360">
          <cell r="F360">
            <v>-2.4869501452633771</v>
          </cell>
          <cell r="G360">
            <v>-1.7915039395710992</v>
          </cell>
        </row>
        <row r="361">
          <cell r="F361">
            <v>-2.3241664611362203</v>
          </cell>
          <cell r="G361">
            <v>-1.6303132392882782</v>
          </cell>
        </row>
        <row r="362">
          <cell r="F362">
            <v>-2.1470737700275584</v>
          </cell>
          <cell r="G362">
            <v>-1.4557740202632434</v>
          </cell>
        </row>
        <row r="363">
          <cell r="F363">
            <v>-1.9722079128810566</v>
          </cell>
          <cell r="G363">
            <v>-1.2846612255544456</v>
          </cell>
        </row>
        <row r="364">
          <cell r="F364">
            <v>-1.7952083841283615</v>
          </cell>
          <cell r="G364">
            <v>-1.1132975703533072</v>
          </cell>
        </row>
        <row r="365">
          <cell r="F365">
            <v>-1.6205144596138923</v>
          </cell>
          <cell r="G365">
            <v>-0.94680927547046867</v>
          </cell>
        </row>
        <row r="366">
          <cell r="F366">
            <v>-1.1398442631555945</v>
          </cell>
          <cell r="G366" t="e">
            <v>#N/A</v>
          </cell>
        </row>
        <row r="367">
          <cell r="F367" t="e">
            <v>#N/A</v>
          </cell>
          <cell r="G367" t="e">
            <v>#N/A</v>
          </cell>
        </row>
        <row r="368">
          <cell r="F368" t="e">
            <v>#N/A</v>
          </cell>
          <cell r="G368" t="e">
            <v>#N/A</v>
          </cell>
        </row>
        <row r="369">
          <cell r="F369" t="e">
            <v>#N/A</v>
          </cell>
          <cell r="G369" t="e">
            <v>#N/A</v>
          </cell>
        </row>
        <row r="370">
          <cell r="F370" t="e">
            <v>#N/A</v>
          </cell>
          <cell r="G370" t="e">
            <v>#N/A</v>
          </cell>
        </row>
        <row r="371">
          <cell r="F371" t="e">
            <v>#N/A</v>
          </cell>
          <cell r="G371" t="e">
            <v>#N/A</v>
          </cell>
        </row>
        <row r="372">
          <cell r="F372" t="e">
            <v>#N/A</v>
          </cell>
          <cell r="G372" t="e">
            <v>#N/A</v>
          </cell>
        </row>
        <row r="538">
          <cell r="B538" t="str">
            <v/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1"/>
      <sheetName val="Tab2"/>
      <sheetName val="Tab3"/>
      <sheetName val="Tab4"/>
      <sheetName val="Tab5"/>
      <sheetName val="Tab6"/>
      <sheetName val="Tab7"/>
      <sheetName val="Tab8"/>
      <sheetName val="Tab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 IMP Diesel 2020"/>
      <sheetName val="Gráfico IMP Derivados 2020"/>
      <sheetName val="T2.53"/>
      <sheetName val="T2.57"/>
      <sheetName val="Value-of-Exports-in-Refined-Pe"/>
      <sheetName val="Export 2019"/>
      <sheetName val="Export 2020"/>
      <sheetName val="Cotas Exp Chin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4">
          <cell r="C4" t="str">
            <v>Bélgica</v>
          </cell>
        </row>
      </sheetData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"/>
      <sheetName val="scf"/>
      <sheetName val="siafi"/>
      <sheetName val="fluxo"/>
      <sheetName val="massa"/>
      <sheetName val="recprev"/>
      <sheetName val="DRF"/>
      <sheetName val="RF"/>
      <sheetName val="prev"/>
      <sheetName val="nota"/>
      <sheetName val="obs"/>
      <sheetName val="Plan1"/>
    </sheetNames>
    <sheetDataSet>
      <sheetData sheetId="0" refreshError="1"/>
      <sheetData sheetId="1" refreshError="1"/>
      <sheetData sheetId="2" refreshError="1"/>
      <sheetData sheetId="3">
        <row r="3">
          <cell r="B3" t="str">
            <v>Janeiro</v>
          </cell>
          <cell r="C3" t="str">
            <v>Fevereiro</v>
          </cell>
        </row>
        <row r="4">
          <cell r="B4">
            <v>25610026.768679995</v>
          </cell>
          <cell r="C4">
            <v>24485063.700049996</v>
          </cell>
        </row>
        <row r="5">
          <cell r="B5">
            <v>22361493.041509993</v>
          </cell>
          <cell r="C5">
            <v>21409933.992899995</v>
          </cell>
        </row>
        <row r="6">
          <cell r="A6" t="str">
            <v xml:space="preserve">   1.2. Arrecadação / Comprev / Dec.6.900/09</v>
          </cell>
          <cell r="B6">
            <v>34.57358</v>
          </cell>
          <cell r="C6">
            <v>76.672640000000001</v>
          </cell>
          <cell r="D6">
            <v>721.52764999999999</v>
          </cell>
          <cell r="E6">
            <v>599.1606700000001</v>
          </cell>
          <cell r="F6">
            <v>485.1046</v>
          </cell>
          <cell r="G6">
            <v>572.89988000000005</v>
          </cell>
          <cell r="H6">
            <v>109.74894999999999</v>
          </cell>
          <cell r="I6">
            <v>270.2217</v>
          </cell>
          <cell r="J6">
            <v>89.678640000000001</v>
          </cell>
          <cell r="K6">
            <v>0</v>
          </cell>
          <cell r="L6">
            <v>0</v>
          </cell>
          <cell r="M6">
            <v>0</v>
          </cell>
          <cell r="N6">
            <v>34.57358</v>
          </cell>
        </row>
        <row r="7">
          <cell r="A7" t="str">
            <v xml:space="preserve">   1.3. Arrecadação / Lei 11.941/09</v>
          </cell>
          <cell r="B7">
            <v>294778.37718999997</v>
          </cell>
          <cell r="C7">
            <v>295607.52705999993</v>
          </cell>
          <cell r="D7">
            <v>426027.15471000003</v>
          </cell>
          <cell r="E7">
            <v>289971.59198000003</v>
          </cell>
          <cell r="F7">
            <v>328406.49359000003</v>
          </cell>
          <cell r="G7">
            <v>272307.52026999992</v>
          </cell>
          <cell r="H7">
            <v>282543.78969999979</v>
          </cell>
          <cell r="I7">
            <v>279801.34380000015</v>
          </cell>
          <cell r="J7">
            <v>252942.79356999957</v>
          </cell>
          <cell r="K7">
            <v>0</v>
          </cell>
          <cell r="L7">
            <v>0</v>
          </cell>
          <cell r="M7">
            <v>0</v>
          </cell>
          <cell r="N7">
            <v>294778.37718999997</v>
          </cell>
        </row>
        <row r="8">
          <cell r="A8" t="str">
            <v xml:space="preserve">   1.4. Arrecadação / FIES</v>
          </cell>
          <cell r="B8">
            <v>20279.797609999998</v>
          </cell>
          <cell r="C8">
            <v>6998.8110199999992</v>
          </cell>
          <cell r="D8">
            <v>12721.712710000002</v>
          </cell>
          <cell r="E8">
            <v>20479.599829999999</v>
          </cell>
          <cell r="F8">
            <v>20121.838039999999</v>
          </cell>
          <cell r="G8">
            <v>18486.734949999998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20279.797609999998</v>
          </cell>
        </row>
        <row r="9">
          <cell r="A9" t="str">
            <v xml:space="preserve">   1.5. Arrecadação / SIMPLES/ NACIONAL/PAES</v>
          </cell>
          <cell r="B9">
            <v>2338433.3290800001</v>
          </cell>
          <cell r="C9">
            <v>1883416.9326700002</v>
          </cell>
          <cell r="D9">
            <v>1872392.4068800001</v>
          </cell>
          <cell r="E9">
            <v>2078003.1578599995</v>
          </cell>
          <cell r="F9">
            <v>2169107.934630001</v>
          </cell>
          <cell r="G9">
            <v>2195321.15692</v>
          </cell>
          <cell r="H9">
            <v>2170894.0318699996</v>
          </cell>
          <cell r="I9">
            <v>2253963.2518099998</v>
          </cell>
          <cell r="J9">
            <v>2320828.8512499994</v>
          </cell>
          <cell r="K9">
            <v>0</v>
          </cell>
          <cell r="L9">
            <v>0</v>
          </cell>
          <cell r="M9">
            <v>0</v>
          </cell>
          <cell r="N9">
            <v>2338433.3290800001</v>
          </cell>
        </row>
        <row r="10">
          <cell r="A10" t="str">
            <v xml:space="preserve">   1.6. Arrecadação / REFIS</v>
          </cell>
          <cell r="B10">
            <v>9209.0830500000011</v>
          </cell>
          <cell r="C10">
            <v>8752.0291899999975</v>
          </cell>
          <cell r="D10">
            <v>6924.9918500000013</v>
          </cell>
          <cell r="E10">
            <v>8134.4796100000003</v>
          </cell>
          <cell r="F10">
            <v>8756.4725800000015</v>
          </cell>
          <cell r="G10">
            <v>7903.4007399999964</v>
          </cell>
          <cell r="H10">
            <v>9643.8865600000008</v>
          </cell>
          <cell r="I10">
            <v>26159.947039999992</v>
          </cell>
          <cell r="J10">
            <v>8666.5498900000093</v>
          </cell>
          <cell r="K10">
            <v>0</v>
          </cell>
          <cell r="L10">
            <v>0</v>
          </cell>
          <cell r="M10">
            <v>0</v>
          </cell>
          <cell r="N10">
            <v>9209.0830500000011</v>
          </cell>
        </row>
        <row r="11">
          <cell r="B11">
            <v>10353.967419999957</v>
          </cell>
          <cell r="C11">
            <v>7713.6828999999761</v>
          </cell>
        </row>
        <row r="12">
          <cell r="B12">
            <v>180446.96636000002</v>
          </cell>
          <cell r="C12">
            <v>216735.06396999999</v>
          </cell>
        </row>
        <row r="13">
          <cell r="B13">
            <v>297686.94374000002</v>
          </cell>
          <cell r="C13">
            <v>470528.69750000001</v>
          </cell>
        </row>
        <row r="14">
          <cell r="A14" t="str">
            <v xml:space="preserve">   1.10. Arrecadação / Compensação Lei 12.546</v>
          </cell>
          <cell r="B14">
            <v>0</v>
          </cell>
          <cell r="C14">
            <v>0</v>
          </cell>
          <cell r="D14">
            <v>0</v>
          </cell>
          <cell r="E14">
            <v>1912610</v>
          </cell>
          <cell r="F14">
            <v>634600</v>
          </cell>
          <cell r="G14">
            <v>961240</v>
          </cell>
          <cell r="H14">
            <v>808110</v>
          </cell>
          <cell r="I14">
            <v>907050</v>
          </cell>
          <cell r="J14">
            <v>979330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 xml:space="preserve">   1.11. Depósitos Judiciais</v>
          </cell>
          <cell r="B15">
            <v>97310.689140000002</v>
          </cell>
          <cell r="C15">
            <v>185300.29019999996</v>
          </cell>
          <cell r="D15">
            <v>344575.62156</v>
          </cell>
          <cell r="E15">
            <v>130037.35848</v>
          </cell>
          <cell r="F15">
            <v>172053.08157000001</v>
          </cell>
          <cell r="G15">
            <v>129469.86108999999</v>
          </cell>
          <cell r="H15">
            <v>59487.523729999994</v>
          </cell>
          <cell r="I15">
            <v>112786.91075999998</v>
          </cell>
          <cell r="J15">
            <v>138053.13589000001</v>
          </cell>
          <cell r="K15">
            <v>0</v>
          </cell>
          <cell r="L15">
            <v>0</v>
          </cell>
          <cell r="M15">
            <v>0</v>
          </cell>
          <cell r="N15">
            <v>97310.689140000002</v>
          </cell>
        </row>
        <row r="16">
          <cell r="B16">
            <v>21411011.665789995</v>
          </cell>
          <cell r="C16">
            <v>21915535.265489995</v>
          </cell>
        </row>
        <row r="17">
          <cell r="B17">
            <v>25610026.768679995</v>
          </cell>
          <cell r="C17">
            <v>24485063.700049996</v>
          </cell>
        </row>
        <row r="18">
          <cell r="B18">
            <v>0</v>
          </cell>
          <cell r="C18">
            <v>0</v>
          </cell>
        </row>
        <row r="19">
          <cell r="B19">
            <v>7990.5573199999999</v>
          </cell>
          <cell r="C19">
            <v>12792.654530000002</v>
          </cell>
        </row>
        <row r="20">
          <cell r="B20">
            <v>1.6950000000178989E-2</v>
          </cell>
          <cell r="C20">
            <v>154.08655000000181</v>
          </cell>
        </row>
        <row r="21">
          <cell r="B21">
            <v>7990.5403699999997</v>
          </cell>
          <cell r="C21">
            <v>12638.56798</v>
          </cell>
        </row>
        <row r="22">
          <cell r="B22">
            <v>4191024.5455700001</v>
          </cell>
          <cell r="C22">
            <v>2556735.78003</v>
          </cell>
        </row>
        <row r="23">
          <cell r="B23">
            <v>4107080.10335</v>
          </cell>
          <cell r="C23">
            <v>2505204.9339899998</v>
          </cell>
        </row>
        <row r="24">
          <cell r="B24">
            <v>83944.442220000012</v>
          </cell>
          <cell r="C24">
            <v>51530.846040000004</v>
          </cell>
        </row>
        <row r="25">
          <cell r="B25">
            <v>30853293.690389991</v>
          </cell>
          <cell r="C25">
            <v>28476557.166840006</v>
          </cell>
        </row>
        <row r="26">
          <cell r="B26">
            <v>213992.11891999998</v>
          </cell>
          <cell r="C26">
            <v>240082.75740999999</v>
          </cell>
        </row>
        <row r="27">
          <cell r="B27">
            <v>30639301.571469992</v>
          </cell>
          <cell r="C27">
            <v>28236474.409430005</v>
          </cell>
        </row>
        <row r="28">
          <cell r="B28">
            <v>27586827.073279995</v>
          </cell>
          <cell r="C28">
            <v>25376647.725890003</v>
          </cell>
        </row>
        <row r="29">
          <cell r="B29">
            <v>26848359.331619993</v>
          </cell>
          <cell r="C29">
            <v>25042458.329160001</v>
          </cell>
        </row>
        <row r="30">
          <cell r="B30">
            <v>20482675.974709999</v>
          </cell>
          <cell r="C30">
            <v>19598084.402119998</v>
          </cell>
        </row>
        <row r="31">
          <cell r="B31">
            <v>6365683.3569099996</v>
          </cell>
          <cell r="C31">
            <v>5444373.9270399995</v>
          </cell>
        </row>
        <row r="32">
          <cell r="B32">
            <v>637049.27509999997</v>
          </cell>
          <cell r="C32">
            <v>221853.78060000003</v>
          </cell>
        </row>
        <row r="33">
          <cell r="B33">
            <v>4624.3635400000003</v>
          </cell>
          <cell r="C33">
            <v>10701.02549</v>
          </cell>
        </row>
        <row r="34">
          <cell r="B34">
            <v>96794.103019999995</v>
          </cell>
          <cell r="C34">
            <v>101634.59063999999</v>
          </cell>
        </row>
        <row r="35">
          <cell r="B35">
            <v>86365.67793999998</v>
          </cell>
          <cell r="C35">
            <v>79953.137229999993</v>
          </cell>
        </row>
        <row r="36">
          <cell r="B36">
            <v>24136.068350000001</v>
          </cell>
          <cell r="C36">
            <v>28171.143780000002</v>
          </cell>
        </row>
        <row r="37">
          <cell r="B37">
            <v>2941972.7518999996</v>
          </cell>
          <cell r="C37">
            <v>2751702.4025300001</v>
          </cell>
        </row>
        <row r="39">
          <cell r="B39">
            <v>-6175815.4074900001</v>
          </cell>
          <cell r="C39">
            <v>-3461112.4604000077</v>
          </cell>
        </row>
        <row r="40">
          <cell r="B40">
            <v>2662735.1605100003</v>
          </cell>
          <cell r="C40">
            <v>2194851.9725800003</v>
          </cell>
        </row>
        <row r="42">
          <cell r="B42" t="str">
            <v>Janeiro</v>
          </cell>
          <cell r="C42" t="str">
            <v>Fevereiro</v>
          </cell>
        </row>
        <row r="43">
          <cell r="B43">
            <v>23351406.305020001</v>
          </cell>
          <cell r="C43">
            <v>21078167.638160005</v>
          </cell>
        </row>
        <row r="44">
          <cell r="A44" t="str">
            <v xml:space="preserve">   1.1. Arrecadação</v>
          </cell>
          <cell r="B44">
            <v>20640892.404830001</v>
          </cell>
          <cell r="C44">
            <v>20518891.996100001</v>
          </cell>
          <cell r="D44">
            <v>20782644.967039999</v>
          </cell>
          <cell r="E44">
            <v>21403396.162160002</v>
          </cell>
          <cell r="F44">
            <v>21638953.49467</v>
          </cell>
          <cell r="G44">
            <v>21395328.144130006</v>
          </cell>
          <cell r="H44">
            <v>21726897.457770001</v>
          </cell>
          <cell r="I44">
            <v>22172780.85627</v>
          </cell>
          <cell r="J44">
            <v>20954626.203020003</v>
          </cell>
          <cell r="K44">
            <v>21899967.129340004</v>
          </cell>
          <cell r="L44">
            <v>21790952.133309994</v>
          </cell>
          <cell r="M44">
            <v>36211214.757110007</v>
          </cell>
          <cell r="N44">
            <v>271136545.70574999</v>
          </cell>
        </row>
        <row r="45">
          <cell r="A45" t="str">
            <v xml:space="preserve">   1.2. Arrecadação / Comprev / Dec.6.900/09</v>
          </cell>
          <cell r="B45">
            <v>191.38797</v>
          </cell>
          <cell r="C45">
            <v>1112.33709</v>
          </cell>
          <cell r="D45">
            <v>1163.5530100000001</v>
          </cell>
          <cell r="E45">
            <v>49.773629999999997</v>
          </cell>
          <cell r="F45">
            <v>31.497029999999999</v>
          </cell>
          <cell r="G45">
            <v>16.119820000000001</v>
          </cell>
          <cell r="H45">
            <v>433.53728999999998</v>
          </cell>
          <cell r="I45">
            <v>662.09080000000006</v>
          </cell>
          <cell r="J45">
            <v>298.79782</v>
          </cell>
          <cell r="K45">
            <v>7010.2493399999985</v>
          </cell>
          <cell r="L45">
            <v>1748.9286100000002</v>
          </cell>
          <cell r="M45">
            <v>256.45591000000002</v>
          </cell>
          <cell r="N45">
            <v>12974.72832</v>
          </cell>
        </row>
        <row r="46">
          <cell r="A46" t="str">
            <v xml:space="preserve">   1.3. Arrecadação / Lei 11.941/09</v>
          </cell>
          <cell r="B46">
            <v>371979.48631999997</v>
          </cell>
          <cell r="C46">
            <v>394558.50581</v>
          </cell>
          <cell r="D46">
            <v>339444.28173000005</v>
          </cell>
          <cell r="E46">
            <v>384616.97345000011</v>
          </cell>
          <cell r="F46">
            <v>314120.10066000005</v>
          </cell>
          <cell r="G46">
            <v>312699.54412000021</v>
          </cell>
          <cell r="H46">
            <v>336403.03089999978</v>
          </cell>
          <cell r="I46">
            <v>329898.12938000041</v>
          </cell>
          <cell r="J46">
            <v>323417.15304999967</v>
          </cell>
          <cell r="K46">
            <v>310073.57661999995</v>
          </cell>
          <cell r="L46">
            <v>285269.64415000018</v>
          </cell>
          <cell r="M46">
            <v>276757.33544000034</v>
          </cell>
          <cell r="N46">
            <v>3979237.7616300005</v>
          </cell>
        </row>
        <row r="47">
          <cell r="A47" t="str">
            <v xml:space="preserve">   1.4. Arrecadação / FIES</v>
          </cell>
          <cell r="B47">
            <v>28045.252370000002</v>
          </cell>
          <cell r="C47">
            <v>11881.527090000001</v>
          </cell>
          <cell r="D47">
            <v>20071.10514</v>
          </cell>
          <cell r="E47">
            <v>34449.837049999995</v>
          </cell>
          <cell r="F47">
            <v>36078.908770000002</v>
          </cell>
          <cell r="G47">
            <v>30494.42439</v>
          </cell>
          <cell r="H47">
            <v>27630.134009999998</v>
          </cell>
          <cell r="I47">
            <v>17782.019629999999</v>
          </cell>
          <cell r="J47">
            <v>21554.4198</v>
          </cell>
          <cell r="K47">
            <v>26621.567189999998</v>
          </cell>
          <cell r="L47">
            <v>26306.635480000001</v>
          </cell>
          <cell r="M47">
            <v>35762.926100000004</v>
          </cell>
          <cell r="N47">
            <v>316678.75702000002</v>
          </cell>
        </row>
        <row r="48">
          <cell r="A48" t="str">
            <v xml:space="preserve">   1.5. Arrecadação / SIMPLES/ NACIONAL/PAES</v>
          </cell>
          <cell r="B48">
            <v>2096724.0133399998</v>
          </cell>
          <cell r="C48">
            <v>121521.70195999999</v>
          </cell>
          <cell r="D48">
            <v>3007748.4106799997</v>
          </cell>
          <cell r="E48">
            <v>1815897.5692</v>
          </cell>
          <cell r="F48">
            <v>1777131.8235100007</v>
          </cell>
          <cell r="G48">
            <v>1895805.4801599986</v>
          </cell>
          <cell r="H48">
            <v>2127169.1658900017</v>
          </cell>
          <cell r="I48">
            <v>1932797.214679999</v>
          </cell>
          <cell r="J48">
            <v>1998700.5523299996</v>
          </cell>
          <cell r="K48">
            <v>1998915.2995999991</v>
          </cell>
          <cell r="L48">
            <v>2074601.2242900014</v>
          </cell>
          <cell r="M48">
            <v>2105702.6446600002</v>
          </cell>
          <cell r="N48">
            <v>22952715.100299999</v>
          </cell>
        </row>
        <row r="49">
          <cell r="B49">
            <v>11510.558800000001</v>
          </cell>
          <cell r="C49">
            <v>10216.31403</v>
          </cell>
        </row>
        <row r="50">
          <cell r="B50">
            <v>99714.385900000008</v>
          </cell>
          <cell r="C50">
            <v>85849.223590000009</v>
          </cell>
        </row>
        <row r="51">
          <cell r="B51">
            <v>102348.81548999999</v>
          </cell>
          <cell r="C51">
            <v>-65863.967510000002</v>
          </cell>
        </row>
        <row r="52">
          <cell r="B52">
            <v>19597725.330180001</v>
          </cell>
          <cell r="C52">
            <v>18802341.884080004</v>
          </cell>
        </row>
        <row r="53">
          <cell r="B53">
            <v>23351406.305020001</v>
          </cell>
          <cell r="C53">
            <v>21078167.638160005</v>
          </cell>
        </row>
        <row r="54">
          <cell r="B54">
            <v>0</v>
          </cell>
          <cell r="C54">
            <v>0</v>
          </cell>
        </row>
        <row r="55">
          <cell r="B55">
            <v>11305.98654</v>
          </cell>
          <cell r="C55">
            <v>22251.154630000001</v>
          </cell>
        </row>
        <row r="56">
          <cell r="B56">
            <v>0.21811999999954423</v>
          </cell>
          <cell r="C56">
            <v>1.2627100000026985</v>
          </cell>
        </row>
        <row r="57">
          <cell r="B57">
            <v>11305.76842</v>
          </cell>
          <cell r="C57">
            <v>22249.891919999998</v>
          </cell>
        </row>
        <row r="58">
          <cell r="B58">
            <v>3742374.9883000003</v>
          </cell>
          <cell r="C58">
            <v>2253574.5994500001</v>
          </cell>
        </row>
        <row r="59">
          <cell r="B59">
            <v>3667747.2683900003</v>
          </cell>
          <cell r="C59">
            <v>2208144.9075500001</v>
          </cell>
        </row>
        <row r="60">
          <cell r="B60">
            <v>74627.719910000014</v>
          </cell>
          <cell r="C60">
            <v>45429.691899999998</v>
          </cell>
        </row>
        <row r="61">
          <cell r="B61">
            <v>25125093.713269994</v>
          </cell>
          <cell r="C61">
            <v>26606204.015769996</v>
          </cell>
        </row>
        <row r="62">
          <cell r="B62">
            <v>104602.78783</v>
          </cell>
          <cell r="C62">
            <v>123530.71001</v>
          </cell>
        </row>
        <row r="63">
          <cell r="B63">
            <v>25020490.925439995</v>
          </cell>
          <cell r="C63">
            <v>26482673.305759996</v>
          </cell>
        </row>
        <row r="64">
          <cell r="B64">
            <v>22603117.525329992</v>
          </cell>
          <cell r="C64">
            <v>23945765.257299997</v>
          </cell>
        </row>
        <row r="65">
          <cell r="B65">
            <v>22341968.361489989</v>
          </cell>
          <cell r="C65">
            <v>23504676.491939995</v>
          </cell>
        </row>
        <row r="66">
          <cell r="B66">
            <v>17208931.098950002</v>
          </cell>
          <cell r="C66">
            <v>18174081.162039999</v>
          </cell>
        </row>
        <row r="67">
          <cell r="B67">
            <v>5133037.2625399996</v>
          </cell>
          <cell r="C67">
            <v>5330595.3299000002</v>
          </cell>
        </row>
        <row r="68">
          <cell r="B68">
            <v>143007.26936999999</v>
          </cell>
          <cell r="C68">
            <v>310016.46915000002</v>
          </cell>
        </row>
        <row r="69">
          <cell r="B69">
            <v>6093.9040400000004</v>
          </cell>
          <cell r="C69">
            <v>9633.3678799999998</v>
          </cell>
        </row>
        <row r="70">
          <cell r="B70">
            <v>112047.99043000001</v>
          </cell>
          <cell r="C70">
            <v>121438.92833</v>
          </cell>
        </row>
        <row r="71">
          <cell r="B71">
            <v>83348.157769999976</v>
          </cell>
          <cell r="C71">
            <v>79085.926280000014</v>
          </cell>
        </row>
        <row r="72">
          <cell r="B72">
            <v>33009.920960000003</v>
          </cell>
          <cell r="C72">
            <v>32201.102270000003</v>
          </cell>
        </row>
        <row r="73">
          <cell r="B73">
            <v>2301015.3213800001</v>
          </cell>
          <cell r="C73">
            <v>2425621.0199100003</v>
          </cell>
        </row>
        <row r="75">
          <cell r="B75">
            <v>-3005392.1951499917</v>
          </cell>
          <cell r="C75">
            <v>-5143423.373219993</v>
          </cell>
        </row>
        <row r="76">
          <cell r="B76">
            <v>2508450.6987999999</v>
          </cell>
          <cell r="C76">
            <v>539290.38598000002</v>
          </cell>
        </row>
        <row r="78">
          <cell r="B78" t="str">
            <v>Janeiro</v>
          </cell>
          <cell r="C78" t="str">
            <v>Fevereiro</v>
          </cell>
        </row>
        <row r="79">
          <cell r="B79">
            <v>20398364.487629998</v>
          </cell>
          <cell r="C79">
            <v>19731671.862969998</v>
          </cell>
        </row>
        <row r="80">
          <cell r="B80">
            <v>18107721.330479998</v>
          </cell>
          <cell r="C80">
            <v>18099330.148189999</v>
          </cell>
        </row>
        <row r="81">
          <cell r="B81">
            <v>415.24768</v>
          </cell>
          <cell r="C81">
            <v>20.196300000000001</v>
          </cell>
        </row>
        <row r="82">
          <cell r="B82">
            <v>166968.67937999999</v>
          </cell>
          <cell r="C82">
            <v>166745.07256999999</v>
          </cell>
        </row>
        <row r="83">
          <cell r="B83">
            <v>43218.868569999999</v>
          </cell>
          <cell r="C83">
            <v>0</v>
          </cell>
        </row>
        <row r="84">
          <cell r="B84">
            <v>5387.2129400000003</v>
          </cell>
          <cell r="C84">
            <v>4673.5630799999999</v>
          </cell>
        </row>
        <row r="85">
          <cell r="B85">
            <v>1858931.86372</v>
          </cell>
          <cell r="C85">
            <v>1385169.6218699999</v>
          </cell>
        </row>
        <row r="86">
          <cell r="B86">
            <v>10714.40207</v>
          </cell>
          <cell r="C86">
            <v>9452.8914299999997</v>
          </cell>
        </row>
        <row r="87">
          <cell r="B87">
            <v>205006.88279</v>
          </cell>
          <cell r="C87">
            <v>66280.369529999996</v>
          </cell>
        </row>
        <row r="88">
          <cell r="B88">
            <v>17115823.142030001</v>
          </cell>
          <cell r="C88">
            <v>17777634.159680001</v>
          </cell>
        </row>
        <row r="89">
          <cell r="B89">
            <v>20398364.487629998</v>
          </cell>
          <cell r="C89">
            <v>19731671.862969998</v>
          </cell>
        </row>
        <row r="90">
          <cell r="B90">
            <v>766.30125999999996</v>
          </cell>
          <cell r="C90">
            <v>0</v>
          </cell>
        </row>
        <row r="91">
          <cell r="B91">
            <v>5821.0773399999998</v>
          </cell>
          <cell r="C91">
            <v>13638.52485</v>
          </cell>
        </row>
        <row r="92">
          <cell r="B92">
            <v>1.2429299999994301</v>
          </cell>
          <cell r="C92">
            <v>6.0629999999946498E-2</v>
          </cell>
        </row>
        <row r="93">
          <cell r="B93">
            <v>5819.8344100000004</v>
          </cell>
          <cell r="C93">
            <v>13638.46422</v>
          </cell>
        </row>
        <row r="94">
          <cell r="B94">
            <v>3275953.9670000002</v>
          </cell>
          <cell r="C94">
            <v>1940399.1784399999</v>
          </cell>
        </row>
        <row r="95">
          <cell r="B95">
            <v>3210616.3672199999</v>
          </cell>
          <cell r="C95">
            <v>1901371.22596</v>
          </cell>
        </row>
        <row r="96">
          <cell r="B96">
            <v>65337.599779999997</v>
          </cell>
          <cell r="C96">
            <v>39027.95248</v>
          </cell>
        </row>
        <row r="97">
          <cell r="B97">
            <v>22393625.571830001</v>
          </cell>
          <cell r="C97">
            <v>23275702.785689998</v>
          </cell>
        </row>
        <row r="98">
          <cell r="B98">
            <v>134417.5099</v>
          </cell>
          <cell r="C98">
            <v>61547.523789999999</v>
          </cell>
        </row>
        <row r="99">
          <cell r="B99">
            <v>22259208.061930001</v>
          </cell>
          <cell r="C99">
            <v>23214155.2619</v>
          </cell>
        </row>
        <row r="100">
          <cell r="B100">
            <v>20137695.47242</v>
          </cell>
          <cell r="C100">
            <v>21093231.658410002</v>
          </cell>
        </row>
        <row r="101">
          <cell r="B101">
            <v>19806969.410769999</v>
          </cell>
          <cell r="C101">
            <v>20810419.729740001</v>
          </cell>
        </row>
        <row r="102">
          <cell r="B102">
            <v>15413866.514180001</v>
          </cell>
          <cell r="C102">
            <v>16253865.76647</v>
          </cell>
        </row>
        <row r="103">
          <cell r="B103">
            <v>4393102.89659</v>
          </cell>
          <cell r="C103">
            <v>4556553.9632700002</v>
          </cell>
        </row>
        <row r="104">
          <cell r="B104">
            <v>219743.33916</v>
          </cell>
          <cell r="C104">
            <v>169852.54475999999</v>
          </cell>
        </row>
        <row r="105">
          <cell r="B105">
            <v>4751.5696799999996</v>
          </cell>
          <cell r="C105">
            <v>13739.68079</v>
          </cell>
        </row>
        <row r="106">
          <cell r="B106">
            <v>106231.15281</v>
          </cell>
          <cell r="C106">
            <v>99219.703120000006</v>
          </cell>
        </row>
        <row r="107">
          <cell r="B107">
            <v>120444.62473</v>
          </cell>
          <cell r="C107">
            <v>63649.433100000002</v>
          </cell>
        </row>
        <row r="108">
          <cell r="B108">
            <v>31105.37429</v>
          </cell>
          <cell r="C108">
            <v>20230.058089999999</v>
          </cell>
        </row>
        <row r="109">
          <cell r="B109">
            <v>1969962.5904900001</v>
          </cell>
          <cell r="C109">
            <v>2037044.1122999999</v>
          </cell>
        </row>
        <row r="111">
          <cell r="B111">
            <v>-3021872</v>
          </cell>
          <cell r="C111">
            <v>-3315597</v>
          </cell>
        </row>
      </sheetData>
      <sheetData sheetId="4" refreshError="1"/>
      <sheetData sheetId="5">
        <row r="1">
          <cell r="V1" t="str">
            <v>Índice</v>
          </cell>
        </row>
        <row r="2">
          <cell r="V2" t="str">
            <v>Ipca</v>
          </cell>
        </row>
        <row r="3">
          <cell r="V3">
            <v>1598.41</v>
          </cell>
        </row>
        <row r="4">
          <cell r="V4">
            <v>1600.49</v>
          </cell>
        </row>
        <row r="5">
          <cell r="V5">
            <v>1604.01</v>
          </cell>
        </row>
        <row r="6">
          <cell r="V6">
            <v>1610.75</v>
          </cell>
        </row>
        <row r="7">
          <cell r="V7">
            <v>1610.91</v>
          </cell>
        </row>
        <row r="8">
          <cell r="V8">
            <v>1614.62</v>
          </cell>
        </row>
        <row r="9">
          <cell r="V9">
            <v>1640.62</v>
          </cell>
        </row>
        <row r="10">
          <cell r="V10">
            <v>1662.11</v>
          </cell>
        </row>
        <row r="11">
          <cell r="V11">
            <v>1665.93</v>
          </cell>
        </row>
        <row r="12">
          <cell r="V12">
            <v>1668.26</v>
          </cell>
        </row>
        <row r="13">
          <cell r="V13">
            <v>1673.6</v>
          </cell>
        </row>
        <row r="14">
          <cell r="V14">
            <v>1683.47</v>
          </cell>
        </row>
        <row r="15">
          <cell r="V15">
            <v>1693.07</v>
          </cell>
        </row>
        <row r="16">
          <cell r="V16">
            <v>1700.86</v>
          </cell>
        </row>
        <row r="17">
          <cell r="V17">
            <v>1707.32</v>
          </cell>
        </row>
        <row r="18">
          <cell r="V18">
            <v>1717.22</v>
          </cell>
        </row>
        <row r="19">
          <cell r="V19">
            <v>1724.26</v>
          </cell>
        </row>
        <row r="20">
          <cell r="V20">
            <v>1733.23</v>
          </cell>
        </row>
        <row r="21">
          <cell r="V21">
            <v>1756.28</v>
          </cell>
        </row>
        <row r="22">
          <cell r="V22">
            <v>1768.57</v>
          </cell>
        </row>
        <row r="23">
          <cell r="V23">
            <v>1773.52</v>
          </cell>
        </row>
        <row r="24">
          <cell r="V24">
            <v>1788.24</v>
          </cell>
        </row>
        <row r="25">
          <cell r="V25">
            <v>1800.94</v>
          </cell>
        </row>
        <row r="26">
          <cell r="V26">
            <v>1812.65</v>
          </cell>
        </row>
        <row r="27">
          <cell r="V27">
            <v>1822.08</v>
          </cell>
        </row>
        <row r="28">
          <cell r="V28">
            <v>1828.64</v>
          </cell>
        </row>
        <row r="29">
          <cell r="V29">
            <v>1839.61</v>
          </cell>
        </row>
        <row r="30">
          <cell r="V30">
            <v>1854.33</v>
          </cell>
        </row>
        <row r="31">
          <cell r="V31">
            <v>1858.22</v>
          </cell>
        </row>
        <row r="32">
          <cell r="V32">
            <v>1866.02</v>
          </cell>
        </row>
        <row r="33">
          <cell r="V33">
            <v>1888.23</v>
          </cell>
        </row>
        <row r="34">
          <cell r="V34">
            <v>1900.5</v>
          </cell>
        </row>
        <row r="35">
          <cell r="V35">
            <v>1914.18</v>
          </cell>
        </row>
        <row r="36">
          <cell r="V36">
            <v>1939.26</v>
          </cell>
        </row>
        <row r="37">
          <cell r="V37">
            <v>1997.83</v>
          </cell>
        </row>
        <row r="38">
          <cell r="V38">
            <v>2039.78</v>
          </cell>
        </row>
        <row r="39">
          <cell r="V39">
            <v>2085.6799999999998</v>
          </cell>
        </row>
        <row r="40">
          <cell r="V40">
            <v>2118.4299999999998</v>
          </cell>
        </row>
        <row r="41">
          <cell r="V41">
            <v>2144.4899999999998</v>
          </cell>
        </row>
        <row r="42">
          <cell r="V42">
            <v>2165.29</v>
          </cell>
        </row>
        <row r="43">
          <cell r="V43">
            <v>2178.5</v>
          </cell>
        </row>
        <row r="44">
          <cell r="V44">
            <v>2175.23</v>
          </cell>
        </row>
        <row r="45">
          <cell r="V45">
            <v>2179.58</v>
          </cell>
        </row>
        <row r="46">
          <cell r="V46">
            <v>2186.9899999999998</v>
          </cell>
        </row>
        <row r="47">
          <cell r="V47">
            <v>2204.0500000000002</v>
          </cell>
        </row>
        <row r="48">
          <cell r="V48">
            <v>2210.44</v>
          </cell>
        </row>
        <row r="49">
          <cell r="V49">
            <v>2217.96</v>
          </cell>
        </row>
        <row r="50">
          <cell r="V50">
            <v>2229.4899999999998</v>
          </cell>
        </row>
        <row r="51">
          <cell r="V51">
            <v>2246.4299999999998</v>
          </cell>
        </row>
        <row r="52">
          <cell r="V52">
            <v>2260.13</v>
          </cell>
        </row>
        <row r="53">
          <cell r="V53">
            <v>2270.75</v>
          </cell>
        </row>
        <row r="54">
          <cell r="V54">
            <v>2279.15</v>
          </cell>
        </row>
        <row r="55">
          <cell r="V55">
            <v>2290.77</v>
          </cell>
        </row>
        <row r="56">
          <cell r="V56">
            <v>2307.0300000000002</v>
          </cell>
        </row>
        <row r="57">
          <cell r="V57">
            <v>2328.02</v>
          </cell>
        </row>
        <row r="58">
          <cell r="V58">
            <v>2344.08</v>
          </cell>
        </row>
        <row r="59">
          <cell r="V59">
            <v>2351.8200000000002</v>
          </cell>
        </row>
        <row r="60">
          <cell r="V60">
            <v>2362.17</v>
          </cell>
        </row>
        <row r="61">
          <cell r="V61">
            <v>2378.4699999999998</v>
          </cell>
        </row>
        <row r="62">
          <cell r="V62">
            <v>2398.92</v>
          </cell>
        </row>
        <row r="63">
          <cell r="V63">
            <v>2412.83</v>
          </cell>
        </row>
        <row r="64">
          <cell r="V64">
            <v>2427.0700000000002</v>
          </cell>
        </row>
        <row r="65">
          <cell r="V65">
            <v>2441.87</v>
          </cell>
        </row>
        <row r="66">
          <cell r="V66">
            <v>2463.11</v>
          </cell>
        </row>
        <row r="67">
          <cell r="V67">
            <v>2475.1799999999998</v>
          </cell>
        </row>
        <row r="68">
          <cell r="V68">
            <v>2474.6799999999998</v>
          </cell>
        </row>
        <row r="69">
          <cell r="V69">
            <v>2480.87</v>
          </cell>
        </row>
        <row r="70">
          <cell r="V70">
            <v>2485.09</v>
          </cell>
        </row>
        <row r="71">
          <cell r="V71">
            <v>2493.79</v>
          </cell>
        </row>
        <row r="72">
          <cell r="V72">
            <v>2512.4899999999998</v>
          </cell>
        </row>
        <row r="73">
          <cell r="V73">
            <v>2526.31</v>
          </cell>
        </row>
        <row r="74">
          <cell r="V74">
            <v>2535.4</v>
          </cell>
        </row>
        <row r="75">
          <cell r="V75">
            <v>2550.36</v>
          </cell>
        </row>
        <row r="76">
          <cell r="V76">
            <v>2560.8200000000002</v>
          </cell>
        </row>
        <row r="77">
          <cell r="V77">
            <v>2571.83</v>
          </cell>
        </row>
        <row r="78">
          <cell r="V78">
            <v>2577.23</v>
          </cell>
        </row>
        <row r="79">
          <cell r="V79">
            <v>2579.81</v>
          </cell>
        </row>
        <row r="80">
          <cell r="V80">
            <v>2574.39</v>
          </cell>
        </row>
        <row r="81">
          <cell r="V81">
            <v>2579.2800000000002</v>
          </cell>
        </row>
        <row r="82">
          <cell r="V82">
            <v>2580.5700000000002</v>
          </cell>
        </row>
        <row r="83">
          <cell r="V83">
            <v>2585.9899999999998</v>
          </cell>
        </row>
        <row r="84">
          <cell r="V84">
            <v>2594.52</v>
          </cell>
        </row>
        <row r="85">
          <cell r="V85">
            <v>2602.56</v>
          </cell>
        </row>
        <row r="86">
          <cell r="V86">
            <v>2615.1</v>
          </cell>
        </row>
        <row r="87">
          <cell r="V87">
            <v>2626.56</v>
          </cell>
        </row>
        <row r="88">
          <cell r="V88">
            <v>2638.12</v>
          </cell>
        </row>
        <row r="89">
          <cell r="V89">
            <v>2647.88</v>
          </cell>
        </row>
        <row r="90">
          <cell r="V90">
            <v>2654.5</v>
          </cell>
        </row>
        <row r="91">
          <cell r="V91">
            <v>2661.93</v>
          </cell>
        </row>
        <row r="92">
          <cell r="V92">
            <v>2669.38</v>
          </cell>
        </row>
        <row r="93">
          <cell r="V93">
            <v>2675.79</v>
          </cell>
        </row>
        <row r="94">
          <cell r="V94">
            <v>2688.37</v>
          </cell>
        </row>
        <row r="95">
          <cell r="V95">
            <v>2693.21</v>
          </cell>
        </row>
        <row r="96">
          <cell r="V96">
            <v>2701.29</v>
          </cell>
        </row>
        <row r="97">
          <cell r="V97">
            <v>2711.55</v>
          </cell>
        </row>
        <row r="98">
          <cell r="V98">
            <v>2731.62</v>
          </cell>
        </row>
        <row r="99">
          <cell r="V99">
            <v>2746.37</v>
          </cell>
        </row>
        <row r="100">
          <cell r="V100">
            <v>2759.83</v>
          </cell>
        </row>
        <row r="101">
          <cell r="V101">
            <v>2773.08</v>
          </cell>
        </row>
        <row r="102">
          <cell r="V102">
            <v>2788.33</v>
          </cell>
        </row>
        <row r="103">
          <cell r="V103">
            <v>2810.36</v>
          </cell>
        </row>
        <row r="104">
          <cell r="V104">
            <v>2831.16</v>
          </cell>
        </row>
        <row r="105">
          <cell r="V105">
            <v>2846.16</v>
          </cell>
        </row>
        <row r="106">
          <cell r="V106">
            <v>2854.13</v>
          </cell>
        </row>
        <row r="107">
          <cell r="V107">
            <v>2861.55</v>
          </cell>
        </row>
        <row r="108">
          <cell r="V108">
            <v>2874.43</v>
          </cell>
        </row>
        <row r="109">
          <cell r="V109">
            <v>2884.78</v>
          </cell>
        </row>
        <row r="110">
          <cell r="V110">
            <v>2892.86</v>
          </cell>
        </row>
        <row r="111">
          <cell r="V111">
            <v>2906.74</v>
          </cell>
        </row>
        <row r="112">
          <cell r="V112">
            <v>2922.73</v>
          </cell>
        </row>
        <row r="113">
          <cell r="V113">
            <v>2928.57</v>
          </cell>
        </row>
        <row r="114">
          <cell r="V114">
            <v>2942.63</v>
          </cell>
        </row>
        <row r="115">
          <cell r="V115">
            <v>2956.46</v>
          </cell>
        </row>
        <row r="116">
          <cell r="V116">
            <v>2967.1</v>
          </cell>
        </row>
        <row r="117">
          <cell r="V117">
            <v>2974.22</v>
          </cell>
        </row>
        <row r="118">
          <cell r="V118">
            <v>2978.68</v>
          </cell>
        </row>
        <row r="119">
          <cell r="V119">
            <v>2985.83</v>
          </cell>
        </row>
        <row r="120">
          <cell r="V120">
            <v>2994.19</v>
          </cell>
        </row>
        <row r="121">
          <cell r="V121">
            <v>3006.47</v>
          </cell>
        </row>
        <row r="122">
          <cell r="V122">
            <v>3017.59</v>
          </cell>
        </row>
        <row r="123">
          <cell r="V123">
            <v>3040.22</v>
          </cell>
        </row>
        <row r="124">
          <cell r="V124">
            <v>3063.93</v>
          </cell>
        </row>
        <row r="125">
          <cell r="V125">
            <v>3079.86</v>
          </cell>
        </row>
        <row r="126">
          <cell r="V126">
            <v>3097.42</v>
          </cell>
        </row>
        <row r="127">
          <cell r="V127">
            <v>3110.74</v>
          </cell>
        </row>
        <row r="128">
          <cell r="V128">
            <v>3110.74</v>
          </cell>
        </row>
        <row r="129">
          <cell r="V129">
            <v>3111.05</v>
          </cell>
        </row>
        <row r="130">
          <cell r="V130">
            <v>3112.29</v>
          </cell>
        </row>
        <row r="131">
          <cell r="V131">
            <v>3126.29</v>
          </cell>
        </row>
        <row r="132">
          <cell r="V132">
            <v>3149.74</v>
          </cell>
        </row>
        <row r="133">
          <cell r="V133">
            <v>3175.88</v>
          </cell>
        </row>
        <row r="134">
          <cell r="V134">
            <v>3195.89</v>
          </cell>
        </row>
        <row r="135">
          <cell r="V135">
            <v>3222.42</v>
          </cell>
        </row>
        <row r="136">
          <cell r="V136">
            <v>3248.2</v>
          </cell>
        </row>
        <row r="137">
          <cell r="V137">
            <v>3273.86</v>
          </cell>
        </row>
        <row r="138">
          <cell r="V138">
            <v>3299.07</v>
          </cell>
        </row>
        <row r="139">
          <cell r="V139">
            <v>3314.58</v>
          </cell>
        </row>
        <row r="140">
          <cell r="V140">
            <v>3319.55</v>
          </cell>
        </row>
        <row r="141">
          <cell r="V141">
            <v>3324.86</v>
          </cell>
        </row>
        <row r="142">
          <cell r="V142">
            <v>3337.16</v>
          </cell>
        </row>
        <row r="143">
          <cell r="V143">
            <v>3354.85</v>
          </cell>
        </row>
        <row r="144">
          <cell r="V144">
            <v>3354.85</v>
          </cell>
        </row>
        <row r="145">
          <cell r="V145">
            <v>3386.8</v>
          </cell>
        </row>
        <row r="146">
          <cell r="V146">
            <v>3403.73</v>
          </cell>
        </row>
        <row r="147">
          <cell r="V147">
            <v>3422.79</v>
          </cell>
        </row>
        <row r="148">
          <cell r="A148">
            <v>40940</v>
          </cell>
          <cell r="B148">
            <v>20640070820.98</v>
          </cell>
          <cell r="C148">
            <v>20628822180.890003</v>
          </cell>
          <cell r="D148">
            <v>18375247581.440002</v>
          </cell>
          <cell r="E148">
            <v>2253574599.4500003</v>
          </cell>
          <cell r="F148">
            <v>17638442970.600002</v>
          </cell>
          <cell r="G148">
            <v>119589797.53999899</v>
          </cell>
          <cell r="H148">
            <v>118223593.54000001</v>
          </cell>
          <cell r="I148">
            <v>14261041310.549999</v>
          </cell>
          <cell r="J148">
            <v>758902573.72001505</v>
          </cell>
          <cell r="K148">
            <v>184977465.46999899</v>
          </cell>
          <cell r="L148">
            <v>898340889.62001705</v>
          </cell>
          <cell r="M148">
            <v>182548545.39000201</v>
          </cell>
          <cell r="N148">
            <v>1865049923.70996</v>
          </cell>
          <cell r="O148">
            <v>10817375.9799999</v>
          </cell>
          <cell r="P148">
            <v>1626265160.3900001</v>
          </cell>
          <cell r="Q148">
            <v>207692905.99000701</v>
          </cell>
          <cell r="R148">
            <v>53836401.919996798</v>
          </cell>
          <cell r="S148">
            <v>548423834.05000997</v>
          </cell>
          <cell r="T148">
            <v>676054.47000004502</v>
          </cell>
          <cell r="U148">
            <v>11248640.089999899</v>
          </cell>
          <cell r="V148">
            <v>3438.19</v>
          </cell>
        </row>
        <row r="149">
          <cell r="V149">
            <v>3445.41</v>
          </cell>
        </row>
        <row r="150">
          <cell r="V150">
            <v>3467.46</v>
          </cell>
        </row>
        <row r="151">
          <cell r="V151">
            <v>3479.94</v>
          </cell>
        </row>
        <row r="152">
          <cell r="V152">
            <v>3482.72</v>
          </cell>
        </row>
        <row r="153">
          <cell r="V153">
            <v>3497.7</v>
          </cell>
        </row>
        <row r="154">
          <cell r="V154">
            <v>3512.04</v>
          </cell>
        </row>
        <row r="155">
          <cell r="V155">
            <v>3532.06</v>
          </cell>
        </row>
        <row r="156">
          <cell r="V156">
            <v>3552.9</v>
          </cell>
        </row>
        <row r="157">
          <cell r="V157">
            <v>3574.22</v>
          </cell>
        </row>
        <row r="158">
          <cell r="V158">
            <v>3602.46</v>
          </cell>
        </row>
        <row r="159">
          <cell r="A159">
            <v>41275</v>
          </cell>
          <cell r="B159">
            <v>26334504632.810001</v>
          </cell>
          <cell r="C159">
            <v>26088361204.339905</v>
          </cell>
          <cell r="D159">
            <v>22035314198.979904</v>
          </cell>
          <cell r="E159">
            <v>4053047005.3600001</v>
          </cell>
          <cell r="F159">
            <v>19306542427.200001</v>
          </cell>
          <cell r="G159">
            <v>165305226.93000001</v>
          </cell>
          <cell r="H159">
            <v>132089900.48999999</v>
          </cell>
          <cell r="I159">
            <v>15720203770.4298</v>
          </cell>
          <cell r="J159">
            <v>869702150.40001297</v>
          </cell>
          <cell r="K159">
            <v>198237336.549999</v>
          </cell>
          <cell r="L159">
            <v>1113607755.79002</v>
          </cell>
          <cell r="M159">
            <v>198728414.20000201</v>
          </cell>
          <cell r="N159">
            <v>1802621994.1800201</v>
          </cell>
          <cell r="O159">
            <v>10768194.6499999</v>
          </cell>
          <cell r="P159">
            <v>2192068323.8099999</v>
          </cell>
          <cell r="Q159">
            <v>235116051.96000099</v>
          </cell>
          <cell r="R159">
            <v>62502175.5900001</v>
          </cell>
          <cell r="S159">
            <v>647395178.93001199</v>
          </cell>
          <cell r="T159">
            <v>199855.32000002899</v>
          </cell>
          <cell r="U159">
            <v>246143428.47009701</v>
          </cell>
          <cell r="V159">
            <v>3633.44</v>
          </cell>
          <cell r="W159">
            <v>4191024.5455700001</v>
          </cell>
          <cell r="X159">
            <v>-137977540.21000004</v>
          </cell>
        </row>
        <row r="160">
          <cell r="A160">
            <v>41306</v>
          </cell>
          <cell r="B160">
            <v>24614325307.350002</v>
          </cell>
          <cell r="C160">
            <v>24606358472.930004</v>
          </cell>
          <cell r="D160">
            <v>22218063547.390015</v>
          </cell>
          <cell r="E160">
            <v>2388294925.5399899</v>
          </cell>
          <cell r="F160">
            <v>19397899342.200001</v>
          </cell>
          <cell r="G160">
            <v>114039826.42</v>
          </cell>
          <cell r="H160">
            <v>231329333.58000001</v>
          </cell>
          <cell r="I160">
            <v>14439422086.680099</v>
          </cell>
          <cell r="J160">
            <v>819455220.11001599</v>
          </cell>
          <cell r="K160">
            <v>184347897.66999999</v>
          </cell>
          <cell r="L160">
            <v>1029893605.20998</v>
          </cell>
          <cell r="M160">
            <v>201972255.359997</v>
          </cell>
          <cell r="N160">
            <v>2035657508.57006</v>
          </cell>
          <cell r="O160">
            <v>10296533.2199996</v>
          </cell>
          <cell r="P160">
            <v>1723535323.8600199</v>
          </cell>
          <cell r="Q160">
            <v>246268244.74000099</v>
          </cell>
          <cell r="R160">
            <v>42319470.350000098</v>
          </cell>
          <cell r="S160">
            <v>497967756.339993</v>
          </cell>
          <cell r="T160">
            <v>3511394.3900014302</v>
          </cell>
          <cell r="U160">
            <v>7966834.4199994104</v>
          </cell>
          <cell r="V160">
            <v>3655.24</v>
          </cell>
          <cell r="W160">
            <v>2556735.78003</v>
          </cell>
          <cell r="X160">
            <v>-168440854.49001026</v>
          </cell>
        </row>
        <row r="161">
          <cell r="V161">
            <v>3672.42</v>
          </cell>
        </row>
        <row r="162">
          <cell r="V162">
            <v>3692.62</v>
          </cell>
        </row>
        <row r="163">
          <cell r="V163">
            <v>3706.28</v>
          </cell>
        </row>
        <row r="164">
          <cell r="V164">
            <v>3715.92</v>
          </cell>
        </row>
        <row r="165">
          <cell r="V165">
            <v>3717.03</v>
          </cell>
        </row>
        <row r="166">
          <cell r="V166">
            <v>3725.95</v>
          </cell>
        </row>
        <row r="167">
          <cell r="V167">
            <v>3738.99</v>
          </cell>
        </row>
        <row r="168">
          <cell r="V168">
            <v>3760.3</v>
          </cell>
        </row>
        <row r="169">
          <cell r="V169">
            <v>3780.61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Introdução"/>
      <sheetName val="Matriz mensal"/>
      <sheetName val="Matriz anual"/>
      <sheetName val="Nov2015"/>
      <sheetName val="Dez2015"/>
      <sheetName val="Jan2016"/>
      <sheetName val="Fev2016"/>
      <sheetName val="Mar2016"/>
      <sheetName val="Abr2016"/>
      <sheetName val="Mai2016"/>
      <sheetName val="Jun2016"/>
      <sheetName val="Jul2016"/>
      <sheetName val="Ago2016"/>
      <sheetName val="Set2016"/>
      <sheetName val="Out2016"/>
      <sheetName val="Nov2016"/>
      <sheetName val="Dez2016"/>
      <sheetName val="Jan2017"/>
      <sheetName val="Fev2017"/>
      <sheetName val="Mar2017"/>
      <sheetName val="Abr2017"/>
      <sheetName val="Mai2017"/>
      <sheetName val="Jun2017"/>
    </sheetNames>
    <sheetDataSet>
      <sheetData sheetId="0">
        <row r="6">
          <cell r="B6" t="str">
            <v>Arrecadação das Receitas Federais</v>
          </cell>
          <cell r="E6" t="str">
            <v>Mediana</v>
          </cell>
          <cell r="F6">
            <v>42309</v>
          </cell>
        </row>
        <row r="7">
          <cell r="B7" t="str">
            <v>Receita Líquida do Governo Central</v>
          </cell>
          <cell r="E7" t="str">
            <v>Média</v>
          </cell>
          <cell r="F7">
            <v>42339</v>
          </cell>
        </row>
        <row r="8">
          <cell r="B8" t="str">
            <v>Despesa do Governo Central</v>
          </cell>
          <cell r="E8" t="str">
            <v>Desvio-Padrão</v>
          </cell>
          <cell r="F8">
            <v>42370</v>
          </cell>
        </row>
        <row r="9">
          <cell r="B9" t="str">
            <v>Resultado Primário do Governo Central</v>
          </cell>
          <cell r="E9" t="str">
            <v>Mínimo</v>
          </cell>
          <cell r="F9">
            <v>42401</v>
          </cell>
        </row>
        <row r="10">
          <cell r="B10" t="str">
            <v>Dívida Bruta do Governo Geral (%PIB)</v>
          </cell>
          <cell r="E10" t="str">
            <v>Máximo</v>
          </cell>
          <cell r="F10">
            <v>42430</v>
          </cell>
        </row>
        <row r="11">
          <cell r="F11">
            <v>42461</v>
          </cell>
        </row>
        <row r="12">
          <cell r="F12">
            <v>42491</v>
          </cell>
        </row>
        <row r="13">
          <cell r="F13">
            <v>42522</v>
          </cell>
        </row>
        <row r="14">
          <cell r="F14">
            <v>42552</v>
          </cell>
        </row>
        <row r="15">
          <cell r="F15">
            <v>42583</v>
          </cell>
        </row>
        <row r="16">
          <cell r="F16">
            <v>42614</v>
          </cell>
        </row>
        <row r="17">
          <cell r="F17">
            <v>42644</v>
          </cell>
        </row>
        <row r="18">
          <cell r="F18">
            <v>42675</v>
          </cell>
        </row>
        <row r="19">
          <cell r="F19">
            <v>42705</v>
          </cell>
        </row>
        <row r="20">
          <cell r="F20">
            <v>42736</v>
          </cell>
        </row>
        <row r="21">
          <cell r="F21">
            <v>42767</v>
          </cell>
        </row>
        <row r="22">
          <cell r="F22">
            <v>42795</v>
          </cell>
        </row>
        <row r="23">
          <cell r="F23">
            <v>42826</v>
          </cell>
        </row>
        <row r="24">
          <cell r="F24">
            <v>42856</v>
          </cell>
        </row>
        <row r="25">
          <cell r="F25">
            <v>42887</v>
          </cell>
        </row>
        <row r="26">
          <cell r="F26">
            <v>42917</v>
          </cell>
        </row>
        <row r="27">
          <cell r="F27">
            <v>42948</v>
          </cell>
        </row>
        <row r="28">
          <cell r="F28">
            <v>42979</v>
          </cell>
        </row>
        <row r="29">
          <cell r="F29">
            <v>43009</v>
          </cell>
        </row>
        <row r="30">
          <cell r="F30">
            <v>43040</v>
          </cell>
        </row>
        <row r="31">
          <cell r="F31">
            <v>43070</v>
          </cell>
        </row>
        <row r="32">
          <cell r="F32">
            <v>43101</v>
          </cell>
        </row>
        <row r="33">
          <cell r="F33">
            <v>43132</v>
          </cell>
        </row>
        <row r="34">
          <cell r="F34">
            <v>43160</v>
          </cell>
        </row>
        <row r="35">
          <cell r="F35">
            <v>43191</v>
          </cell>
        </row>
        <row r="36">
          <cell r="F36">
            <v>43221</v>
          </cell>
        </row>
        <row r="37">
          <cell r="F37">
            <v>43252</v>
          </cell>
        </row>
        <row r="38">
          <cell r="F38">
            <v>43282</v>
          </cell>
        </row>
        <row r="39">
          <cell r="F39">
            <v>43313</v>
          </cell>
        </row>
        <row r="40">
          <cell r="F40">
            <v>43344</v>
          </cell>
        </row>
        <row r="41">
          <cell r="F41">
            <v>43374</v>
          </cell>
        </row>
        <row r="42">
          <cell r="F42">
            <v>43405</v>
          </cell>
        </row>
        <row r="43">
          <cell r="F43">
            <v>43435</v>
          </cell>
        </row>
        <row r="44">
          <cell r="F44">
            <v>43466</v>
          </cell>
        </row>
        <row r="45">
          <cell r="F45">
            <v>43497</v>
          </cell>
        </row>
        <row r="46">
          <cell r="F46">
            <v>43525</v>
          </cell>
        </row>
        <row r="47">
          <cell r="F47">
            <v>43556</v>
          </cell>
        </row>
        <row r="48">
          <cell r="F48">
            <v>43586</v>
          </cell>
        </row>
        <row r="49">
          <cell r="F49">
            <v>43617</v>
          </cell>
        </row>
        <row r="50">
          <cell r="F50">
            <v>43647</v>
          </cell>
        </row>
        <row r="51">
          <cell r="F51">
            <v>43678</v>
          </cell>
        </row>
        <row r="52">
          <cell r="F52">
            <v>43709</v>
          </cell>
        </row>
        <row r="53">
          <cell r="F53">
            <v>43739</v>
          </cell>
        </row>
        <row r="54">
          <cell r="F54">
            <v>43770</v>
          </cell>
        </row>
        <row r="55">
          <cell r="F55">
            <v>43800</v>
          </cell>
        </row>
        <row r="56">
          <cell r="F56">
            <v>43831</v>
          </cell>
        </row>
        <row r="57">
          <cell r="F57">
            <v>43862</v>
          </cell>
        </row>
        <row r="58">
          <cell r="F58">
            <v>43891</v>
          </cell>
        </row>
        <row r="59">
          <cell r="F59">
            <v>43922</v>
          </cell>
        </row>
        <row r="60">
          <cell r="F60">
            <v>43952</v>
          </cell>
        </row>
        <row r="61">
          <cell r="F61">
            <v>43983</v>
          </cell>
        </row>
        <row r="62">
          <cell r="F62">
            <v>44013</v>
          </cell>
        </row>
        <row r="63">
          <cell r="F63">
            <v>44044</v>
          </cell>
        </row>
        <row r="64">
          <cell r="F64">
            <v>44075</v>
          </cell>
        </row>
        <row r="65">
          <cell r="F65">
            <v>44105</v>
          </cell>
        </row>
        <row r="66">
          <cell r="F66">
            <v>44136</v>
          </cell>
        </row>
        <row r="67">
          <cell r="F67">
            <v>44166</v>
          </cell>
        </row>
        <row r="68">
          <cell r="F68">
            <v>44197</v>
          </cell>
        </row>
        <row r="69">
          <cell r="F69">
            <v>44228</v>
          </cell>
        </row>
        <row r="70">
          <cell r="F70">
            <v>44256</v>
          </cell>
        </row>
        <row r="71">
          <cell r="F71">
            <v>44287</v>
          </cell>
        </row>
        <row r="72">
          <cell r="F72">
            <v>44317</v>
          </cell>
        </row>
        <row r="73">
          <cell r="F73">
            <v>44348</v>
          </cell>
        </row>
        <row r="74">
          <cell r="F74">
            <v>44378</v>
          </cell>
        </row>
        <row r="75">
          <cell r="F75">
            <v>44409</v>
          </cell>
        </row>
        <row r="76">
          <cell r="F76">
            <v>44440</v>
          </cell>
        </row>
        <row r="77">
          <cell r="F77">
            <v>44470</v>
          </cell>
        </row>
        <row r="78">
          <cell r="F78">
            <v>44501</v>
          </cell>
        </row>
        <row r="79">
          <cell r="F79">
            <v>44531</v>
          </cell>
        </row>
        <row r="80">
          <cell r="F80">
            <v>44562</v>
          </cell>
        </row>
        <row r="81">
          <cell r="F81">
            <v>44593</v>
          </cell>
        </row>
        <row r="82">
          <cell r="F82">
            <v>44621</v>
          </cell>
        </row>
        <row r="83">
          <cell r="F83">
            <v>44652</v>
          </cell>
        </row>
        <row r="84">
          <cell r="F84">
            <v>44682</v>
          </cell>
        </row>
        <row r="85">
          <cell r="F85">
            <v>44713</v>
          </cell>
        </row>
        <row r="86">
          <cell r="F86">
            <v>44743</v>
          </cell>
        </row>
        <row r="87">
          <cell r="F87">
            <v>44774</v>
          </cell>
        </row>
        <row r="88">
          <cell r="F88">
            <v>44805</v>
          </cell>
        </row>
        <row r="89">
          <cell r="F89">
            <v>44835</v>
          </cell>
        </row>
        <row r="90">
          <cell r="F90">
            <v>44866</v>
          </cell>
        </row>
        <row r="91">
          <cell r="F91">
            <v>44896</v>
          </cell>
        </row>
        <row r="92">
          <cell r="F92">
            <v>44927</v>
          </cell>
        </row>
        <row r="93">
          <cell r="F93">
            <v>44958</v>
          </cell>
        </row>
        <row r="94">
          <cell r="F94">
            <v>44986</v>
          </cell>
        </row>
        <row r="95">
          <cell r="F95">
            <v>45017</v>
          </cell>
        </row>
        <row r="96">
          <cell r="F96">
            <v>45047</v>
          </cell>
        </row>
        <row r="97">
          <cell r="F97">
            <v>45078</v>
          </cell>
        </row>
        <row r="98">
          <cell r="F98">
            <v>45108</v>
          </cell>
        </row>
        <row r="99">
          <cell r="F99">
            <v>45139</v>
          </cell>
        </row>
        <row r="100">
          <cell r="F100">
            <v>45170</v>
          </cell>
        </row>
        <row r="101">
          <cell r="F101">
            <v>45200</v>
          </cell>
        </row>
        <row r="102">
          <cell r="F102">
            <v>45231</v>
          </cell>
        </row>
        <row r="103">
          <cell r="F103">
            <v>45261</v>
          </cell>
        </row>
        <row r="104">
          <cell r="F104">
            <v>45292</v>
          </cell>
        </row>
        <row r="105">
          <cell r="F105">
            <v>45323</v>
          </cell>
        </row>
        <row r="106">
          <cell r="F106">
            <v>45352</v>
          </cell>
        </row>
        <row r="107">
          <cell r="F107">
            <v>45383</v>
          </cell>
        </row>
        <row r="108">
          <cell r="F108">
            <v>45413</v>
          </cell>
        </row>
        <row r="109">
          <cell r="F109">
            <v>45444</v>
          </cell>
        </row>
        <row r="110">
          <cell r="F110">
            <v>45474</v>
          </cell>
        </row>
        <row r="111">
          <cell r="F111">
            <v>45505</v>
          </cell>
        </row>
        <row r="112">
          <cell r="F112">
            <v>45536</v>
          </cell>
        </row>
        <row r="113">
          <cell r="F113">
            <v>45566</v>
          </cell>
        </row>
        <row r="114">
          <cell r="F114">
            <v>45597</v>
          </cell>
        </row>
        <row r="115">
          <cell r="F115">
            <v>45627</v>
          </cell>
        </row>
        <row r="116">
          <cell r="F116">
            <v>45658</v>
          </cell>
        </row>
        <row r="117">
          <cell r="F117">
            <v>45689</v>
          </cell>
        </row>
        <row r="118">
          <cell r="F118">
            <v>45717</v>
          </cell>
        </row>
        <row r="119">
          <cell r="F119">
            <v>45748</v>
          </cell>
        </row>
        <row r="120">
          <cell r="F120">
            <v>45778</v>
          </cell>
        </row>
        <row r="121">
          <cell r="F121">
            <v>45809</v>
          </cell>
        </row>
        <row r="122">
          <cell r="F122">
            <v>45839</v>
          </cell>
        </row>
        <row r="123">
          <cell r="F123">
            <v>45870</v>
          </cell>
        </row>
        <row r="124">
          <cell r="F124">
            <v>45901</v>
          </cell>
        </row>
        <row r="125">
          <cell r="F125">
            <v>45931</v>
          </cell>
        </row>
        <row r="126">
          <cell r="F126">
            <v>45962</v>
          </cell>
        </row>
        <row r="127">
          <cell r="F127">
            <v>45992</v>
          </cell>
        </row>
        <row r="128">
          <cell r="F128">
            <v>46023</v>
          </cell>
        </row>
        <row r="129">
          <cell r="F129">
            <v>46054</v>
          </cell>
        </row>
        <row r="130">
          <cell r="F130">
            <v>46082</v>
          </cell>
        </row>
        <row r="131">
          <cell r="F131">
            <v>46113</v>
          </cell>
        </row>
        <row r="132">
          <cell r="F132">
            <v>46143</v>
          </cell>
        </row>
        <row r="133">
          <cell r="F133">
            <v>46174</v>
          </cell>
        </row>
        <row r="134">
          <cell r="F134">
            <v>46204</v>
          </cell>
        </row>
        <row r="135">
          <cell r="F135">
            <v>46235</v>
          </cell>
        </row>
        <row r="136">
          <cell r="F136">
            <v>46266</v>
          </cell>
        </row>
        <row r="137">
          <cell r="F137">
            <v>46296</v>
          </cell>
        </row>
        <row r="138">
          <cell r="F138">
            <v>46327</v>
          </cell>
        </row>
        <row r="139">
          <cell r="F139">
            <v>46357</v>
          </cell>
        </row>
        <row r="140">
          <cell r="F140">
            <v>46388</v>
          </cell>
        </row>
        <row r="141">
          <cell r="F141">
            <v>46419</v>
          </cell>
        </row>
        <row r="142">
          <cell r="F142">
            <v>46447</v>
          </cell>
        </row>
        <row r="143">
          <cell r="F143">
            <v>46478</v>
          </cell>
        </row>
        <row r="144">
          <cell r="F144">
            <v>46508</v>
          </cell>
        </row>
        <row r="145">
          <cell r="F145">
            <v>46539</v>
          </cell>
        </row>
        <row r="146">
          <cell r="F146">
            <v>46569</v>
          </cell>
        </row>
        <row r="147">
          <cell r="F147">
            <v>46600</v>
          </cell>
        </row>
        <row r="148">
          <cell r="F148">
            <v>46631</v>
          </cell>
        </row>
        <row r="149">
          <cell r="F149">
            <v>46661</v>
          </cell>
        </row>
        <row r="150">
          <cell r="F150">
            <v>46692</v>
          </cell>
        </row>
        <row r="151">
          <cell r="F151">
            <v>46722</v>
          </cell>
        </row>
        <row r="152">
          <cell r="F152">
            <v>46753</v>
          </cell>
        </row>
        <row r="153">
          <cell r="F153">
            <v>46784</v>
          </cell>
        </row>
        <row r="154">
          <cell r="F154">
            <v>46813</v>
          </cell>
        </row>
        <row r="155">
          <cell r="F155">
            <v>46844</v>
          </cell>
        </row>
        <row r="156">
          <cell r="F156">
            <v>46874</v>
          </cell>
        </row>
        <row r="157">
          <cell r="F157">
            <v>46905</v>
          </cell>
        </row>
        <row r="158">
          <cell r="F158">
            <v>46935</v>
          </cell>
        </row>
        <row r="159">
          <cell r="F159">
            <v>46966</v>
          </cell>
        </row>
        <row r="160">
          <cell r="F160">
            <v>46997</v>
          </cell>
        </row>
        <row r="161">
          <cell r="F161">
            <v>47027</v>
          </cell>
        </row>
        <row r="162">
          <cell r="F162">
            <v>47058</v>
          </cell>
        </row>
        <row r="163">
          <cell r="F163">
            <v>47088</v>
          </cell>
        </row>
        <row r="164">
          <cell r="F164">
            <v>47119</v>
          </cell>
        </row>
        <row r="165">
          <cell r="F165">
            <v>47150</v>
          </cell>
        </row>
        <row r="166">
          <cell r="F166">
            <v>47178</v>
          </cell>
        </row>
        <row r="167">
          <cell r="F167">
            <v>47209</v>
          </cell>
        </row>
        <row r="168">
          <cell r="F168">
            <v>47239</v>
          </cell>
        </row>
        <row r="169">
          <cell r="F169">
            <v>47270</v>
          </cell>
        </row>
        <row r="170">
          <cell r="F170">
            <v>47300</v>
          </cell>
        </row>
        <row r="171">
          <cell r="F171">
            <v>47331</v>
          </cell>
        </row>
        <row r="172">
          <cell r="F172">
            <v>47362</v>
          </cell>
        </row>
        <row r="173">
          <cell r="F173">
            <v>47392</v>
          </cell>
        </row>
        <row r="174">
          <cell r="F174">
            <v>47423</v>
          </cell>
        </row>
        <row r="175">
          <cell r="F175">
            <v>47453</v>
          </cell>
        </row>
        <row r="176">
          <cell r="F176">
            <v>47484</v>
          </cell>
        </row>
        <row r="177">
          <cell r="F177">
            <v>47515</v>
          </cell>
        </row>
        <row r="178">
          <cell r="F178">
            <v>47543</v>
          </cell>
        </row>
        <row r="179">
          <cell r="F179">
            <v>47574</v>
          </cell>
        </row>
        <row r="180">
          <cell r="F180">
            <v>47604</v>
          </cell>
        </row>
        <row r="181">
          <cell r="F181">
            <v>47635</v>
          </cell>
        </row>
        <row r="182">
          <cell r="F182">
            <v>47665</v>
          </cell>
        </row>
        <row r="183">
          <cell r="F183">
            <v>47696</v>
          </cell>
        </row>
        <row r="184">
          <cell r="F184">
            <v>47727</v>
          </cell>
        </row>
        <row r="185">
          <cell r="F185">
            <v>47757</v>
          </cell>
        </row>
        <row r="186">
          <cell r="F186">
            <v>47788</v>
          </cell>
        </row>
        <row r="187">
          <cell r="F187">
            <v>47818</v>
          </cell>
        </row>
        <row r="188">
          <cell r="F188">
            <v>47849</v>
          </cell>
        </row>
        <row r="189">
          <cell r="F189">
            <v>47880</v>
          </cell>
        </row>
        <row r="190">
          <cell r="F190">
            <v>47908</v>
          </cell>
        </row>
        <row r="191">
          <cell r="F191">
            <v>47939</v>
          </cell>
        </row>
        <row r="192">
          <cell r="F192">
            <v>47969</v>
          </cell>
        </row>
        <row r="193">
          <cell r="F193">
            <v>48000</v>
          </cell>
        </row>
        <row r="194">
          <cell r="F194">
            <v>48030</v>
          </cell>
        </row>
        <row r="195">
          <cell r="F195">
            <v>48061</v>
          </cell>
        </row>
        <row r="196">
          <cell r="F196">
            <v>48092</v>
          </cell>
        </row>
        <row r="197">
          <cell r="F197">
            <v>48122</v>
          </cell>
        </row>
        <row r="198">
          <cell r="F198">
            <v>48153</v>
          </cell>
        </row>
        <row r="199">
          <cell r="F199">
            <v>48183</v>
          </cell>
        </row>
        <row r="200">
          <cell r="F200">
            <v>48214</v>
          </cell>
        </row>
        <row r="201">
          <cell r="F201">
            <v>48245</v>
          </cell>
        </row>
        <row r="202">
          <cell r="F202">
            <v>48274</v>
          </cell>
        </row>
        <row r="203">
          <cell r="F203">
            <v>48305</v>
          </cell>
        </row>
        <row r="204">
          <cell r="F204">
            <v>48335</v>
          </cell>
        </row>
        <row r="205">
          <cell r="F205">
            <v>48366</v>
          </cell>
        </row>
        <row r="206">
          <cell r="F206">
            <v>48396</v>
          </cell>
        </row>
        <row r="207">
          <cell r="F207">
            <v>48427</v>
          </cell>
        </row>
        <row r="208">
          <cell r="F208">
            <v>48458</v>
          </cell>
        </row>
        <row r="209">
          <cell r="F209">
            <v>48488</v>
          </cell>
        </row>
        <row r="210">
          <cell r="F210">
            <v>48519</v>
          </cell>
        </row>
        <row r="211">
          <cell r="F211">
            <v>48549</v>
          </cell>
        </row>
        <row r="212">
          <cell r="F212">
            <v>48580</v>
          </cell>
        </row>
        <row r="213">
          <cell r="F213">
            <v>48611</v>
          </cell>
        </row>
        <row r="214">
          <cell r="F214">
            <v>48639</v>
          </cell>
        </row>
        <row r="215">
          <cell r="F215">
            <v>48670</v>
          </cell>
        </row>
        <row r="216">
          <cell r="F216">
            <v>48700</v>
          </cell>
        </row>
        <row r="217">
          <cell r="F217">
            <v>48731</v>
          </cell>
        </row>
        <row r="218">
          <cell r="F218">
            <v>48761</v>
          </cell>
        </row>
        <row r="219">
          <cell r="F219">
            <v>48792</v>
          </cell>
        </row>
        <row r="220">
          <cell r="F220">
            <v>48823</v>
          </cell>
        </row>
        <row r="221">
          <cell r="F221">
            <v>48853</v>
          </cell>
        </row>
        <row r="222">
          <cell r="F222">
            <v>48884</v>
          </cell>
        </row>
        <row r="223">
          <cell r="F223">
            <v>48914</v>
          </cell>
        </row>
        <row r="224">
          <cell r="F224">
            <v>48945</v>
          </cell>
        </row>
        <row r="225">
          <cell r="F225">
            <v>48976</v>
          </cell>
        </row>
        <row r="226">
          <cell r="F226">
            <v>49004</v>
          </cell>
        </row>
        <row r="227">
          <cell r="F227">
            <v>49035</v>
          </cell>
        </row>
        <row r="228">
          <cell r="F228">
            <v>49065</v>
          </cell>
        </row>
        <row r="229">
          <cell r="F229">
            <v>49096</v>
          </cell>
        </row>
        <row r="230">
          <cell r="F230">
            <v>49126</v>
          </cell>
        </row>
        <row r="231">
          <cell r="F231">
            <v>49157</v>
          </cell>
        </row>
        <row r="232">
          <cell r="F232">
            <v>49188</v>
          </cell>
        </row>
        <row r="233">
          <cell r="F233">
            <v>49218</v>
          </cell>
        </row>
        <row r="234">
          <cell r="F234">
            <v>49249</v>
          </cell>
        </row>
        <row r="235">
          <cell r="F235">
            <v>49279</v>
          </cell>
        </row>
        <row r="236">
          <cell r="F236">
            <v>49310</v>
          </cell>
        </row>
        <row r="237">
          <cell r="F237">
            <v>49341</v>
          </cell>
        </row>
        <row r="238">
          <cell r="F238">
            <v>49369</v>
          </cell>
        </row>
        <row r="239">
          <cell r="F239">
            <v>49400</v>
          </cell>
        </row>
        <row r="240">
          <cell r="F240">
            <v>49430</v>
          </cell>
        </row>
        <row r="241">
          <cell r="F241">
            <v>49461</v>
          </cell>
        </row>
        <row r="242">
          <cell r="F242">
            <v>49491</v>
          </cell>
        </row>
        <row r="243">
          <cell r="F243">
            <v>49522</v>
          </cell>
        </row>
        <row r="244">
          <cell r="F244">
            <v>49553</v>
          </cell>
        </row>
        <row r="245">
          <cell r="F245">
            <v>49583</v>
          </cell>
        </row>
        <row r="246">
          <cell r="F246">
            <v>49614</v>
          </cell>
        </row>
        <row r="247">
          <cell r="F247">
            <v>49644</v>
          </cell>
        </row>
        <row r="248">
          <cell r="F248">
            <v>49675</v>
          </cell>
        </row>
        <row r="249">
          <cell r="F249">
            <v>49706</v>
          </cell>
        </row>
        <row r="250">
          <cell r="F250">
            <v>49735</v>
          </cell>
        </row>
        <row r="251">
          <cell r="F251">
            <v>49766</v>
          </cell>
        </row>
        <row r="252">
          <cell r="F252">
            <v>49796</v>
          </cell>
        </row>
        <row r="253">
          <cell r="F253">
            <v>49827</v>
          </cell>
        </row>
        <row r="254">
          <cell r="F254">
            <v>49857</v>
          </cell>
        </row>
        <row r="255">
          <cell r="F255">
            <v>49888</v>
          </cell>
        </row>
        <row r="256">
          <cell r="F256">
            <v>49919</v>
          </cell>
        </row>
        <row r="257">
          <cell r="F257">
            <v>49949</v>
          </cell>
        </row>
        <row r="258">
          <cell r="F258">
            <v>49980</v>
          </cell>
        </row>
        <row r="259">
          <cell r="F259">
            <v>50010</v>
          </cell>
        </row>
        <row r="260">
          <cell r="F260">
            <v>50041</v>
          </cell>
        </row>
        <row r="261">
          <cell r="F261">
            <v>50072</v>
          </cell>
        </row>
        <row r="262">
          <cell r="F262">
            <v>50100</v>
          </cell>
        </row>
        <row r="263">
          <cell r="F263">
            <v>50131</v>
          </cell>
        </row>
        <row r="264">
          <cell r="F264">
            <v>50161</v>
          </cell>
        </row>
        <row r="265">
          <cell r="F265">
            <v>50192</v>
          </cell>
        </row>
        <row r="266">
          <cell r="F266">
            <v>50222</v>
          </cell>
        </row>
        <row r="267">
          <cell r="F267">
            <v>50253</v>
          </cell>
        </row>
        <row r="268">
          <cell r="F268">
            <v>50284</v>
          </cell>
        </row>
        <row r="269">
          <cell r="F269">
            <v>50314</v>
          </cell>
        </row>
        <row r="270">
          <cell r="F270">
            <v>50345</v>
          </cell>
        </row>
        <row r="271">
          <cell r="F271">
            <v>50375</v>
          </cell>
        </row>
        <row r="272">
          <cell r="F272">
            <v>50406</v>
          </cell>
        </row>
        <row r="273">
          <cell r="F273">
            <v>50437</v>
          </cell>
        </row>
        <row r="274">
          <cell r="F274">
            <v>50465</v>
          </cell>
        </row>
        <row r="275">
          <cell r="F275">
            <v>50496</v>
          </cell>
        </row>
        <row r="276">
          <cell r="F276">
            <v>50526</v>
          </cell>
        </row>
        <row r="277">
          <cell r="F277">
            <v>50557</v>
          </cell>
        </row>
        <row r="278">
          <cell r="F278">
            <v>50587</v>
          </cell>
        </row>
        <row r="279">
          <cell r="F279">
            <v>50618</v>
          </cell>
        </row>
        <row r="280">
          <cell r="F280">
            <v>50649</v>
          </cell>
        </row>
        <row r="281">
          <cell r="F281">
            <v>50679</v>
          </cell>
        </row>
        <row r="282">
          <cell r="F282">
            <v>50710</v>
          </cell>
        </row>
        <row r="283">
          <cell r="F283">
            <v>50740</v>
          </cell>
        </row>
        <row r="284">
          <cell r="F284">
            <v>50771</v>
          </cell>
        </row>
        <row r="285">
          <cell r="F285">
            <v>50802</v>
          </cell>
        </row>
        <row r="286">
          <cell r="F286">
            <v>50830</v>
          </cell>
        </row>
        <row r="287">
          <cell r="F287">
            <v>50861</v>
          </cell>
        </row>
        <row r="288">
          <cell r="F288">
            <v>50891</v>
          </cell>
        </row>
        <row r="289">
          <cell r="F289">
            <v>50922</v>
          </cell>
        </row>
        <row r="290">
          <cell r="F290">
            <v>50952</v>
          </cell>
        </row>
        <row r="291">
          <cell r="F291">
            <v>50983</v>
          </cell>
        </row>
        <row r="292">
          <cell r="F292">
            <v>51014</v>
          </cell>
        </row>
        <row r="293">
          <cell r="F293">
            <v>51044</v>
          </cell>
        </row>
        <row r="294">
          <cell r="F294">
            <v>51075</v>
          </cell>
        </row>
        <row r="295">
          <cell r="F295">
            <v>51105</v>
          </cell>
        </row>
        <row r="296">
          <cell r="F296">
            <v>51136</v>
          </cell>
        </row>
        <row r="297">
          <cell r="F297">
            <v>51167</v>
          </cell>
        </row>
        <row r="298">
          <cell r="F298">
            <v>51196</v>
          </cell>
        </row>
        <row r="299">
          <cell r="F299">
            <v>51227</v>
          </cell>
        </row>
        <row r="300">
          <cell r="F300">
            <v>51257</v>
          </cell>
        </row>
        <row r="301">
          <cell r="F301">
            <v>51288</v>
          </cell>
        </row>
        <row r="302">
          <cell r="F302">
            <v>51318</v>
          </cell>
        </row>
        <row r="303">
          <cell r="F303">
            <v>51349</v>
          </cell>
        </row>
        <row r="304">
          <cell r="F304">
            <v>51380</v>
          </cell>
        </row>
        <row r="305">
          <cell r="F305">
            <v>51410</v>
          </cell>
        </row>
        <row r="306">
          <cell r="F306">
            <v>51441</v>
          </cell>
        </row>
        <row r="307">
          <cell r="F307">
            <v>51471</v>
          </cell>
        </row>
        <row r="308">
          <cell r="F308">
            <v>51502</v>
          </cell>
        </row>
        <row r="309">
          <cell r="F309">
            <v>51533</v>
          </cell>
        </row>
        <row r="310">
          <cell r="F310">
            <v>51561</v>
          </cell>
        </row>
        <row r="311">
          <cell r="F311">
            <v>51592</v>
          </cell>
        </row>
        <row r="312">
          <cell r="F312">
            <v>51622</v>
          </cell>
        </row>
        <row r="313">
          <cell r="F313">
            <v>51653</v>
          </cell>
        </row>
        <row r="314">
          <cell r="F314">
            <v>51683</v>
          </cell>
        </row>
        <row r="315">
          <cell r="F315">
            <v>51714</v>
          </cell>
        </row>
        <row r="316">
          <cell r="F316">
            <v>51745</v>
          </cell>
        </row>
        <row r="317">
          <cell r="F317">
            <v>51775</v>
          </cell>
        </row>
        <row r="318">
          <cell r="F318">
            <v>51806</v>
          </cell>
        </row>
        <row r="319">
          <cell r="F319">
            <v>51836</v>
          </cell>
        </row>
        <row r="320">
          <cell r="F320">
            <v>51867</v>
          </cell>
        </row>
        <row r="321">
          <cell r="F321">
            <v>51898</v>
          </cell>
        </row>
        <row r="322">
          <cell r="F322">
            <v>51926</v>
          </cell>
        </row>
        <row r="323">
          <cell r="F323">
            <v>51957</v>
          </cell>
        </row>
        <row r="324">
          <cell r="F324">
            <v>51987</v>
          </cell>
        </row>
        <row r="325">
          <cell r="F325">
            <v>52018</v>
          </cell>
        </row>
        <row r="326">
          <cell r="F326">
            <v>52048</v>
          </cell>
        </row>
        <row r="327">
          <cell r="F327">
            <v>52079</v>
          </cell>
        </row>
        <row r="328">
          <cell r="F328">
            <v>52110</v>
          </cell>
        </row>
        <row r="329">
          <cell r="F329">
            <v>52140</v>
          </cell>
        </row>
        <row r="330">
          <cell r="F330">
            <v>52171</v>
          </cell>
        </row>
        <row r="331">
          <cell r="F331">
            <v>52201</v>
          </cell>
        </row>
        <row r="332">
          <cell r="F332">
            <v>52232</v>
          </cell>
        </row>
        <row r="333">
          <cell r="F333">
            <v>52263</v>
          </cell>
        </row>
        <row r="334">
          <cell r="F334">
            <v>52291</v>
          </cell>
        </row>
        <row r="335">
          <cell r="F335">
            <v>52322</v>
          </cell>
        </row>
        <row r="336">
          <cell r="F336">
            <v>52352</v>
          </cell>
        </row>
        <row r="337">
          <cell r="F337">
            <v>52383</v>
          </cell>
        </row>
        <row r="338">
          <cell r="F338">
            <v>52413</v>
          </cell>
        </row>
        <row r="339">
          <cell r="F339">
            <v>52444</v>
          </cell>
        </row>
        <row r="340">
          <cell r="F340">
            <v>52475</v>
          </cell>
        </row>
        <row r="341">
          <cell r="F341">
            <v>52505</v>
          </cell>
        </row>
        <row r="342">
          <cell r="F342">
            <v>52536</v>
          </cell>
        </row>
        <row r="343">
          <cell r="F343">
            <v>52566</v>
          </cell>
        </row>
        <row r="344">
          <cell r="F344">
            <v>52597</v>
          </cell>
        </row>
        <row r="345">
          <cell r="F345">
            <v>52628</v>
          </cell>
        </row>
        <row r="346">
          <cell r="F346">
            <v>52657</v>
          </cell>
        </row>
        <row r="347">
          <cell r="F347">
            <v>52688</v>
          </cell>
        </row>
        <row r="348">
          <cell r="F348">
            <v>52718</v>
          </cell>
        </row>
        <row r="349">
          <cell r="F349">
            <v>52749</v>
          </cell>
        </row>
        <row r="350">
          <cell r="F350">
            <v>52779</v>
          </cell>
        </row>
        <row r="351">
          <cell r="F351">
            <v>52810</v>
          </cell>
        </row>
        <row r="352">
          <cell r="F352">
            <v>52841</v>
          </cell>
        </row>
        <row r="353">
          <cell r="F353">
            <v>52871</v>
          </cell>
        </row>
        <row r="354">
          <cell r="F354">
            <v>52902</v>
          </cell>
        </row>
        <row r="355">
          <cell r="F355">
            <v>52932</v>
          </cell>
        </row>
        <row r="356">
          <cell r="F356">
            <v>52963</v>
          </cell>
        </row>
        <row r="357">
          <cell r="F357">
            <v>52994</v>
          </cell>
        </row>
        <row r="358">
          <cell r="F358">
            <v>53022</v>
          </cell>
        </row>
        <row r="359">
          <cell r="F359">
            <v>53053</v>
          </cell>
        </row>
        <row r="360">
          <cell r="F360">
            <v>53083</v>
          </cell>
        </row>
        <row r="361">
          <cell r="F361">
            <v>53114</v>
          </cell>
        </row>
        <row r="362">
          <cell r="F362">
            <v>53144</v>
          </cell>
        </row>
        <row r="363">
          <cell r="F363">
            <v>53175</v>
          </cell>
        </row>
        <row r="364">
          <cell r="F364">
            <v>53206</v>
          </cell>
        </row>
        <row r="365">
          <cell r="F365">
            <v>53236</v>
          </cell>
        </row>
        <row r="366">
          <cell r="F366">
            <v>53267</v>
          </cell>
        </row>
        <row r="367">
          <cell r="F367">
            <v>53297</v>
          </cell>
        </row>
        <row r="368">
          <cell r="F368">
            <v>53328</v>
          </cell>
        </row>
        <row r="369">
          <cell r="F369">
            <v>53359</v>
          </cell>
        </row>
        <row r="370">
          <cell r="F370">
            <v>53387</v>
          </cell>
        </row>
        <row r="371">
          <cell r="F371">
            <v>53418</v>
          </cell>
        </row>
        <row r="372">
          <cell r="F372">
            <v>53448</v>
          </cell>
        </row>
        <row r="373">
          <cell r="F373">
            <v>53479</v>
          </cell>
        </row>
        <row r="374">
          <cell r="F374">
            <v>53509</v>
          </cell>
        </row>
        <row r="375">
          <cell r="F375">
            <v>53540</v>
          </cell>
        </row>
        <row r="376">
          <cell r="F376">
            <v>53571</v>
          </cell>
        </row>
        <row r="377">
          <cell r="F377">
            <v>53601</v>
          </cell>
        </row>
        <row r="378">
          <cell r="F378">
            <v>53632</v>
          </cell>
        </row>
        <row r="379">
          <cell r="F379">
            <v>53662</v>
          </cell>
        </row>
        <row r="380">
          <cell r="F380">
            <v>53693</v>
          </cell>
        </row>
        <row r="381">
          <cell r="F381">
            <v>53724</v>
          </cell>
        </row>
        <row r="382">
          <cell r="F382">
            <v>53752</v>
          </cell>
        </row>
        <row r="383">
          <cell r="F383">
            <v>53783</v>
          </cell>
        </row>
        <row r="384">
          <cell r="F384">
            <v>53813</v>
          </cell>
        </row>
        <row r="385">
          <cell r="F385">
            <v>53844</v>
          </cell>
        </row>
        <row r="386">
          <cell r="F386">
            <v>53874</v>
          </cell>
        </row>
        <row r="387">
          <cell r="F387">
            <v>53905</v>
          </cell>
        </row>
        <row r="388">
          <cell r="F388">
            <v>53936</v>
          </cell>
        </row>
        <row r="389">
          <cell r="F389">
            <v>53966</v>
          </cell>
        </row>
        <row r="390">
          <cell r="F390">
            <v>53997</v>
          </cell>
        </row>
        <row r="391">
          <cell r="F391">
            <v>54027</v>
          </cell>
        </row>
        <row r="392">
          <cell r="F392">
            <v>54058</v>
          </cell>
        </row>
        <row r="393">
          <cell r="F393">
            <v>54089</v>
          </cell>
        </row>
        <row r="394">
          <cell r="F394">
            <v>54118</v>
          </cell>
        </row>
        <row r="395">
          <cell r="F395">
            <v>54149</v>
          </cell>
        </row>
        <row r="396">
          <cell r="F396">
            <v>54179</v>
          </cell>
        </row>
        <row r="397">
          <cell r="F397">
            <v>54210</v>
          </cell>
        </row>
        <row r="398">
          <cell r="F398">
            <v>54240</v>
          </cell>
        </row>
        <row r="399">
          <cell r="F399">
            <v>54271</v>
          </cell>
        </row>
        <row r="400">
          <cell r="F400">
            <v>54302</v>
          </cell>
        </row>
        <row r="401">
          <cell r="F401">
            <v>54332</v>
          </cell>
        </row>
        <row r="402">
          <cell r="F402">
            <v>54363</v>
          </cell>
        </row>
        <row r="403">
          <cell r="F403">
            <v>54393</v>
          </cell>
        </row>
        <row r="404">
          <cell r="F404">
            <v>54424</v>
          </cell>
        </row>
        <row r="405">
          <cell r="F405">
            <v>54455</v>
          </cell>
        </row>
        <row r="406">
          <cell r="F406">
            <v>54483</v>
          </cell>
        </row>
        <row r="407">
          <cell r="F407">
            <v>54514</v>
          </cell>
        </row>
        <row r="408">
          <cell r="F408">
            <v>54544</v>
          </cell>
        </row>
        <row r="409">
          <cell r="F409">
            <v>54575</v>
          </cell>
        </row>
        <row r="410">
          <cell r="F410">
            <v>54605</v>
          </cell>
        </row>
        <row r="411">
          <cell r="F411">
            <v>54636</v>
          </cell>
        </row>
        <row r="412">
          <cell r="F412">
            <v>54667</v>
          </cell>
        </row>
        <row r="413">
          <cell r="F413">
            <v>54697</v>
          </cell>
        </row>
        <row r="414">
          <cell r="F414">
            <v>54728</v>
          </cell>
        </row>
        <row r="415">
          <cell r="F415">
            <v>54758</v>
          </cell>
        </row>
        <row r="416">
          <cell r="F416">
            <v>54789</v>
          </cell>
        </row>
        <row r="417">
          <cell r="F417">
            <v>54820</v>
          </cell>
        </row>
        <row r="418">
          <cell r="F418">
            <v>54848</v>
          </cell>
        </row>
        <row r="419">
          <cell r="F419">
            <v>54879</v>
          </cell>
        </row>
        <row r="420">
          <cell r="F420">
            <v>54909</v>
          </cell>
        </row>
        <row r="421">
          <cell r="F421">
            <v>54940</v>
          </cell>
        </row>
        <row r="422">
          <cell r="F422">
            <v>54970</v>
          </cell>
        </row>
        <row r="423">
          <cell r="F423">
            <v>55001</v>
          </cell>
        </row>
        <row r="424">
          <cell r="F424">
            <v>55032</v>
          </cell>
        </row>
        <row r="425">
          <cell r="F425">
            <v>55062</v>
          </cell>
        </row>
        <row r="426">
          <cell r="F426">
            <v>55093</v>
          </cell>
        </row>
        <row r="427">
          <cell r="F427">
            <v>55123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opulation"/>
      <sheetName val="Pyramids"/>
      <sheetName val="Marital status"/>
      <sheetName val="Fertility"/>
      <sheetName val="Households"/>
      <sheetName val="Elected"/>
      <sheetName val="Elected_data"/>
      <sheetName val="Sheet1"/>
      <sheetName val="Government"/>
      <sheetName val="Gov Officials"/>
      <sheetName val="Enterprises"/>
      <sheetName val="Safety"/>
      <sheetName val="Crime"/>
      <sheetName val="Literacy"/>
      <sheetName val="Quals"/>
      <sheetName val="Enrolment"/>
      <sheetName val="Scholarships"/>
      <sheetName val="Teachers"/>
      <sheetName val="IMR"/>
      <sheetName val="Life Expect"/>
      <sheetName val="Sheet2"/>
      <sheetName val="Mortality"/>
      <sheetName val="Maternal"/>
      <sheetName val="Children"/>
      <sheetName val="Fam Planning"/>
      <sheetName val="Threats"/>
      <sheetName val="Migration"/>
      <sheetName val="Immigration"/>
      <sheetName val="Utilities"/>
      <sheetName val="Time"/>
      <sheetName val="Employ"/>
      <sheetName val="Industry"/>
      <sheetName val="Occupation"/>
      <sheetName val="Income"/>
      <sheetName val="Informal"/>
      <sheetName val="Employees"/>
    </sheetNames>
    <sheetDataSet>
      <sheetData sheetId="0" refreshError="1"/>
      <sheetData sheetId="1" refreshError="1">
        <row r="1">
          <cell r="A1" t="str">
            <v>Population by age group and sex, 1976 - 2001</v>
          </cell>
          <cell r="U1" t="str">
            <v>Child to woman ratio, 1986 - 2001</v>
          </cell>
        </row>
        <row r="61">
          <cell r="A61" t="str">
            <v>Percentage distribution of the population by age group for each sex, and women per 100</v>
          </cell>
        </row>
        <row r="118">
          <cell r="A118" t="str">
            <v>Percentage distribution of the population by urban and rural residence, 1981 - 2001</v>
          </cell>
        </row>
      </sheetData>
      <sheetData sheetId="2"/>
      <sheetData sheetId="3" refreshError="1">
        <row r="43">
          <cell r="A43" t="str">
            <v>Percentage distribution of women and men aged 15 years and over by age group, marital status and sex, 1996</v>
          </cell>
          <cell r="O43" t="str">
            <v>Percentage distribution of women and men aged 15 years and over by age group, marital status and sex, 2001</v>
          </cell>
        </row>
      </sheetData>
      <sheetData sheetId="4" refreshError="1">
        <row r="30">
          <cell r="A30" t="str">
            <v>Age specific fertility rates (per 1,000 women) and total fertility rate, 1991 - 2001</v>
          </cell>
        </row>
        <row r="62">
          <cell r="A62" t="str">
            <v xml:space="preserve">Crude birth rate for the Cook Islands, per 1,000 population, 1967 – 1996 </v>
          </cell>
        </row>
      </sheetData>
      <sheetData sheetId="5" refreshError="1">
        <row r="43">
          <cell r="A43" t="str">
            <v>Percentage distribution of women-headed and male-headed households by size</v>
          </cell>
        </row>
        <row r="81">
          <cell r="A81" t="str">
            <v xml:space="preserve">Percentage of households headed by women and by men by size of the household </v>
          </cell>
        </row>
      </sheetData>
      <sheetData sheetId="6" refreshError="1">
        <row r="14">
          <cell r="A14" t="str">
            <v>Percentage of elected and appointed positions occupied by women and men for two periods</v>
          </cell>
        </row>
        <row r="27">
          <cell r="A27" t="str">
            <v>Percentage distribution of elected and appointed women and men by level of position for two periods</v>
          </cell>
        </row>
      </sheetData>
      <sheetData sheetId="7" refreshError="1"/>
      <sheetData sheetId="8" refreshError="1"/>
      <sheetData sheetId="9" refreshError="1"/>
      <sheetData sheetId="10" refreshError="1">
        <row r="13">
          <cell r="A13" t="str">
            <v>Percentage distribution of senior-level officials by field and sex, 2001</v>
          </cell>
        </row>
      </sheetData>
      <sheetData sheetId="11" refreshError="1">
        <row r="15">
          <cell r="A15" t="str">
            <v>Percentage distribution of women and men managers by type of enterprise managed, 1996 - 2001</v>
          </cell>
        </row>
        <row r="25">
          <cell r="A25" t="str">
            <v>Percentage of women among managers in enterprises, 1996 - 2001</v>
          </cell>
        </row>
      </sheetData>
      <sheetData sheetId="12" refreshError="1">
        <row r="13">
          <cell r="A13" t="str">
            <v>Percentage of women in selected public order and safety occupations, 1996 - 2001</v>
          </cell>
        </row>
      </sheetData>
      <sheetData sheetId="13" refreshError="1">
        <row r="25">
          <cell r="I25" t="str">
            <v>Victims of violence, by sex, age group and type of violence inflicted, 2001</v>
          </cell>
        </row>
        <row r="27">
          <cell r="A27" t="str">
            <v>Percentage distribution of convicted women and men by type of offence, 1996 - 2001</v>
          </cell>
        </row>
      </sheetData>
      <sheetData sheetId="14" refreshError="1">
        <row r="1">
          <cell r="A1" t="str">
            <v>Percentage of the population aged 15 years and over by literacy status, sex and age group, 1991 - 2001</v>
          </cell>
        </row>
        <row r="24">
          <cell r="A24" t="str">
            <v>Illiteracy rates by sex and age group, 1991 - 2001</v>
          </cell>
        </row>
      </sheetData>
      <sheetData sheetId="15" refreshError="1">
        <row r="39">
          <cell r="A39" t="str">
            <v>Percentage distribution of the population aged 20 years and over by sex, age group and level of education completed, 2001</v>
          </cell>
        </row>
      </sheetData>
      <sheetData sheetId="16" refreshError="1">
        <row r="16">
          <cell r="A16" t="str">
            <v>Gross enrolment ratio at primary and secondary levels of education by sex, 1990 - 2001</v>
          </cell>
        </row>
        <row r="24">
          <cell r="A24" t="str">
            <v>Girls enrolled per 100 boys and percentage of girls among drop-outs by level of education, 1990 - 2001</v>
          </cell>
        </row>
      </sheetData>
      <sheetData sheetId="17" refreshError="1">
        <row r="24">
          <cell r="A24" t="str">
            <v>Percentage distribution of tertiary scholarship students by sex and field of study, 1990 - 2001</v>
          </cell>
        </row>
        <row r="47">
          <cell r="A47" t="str">
            <v>Proportion of females in field of tertiary education, 1990 - 2001</v>
          </cell>
        </row>
      </sheetData>
      <sheetData sheetId="18" refreshError="1">
        <row r="11">
          <cell r="A11" t="str">
            <v>Percentage distribution of teachers by level taught and sex, 1996 - 2001</v>
          </cell>
        </row>
        <row r="21">
          <cell r="A21" t="str">
            <v>Percentage of women among teachers by level taught, 1996 - 2001</v>
          </cell>
        </row>
      </sheetData>
      <sheetData sheetId="19" refreshError="1">
        <row r="19">
          <cell r="A19" t="str">
            <v>Mortality rates by sex for specified age groups, urban and rural areas, for selected years</v>
          </cell>
        </row>
      </sheetData>
      <sheetData sheetId="20" refreshError="1">
        <row r="1">
          <cell r="A1" t="str">
            <v>Life expectancy for resident population, for selected years</v>
          </cell>
        </row>
      </sheetData>
      <sheetData sheetId="21" refreshError="1"/>
      <sheetData sheetId="22" refreshError="1">
        <row r="1">
          <cell r="Q1" t="str">
            <v>Percentage distribution of deaths by cause, sex and age group</v>
          </cell>
          <cell r="AG1" t="str">
            <v>Percentage distribution of deaths by cause, sex and age group</v>
          </cell>
        </row>
      </sheetData>
      <sheetData sheetId="23" refreshError="1">
        <row r="13">
          <cell r="A13" t="str">
            <v>Maternal mortality ratio (per 1,000 births) by age group, 2001</v>
          </cell>
        </row>
      </sheetData>
      <sheetData sheetId="24" refreshError="1">
        <row r="19">
          <cell r="A19" t="str">
            <v xml:space="preserve">Percentage of births to women aged less than 20, 1976 – 2001 </v>
          </cell>
        </row>
      </sheetData>
      <sheetData sheetId="25" refreshError="1">
        <row r="11">
          <cell r="A11" t="str">
            <v xml:space="preserve">Prevalence of contraceptive use among women, 1991 - 2001 </v>
          </cell>
        </row>
        <row r="24">
          <cell r="K24" t="str">
            <v>Percentage distribution of women family planning users by method used, 1991 - 2001</v>
          </cell>
        </row>
      </sheetData>
      <sheetData sheetId="26" refreshError="1">
        <row r="18">
          <cell r="A18" t="str">
            <v>Percentage of males and females with selected attributes related to health risks</v>
          </cell>
        </row>
      </sheetData>
      <sheetData sheetId="27" refreshError="1"/>
      <sheetData sheetId="28" refreshError="1"/>
      <sheetData sheetId="29" refreshError="1">
        <row r="44">
          <cell r="A44" t="str">
            <v>Percentage distribution of access to utilities by gender of household head, 1996</v>
          </cell>
        </row>
      </sheetData>
      <sheetData sheetId="30" refreshError="1">
        <row r="27">
          <cell r="A27" t="str">
            <v xml:space="preserve">Average time spent by women and men in selected activities per week, Rarotonga, 1998 </v>
          </cell>
        </row>
      </sheetData>
      <sheetData sheetId="31" refreshError="1">
        <row r="43">
          <cell r="A43" t="str">
            <v>Economic activity rates for women and men by age group and area, 2001</v>
          </cell>
        </row>
        <row r="60">
          <cell r="A60" t="str">
            <v>Unemployment rate of women and men by age group and area, 2001</v>
          </cell>
        </row>
        <row r="77">
          <cell r="A77" t="str">
            <v>Not economically active rate of women and men by age group and area, 2001</v>
          </cell>
        </row>
      </sheetData>
      <sheetData sheetId="32" refreshError="1">
        <row r="21">
          <cell r="U21" t="str">
            <v>Percentage of the economically active population by branch of activity and gender, 1996</v>
          </cell>
        </row>
      </sheetData>
      <sheetData sheetId="33" refreshError="1">
        <row r="17">
          <cell r="A17" t="str">
            <v>Occupations of the economically active (percent women and men), 1991 - 2001</v>
          </cell>
        </row>
        <row r="33">
          <cell r="A33" t="str">
            <v>Sex composition of occupational groups, percent, 1991 - 2001</v>
          </cell>
        </row>
      </sheetData>
      <sheetData sheetId="34" refreshError="1">
        <row r="18">
          <cell r="A18" t="str">
            <v>Women’s average income and occupation, hours worked as a percentage of men’s, 1998 - 2001, Rarotonga only</v>
          </cell>
        </row>
      </sheetData>
      <sheetData sheetId="35" refreshError="1">
        <row r="21">
          <cell r="A21" t="str">
            <v xml:space="preserve">Percentage of economically active women and men employed in the informal sector </v>
          </cell>
        </row>
      </sheetData>
      <sheetData sheetId="36" refreshError="1">
        <row r="18">
          <cell r="A18" t="str">
            <v>Employees as a percentage of those employed and occupation, 1996 - 2001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REBR"/>
      <sheetName val="EVPRDBR"/>
      <sheetName val="EVPTVBR"/>
      <sheetName val="EVARECS"/>
      <sheetName val="EVPRDCS"/>
      <sheetName val="EVPTVCS"/>
      <sheetName val="EVARES"/>
      <sheetName val="EVPRDS"/>
      <sheetName val="EVPTVS"/>
      <sheetName val="EVARESD"/>
      <sheetName val="EVPRDSD"/>
      <sheetName val="EVPTVSD"/>
      <sheetName val="EVARECO"/>
      <sheetName val="EVPRDCO"/>
      <sheetName val="EVPTVCO"/>
      <sheetName val="EVARENE"/>
      <sheetName val="EVPRDNE"/>
      <sheetName val="EVPTVNE"/>
      <sheetName val="EVARENO"/>
      <sheetName val="EVPRDNO"/>
      <sheetName val="EVPTVNO"/>
      <sheetName val="EVARENN"/>
      <sheetName val="EVPRDNN"/>
      <sheetName val="EVPTVNN"/>
      <sheetName val="EVAREDF"/>
      <sheetName val="EVPRDDF"/>
      <sheetName val="EVPTVDF"/>
      <sheetName val="EVAREGO"/>
      <sheetName val="EVPRDGO"/>
      <sheetName val="EVPTVGO"/>
      <sheetName val="EVAREMT"/>
      <sheetName val="EVPRDMT"/>
      <sheetName val="EVPTVMT"/>
      <sheetName val="EVAREMS"/>
      <sheetName val="EVPRDMS"/>
      <sheetName val="EVPTVMS"/>
      <sheetName val="EVAREPR"/>
      <sheetName val="EVPRDPR"/>
      <sheetName val="EVPTVPR"/>
      <sheetName val="EVARERS"/>
      <sheetName val="EVPRDRS"/>
      <sheetName val="EVPTVRS"/>
      <sheetName val="EVARESC"/>
      <sheetName val="EVPRDSC"/>
      <sheetName val="EVPTVSC"/>
      <sheetName val="EVARESP"/>
      <sheetName val="EVPRDSP"/>
      <sheetName val="EVPTVSP"/>
      <sheetName val="EVAREMG"/>
      <sheetName val="EVPRDMG"/>
      <sheetName val="EVPTVMG"/>
      <sheetName val="EVARERJ"/>
      <sheetName val="EVPRDRJ"/>
      <sheetName val="EVPTVRJ"/>
      <sheetName val="EVAREES"/>
      <sheetName val="EVPRDES"/>
      <sheetName val="EVPTVES"/>
      <sheetName val="EVAREBN"/>
      <sheetName val="EVPRDBN"/>
      <sheetName val="EVPTVBN"/>
      <sheetName val="EVAREBS"/>
      <sheetName val="EVPRDBS"/>
      <sheetName val="EVPTVBS"/>
      <sheetName val="EVAREBA"/>
      <sheetName val="EVPRDBA"/>
      <sheetName val="EVPTVBA"/>
      <sheetName val="EVAREMA"/>
      <sheetName val="EVPRDMA"/>
      <sheetName val="EVPTVMA"/>
      <sheetName val="EVAREPI"/>
      <sheetName val="EVPRDPI"/>
      <sheetName val="EVPTVPI"/>
      <sheetName val="EVARECE"/>
      <sheetName val="EVPRDCE"/>
      <sheetName val="EVPTVCE"/>
      <sheetName val="EVARERN"/>
      <sheetName val="EVPRDRN"/>
      <sheetName val="EVPTVRN"/>
      <sheetName val="EVAREPB"/>
      <sheetName val="EVPRDPB"/>
      <sheetName val="EVPTVPB"/>
      <sheetName val="EVAREPE"/>
      <sheetName val="EVPRDPE"/>
      <sheetName val="EVPTVPE"/>
      <sheetName val="EVAREAL"/>
      <sheetName val="EVPRDAL"/>
      <sheetName val="EVPTVAL"/>
      <sheetName val="EVARESE"/>
      <sheetName val="EVPRDSE"/>
      <sheetName val="EVPTVSE"/>
      <sheetName val="EVARERR"/>
      <sheetName val="EVPRDRR"/>
      <sheetName val="EVPTVRR"/>
      <sheetName val="EVARERO"/>
      <sheetName val="EVPRDRO"/>
      <sheetName val="EVPTVRO"/>
      <sheetName val="EVAREAC"/>
      <sheetName val="EVPRDAC"/>
      <sheetName val="EVPTVAC"/>
      <sheetName val="EVAREAM"/>
      <sheetName val="EVPRDAM"/>
      <sheetName val="EVPTVAM"/>
      <sheetName val="EVAREPA"/>
      <sheetName val="EVPRDPA"/>
      <sheetName val="EVPTVPA"/>
      <sheetName val="EVARETO"/>
      <sheetName val="EVPRDTO"/>
      <sheetName val="EVPTV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"/>
      <sheetName val="prev"/>
      <sheetName val="DRF"/>
      <sheetName val="RF"/>
      <sheetName val="siafi"/>
      <sheetName val="scf"/>
      <sheetName val="obs"/>
      <sheetName val="nota"/>
      <sheetName val="recprev"/>
      <sheetName val="fluxo"/>
      <sheetName val="mas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Receita Previdenciária
(R$ mil) nominal</v>
          </cell>
        </row>
        <row r="2">
          <cell r="C2" t="str">
            <v>Receita Prev</v>
          </cell>
        </row>
        <row r="3">
          <cell r="C3">
            <v>4261878.3381438404</v>
          </cell>
        </row>
        <row r="4">
          <cell r="C4">
            <v>4284602.0589985903</v>
          </cell>
        </row>
        <row r="5">
          <cell r="C5">
            <v>4524496.15638352</v>
          </cell>
        </row>
        <row r="6">
          <cell r="C6">
            <v>4402578.9619565103</v>
          </cell>
        </row>
        <row r="7">
          <cell r="C7">
            <v>4599545.9297223501</v>
          </cell>
        </row>
        <row r="8">
          <cell r="C8">
            <v>4647098.9826000696</v>
          </cell>
        </row>
        <row r="9">
          <cell r="C9">
            <v>4779345.60102781</v>
          </cell>
        </row>
        <row r="10">
          <cell r="C10">
            <v>4889259.9596116701</v>
          </cell>
        </row>
        <row r="11">
          <cell r="C11">
            <v>4787956.00001375</v>
          </cell>
        </row>
        <row r="12">
          <cell r="C12">
            <v>4760020.5371738104</v>
          </cell>
        </row>
        <row r="13">
          <cell r="C13">
            <v>4798338.4726135498</v>
          </cell>
        </row>
        <row r="14">
          <cell r="C14">
            <v>7915887.7449765401</v>
          </cell>
        </row>
        <row r="15">
          <cell r="C15">
            <v>5167423.8055427996</v>
          </cell>
        </row>
        <row r="16">
          <cell r="C16">
            <v>5041049.1183086</v>
          </cell>
        </row>
        <row r="17">
          <cell r="C17">
            <v>5129464.5638370104</v>
          </cell>
        </row>
        <row r="18">
          <cell r="C18">
            <v>5128906.9470735099</v>
          </cell>
        </row>
        <row r="19">
          <cell r="C19">
            <v>5256185.1450654501</v>
          </cell>
        </row>
        <row r="20">
          <cell r="C20">
            <v>5763132.2804017402</v>
          </cell>
        </row>
        <row r="21">
          <cell r="C21">
            <v>5131505.4917366598</v>
          </cell>
        </row>
        <row r="22">
          <cell r="C22">
            <v>5418257.2307644803</v>
          </cell>
        </row>
        <row r="23">
          <cell r="C23">
            <v>5223614.7308819098</v>
          </cell>
        </row>
        <row r="24">
          <cell r="C24">
            <v>5452511.9113121098</v>
          </cell>
        </row>
        <row r="25">
          <cell r="C25">
            <v>5792725.0496563399</v>
          </cell>
        </row>
        <row r="26">
          <cell r="C26">
            <v>8908329.8417187296</v>
          </cell>
        </row>
        <row r="27">
          <cell r="C27">
            <v>5597520.6298326598</v>
          </cell>
        </row>
        <row r="28">
          <cell r="C28">
            <v>5505687.1118860701</v>
          </cell>
        </row>
        <row r="29">
          <cell r="C29">
            <v>5512996.9500913797</v>
          </cell>
        </row>
        <row r="30">
          <cell r="C30">
            <v>5809332.9672564603</v>
          </cell>
        </row>
        <row r="31">
          <cell r="C31">
            <v>5969244.69874564</v>
          </cell>
        </row>
        <row r="32">
          <cell r="C32">
            <v>5723551.6675472101</v>
          </cell>
        </row>
        <row r="33">
          <cell r="C33">
            <v>6510902.67880888</v>
          </cell>
        </row>
        <row r="34">
          <cell r="C34">
            <v>6085229.57119276</v>
          </cell>
        </row>
        <row r="35">
          <cell r="C35">
            <v>6276440.5123893199</v>
          </cell>
        </row>
        <row r="36">
          <cell r="C36">
            <v>6388467.5367341898</v>
          </cell>
        </row>
        <row r="37">
          <cell r="C37">
            <v>6622146.1600058395</v>
          </cell>
        </row>
        <row r="38">
          <cell r="C38">
            <v>10042476.738459</v>
          </cell>
        </row>
        <row r="39">
          <cell r="C39">
            <v>6681544.1654214701</v>
          </cell>
        </row>
        <row r="40">
          <cell r="C40">
            <v>6521563.6581917703</v>
          </cell>
        </row>
        <row r="41">
          <cell r="C41">
            <v>5903979.3819782604</v>
          </cell>
        </row>
        <row r="42">
          <cell r="C42">
            <v>6514420.36181584</v>
          </cell>
        </row>
        <row r="43">
          <cell r="C43">
            <v>6378482.98415945</v>
          </cell>
        </row>
        <row r="44">
          <cell r="C44">
            <v>6604326.9839606304</v>
          </cell>
        </row>
        <row r="45">
          <cell r="C45">
            <v>6949151.7063007401</v>
          </cell>
        </row>
        <row r="46">
          <cell r="C46">
            <v>6951446.4047409398</v>
          </cell>
        </row>
        <row r="47">
          <cell r="C47">
            <v>7071387.7475086199</v>
          </cell>
        </row>
        <row r="48">
          <cell r="C48">
            <v>7503752.9497659896</v>
          </cell>
        </row>
        <row r="49">
          <cell r="C49">
            <v>7078872.4164608996</v>
          </cell>
        </row>
        <row r="50">
          <cell r="C50">
            <v>12560459.430283099</v>
          </cell>
        </row>
        <row r="51">
          <cell r="C51">
            <v>6803175.5858597299</v>
          </cell>
        </row>
        <row r="52">
          <cell r="C52">
            <v>7562383.7870939896</v>
          </cell>
        </row>
        <row r="53">
          <cell r="C53">
            <v>7704887.9974128297</v>
          </cell>
        </row>
        <row r="54">
          <cell r="C54">
            <v>7739365.4064476397</v>
          </cell>
        </row>
        <row r="55">
          <cell r="C55">
            <v>7785369.0877534701</v>
          </cell>
        </row>
        <row r="56">
          <cell r="C56">
            <v>8460001.9451644998</v>
          </cell>
        </row>
        <row r="57">
          <cell r="C57">
            <v>8066681.8046999304</v>
          </cell>
        </row>
        <row r="58">
          <cell r="C58">
            <v>8180470.4836408095</v>
          </cell>
        </row>
        <row r="59">
          <cell r="C59">
            <v>8158279.5579945603</v>
          </cell>
        </row>
        <row r="60">
          <cell r="C60">
            <v>8337800.9591747904</v>
          </cell>
        </row>
        <row r="61">
          <cell r="C61">
            <v>8279967.6158769997</v>
          </cell>
        </row>
        <row r="62">
          <cell r="C62">
            <v>14135611.2444428</v>
          </cell>
        </row>
        <row r="63">
          <cell r="C63">
            <v>8508492.3430757001</v>
          </cell>
        </row>
        <row r="64">
          <cell r="C64">
            <v>8513782.8303414304</v>
          </cell>
        </row>
        <row r="65">
          <cell r="C65">
            <v>8790379.7861379292</v>
          </cell>
        </row>
        <row r="66">
          <cell r="C66">
            <v>8854641.1254449394</v>
          </cell>
        </row>
        <row r="67">
          <cell r="C67">
            <v>8765417.5595587399</v>
          </cell>
        </row>
        <row r="68">
          <cell r="C68">
            <v>9118937.0482382905</v>
          </cell>
        </row>
        <row r="69">
          <cell r="C69">
            <v>9145187.1217678897</v>
          </cell>
        </row>
        <row r="70">
          <cell r="C70">
            <v>9651230.91406768</v>
          </cell>
        </row>
        <row r="71">
          <cell r="C71">
            <v>9529497.3776999991</v>
          </cell>
        </row>
        <row r="72">
          <cell r="C72">
            <v>9321843.5645437408</v>
          </cell>
        </row>
        <row r="73">
          <cell r="C73">
            <v>9730792.3831177</v>
          </cell>
        </row>
        <row r="74">
          <cell r="C74">
            <v>15966370.3133543</v>
          </cell>
        </row>
        <row r="75">
          <cell r="C75">
            <v>9831401.4308210406</v>
          </cell>
        </row>
        <row r="76">
          <cell r="C76">
            <v>9968055.6168658398</v>
          </cell>
        </row>
        <row r="77">
          <cell r="C77">
            <v>10038589.42881</v>
          </cell>
        </row>
        <row r="78">
          <cell r="C78">
            <v>9929005.5903443396</v>
          </cell>
        </row>
        <row r="79">
          <cell r="C79">
            <v>10266325.4997127</v>
          </cell>
        </row>
        <row r="80">
          <cell r="C80">
            <v>10547694.466415999</v>
          </cell>
        </row>
        <row r="81">
          <cell r="C81">
            <v>10370266.809426101</v>
          </cell>
        </row>
        <row r="82">
          <cell r="C82">
            <v>10897224.62012</v>
          </cell>
        </row>
        <row r="83">
          <cell r="C83">
            <v>11222648.4255889</v>
          </cell>
        </row>
        <row r="84">
          <cell r="C84">
            <v>11156088.753570201</v>
          </cell>
        </row>
        <row r="85">
          <cell r="C85">
            <v>11178361.0297247</v>
          </cell>
        </row>
        <row r="86">
          <cell r="C86">
            <v>17731966.71455</v>
          </cell>
        </row>
        <row r="87">
          <cell r="C87">
            <v>11302791.398772901</v>
          </cell>
        </row>
        <row r="88">
          <cell r="C88">
            <v>11163127.313297501</v>
          </cell>
        </row>
        <row r="89">
          <cell r="C89">
            <v>11629545.3217113</v>
          </cell>
        </row>
        <row r="90">
          <cell r="C90">
            <v>11616789.4579078</v>
          </cell>
        </row>
        <row r="91">
          <cell r="C91">
            <v>11932795.400511499</v>
          </cell>
        </row>
        <row r="92">
          <cell r="C92">
            <v>12005059.7025722</v>
          </cell>
        </row>
        <row r="93">
          <cell r="C93">
            <v>12355539.05738</v>
          </cell>
        </row>
        <row r="94">
          <cell r="C94">
            <v>12957206.929959999</v>
          </cell>
        </row>
        <row r="95">
          <cell r="C95">
            <v>12430166.457707999</v>
          </cell>
        </row>
        <row r="96">
          <cell r="C96">
            <v>12920022.5777654</v>
          </cell>
        </row>
        <row r="97">
          <cell r="C97">
            <v>12945905.7883284</v>
          </cell>
        </row>
        <row r="98">
          <cell r="C98">
            <v>20586428.4055974</v>
          </cell>
        </row>
        <row r="99">
          <cell r="C99">
            <v>13779487.389448</v>
          </cell>
        </row>
        <row r="100">
          <cell r="C100">
            <v>13164470.999415699</v>
          </cell>
        </row>
        <row r="101">
          <cell r="C101">
            <v>13363348.3298005</v>
          </cell>
        </row>
        <row r="102">
          <cell r="C102">
            <v>13960328.013253201</v>
          </cell>
        </row>
        <row r="103">
          <cell r="C103">
            <v>13931626.4291187</v>
          </cell>
        </row>
        <row r="104">
          <cell r="C104">
            <v>14205242.171856999</v>
          </cell>
        </row>
        <row r="105">
          <cell r="C105">
            <v>14676722.8133204</v>
          </cell>
        </row>
        <row r="106">
          <cell r="C106">
            <v>14599581.3274939</v>
          </cell>
        </row>
        <row r="107">
          <cell r="C107">
            <v>14851015.703876499</v>
          </cell>
        </row>
        <row r="108">
          <cell r="C108">
            <v>14887171.994149599</v>
          </cell>
        </row>
        <row r="109">
          <cell r="C109">
            <v>15051415.178594301</v>
          </cell>
        </row>
        <row r="110">
          <cell r="C110">
            <v>24005868.191805899</v>
          </cell>
        </row>
        <row r="111">
          <cell r="C111">
            <v>14910766.076699501</v>
          </cell>
        </row>
        <row r="112">
          <cell r="C112">
            <v>14439812.602333801</v>
          </cell>
        </row>
        <row r="113">
          <cell r="C113">
            <v>15650592.7204537</v>
          </cell>
        </row>
        <row r="114">
          <cell r="C114">
            <v>15587232.283523601</v>
          </cell>
        </row>
        <row r="115">
          <cell r="C115">
            <v>15810832.427541999</v>
          </cell>
        </row>
        <row r="116">
          <cell r="C116">
            <v>15597209.903292701</v>
          </cell>
        </row>
        <row r="117">
          <cell r="C117">
            <v>15794264.8412595</v>
          </cell>
        </row>
        <row r="118">
          <cell r="C118">
            <v>15812181.6148051</v>
          </cell>
        </row>
        <row r="119">
          <cell r="C119">
            <v>15659547.257949</v>
          </cell>
        </row>
        <row r="120">
          <cell r="C120">
            <v>16370556.701886799</v>
          </cell>
        </row>
        <row r="121">
          <cell r="C121">
            <v>18690123.172156502</v>
          </cell>
        </row>
        <row r="122">
          <cell r="C122">
            <v>26413853.273902901</v>
          </cell>
        </row>
        <row r="123">
          <cell r="C123">
            <v>17180246.205003701</v>
          </cell>
        </row>
        <row r="124">
          <cell r="C124">
            <v>16828981.981628999</v>
          </cell>
        </row>
        <row r="125">
          <cell r="C125">
            <v>17441161.975002199</v>
          </cell>
        </row>
        <row r="126">
          <cell r="C126">
            <v>18041887.230099902</v>
          </cell>
        </row>
        <row r="127">
          <cell r="C127">
            <v>18199013.748591799</v>
          </cell>
        </row>
        <row r="128">
          <cell r="C128">
            <v>18346779.522514801</v>
          </cell>
        </row>
        <row r="129">
          <cell r="C129">
            <v>18589021.294119999</v>
          </cell>
        </row>
        <row r="130">
          <cell r="C130">
            <v>19007730.948320001</v>
          </cell>
        </row>
        <row r="131">
          <cell r="C131">
            <v>18990358.208730001</v>
          </cell>
        </row>
        <row r="132">
          <cell r="C132">
            <v>19362199.422370002</v>
          </cell>
        </row>
        <row r="133">
          <cell r="C133">
            <v>19842226.473669998</v>
          </cell>
        </row>
        <row r="134">
          <cell r="C134">
            <v>31795896.825830001</v>
          </cell>
        </row>
        <row r="135">
          <cell r="C135">
            <v>20801178.291719999</v>
          </cell>
        </row>
        <row r="136">
          <cell r="C136">
            <v>19240968.942400001</v>
          </cell>
        </row>
        <row r="137">
          <cell r="C137">
            <v>19452514.781249996</v>
          </cell>
        </row>
        <row r="138">
          <cell r="C138">
            <v>21456213.105880003</v>
          </cell>
        </row>
        <row r="139">
          <cell r="C139">
            <v>20927999.352750003</v>
          </cell>
        </row>
        <row r="140">
          <cell r="C140">
            <v>21476492.51089</v>
          </cell>
        </row>
        <row r="141">
          <cell r="C141">
            <v>22015221.362029996</v>
          </cell>
        </row>
        <row r="142">
          <cell r="C142">
            <v>21578251.551289998</v>
          </cell>
        </row>
        <row r="143">
          <cell r="C143">
            <v>22858914.451569997</v>
          </cell>
        </row>
        <row r="144">
          <cell r="C144">
            <v>22587197.529970001</v>
          </cell>
        </row>
        <row r="145">
          <cell r="C145">
            <v>20466272.447370015</v>
          </cell>
        </row>
        <row r="146">
          <cell r="C146">
            <v>36433719.892450005</v>
          </cell>
        </row>
        <row r="147">
          <cell r="A147">
            <v>40909</v>
          </cell>
          <cell r="B147">
            <v>23740405.272940002</v>
          </cell>
          <cell r="C147">
            <v>23692610.782060001</v>
          </cell>
          <cell r="D147">
            <v>19950235.793760002</v>
          </cell>
          <cell r="E147">
            <v>3742374.9883000003</v>
          </cell>
          <cell r="F147">
            <v>17212972.248999998</v>
          </cell>
          <cell r="G147">
            <v>153104.21466999999</v>
          </cell>
          <cell r="H147">
            <v>14578089548.9699</v>
          </cell>
          <cell r="I147">
            <v>730375468.16000903</v>
          </cell>
          <cell r="J147">
            <v>158721654.21999899</v>
          </cell>
          <cell r="K147">
            <v>915454365.54000497</v>
          </cell>
          <cell r="L147">
            <v>181185058.969998</v>
          </cell>
          <cell r="M147">
            <v>1800631580.8399799</v>
          </cell>
          <cell r="N147">
            <v>5530878.5200001299</v>
          </cell>
          <cell r="O147">
            <v>2039989441.97</v>
          </cell>
          <cell r="P147">
            <v>236006126.230001</v>
          </cell>
          <cell r="Q147">
            <v>69778836.740004793</v>
          </cell>
          <cell r="R147">
            <v>545912702.24000001</v>
          </cell>
          <cell r="S147">
            <v>3286875.84000035</v>
          </cell>
          <cell r="T147">
            <v>47794490.8800001</v>
          </cell>
          <cell r="U147">
            <v>3422.79</v>
          </cell>
        </row>
        <row r="148">
          <cell r="C148">
            <v>20628822.180890001</v>
          </cell>
        </row>
        <row r="149">
          <cell r="C149">
            <v>24444388.872140002</v>
          </cell>
        </row>
        <row r="150">
          <cell r="A150">
            <v>41000</v>
          </cell>
          <cell r="B150">
            <v>23946006.861860003</v>
          </cell>
          <cell r="C150">
            <v>23932452.084970005</v>
          </cell>
          <cell r="D150">
            <v>21746540.172930006</v>
          </cell>
          <cell r="E150">
            <v>2185911.9120400003</v>
          </cell>
          <cell r="F150">
            <v>17288134.056000002</v>
          </cell>
          <cell r="G150">
            <v>130482.437800001</v>
          </cell>
          <cell r="H150">
            <v>14342658185.5998</v>
          </cell>
          <cell r="I150">
            <v>798039632.14003396</v>
          </cell>
          <cell r="J150">
            <v>232680843.84999701</v>
          </cell>
          <cell r="K150">
            <v>919869197.43001795</v>
          </cell>
          <cell r="L150">
            <v>185392799.5</v>
          </cell>
          <cell r="M150">
            <v>1943520897.93999</v>
          </cell>
          <cell r="N150">
            <v>11910077.090000501</v>
          </cell>
          <cell r="O150">
            <v>1857197494.51999</v>
          </cell>
          <cell r="P150">
            <v>415793068.030007</v>
          </cell>
          <cell r="Q150">
            <v>66521263.759997599</v>
          </cell>
          <cell r="R150">
            <v>551598264.14999294</v>
          </cell>
          <cell r="S150">
            <v>438252.36999994901</v>
          </cell>
          <cell r="T150">
            <v>13554776.8899967</v>
          </cell>
          <cell r="U150">
            <v>3467.46</v>
          </cell>
        </row>
        <row r="151">
          <cell r="A151">
            <v>41030</v>
          </cell>
          <cell r="B151">
            <v>24024167.638060004</v>
          </cell>
          <cell r="C151">
            <v>24012816.644440006</v>
          </cell>
          <cell r="D151">
            <v>21767348.053630006</v>
          </cell>
          <cell r="E151">
            <v>2245468.59081</v>
          </cell>
          <cell r="F151">
            <v>17555751.132300001</v>
          </cell>
          <cell r="G151">
            <v>143063.10957999999</v>
          </cell>
          <cell r="H151">
            <v>14526562044.549999</v>
          </cell>
          <cell r="I151">
            <v>828063565.36002505</v>
          </cell>
          <cell r="J151">
            <v>289873960.32999903</v>
          </cell>
          <cell r="K151">
            <v>953793508.68001699</v>
          </cell>
          <cell r="L151">
            <v>187538584.51999801</v>
          </cell>
          <cell r="M151">
            <v>2023157821.71999</v>
          </cell>
          <cell r="N151">
            <v>9413992.6300005894</v>
          </cell>
          <cell r="O151">
            <v>1864026915.8399999</v>
          </cell>
          <cell r="P151">
            <v>384882046.06</v>
          </cell>
          <cell r="Q151">
            <v>62311366.920000397</v>
          </cell>
          <cell r="R151">
            <v>604863169.21000004</v>
          </cell>
          <cell r="S151">
            <v>946053.04000014195</v>
          </cell>
          <cell r="T151">
            <v>11350993.619998701</v>
          </cell>
          <cell r="U151">
            <v>3479.94</v>
          </cell>
        </row>
        <row r="152">
          <cell r="A152">
            <v>41061</v>
          </cell>
          <cell r="B152">
            <v>23886200.740150001</v>
          </cell>
          <cell r="C152">
            <v>23873268.425179999</v>
          </cell>
          <cell r="D152">
            <v>21565314.713367</v>
          </cell>
          <cell r="E152">
            <v>2307953.711813001</v>
          </cell>
          <cell r="F152">
            <v>17685865.493699998</v>
          </cell>
          <cell r="G152">
            <v>122329.715460001</v>
          </cell>
          <cell r="H152">
            <v>14424183269.18</v>
          </cell>
          <cell r="I152">
            <v>788011717.38002598</v>
          </cell>
          <cell r="J152">
            <v>255951781.34999901</v>
          </cell>
          <cell r="K152">
            <v>954651745.28001702</v>
          </cell>
          <cell r="L152">
            <v>184557370.959997</v>
          </cell>
          <cell r="M152">
            <v>1972287090.65996</v>
          </cell>
          <cell r="N152">
            <v>6720298.29999997</v>
          </cell>
          <cell r="O152">
            <v>1909827540.79</v>
          </cell>
          <cell r="P152">
            <v>353631925.66000301</v>
          </cell>
          <cell r="Q152">
            <v>66318583.249993302</v>
          </cell>
          <cell r="R152">
            <v>527998202.200001</v>
          </cell>
          <cell r="S152">
            <v>6519775.6199991303</v>
          </cell>
          <cell r="T152">
            <v>12932314.9700002</v>
          </cell>
          <cell r="U152">
            <v>3482.72</v>
          </cell>
        </row>
        <row r="153">
          <cell r="A153">
            <v>41091</v>
          </cell>
          <cell r="B153">
            <v>24448366.032440003</v>
          </cell>
          <cell r="C153">
            <v>24417023.605930001</v>
          </cell>
          <cell r="D153">
            <v>22130591.56639</v>
          </cell>
          <cell r="E153">
            <v>2286432.0395400007</v>
          </cell>
          <cell r="F153">
            <v>17797428.203200001</v>
          </cell>
          <cell r="G153">
            <v>147651.90601999999</v>
          </cell>
          <cell r="H153">
            <v>14709382770.389999</v>
          </cell>
          <cell r="I153">
            <v>831534621.99002302</v>
          </cell>
          <cell r="J153">
            <v>312767942.08999801</v>
          </cell>
          <cell r="K153">
            <v>990236901.26001596</v>
          </cell>
          <cell r="L153">
            <v>194183992.87000099</v>
          </cell>
          <cell r="M153">
            <v>1961682455.00999</v>
          </cell>
          <cell r="N153">
            <v>18558840.5099997</v>
          </cell>
          <cell r="O153">
            <v>1960040297.54</v>
          </cell>
          <cell r="P153">
            <v>274021251.13999599</v>
          </cell>
          <cell r="Q153">
            <v>67600027.4499989</v>
          </cell>
          <cell r="R153">
            <v>687981155.34000695</v>
          </cell>
          <cell r="S153">
            <v>921445.75000017602</v>
          </cell>
          <cell r="T153">
            <v>31342426.510002904</v>
          </cell>
          <cell r="U153">
            <v>3497.7</v>
          </cell>
        </row>
        <row r="154">
          <cell r="C154">
            <v>24864293.603859998</v>
          </cell>
        </row>
        <row r="155">
          <cell r="C155">
            <v>24079329.738390006</v>
          </cell>
        </row>
        <row r="156">
          <cell r="C156">
            <v>24698106.478630006</v>
          </cell>
        </row>
        <row r="157">
          <cell r="C157">
            <v>24860149.168929998</v>
          </cell>
        </row>
      </sheetData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érios de Seleção"/>
      <sheetName val="IFs Consolidadas"/>
      <sheetName val="IFs não Consolidadas"/>
      <sheetName val="Indicadores"/>
      <sheetName val="Variáveis e Indicadores"/>
      <sheetName val="Balancete Ajustado"/>
      <sheetName val="DRE Ajustada"/>
      <sheetName val="DRE de Publicação"/>
      <sheetName val="Balancete Contábil"/>
      <sheetName val="Análise Gráfica"/>
      <sheetName val="Cosif_Completo"/>
      <sheetName val="Dados_Gr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>
            <v>0</v>
          </cell>
          <cell r="C2">
            <v>0</v>
          </cell>
          <cell r="D2">
            <v>0</v>
          </cell>
        </row>
        <row r="3">
          <cell r="A3">
            <v>0</v>
          </cell>
          <cell r="C3">
            <v>0</v>
          </cell>
          <cell r="D3">
            <v>0</v>
          </cell>
        </row>
        <row r="4">
          <cell r="A4">
            <v>0</v>
          </cell>
          <cell r="C4">
            <v>0</v>
          </cell>
          <cell r="D4">
            <v>0</v>
          </cell>
        </row>
        <row r="5">
          <cell r="A5">
            <v>0</v>
          </cell>
          <cell r="C5">
            <v>0</v>
          </cell>
          <cell r="D5">
            <v>0</v>
          </cell>
        </row>
        <row r="6">
          <cell r="A6">
            <v>0</v>
          </cell>
          <cell r="C6">
            <v>0</v>
          </cell>
          <cell r="D6">
            <v>0</v>
          </cell>
        </row>
        <row r="7">
          <cell r="A7">
            <v>0</v>
          </cell>
          <cell r="C7">
            <v>0</v>
          </cell>
          <cell r="D7">
            <v>0</v>
          </cell>
        </row>
        <row r="8">
          <cell r="A8">
            <v>0</v>
          </cell>
          <cell r="C8">
            <v>0</v>
          </cell>
          <cell r="D8">
            <v>0</v>
          </cell>
        </row>
        <row r="9">
          <cell r="A9">
            <v>0</v>
          </cell>
          <cell r="C9">
            <v>0</v>
          </cell>
          <cell r="D9">
            <v>0</v>
          </cell>
        </row>
        <row r="10">
          <cell r="A10">
            <v>0</v>
          </cell>
          <cell r="C10">
            <v>0</v>
          </cell>
          <cell r="D10">
            <v>0</v>
          </cell>
        </row>
        <row r="11">
          <cell r="A11">
            <v>0</v>
          </cell>
          <cell r="C11">
            <v>0</v>
          </cell>
          <cell r="D11">
            <v>0</v>
          </cell>
        </row>
        <row r="12">
          <cell r="A12">
            <v>0</v>
          </cell>
          <cell r="C12">
            <v>0</v>
          </cell>
          <cell r="D12">
            <v>0</v>
          </cell>
        </row>
        <row r="13">
          <cell r="A13">
            <v>0</v>
          </cell>
          <cell r="C13">
            <v>0</v>
          </cell>
          <cell r="D13">
            <v>0</v>
          </cell>
        </row>
        <row r="14">
          <cell r="A14">
            <v>0</v>
          </cell>
          <cell r="C14">
            <v>0</v>
          </cell>
          <cell r="D14">
            <v>0</v>
          </cell>
        </row>
        <row r="15">
          <cell r="A15">
            <v>0</v>
          </cell>
          <cell r="C15">
            <v>0</v>
          </cell>
          <cell r="D15">
            <v>0</v>
          </cell>
        </row>
        <row r="16">
          <cell r="A16">
            <v>0</v>
          </cell>
          <cell r="C16">
            <v>0</v>
          </cell>
          <cell r="D16">
            <v>0</v>
          </cell>
        </row>
        <row r="17">
          <cell r="A17">
            <v>0</v>
          </cell>
          <cell r="C17">
            <v>0</v>
          </cell>
          <cell r="D17">
            <v>0</v>
          </cell>
        </row>
        <row r="18">
          <cell r="A18">
            <v>0</v>
          </cell>
          <cell r="C18">
            <v>0</v>
          </cell>
          <cell r="D18">
            <v>0</v>
          </cell>
        </row>
        <row r="19">
          <cell r="A19">
            <v>0</v>
          </cell>
          <cell r="C19">
            <v>0</v>
          </cell>
          <cell r="D19">
            <v>0</v>
          </cell>
        </row>
        <row r="20">
          <cell r="A20">
            <v>0</v>
          </cell>
          <cell r="C20">
            <v>0</v>
          </cell>
          <cell r="D20">
            <v>0</v>
          </cell>
        </row>
        <row r="21">
          <cell r="A21">
            <v>0</v>
          </cell>
          <cell r="C21">
            <v>0</v>
          </cell>
          <cell r="D21">
            <v>0</v>
          </cell>
        </row>
        <row r="22">
          <cell r="A22">
            <v>0</v>
          </cell>
          <cell r="C22">
            <v>0</v>
          </cell>
          <cell r="D22">
            <v>0</v>
          </cell>
        </row>
        <row r="23">
          <cell r="A23">
            <v>0</v>
          </cell>
          <cell r="C23">
            <v>0</v>
          </cell>
          <cell r="D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</row>
        <row r="25">
          <cell r="A25">
            <v>0</v>
          </cell>
          <cell r="C25">
            <v>0</v>
          </cell>
          <cell r="D25">
            <v>0</v>
          </cell>
        </row>
        <row r="26">
          <cell r="A26">
            <v>0</v>
          </cell>
          <cell r="C26">
            <v>0</v>
          </cell>
          <cell r="D26">
            <v>0</v>
          </cell>
        </row>
        <row r="27">
          <cell r="A27">
            <v>0</v>
          </cell>
          <cell r="C27">
            <v>0</v>
          </cell>
          <cell r="D27">
            <v>0</v>
          </cell>
        </row>
        <row r="28">
          <cell r="A28">
            <v>0</v>
          </cell>
          <cell r="C28">
            <v>0</v>
          </cell>
          <cell r="D28">
            <v>0</v>
          </cell>
        </row>
        <row r="29">
          <cell r="A29">
            <v>0</v>
          </cell>
          <cell r="C29">
            <v>0</v>
          </cell>
          <cell r="D29">
            <v>0</v>
          </cell>
        </row>
        <row r="30">
          <cell r="A30">
            <v>0</v>
          </cell>
          <cell r="C30">
            <v>0</v>
          </cell>
          <cell r="D30">
            <v>0</v>
          </cell>
        </row>
        <row r="31">
          <cell r="A31">
            <v>0</v>
          </cell>
          <cell r="C31">
            <v>0</v>
          </cell>
          <cell r="D31">
            <v>0</v>
          </cell>
        </row>
        <row r="32">
          <cell r="A32">
            <v>0</v>
          </cell>
          <cell r="C32">
            <v>0</v>
          </cell>
          <cell r="D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</row>
        <row r="46">
          <cell r="A46">
            <v>0</v>
          </cell>
          <cell r="C46">
            <v>0</v>
          </cell>
          <cell r="D46">
            <v>0</v>
          </cell>
        </row>
        <row r="47">
          <cell r="A47">
            <v>0</v>
          </cell>
          <cell r="C47">
            <v>0</v>
          </cell>
          <cell r="D47">
            <v>0</v>
          </cell>
        </row>
        <row r="48">
          <cell r="A48">
            <v>0</v>
          </cell>
          <cell r="C48">
            <v>0</v>
          </cell>
          <cell r="D48">
            <v>0</v>
          </cell>
        </row>
        <row r="49">
          <cell r="A49">
            <v>0</v>
          </cell>
          <cell r="C49">
            <v>0</v>
          </cell>
          <cell r="D49">
            <v>0</v>
          </cell>
        </row>
        <row r="50">
          <cell r="A50">
            <v>0</v>
          </cell>
          <cell r="C50">
            <v>0</v>
          </cell>
          <cell r="D50">
            <v>0</v>
          </cell>
        </row>
        <row r="51">
          <cell r="A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C52">
            <v>0</v>
          </cell>
          <cell r="D52">
            <v>0</v>
          </cell>
        </row>
        <row r="53">
          <cell r="A53">
            <v>0</v>
          </cell>
          <cell r="C53">
            <v>0</v>
          </cell>
          <cell r="D53">
            <v>0</v>
          </cell>
        </row>
        <row r="54">
          <cell r="A54">
            <v>0</v>
          </cell>
          <cell r="C54">
            <v>0</v>
          </cell>
          <cell r="D54">
            <v>0</v>
          </cell>
        </row>
        <row r="55">
          <cell r="A55">
            <v>0</v>
          </cell>
          <cell r="C55">
            <v>0</v>
          </cell>
          <cell r="D55">
            <v>0</v>
          </cell>
        </row>
        <row r="56">
          <cell r="A56">
            <v>0</v>
          </cell>
          <cell r="C56">
            <v>0</v>
          </cell>
          <cell r="D56">
            <v>0</v>
          </cell>
        </row>
        <row r="57">
          <cell r="A57">
            <v>0</v>
          </cell>
          <cell r="C57">
            <v>0</v>
          </cell>
          <cell r="D57">
            <v>0</v>
          </cell>
        </row>
        <row r="58">
          <cell r="A58">
            <v>0</v>
          </cell>
          <cell r="C58">
            <v>0</v>
          </cell>
          <cell r="D58">
            <v>0</v>
          </cell>
        </row>
        <row r="59">
          <cell r="A59">
            <v>0</v>
          </cell>
          <cell r="C59">
            <v>0</v>
          </cell>
          <cell r="D59">
            <v>0</v>
          </cell>
        </row>
        <row r="60">
          <cell r="A60">
            <v>0</v>
          </cell>
          <cell r="C60">
            <v>0</v>
          </cell>
          <cell r="D60">
            <v>0</v>
          </cell>
        </row>
        <row r="61">
          <cell r="A61">
            <v>0</v>
          </cell>
          <cell r="C61">
            <v>0</v>
          </cell>
          <cell r="D61">
            <v>0</v>
          </cell>
        </row>
        <row r="62">
          <cell r="A62">
            <v>0</v>
          </cell>
          <cell r="C62">
            <v>0</v>
          </cell>
          <cell r="D62">
            <v>0</v>
          </cell>
        </row>
        <row r="63">
          <cell r="A63">
            <v>0</v>
          </cell>
          <cell r="C63">
            <v>0</v>
          </cell>
          <cell r="D63">
            <v>0</v>
          </cell>
        </row>
        <row r="64">
          <cell r="A64">
            <v>0</v>
          </cell>
          <cell r="C64">
            <v>0</v>
          </cell>
          <cell r="D64">
            <v>0</v>
          </cell>
        </row>
        <row r="65">
          <cell r="A65">
            <v>0</v>
          </cell>
          <cell r="C65">
            <v>0</v>
          </cell>
          <cell r="D65">
            <v>0</v>
          </cell>
        </row>
        <row r="66">
          <cell r="A66">
            <v>0</v>
          </cell>
          <cell r="C66">
            <v>0</v>
          </cell>
          <cell r="D66">
            <v>0</v>
          </cell>
        </row>
        <row r="67">
          <cell r="A67">
            <v>0</v>
          </cell>
          <cell r="C67">
            <v>0</v>
          </cell>
          <cell r="D67">
            <v>0</v>
          </cell>
        </row>
        <row r="68">
          <cell r="A68">
            <v>0</v>
          </cell>
          <cell r="C68">
            <v>0</v>
          </cell>
          <cell r="D68">
            <v>0</v>
          </cell>
        </row>
        <row r="69">
          <cell r="A69">
            <v>0</v>
          </cell>
          <cell r="C69">
            <v>0</v>
          </cell>
          <cell r="D69">
            <v>0</v>
          </cell>
        </row>
        <row r="70">
          <cell r="A70">
            <v>0</v>
          </cell>
          <cell r="C70">
            <v>0</v>
          </cell>
          <cell r="D70">
            <v>0</v>
          </cell>
        </row>
        <row r="71">
          <cell r="A71">
            <v>0</v>
          </cell>
          <cell r="C71">
            <v>0</v>
          </cell>
          <cell r="D71">
            <v>0</v>
          </cell>
        </row>
        <row r="72">
          <cell r="A72">
            <v>0</v>
          </cell>
          <cell r="C72">
            <v>0</v>
          </cell>
          <cell r="D72">
            <v>0</v>
          </cell>
        </row>
        <row r="73">
          <cell r="A73">
            <v>0</v>
          </cell>
          <cell r="C73">
            <v>0</v>
          </cell>
          <cell r="D73">
            <v>0</v>
          </cell>
        </row>
        <row r="74">
          <cell r="A74">
            <v>0</v>
          </cell>
          <cell r="C74">
            <v>0</v>
          </cell>
          <cell r="D74">
            <v>0</v>
          </cell>
        </row>
        <row r="75">
          <cell r="A75">
            <v>0</v>
          </cell>
          <cell r="C75">
            <v>0</v>
          </cell>
          <cell r="D75">
            <v>0</v>
          </cell>
        </row>
        <row r="76">
          <cell r="A76">
            <v>0</v>
          </cell>
          <cell r="C76">
            <v>0</v>
          </cell>
          <cell r="D76">
            <v>0</v>
          </cell>
        </row>
        <row r="77">
          <cell r="A77">
            <v>0</v>
          </cell>
          <cell r="C77">
            <v>0</v>
          </cell>
          <cell r="D77">
            <v>0</v>
          </cell>
        </row>
        <row r="78">
          <cell r="A78">
            <v>0</v>
          </cell>
          <cell r="C78">
            <v>0</v>
          </cell>
          <cell r="D78">
            <v>0</v>
          </cell>
        </row>
        <row r="79">
          <cell r="A79">
            <v>0</v>
          </cell>
          <cell r="C79">
            <v>0</v>
          </cell>
          <cell r="D79">
            <v>0</v>
          </cell>
        </row>
        <row r="80">
          <cell r="A80">
            <v>0</v>
          </cell>
          <cell r="C80">
            <v>0</v>
          </cell>
          <cell r="D80">
            <v>0</v>
          </cell>
        </row>
        <row r="81">
          <cell r="A81">
            <v>0</v>
          </cell>
          <cell r="C81">
            <v>0</v>
          </cell>
          <cell r="D81">
            <v>0</v>
          </cell>
        </row>
        <row r="82">
          <cell r="A82">
            <v>0</v>
          </cell>
          <cell r="C82">
            <v>0</v>
          </cell>
          <cell r="D82">
            <v>0</v>
          </cell>
        </row>
        <row r="83">
          <cell r="A83">
            <v>0</v>
          </cell>
          <cell r="C83">
            <v>0</v>
          </cell>
          <cell r="D83">
            <v>0</v>
          </cell>
        </row>
        <row r="84">
          <cell r="A84">
            <v>0</v>
          </cell>
          <cell r="C84">
            <v>0</v>
          </cell>
          <cell r="D84">
            <v>0</v>
          </cell>
        </row>
        <row r="85">
          <cell r="A85">
            <v>0</v>
          </cell>
          <cell r="C85">
            <v>0</v>
          </cell>
          <cell r="D85">
            <v>0</v>
          </cell>
        </row>
        <row r="86">
          <cell r="A86">
            <v>0</v>
          </cell>
          <cell r="C86">
            <v>0</v>
          </cell>
          <cell r="D86">
            <v>0</v>
          </cell>
        </row>
        <row r="87">
          <cell r="A87">
            <v>0</v>
          </cell>
          <cell r="C87">
            <v>0</v>
          </cell>
          <cell r="D87">
            <v>0</v>
          </cell>
        </row>
        <row r="88">
          <cell r="A88">
            <v>0</v>
          </cell>
          <cell r="C88">
            <v>0</v>
          </cell>
          <cell r="D88">
            <v>0</v>
          </cell>
        </row>
        <row r="89">
          <cell r="A89">
            <v>0</v>
          </cell>
          <cell r="C89">
            <v>0</v>
          </cell>
          <cell r="D89">
            <v>0</v>
          </cell>
        </row>
        <row r="90">
          <cell r="A90">
            <v>0</v>
          </cell>
          <cell r="C90">
            <v>0</v>
          </cell>
          <cell r="D90">
            <v>0</v>
          </cell>
        </row>
        <row r="91">
          <cell r="A91">
            <v>0</v>
          </cell>
          <cell r="C91">
            <v>0</v>
          </cell>
          <cell r="D91">
            <v>0</v>
          </cell>
        </row>
        <row r="92">
          <cell r="A92">
            <v>0</v>
          </cell>
          <cell r="C92">
            <v>0</v>
          </cell>
          <cell r="D92">
            <v>0</v>
          </cell>
        </row>
        <row r="93">
          <cell r="A93">
            <v>0</v>
          </cell>
          <cell r="C93">
            <v>0</v>
          </cell>
          <cell r="D93">
            <v>0</v>
          </cell>
        </row>
        <row r="94">
          <cell r="A94">
            <v>0</v>
          </cell>
          <cell r="C94">
            <v>0</v>
          </cell>
          <cell r="D94">
            <v>0</v>
          </cell>
        </row>
        <row r="95">
          <cell r="A95">
            <v>0</v>
          </cell>
          <cell r="C95">
            <v>0</v>
          </cell>
          <cell r="D95">
            <v>0</v>
          </cell>
        </row>
        <row r="96">
          <cell r="A96">
            <v>0</v>
          </cell>
          <cell r="C96">
            <v>0</v>
          </cell>
          <cell r="D96">
            <v>0</v>
          </cell>
        </row>
        <row r="97">
          <cell r="A97">
            <v>0</v>
          </cell>
          <cell r="C97">
            <v>0</v>
          </cell>
          <cell r="D97">
            <v>0</v>
          </cell>
        </row>
        <row r="98">
          <cell r="A98">
            <v>0</v>
          </cell>
          <cell r="C98">
            <v>0</v>
          </cell>
          <cell r="D98">
            <v>0</v>
          </cell>
        </row>
        <row r="99">
          <cell r="A99">
            <v>0</v>
          </cell>
          <cell r="C99">
            <v>0</v>
          </cell>
          <cell r="D99">
            <v>0</v>
          </cell>
        </row>
        <row r="100">
          <cell r="A100">
            <v>0</v>
          </cell>
          <cell r="C100">
            <v>0</v>
          </cell>
          <cell r="D100">
            <v>0</v>
          </cell>
        </row>
        <row r="101">
          <cell r="A101">
            <v>0</v>
          </cell>
          <cell r="C101">
            <v>0</v>
          </cell>
          <cell r="D101">
            <v>0</v>
          </cell>
        </row>
        <row r="102">
          <cell r="A102">
            <v>0</v>
          </cell>
          <cell r="C102">
            <v>0</v>
          </cell>
          <cell r="D102">
            <v>0</v>
          </cell>
        </row>
        <row r="103">
          <cell r="A103">
            <v>0</v>
          </cell>
          <cell r="C103">
            <v>0</v>
          </cell>
          <cell r="D103">
            <v>0</v>
          </cell>
        </row>
        <row r="104">
          <cell r="A104">
            <v>0</v>
          </cell>
          <cell r="C104">
            <v>0</v>
          </cell>
          <cell r="D104">
            <v>0</v>
          </cell>
        </row>
        <row r="105">
          <cell r="A105">
            <v>0</v>
          </cell>
          <cell r="C105">
            <v>0</v>
          </cell>
          <cell r="D105">
            <v>0</v>
          </cell>
        </row>
        <row r="106">
          <cell r="A106">
            <v>0</v>
          </cell>
          <cell r="C106">
            <v>0</v>
          </cell>
          <cell r="D106">
            <v>0</v>
          </cell>
        </row>
        <row r="107">
          <cell r="A107">
            <v>0</v>
          </cell>
          <cell r="C107">
            <v>0</v>
          </cell>
          <cell r="D107">
            <v>0</v>
          </cell>
        </row>
        <row r="108">
          <cell r="A108">
            <v>0</v>
          </cell>
          <cell r="C108">
            <v>0</v>
          </cell>
          <cell r="D108">
            <v>0</v>
          </cell>
        </row>
        <row r="109">
          <cell r="A109">
            <v>0</v>
          </cell>
          <cell r="C109">
            <v>0</v>
          </cell>
          <cell r="D109">
            <v>0</v>
          </cell>
        </row>
        <row r="110">
          <cell r="A110">
            <v>0</v>
          </cell>
          <cell r="C110">
            <v>0</v>
          </cell>
          <cell r="D110">
            <v>0</v>
          </cell>
        </row>
        <row r="111">
          <cell r="A111">
            <v>0</v>
          </cell>
          <cell r="C111">
            <v>0</v>
          </cell>
          <cell r="D111">
            <v>0</v>
          </cell>
        </row>
        <row r="112">
          <cell r="A112">
            <v>0</v>
          </cell>
          <cell r="C112">
            <v>0</v>
          </cell>
          <cell r="D112">
            <v>0</v>
          </cell>
        </row>
        <row r="113">
          <cell r="A113">
            <v>0</v>
          </cell>
          <cell r="C113">
            <v>0</v>
          </cell>
          <cell r="D113">
            <v>0</v>
          </cell>
        </row>
        <row r="114">
          <cell r="A114">
            <v>0</v>
          </cell>
          <cell r="C114">
            <v>0</v>
          </cell>
          <cell r="D114">
            <v>0</v>
          </cell>
        </row>
        <row r="115">
          <cell r="A115">
            <v>0</v>
          </cell>
          <cell r="C115">
            <v>0</v>
          </cell>
          <cell r="D115">
            <v>0</v>
          </cell>
        </row>
        <row r="116">
          <cell r="A116">
            <v>0</v>
          </cell>
          <cell r="C116">
            <v>0</v>
          </cell>
          <cell r="D116">
            <v>0</v>
          </cell>
        </row>
        <row r="117">
          <cell r="A117">
            <v>0</v>
          </cell>
          <cell r="C117">
            <v>0</v>
          </cell>
          <cell r="D117">
            <v>0</v>
          </cell>
        </row>
        <row r="118">
          <cell r="A118">
            <v>0</v>
          </cell>
          <cell r="C118">
            <v>0</v>
          </cell>
          <cell r="D118">
            <v>0</v>
          </cell>
        </row>
        <row r="119">
          <cell r="A119">
            <v>0</v>
          </cell>
          <cell r="C119">
            <v>0</v>
          </cell>
          <cell r="D119">
            <v>0</v>
          </cell>
        </row>
        <row r="120">
          <cell r="A120">
            <v>0</v>
          </cell>
          <cell r="C120">
            <v>0</v>
          </cell>
          <cell r="D120">
            <v>0</v>
          </cell>
        </row>
        <row r="121">
          <cell r="A121">
            <v>0</v>
          </cell>
          <cell r="C121">
            <v>0</v>
          </cell>
          <cell r="D121">
            <v>0</v>
          </cell>
        </row>
        <row r="122">
          <cell r="A122">
            <v>0</v>
          </cell>
          <cell r="C122">
            <v>0</v>
          </cell>
          <cell r="D122">
            <v>0</v>
          </cell>
        </row>
        <row r="123">
          <cell r="A123">
            <v>0</v>
          </cell>
          <cell r="C123">
            <v>0</v>
          </cell>
          <cell r="D123">
            <v>0</v>
          </cell>
        </row>
        <row r="124">
          <cell r="A124">
            <v>0</v>
          </cell>
          <cell r="C124">
            <v>0</v>
          </cell>
          <cell r="D124">
            <v>0</v>
          </cell>
        </row>
        <row r="125">
          <cell r="A125">
            <v>0</v>
          </cell>
          <cell r="C125">
            <v>0</v>
          </cell>
          <cell r="D125">
            <v>0</v>
          </cell>
        </row>
        <row r="126">
          <cell r="A126">
            <v>0</v>
          </cell>
          <cell r="C126">
            <v>0</v>
          </cell>
          <cell r="D126">
            <v>0</v>
          </cell>
        </row>
        <row r="127">
          <cell r="A127">
            <v>0</v>
          </cell>
          <cell r="C127">
            <v>0</v>
          </cell>
          <cell r="D127">
            <v>0</v>
          </cell>
        </row>
        <row r="128">
          <cell r="A128">
            <v>0</v>
          </cell>
          <cell r="C128">
            <v>0</v>
          </cell>
          <cell r="D128">
            <v>0</v>
          </cell>
        </row>
        <row r="129">
          <cell r="A129">
            <v>0</v>
          </cell>
          <cell r="C129">
            <v>0</v>
          </cell>
          <cell r="D129">
            <v>0</v>
          </cell>
        </row>
        <row r="130">
          <cell r="A130">
            <v>0</v>
          </cell>
          <cell r="C130">
            <v>0</v>
          </cell>
          <cell r="D130">
            <v>0</v>
          </cell>
        </row>
        <row r="131">
          <cell r="A131">
            <v>0</v>
          </cell>
          <cell r="C131">
            <v>0</v>
          </cell>
          <cell r="D131">
            <v>0</v>
          </cell>
        </row>
        <row r="132">
          <cell r="A132">
            <v>0</v>
          </cell>
          <cell r="C132">
            <v>0</v>
          </cell>
          <cell r="D132">
            <v>0</v>
          </cell>
        </row>
        <row r="133">
          <cell r="A133">
            <v>0</v>
          </cell>
          <cell r="C133">
            <v>0</v>
          </cell>
          <cell r="D133">
            <v>0</v>
          </cell>
        </row>
        <row r="134">
          <cell r="A134">
            <v>0</v>
          </cell>
          <cell r="C134">
            <v>0</v>
          </cell>
          <cell r="D134">
            <v>0</v>
          </cell>
        </row>
        <row r="135">
          <cell r="A135">
            <v>0</v>
          </cell>
          <cell r="C135">
            <v>0</v>
          </cell>
          <cell r="D135">
            <v>0</v>
          </cell>
        </row>
        <row r="136">
          <cell r="A136">
            <v>0</v>
          </cell>
          <cell r="C136">
            <v>0</v>
          </cell>
          <cell r="D136">
            <v>0</v>
          </cell>
        </row>
        <row r="137">
          <cell r="A137">
            <v>0</v>
          </cell>
          <cell r="C137">
            <v>0</v>
          </cell>
          <cell r="D137">
            <v>0</v>
          </cell>
        </row>
        <row r="138">
          <cell r="A138">
            <v>0</v>
          </cell>
          <cell r="C138">
            <v>0</v>
          </cell>
          <cell r="D138">
            <v>0</v>
          </cell>
        </row>
        <row r="139">
          <cell r="A139">
            <v>0</v>
          </cell>
          <cell r="C139">
            <v>0</v>
          </cell>
          <cell r="D139">
            <v>0</v>
          </cell>
        </row>
        <row r="140">
          <cell r="A140">
            <v>0</v>
          </cell>
          <cell r="C140">
            <v>0</v>
          </cell>
          <cell r="D140">
            <v>0</v>
          </cell>
        </row>
        <row r="141">
          <cell r="A141">
            <v>0</v>
          </cell>
          <cell r="C141">
            <v>0</v>
          </cell>
          <cell r="D141">
            <v>0</v>
          </cell>
        </row>
        <row r="142">
          <cell r="A142">
            <v>0</v>
          </cell>
          <cell r="C142">
            <v>0</v>
          </cell>
          <cell r="D142">
            <v>0</v>
          </cell>
        </row>
        <row r="143">
          <cell r="A143">
            <v>0</v>
          </cell>
          <cell r="C143">
            <v>0</v>
          </cell>
          <cell r="D143">
            <v>0</v>
          </cell>
        </row>
        <row r="144">
          <cell r="A144">
            <v>0</v>
          </cell>
          <cell r="C144">
            <v>0</v>
          </cell>
          <cell r="D144">
            <v>0</v>
          </cell>
        </row>
        <row r="145">
          <cell r="A145">
            <v>0</v>
          </cell>
          <cell r="C145">
            <v>0</v>
          </cell>
          <cell r="D145">
            <v>0</v>
          </cell>
        </row>
        <row r="146">
          <cell r="A146">
            <v>0</v>
          </cell>
          <cell r="C146">
            <v>0</v>
          </cell>
          <cell r="D146">
            <v>0</v>
          </cell>
        </row>
        <row r="147">
          <cell r="A147">
            <v>0</v>
          </cell>
          <cell r="C147">
            <v>0</v>
          </cell>
          <cell r="D147">
            <v>0</v>
          </cell>
        </row>
        <row r="148">
          <cell r="A148">
            <v>0</v>
          </cell>
          <cell r="C148">
            <v>0</v>
          </cell>
          <cell r="D148">
            <v>0</v>
          </cell>
        </row>
        <row r="149">
          <cell r="A149">
            <v>0</v>
          </cell>
          <cell r="C149">
            <v>0</v>
          </cell>
          <cell r="D149">
            <v>0</v>
          </cell>
        </row>
        <row r="150">
          <cell r="A150">
            <v>0</v>
          </cell>
          <cell r="C150">
            <v>0</v>
          </cell>
          <cell r="D150">
            <v>0</v>
          </cell>
        </row>
        <row r="151">
          <cell r="A151">
            <v>0</v>
          </cell>
          <cell r="C151">
            <v>0</v>
          </cell>
          <cell r="D151">
            <v>0</v>
          </cell>
        </row>
        <row r="152">
          <cell r="A152">
            <v>0</v>
          </cell>
          <cell r="C152">
            <v>0</v>
          </cell>
          <cell r="D152">
            <v>0</v>
          </cell>
        </row>
        <row r="153">
          <cell r="A153">
            <v>0</v>
          </cell>
          <cell r="C153">
            <v>0</v>
          </cell>
          <cell r="D153">
            <v>0</v>
          </cell>
        </row>
        <row r="154">
          <cell r="A154">
            <v>0</v>
          </cell>
          <cell r="C154">
            <v>0</v>
          </cell>
          <cell r="D154">
            <v>0</v>
          </cell>
        </row>
        <row r="155">
          <cell r="A155">
            <v>0</v>
          </cell>
          <cell r="C155">
            <v>0</v>
          </cell>
          <cell r="D155">
            <v>0</v>
          </cell>
        </row>
        <row r="156">
          <cell r="A156">
            <v>0</v>
          </cell>
          <cell r="C156">
            <v>0</v>
          </cell>
          <cell r="D156">
            <v>0</v>
          </cell>
        </row>
        <row r="157">
          <cell r="A157">
            <v>0</v>
          </cell>
          <cell r="C157">
            <v>0</v>
          </cell>
          <cell r="D157">
            <v>0</v>
          </cell>
        </row>
        <row r="158">
          <cell r="A158">
            <v>0</v>
          </cell>
          <cell r="C158">
            <v>0</v>
          </cell>
          <cell r="D158">
            <v>0</v>
          </cell>
        </row>
        <row r="159">
          <cell r="A159">
            <v>0</v>
          </cell>
          <cell r="C159">
            <v>0</v>
          </cell>
          <cell r="D159">
            <v>0</v>
          </cell>
        </row>
        <row r="160">
          <cell r="A160">
            <v>0</v>
          </cell>
          <cell r="C160">
            <v>0</v>
          </cell>
          <cell r="D160">
            <v>0</v>
          </cell>
        </row>
        <row r="161">
          <cell r="A161">
            <v>0</v>
          </cell>
          <cell r="C161">
            <v>0</v>
          </cell>
          <cell r="D161">
            <v>0</v>
          </cell>
        </row>
        <row r="162">
          <cell r="A162">
            <v>0</v>
          </cell>
          <cell r="C162">
            <v>0</v>
          </cell>
          <cell r="D162">
            <v>0</v>
          </cell>
        </row>
        <row r="163">
          <cell r="A163">
            <v>0</v>
          </cell>
          <cell r="C163">
            <v>0</v>
          </cell>
          <cell r="D163">
            <v>0</v>
          </cell>
        </row>
        <row r="164">
          <cell r="A164">
            <v>0</v>
          </cell>
          <cell r="C164">
            <v>0</v>
          </cell>
          <cell r="D164">
            <v>0</v>
          </cell>
        </row>
        <row r="165">
          <cell r="A165">
            <v>0</v>
          </cell>
          <cell r="C165">
            <v>0</v>
          </cell>
          <cell r="D165">
            <v>0</v>
          </cell>
        </row>
        <row r="166">
          <cell r="A166">
            <v>0</v>
          </cell>
          <cell r="C166">
            <v>0</v>
          </cell>
          <cell r="D166">
            <v>0</v>
          </cell>
        </row>
        <row r="167">
          <cell r="A167">
            <v>0</v>
          </cell>
          <cell r="C167">
            <v>0</v>
          </cell>
          <cell r="D167">
            <v>0</v>
          </cell>
        </row>
        <row r="168">
          <cell r="A168">
            <v>0</v>
          </cell>
          <cell r="C168">
            <v>0</v>
          </cell>
          <cell r="D168">
            <v>0</v>
          </cell>
        </row>
        <row r="169">
          <cell r="A169">
            <v>0</v>
          </cell>
          <cell r="C169">
            <v>0</v>
          </cell>
          <cell r="D169">
            <v>0</v>
          </cell>
        </row>
        <row r="170">
          <cell r="A170">
            <v>0</v>
          </cell>
          <cell r="C170">
            <v>0</v>
          </cell>
          <cell r="D170">
            <v>0</v>
          </cell>
        </row>
        <row r="171">
          <cell r="A171">
            <v>0</v>
          </cell>
          <cell r="C171">
            <v>0</v>
          </cell>
          <cell r="D171">
            <v>0</v>
          </cell>
        </row>
        <row r="172">
          <cell r="A172">
            <v>0</v>
          </cell>
          <cell r="C172">
            <v>0</v>
          </cell>
          <cell r="D172">
            <v>0</v>
          </cell>
        </row>
        <row r="173">
          <cell r="A173">
            <v>0</v>
          </cell>
          <cell r="C173">
            <v>0</v>
          </cell>
          <cell r="D173">
            <v>0</v>
          </cell>
        </row>
        <row r="174">
          <cell r="A174">
            <v>0</v>
          </cell>
          <cell r="C174">
            <v>0</v>
          </cell>
          <cell r="D174">
            <v>0</v>
          </cell>
        </row>
        <row r="175">
          <cell r="A175">
            <v>0</v>
          </cell>
          <cell r="C175">
            <v>0</v>
          </cell>
          <cell r="D175">
            <v>0</v>
          </cell>
        </row>
        <row r="176">
          <cell r="A176">
            <v>0</v>
          </cell>
          <cell r="C176">
            <v>0</v>
          </cell>
          <cell r="D176">
            <v>0</v>
          </cell>
        </row>
        <row r="177">
          <cell r="A177">
            <v>0</v>
          </cell>
          <cell r="C177">
            <v>0</v>
          </cell>
          <cell r="D177">
            <v>0</v>
          </cell>
        </row>
        <row r="178">
          <cell r="A178">
            <v>0</v>
          </cell>
          <cell r="C178">
            <v>0</v>
          </cell>
          <cell r="D178">
            <v>0</v>
          </cell>
        </row>
        <row r="179">
          <cell r="A179">
            <v>0</v>
          </cell>
          <cell r="C179">
            <v>0</v>
          </cell>
          <cell r="D179">
            <v>0</v>
          </cell>
        </row>
        <row r="180">
          <cell r="A180">
            <v>0</v>
          </cell>
          <cell r="C180">
            <v>0</v>
          </cell>
          <cell r="D180">
            <v>0</v>
          </cell>
        </row>
        <row r="181">
          <cell r="A181">
            <v>0</v>
          </cell>
          <cell r="C181">
            <v>0</v>
          </cell>
          <cell r="D181">
            <v>0</v>
          </cell>
        </row>
        <row r="182">
          <cell r="A182">
            <v>0</v>
          </cell>
          <cell r="C182">
            <v>0</v>
          </cell>
          <cell r="D182">
            <v>0</v>
          </cell>
        </row>
        <row r="183">
          <cell r="A183">
            <v>0</v>
          </cell>
          <cell r="C183">
            <v>0</v>
          </cell>
          <cell r="D183">
            <v>0</v>
          </cell>
        </row>
        <row r="184">
          <cell r="A184">
            <v>0</v>
          </cell>
          <cell r="C184">
            <v>0</v>
          </cell>
          <cell r="D184">
            <v>0</v>
          </cell>
        </row>
        <row r="185">
          <cell r="A185">
            <v>0</v>
          </cell>
          <cell r="C185">
            <v>0</v>
          </cell>
          <cell r="D185">
            <v>0</v>
          </cell>
        </row>
        <row r="186">
          <cell r="A186">
            <v>0</v>
          </cell>
          <cell r="C186">
            <v>0</v>
          </cell>
          <cell r="D186">
            <v>0</v>
          </cell>
        </row>
        <row r="187">
          <cell r="A187">
            <v>0</v>
          </cell>
          <cell r="C187">
            <v>0</v>
          </cell>
          <cell r="D187">
            <v>0</v>
          </cell>
        </row>
        <row r="188">
          <cell r="A188">
            <v>0</v>
          </cell>
          <cell r="C188">
            <v>0</v>
          </cell>
          <cell r="D188">
            <v>0</v>
          </cell>
        </row>
        <row r="189">
          <cell r="A189">
            <v>0</v>
          </cell>
          <cell r="C189">
            <v>0</v>
          </cell>
          <cell r="D189">
            <v>0</v>
          </cell>
        </row>
        <row r="190">
          <cell r="A190">
            <v>0</v>
          </cell>
          <cell r="C190">
            <v>0</v>
          </cell>
          <cell r="D190">
            <v>0</v>
          </cell>
        </row>
        <row r="191">
          <cell r="A191">
            <v>0</v>
          </cell>
          <cell r="C191">
            <v>0</v>
          </cell>
          <cell r="D191">
            <v>0</v>
          </cell>
        </row>
        <row r="192">
          <cell r="A192">
            <v>0</v>
          </cell>
          <cell r="C192">
            <v>0</v>
          </cell>
          <cell r="D192">
            <v>0</v>
          </cell>
        </row>
        <row r="193">
          <cell r="A193">
            <v>0</v>
          </cell>
          <cell r="C193">
            <v>0</v>
          </cell>
          <cell r="D193">
            <v>0</v>
          </cell>
        </row>
        <row r="194">
          <cell r="A194">
            <v>0</v>
          </cell>
          <cell r="C194">
            <v>0</v>
          </cell>
          <cell r="D194">
            <v>0</v>
          </cell>
        </row>
        <row r="195">
          <cell r="A195">
            <v>0</v>
          </cell>
          <cell r="C195">
            <v>0</v>
          </cell>
          <cell r="D195">
            <v>0</v>
          </cell>
        </row>
        <row r="196">
          <cell r="A196">
            <v>0</v>
          </cell>
          <cell r="C196">
            <v>0</v>
          </cell>
          <cell r="D196">
            <v>0</v>
          </cell>
        </row>
        <row r="197">
          <cell r="A197">
            <v>0</v>
          </cell>
          <cell r="C197">
            <v>0</v>
          </cell>
          <cell r="D197">
            <v>0</v>
          </cell>
        </row>
        <row r="198">
          <cell r="A198">
            <v>0</v>
          </cell>
          <cell r="C198">
            <v>0</v>
          </cell>
          <cell r="D198">
            <v>0</v>
          </cell>
        </row>
        <row r="199">
          <cell r="A199">
            <v>0</v>
          </cell>
          <cell r="C199">
            <v>0</v>
          </cell>
          <cell r="D199">
            <v>0</v>
          </cell>
        </row>
        <row r="200">
          <cell r="A200">
            <v>0</v>
          </cell>
          <cell r="C200">
            <v>0</v>
          </cell>
          <cell r="D200">
            <v>0</v>
          </cell>
        </row>
        <row r="201">
          <cell r="A201">
            <v>0</v>
          </cell>
          <cell r="C201">
            <v>0</v>
          </cell>
          <cell r="D201">
            <v>0</v>
          </cell>
        </row>
        <row r="202">
          <cell r="A202">
            <v>0</v>
          </cell>
          <cell r="C202">
            <v>0</v>
          </cell>
          <cell r="D202">
            <v>0</v>
          </cell>
        </row>
        <row r="203">
          <cell r="A203">
            <v>0</v>
          </cell>
          <cell r="C203">
            <v>0</v>
          </cell>
          <cell r="D203">
            <v>0</v>
          </cell>
        </row>
        <row r="204">
          <cell r="A204">
            <v>0</v>
          </cell>
          <cell r="C204">
            <v>0</v>
          </cell>
          <cell r="D204">
            <v>0</v>
          </cell>
        </row>
        <row r="205">
          <cell r="A205">
            <v>0</v>
          </cell>
          <cell r="C205">
            <v>0</v>
          </cell>
          <cell r="D205">
            <v>0</v>
          </cell>
        </row>
        <row r="206">
          <cell r="A206">
            <v>0</v>
          </cell>
          <cell r="C206">
            <v>0</v>
          </cell>
          <cell r="D206">
            <v>0</v>
          </cell>
        </row>
        <row r="207">
          <cell r="A207">
            <v>0</v>
          </cell>
          <cell r="C207">
            <v>0</v>
          </cell>
          <cell r="D207">
            <v>0</v>
          </cell>
        </row>
        <row r="208">
          <cell r="A208">
            <v>0</v>
          </cell>
          <cell r="C208">
            <v>0</v>
          </cell>
          <cell r="D208">
            <v>0</v>
          </cell>
        </row>
        <row r="209">
          <cell r="A209">
            <v>0</v>
          </cell>
          <cell r="C209">
            <v>0</v>
          </cell>
          <cell r="D209">
            <v>0</v>
          </cell>
        </row>
        <row r="210">
          <cell r="A210">
            <v>0</v>
          </cell>
          <cell r="C210">
            <v>0</v>
          </cell>
          <cell r="D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</row>
        <row r="212">
          <cell r="A212">
            <v>0</v>
          </cell>
          <cell r="C212">
            <v>0</v>
          </cell>
          <cell r="D212">
            <v>0</v>
          </cell>
        </row>
        <row r="213">
          <cell r="A213">
            <v>0</v>
          </cell>
          <cell r="C213">
            <v>0</v>
          </cell>
          <cell r="D213">
            <v>0</v>
          </cell>
        </row>
        <row r="214">
          <cell r="A214">
            <v>0</v>
          </cell>
          <cell r="C214">
            <v>0</v>
          </cell>
          <cell r="D214">
            <v>0</v>
          </cell>
        </row>
        <row r="215">
          <cell r="A215">
            <v>0</v>
          </cell>
          <cell r="C215">
            <v>0</v>
          </cell>
          <cell r="D215">
            <v>0</v>
          </cell>
        </row>
        <row r="216">
          <cell r="A216">
            <v>0</v>
          </cell>
          <cell r="C216">
            <v>0</v>
          </cell>
          <cell r="D216">
            <v>0</v>
          </cell>
        </row>
        <row r="217">
          <cell r="A217">
            <v>0</v>
          </cell>
          <cell r="C217">
            <v>0</v>
          </cell>
          <cell r="D217">
            <v>0</v>
          </cell>
        </row>
        <row r="218">
          <cell r="A218">
            <v>0</v>
          </cell>
          <cell r="C218">
            <v>0</v>
          </cell>
          <cell r="D218">
            <v>0</v>
          </cell>
        </row>
        <row r="219">
          <cell r="A219">
            <v>0</v>
          </cell>
          <cell r="C219">
            <v>0</v>
          </cell>
          <cell r="D219">
            <v>0</v>
          </cell>
        </row>
        <row r="220">
          <cell r="A220">
            <v>0</v>
          </cell>
          <cell r="C220">
            <v>0</v>
          </cell>
          <cell r="D220">
            <v>0</v>
          </cell>
        </row>
        <row r="221">
          <cell r="A221">
            <v>0</v>
          </cell>
          <cell r="C221">
            <v>0</v>
          </cell>
          <cell r="D221">
            <v>0</v>
          </cell>
        </row>
        <row r="222">
          <cell r="A222">
            <v>0</v>
          </cell>
          <cell r="C222">
            <v>0</v>
          </cell>
          <cell r="D222">
            <v>0</v>
          </cell>
        </row>
        <row r="223">
          <cell r="A223">
            <v>0</v>
          </cell>
          <cell r="C223">
            <v>0</v>
          </cell>
          <cell r="D223">
            <v>0</v>
          </cell>
        </row>
        <row r="224">
          <cell r="A224">
            <v>0</v>
          </cell>
          <cell r="C224">
            <v>0</v>
          </cell>
          <cell r="D224">
            <v>0</v>
          </cell>
        </row>
        <row r="225">
          <cell r="A225">
            <v>0</v>
          </cell>
          <cell r="C225">
            <v>0</v>
          </cell>
          <cell r="D225">
            <v>0</v>
          </cell>
        </row>
        <row r="226">
          <cell r="A226">
            <v>0</v>
          </cell>
          <cell r="C226">
            <v>0</v>
          </cell>
          <cell r="D226">
            <v>0</v>
          </cell>
        </row>
        <row r="227">
          <cell r="A227">
            <v>0</v>
          </cell>
          <cell r="C227">
            <v>0</v>
          </cell>
          <cell r="D227">
            <v>0</v>
          </cell>
        </row>
        <row r="228">
          <cell r="A228">
            <v>0</v>
          </cell>
          <cell r="C228">
            <v>0</v>
          </cell>
          <cell r="D228">
            <v>0</v>
          </cell>
        </row>
        <row r="229">
          <cell r="A229">
            <v>0</v>
          </cell>
          <cell r="C229">
            <v>0</v>
          </cell>
          <cell r="D229">
            <v>0</v>
          </cell>
        </row>
        <row r="230">
          <cell r="A230">
            <v>0</v>
          </cell>
          <cell r="C230">
            <v>0</v>
          </cell>
          <cell r="D230">
            <v>0</v>
          </cell>
        </row>
        <row r="231">
          <cell r="A231">
            <v>0</v>
          </cell>
          <cell r="C231">
            <v>0</v>
          </cell>
          <cell r="D231">
            <v>0</v>
          </cell>
        </row>
        <row r="232">
          <cell r="A232">
            <v>0</v>
          </cell>
          <cell r="C232">
            <v>0</v>
          </cell>
          <cell r="D232">
            <v>0</v>
          </cell>
        </row>
        <row r="233">
          <cell r="A233">
            <v>0</v>
          </cell>
          <cell r="C233">
            <v>0</v>
          </cell>
          <cell r="D233">
            <v>0</v>
          </cell>
        </row>
        <row r="234">
          <cell r="A234">
            <v>0</v>
          </cell>
          <cell r="C234">
            <v>0</v>
          </cell>
          <cell r="D234">
            <v>0</v>
          </cell>
        </row>
        <row r="235">
          <cell r="A235">
            <v>0</v>
          </cell>
          <cell r="C235">
            <v>0</v>
          </cell>
          <cell r="D235">
            <v>0</v>
          </cell>
        </row>
        <row r="236">
          <cell r="A236">
            <v>0</v>
          </cell>
          <cell r="C236">
            <v>0</v>
          </cell>
          <cell r="D236">
            <v>0</v>
          </cell>
        </row>
        <row r="237">
          <cell r="A237">
            <v>0</v>
          </cell>
          <cell r="C237">
            <v>0</v>
          </cell>
          <cell r="D237">
            <v>0</v>
          </cell>
        </row>
        <row r="238">
          <cell r="A238">
            <v>0</v>
          </cell>
          <cell r="C238">
            <v>0</v>
          </cell>
          <cell r="D238">
            <v>0</v>
          </cell>
        </row>
        <row r="239">
          <cell r="A239">
            <v>0</v>
          </cell>
          <cell r="C239">
            <v>0</v>
          </cell>
          <cell r="D239">
            <v>0</v>
          </cell>
        </row>
        <row r="240">
          <cell r="A240">
            <v>0</v>
          </cell>
          <cell r="C240">
            <v>0</v>
          </cell>
          <cell r="D240">
            <v>0</v>
          </cell>
        </row>
        <row r="241">
          <cell r="A241">
            <v>0</v>
          </cell>
          <cell r="C241">
            <v>0</v>
          </cell>
          <cell r="D241">
            <v>0</v>
          </cell>
        </row>
        <row r="242">
          <cell r="A242">
            <v>0</v>
          </cell>
          <cell r="C242">
            <v>0</v>
          </cell>
          <cell r="D242">
            <v>0</v>
          </cell>
        </row>
        <row r="243">
          <cell r="A243">
            <v>0</v>
          </cell>
          <cell r="C243">
            <v>0</v>
          </cell>
          <cell r="D243">
            <v>0</v>
          </cell>
        </row>
        <row r="244">
          <cell r="A244">
            <v>0</v>
          </cell>
          <cell r="C244">
            <v>0</v>
          </cell>
          <cell r="D244">
            <v>0</v>
          </cell>
        </row>
        <row r="245">
          <cell r="A245">
            <v>0</v>
          </cell>
          <cell r="C245">
            <v>0</v>
          </cell>
          <cell r="D245">
            <v>0</v>
          </cell>
        </row>
        <row r="246">
          <cell r="A246">
            <v>0</v>
          </cell>
          <cell r="C246">
            <v>0</v>
          </cell>
          <cell r="D246">
            <v>0</v>
          </cell>
        </row>
        <row r="247">
          <cell r="A247">
            <v>0</v>
          </cell>
          <cell r="C247">
            <v>0</v>
          </cell>
          <cell r="D247">
            <v>0</v>
          </cell>
        </row>
        <row r="248">
          <cell r="A248">
            <v>0</v>
          </cell>
          <cell r="C248">
            <v>0</v>
          </cell>
          <cell r="D248">
            <v>0</v>
          </cell>
        </row>
        <row r="249">
          <cell r="A249">
            <v>0</v>
          </cell>
          <cell r="C249">
            <v>0</v>
          </cell>
          <cell r="D249">
            <v>0</v>
          </cell>
        </row>
        <row r="250">
          <cell r="A250">
            <v>0</v>
          </cell>
          <cell r="C250">
            <v>0</v>
          </cell>
          <cell r="D250">
            <v>0</v>
          </cell>
        </row>
        <row r="251">
          <cell r="A251">
            <v>0</v>
          </cell>
          <cell r="C251">
            <v>0</v>
          </cell>
          <cell r="D251">
            <v>0</v>
          </cell>
        </row>
        <row r="252">
          <cell r="A252">
            <v>0</v>
          </cell>
          <cell r="C252">
            <v>0</v>
          </cell>
          <cell r="D252">
            <v>0</v>
          </cell>
        </row>
        <row r="253">
          <cell r="A253">
            <v>0</v>
          </cell>
          <cell r="C253">
            <v>0</v>
          </cell>
          <cell r="D253">
            <v>0</v>
          </cell>
        </row>
        <row r="254">
          <cell r="A254">
            <v>0</v>
          </cell>
          <cell r="C254">
            <v>0</v>
          </cell>
          <cell r="D254">
            <v>0</v>
          </cell>
        </row>
        <row r="255">
          <cell r="A255">
            <v>0</v>
          </cell>
          <cell r="C255">
            <v>0</v>
          </cell>
          <cell r="D255">
            <v>0</v>
          </cell>
        </row>
        <row r="256">
          <cell r="A256">
            <v>0</v>
          </cell>
          <cell r="C256">
            <v>0</v>
          </cell>
          <cell r="D256">
            <v>0</v>
          </cell>
        </row>
        <row r="257">
          <cell r="A257">
            <v>0</v>
          </cell>
          <cell r="C257">
            <v>0</v>
          </cell>
          <cell r="D257">
            <v>0</v>
          </cell>
        </row>
        <row r="258">
          <cell r="A258">
            <v>0</v>
          </cell>
          <cell r="C258">
            <v>0</v>
          </cell>
          <cell r="D258">
            <v>0</v>
          </cell>
        </row>
        <row r="259">
          <cell r="A259">
            <v>0</v>
          </cell>
          <cell r="C259">
            <v>0</v>
          </cell>
          <cell r="D259">
            <v>0</v>
          </cell>
        </row>
        <row r="260">
          <cell r="A260">
            <v>0</v>
          </cell>
          <cell r="C260">
            <v>0</v>
          </cell>
          <cell r="D260">
            <v>0</v>
          </cell>
        </row>
        <row r="261">
          <cell r="A261">
            <v>0</v>
          </cell>
          <cell r="C261">
            <v>0</v>
          </cell>
          <cell r="D261">
            <v>0</v>
          </cell>
        </row>
        <row r="262">
          <cell r="A262">
            <v>0</v>
          </cell>
          <cell r="C262">
            <v>0</v>
          </cell>
          <cell r="D262">
            <v>0</v>
          </cell>
        </row>
        <row r="263">
          <cell r="A263">
            <v>0</v>
          </cell>
          <cell r="C263">
            <v>0</v>
          </cell>
          <cell r="D263">
            <v>0</v>
          </cell>
        </row>
        <row r="264">
          <cell r="A264">
            <v>0</v>
          </cell>
          <cell r="C264">
            <v>0</v>
          </cell>
          <cell r="D264">
            <v>0</v>
          </cell>
        </row>
        <row r="265">
          <cell r="A265">
            <v>0</v>
          </cell>
          <cell r="C265">
            <v>0</v>
          </cell>
          <cell r="D265">
            <v>0</v>
          </cell>
        </row>
        <row r="266">
          <cell r="A266">
            <v>0</v>
          </cell>
          <cell r="C266">
            <v>0</v>
          </cell>
          <cell r="D266">
            <v>0</v>
          </cell>
        </row>
        <row r="267">
          <cell r="A267">
            <v>0</v>
          </cell>
          <cell r="C267">
            <v>0</v>
          </cell>
          <cell r="D267">
            <v>0</v>
          </cell>
        </row>
        <row r="268">
          <cell r="A268">
            <v>0</v>
          </cell>
          <cell r="C268">
            <v>0</v>
          </cell>
          <cell r="D268">
            <v>0</v>
          </cell>
        </row>
        <row r="269">
          <cell r="A269">
            <v>0</v>
          </cell>
          <cell r="C269">
            <v>0</v>
          </cell>
          <cell r="D269">
            <v>0</v>
          </cell>
        </row>
        <row r="270">
          <cell r="A270">
            <v>0</v>
          </cell>
          <cell r="C270">
            <v>0</v>
          </cell>
          <cell r="D270">
            <v>0</v>
          </cell>
        </row>
        <row r="271">
          <cell r="A271">
            <v>0</v>
          </cell>
          <cell r="C271">
            <v>0</v>
          </cell>
          <cell r="D271">
            <v>0</v>
          </cell>
        </row>
        <row r="272">
          <cell r="A272">
            <v>0</v>
          </cell>
          <cell r="C272">
            <v>0</v>
          </cell>
          <cell r="D272">
            <v>0</v>
          </cell>
        </row>
        <row r="273">
          <cell r="A273">
            <v>0</v>
          </cell>
          <cell r="C273">
            <v>0</v>
          </cell>
          <cell r="D273">
            <v>0</v>
          </cell>
        </row>
        <row r="274">
          <cell r="A274">
            <v>0</v>
          </cell>
          <cell r="C274">
            <v>0</v>
          </cell>
          <cell r="D274">
            <v>0</v>
          </cell>
        </row>
        <row r="275">
          <cell r="A275">
            <v>0</v>
          </cell>
          <cell r="C275">
            <v>0</v>
          </cell>
          <cell r="D275">
            <v>0</v>
          </cell>
        </row>
        <row r="276">
          <cell r="A276">
            <v>0</v>
          </cell>
          <cell r="C276">
            <v>0</v>
          </cell>
          <cell r="D276">
            <v>0</v>
          </cell>
        </row>
        <row r="277">
          <cell r="A277">
            <v>0</v>
          </cell>
          <cell r="C277">
            <v>0</v>
          </cell>
          <cell r="D277">
            <v>0</v>
          </cell>
        </row>
        <row r="278">
          <cell r="A278">
            <v>0</v>
          </cell>
          <cell r="C278">
            <v>0</v>
          </cell>
          <cell r="D278">
            <v>0</v>
          </cell>
        </row>
        <row r="279">
          <cell r="A279">
            <v>0</v>
          </cell>
          <cell r="C279">
            <v>0</v>
          </cell>
          <cell r="D279">
            <v>0</v>
          </cell>
        </row>
        <row r="280">
          <cell r="A280">
            <v>0</v>
          </cell>
          <cell r="C280">
            <v>0</v>
          </cell>
          <cell r="D280">
            <v>0</v>
          </cell>
        </row>
        <row r="281">
          <cell r="A281">
            <v>0</v>
          </cell>
          <cell r="C281">
            <v>0</v>
          </cell>
          <cell r="D281">
            <v>0</v>
          </cell>
        </row>
        <row r="282">
          <cell r="A282">
            <v>0</v>
          </cell>
          <cell r="C282">
            <v>0</v>
          </cell>
          <cell r="D282">
            <v>0</v>
          </cell>
        </row>
        <row r="283">
          <cell r="A283">
            <v>0</v>
          </cell>
          <cell r="C283">
            <v>0</v>
          </cell>
          <cell r="D283">
            <v>0</v>
          </cell>
        </row>
        <row r="284">
          <cell r="A284">
            <v>0</v>
          </cell>
          <cell r="C284">
            <v>0</v>
          </cell>
          <cell r="D284">
            <v>0</v>
          </cell>
        </row>
        <row r="285">
          <cell r="A285">
            <v>0</v>
          </cell>
          <cell r="C285">
            <v>0</v>
          </cell>
          <cell r="D285">
            <v>0</v>
          </cell>
        </row>
        <row r="286">
          <cell r="A286">
            <v>0</v>
          </cell>
          <cell r="C286">
            <v>0</v>
          </cell>
          <cell r="D286">
            <v>0</v>
          </cell>
        </row>
        <row r="287">
          <cell r="A287">
            <v>0</v>
          </cell>
          <cell r="C287">
            <v>0</v>
          </cell>
          <cell r="D287">
            <v>0</v>
          </cell>
        </row>
        <row r="288">
          <cell r="A288">
            <v>0</v>
          </cell>
          <cell r="C288">
            <v>0</v>
          </cell>
          <cell r="D288">
            <v>0</v>
          </cell>
        </row>
        <row r="289">
          <cell r="A289">
            <v>0</v>
          </cell>
          <cell r="C289">
            <v>0</v>
          </cell>
          <cell r="D289">
            <v>0</v>
          </cell>
        </row>
        <row r="290">
          <cell r="A290">
            <v>0</v>
          </cell>
          <cell r="C290">
            <v>0</v>
          </cell>
          <cell r="D290">
            <v>0</v>
          </cell>
        </row>
        <row r="291">
          <cell r="A291">
            <v>0</v>
          </cell>
          <cell r="C291">
            <v>0</v>
          </cell>
          <cell r="D291">
            <v>0</v>
          </cell>
        </row>
        <row r="292">
          <cell r="A292">
            <v>0</v>
          </cell>
          <cell r="C292">
            <v>0</v>
          </cell>
          <cell r="D292">
            <v>0</v>
          </cell>
        </row>
        <row r="293">
          <cell r="A293">
            <v>0</v>
          </cell>
          <cell r="C293">
            <v>0</v>
          </cell>
          <cell r="D293">
            <v>0</v>
          </cell>
        </row>
        <row r="294">
          <cell r="A294">
            <v>0</v>
          </cell>
          <cell r="C294">
            <v>0</v>
          </cell>
          <cell r="D294">
            <v>0</v>
          </cell>
        </row>
        <row r="295">
          <cell r="A295">
            <v>0</v>
          </cell>
          <cell r="C295">
            <v>0</v>
          </cell>
          <cell r="D295">
            <v>0</v>
          </cell>
        </row>
        <row r="296">
          <cell r="A296">
            <v>0</v>
          </cell>
          <cell r="C296">
            <v>0</v>
          </cell>
          <cell r="D296">
            <v>0</v>
          </cell>
        </row>
        <row r="297">
          <cell r="A297">
            <v>0</v>
          </cell>
          <cell r="C297">
            <v>0</v>
          </cell>
          <cell r="D297">
            <v>0</v>
          </cell>
        </row>
        <row r="298">
          <cell r="A298">
            <v>0</v>
          </cell>
          <cell r="C298">
            <v>0</v>
          </cell>
          <cell r="D298">
            <v>0</v>
          </cell>
        </row>
        <row r="299">
          <cell r="A299">
            <v>0</v>
          </cell>
          <cell r="C299">
            <v>0</v>
          </cell>
          <cell r="D299">
            <v>0</v>
          </cell>
        </row>
        <row r="300">
          <cell r="A300">
            <v>0</v>
          </cell>
          <cell r="C300">
            <v>0</v>
          </cell>
          <cell r="D300">
            <v>0</v>
          </cell>
        </row>
        <row r="301">
          <cell r="A301">
            <v>0</v>
          </cell>
          <cell r="C301">
            <v>0</v>
          </cell>
          <cell r="D301">
            <v>0</v>
          </cell>
        </row>
        <row r="302">
          <cell r="A302">
            <v>0</v>
          </cell>
          <cell r="C302">
            <v>0</v>
          </cell>
          <cell r="D302">
            <v>0</v>
          </cell>
        </row>
        <row r="303">
          <cell r="A303">
            <v>0</v>
          </cell>
          <cell r="C303">
            <v>0</v>
          </cell>
          <cell r="D303">
            <v>0</v>
          </cell>
        </row>
        <row r="304">
          <cell r="A304">
            <v>0</v>
          </cell>
          <cell r="C304">
            <v>0</v>
          </cell>
          <cell r="D304">
            <v>0</v>
          </cell>
        </row>
        <row r="305">
          <cell r="A305">
            <v>0</v>
          </cell>
          <cell r="C305">
            <v>0</v>
          </cell>
          <cell r="D305">
            <v>0</v>
          </cell>
        </row>
        <row r="306">
          <cell r="A306">
            <v>0</v>
          </cell>
          <cell r="C306">
            <v>0</v>
          </cell>
          <cell r="D306">
            <v>0</v>
          </cell>
        </row>
        <row r="307">
          <cell r="A307">
            <v>0</v>
          </cell>
          <cell r="C307">
            <v>0</v>
          </cell>
          <cell r="D307">
            <v>0</v>
          </cell>
        </row>
        <row r="308">
          <cell r="A308">
            <v>0</v>
          </cell>
          <cell r="C308">
            <v>0</v>
          </cell>
          <cell r="D308">
            <v>0</v>
          </cell>
        </row>
        <row r="309">
          <cell r="A309">
            <v>0</v>
          </cell>
          <cell r="C309">
            <v>0</v>
          </cell>
          <cell r="D309">
            <v>0</v>
          </cell>
        </row>
        <row r="310">
          <cell r="A310">
            <v>0</v>
          </cell>
          <cell r="C310">
            <v>0</v>
          </cell>
          <cell r="D310">
            <v>0</v>
          </cell>
        </row>
        <row r="311">
          <cell r="A311">
            <v>0</v>
          </cell>
          <cell r="C311">
            <v>0</v>
          </cell>
          <cell r="D311">
            <v>0</v>
          </cell>
        </row>
        <row r="312">
          <cell r="A312">
            <v>0</v>
          </cell>
          <cell r="C312">
            <v>0</v>
          </cell>
          <cell r="D312">
            <v>0</v>
          </cell>
        </row>
        <row r="313">
          <cell r="A313">
            <v>0</v>
          </cell>
          <cell r="C313">
            <v>0</v>
          </cell>
          <cell r="D313">
            <v>0</v>
          </cell>
        </row>
        <row r="314">
          <cell r="A314">
            <v>0</v>
          </cell>
          <cell r="C314">
            <v>0</v>
          </cell>
          <cell r="D314">
            <v>0</v>
          </cell>
        </row>
        <row r="315">
          <cell r="A315">
            <v>0</v>
          </cell>
          <cell r="C315">
            <v>0</v>
          </cell>
          <cell r="D315">
            <v>0</v>
          </cell>
        </row>
        <row r="316">
          <cell r="A316">
            <v>0</v>
          </cell>
          <cell r="C316">
            <v>0</v>
          </cell>
          <cell r="D316">
            <v>0</v>
          </cell>
        </row>
        <row r="317">
          <cell r="A317">
            <v>0</v>
          </cell>
          <cell r="C317">
            <v>0</v>
          </cell>
          <cell r="D317">
            <v>0</v>
          </cell>
        </row>
        <row r="318">
          <cell r="A318">
            <v>0</v>
          </cell>
          <cell r="C318">
            <v>0</v>
          </cell>
          <cell r="D318">
            <v>0</v>
          </cell>
        </row>
        <row r="319">
          <cell r="A319">
            <v>0</v>
          </cell>
          <cell r="C319">
            <v>0</v>
          </cell>
          <cell r="D319">
            <v>0</v>
          </cell>
        </row>
        <row r="320">
          <cell r="A320">
            <v>0</v>
          </cell>
          <cell r="C320">
            <v>0</v>
          </cell>
          <cell r="D320">
            <v>0</v>
          </cell>
        </row>
        <row r="321">
          <cell r="A321">
            <v>0</v>
          </cell>
          <cell r="C321">
            <v>0</v>
          </cell>
          <cell r="D321">
            <v>0</v>
          </cell>
        </row>
        <row r="322">
          <cell r="A322">
            <v>0</v>
          </cell>
          <cell r="C322">
            <v>0</v>
          </cell>
          <cell r="D322">
            <v>0</v>
          </cell>
        </row>
        <row r="323">
          <cell r="A323">
            <v>0</v>
          </cell>
          <cell r="C323">
            <v>0</v>
          </cell>
          <cell r="D323">
            <v>0</v>
          </cell>
        </row>
        <row r="324">
          <cell r="A324">
            <v>0</v>
          </cell>
          <cell r="C324">
            <v>0</v>
          </cell>
          <cell r="D324">
            <v>0</v>
          </cell>
        </row>
        <row r="325">
          <cell r="A325">
            <v>0</v>
          </cell>
          <cell r="C325">
            <v>0</v>
          </cell>
          <cell r="D325">
            <v>0</v>
          </cell>
        </row>
        <row r="326">
          <cell r="A326">
            <v>0</v>
          </cell>
          <cell r="C326">
            <v>0</v>
          </cell>
          <cell r="D326">
            <v>0</v>
          </cell>
        </row>
        <row r="327">
          <cell r="A327">
            <v>0</v>
          </cell>
          <cell r="C327">
            <v>0</v>
          </cell>
          <cell r="D327">
            <v>0</v>
          </cell>
        </row>
        <row r="328">
          <cell r="A328">
            <v>0</v>
          </cell>
          <cell r="C328">
            <v>0</v>
          </cell>
          <cell r="D328">
            <v>0</v>
          </cell>
        </row>
        <row r="329">
          <cell r="A329">
            <v>0</v>
          </cell>
          <cell r="C329">
            <v>0</v>
          </cell>
          <cell r="D329">
            <v>0</v>
          </cell>
        </row>
        <row r="330">
          <cell r="A330">
            <v>0</v>
          </cell>
          <cell r="C330">
            <v>0</v>
          </cell>
          <cell r="D330">
            <v>0</v>
          </cell>
        </row>
        <row r="331">
          <cell r="A331">
            <v>0</v>
          </cell>
          <cell r="C331">
            <v>0</v>
          </cell>
          <cell r="D331">
            <v>0</v>
          </cell>
        </row>
        <row r="332">
          <cell r="A332">
            <v>0</v>
          </cell>
          <cell r="C332">
            <v>0</v>
          </cell>
          <cell r="D332">
            <v>0</v>
          </cell>
        </row>
        <row r="333">
          <cell r="A333">
            <v>0</v>
          </cell>
          <cell r="C333">
            <v>0</v>
          </cell>
          <cell r="D333">
            <v>0</v>
          </cell>
        </row>
        <row r="334">
          <cell r="A334">
            <v>0</v>
          </cell>
          <cell r="C334">
            <v>0</v>
          </cell>
          <cell r="D334">
            <v>0</v>
          </cell>
        </row>
        <row r="335">
          <cell r="A335">
            <v>0</v>
          </cell>
          <cell r="C335">
            <v>0</v>
          </cell>
          <cell r="D335">
            <v>0</v>
          </cell>
        </row>
        <row r="336">
          <cell r="A336">
            <v>0</v>
          </cell>
          <cell r="C336">
            <v>0</v>
          </cell>
          <cell r="D336">
            <v>0</v>
          </cell>
        </row>
        <row r="337">
          <cell r="A337">
            <v>0</v>
          </cell>
          <cell r="C337">
            <v>0</v>
          </cell>
          <cell r="D337">
            <v>0</v>
          </cell>
        </row>
        <row r="338">
          <cell r="A338">
            <v>0</v>
          </cell>
          <cell r="C338">
            <v>0</v>
          </cell>
          <cell r="D338">
            <v>0</v>
          </cell>
        </row>
        <row r="339">
          <cell r="A339">
            <v>0</v>
          </cell>
          <cell r="C339">
            <v>0</v>
          </cell>
          <cell r="D339">
            <v>0</v>
          </cell>
        </row>
        <row r="340">
          <cell r="A340">
            <v>0</v>
          </cell>
          <cell r="C340">
            <v>0</v>
          </cell>
          <cell r="D340">
            <v>0</v>
          </cell>
        </row>
        <row r="341">
          <cell r="A341">
            <v>0</v>
          </cell>
          <cell r="C341">
            <v>0</v>
          </cell>
          <cell r="D341">
            <v>0</v>
          </cell>
        </row>
        <row r="342">
          <cell r="A342">
            <v>0</v>
          </cell>
          <cell r="C342">
            <v>0</v>
          </cell>
          <cell r="D342">
            <v>0</v>
          </cell>
        </row>
        <row r="343">
          <cell r="A343">
            <v>0</v>
          </cell>
          <cell r="C343">
            <v>0</v>
          </cell>
          <cell r="D343">
            <v>0</v>
          </cell>
        </row>
        <row r="344">
          <cell r="A344">
            <v>0</v>
          </cell>
          <cell r="C344">
            <v>0</v>
          </cell>
          <cell r="D344">
            <v>0</v>
          </cell>
        </row>
        <row r="345">
          <cell r="A345">
            <v>0</v>
          </cell>
          <cell r="C345">
            <v>0</v>
          </cell>
          <cell r="D345">
            <v>0</v>
          </cell>
        </row>
        <row r="346">
          <cell r="A346">
            <v>0</v>
          </cell>
          <cell r="C346">
            <v>0</v>
          </cell>
          <cell r="D346">
            <v>0</v>
          </cell>
        </row>
        <row r="347">
          <cell r="A347">
            <v>0</v>
          </cell>
          <cell r="C347">
            <v>0</v>
          </cell>
          <cell r="D347">
            <v>0</v>
          </cell>
        </row>
        <row r="348">
          <cell r="A348">
            <v>0</v>
          </cell>
          <cell r="C348">
            <v>0</v>
          </cell>
          <cell r="D348">
            <v>0</v>
          </cell>
        </row>
        <row r="349">
          <cell r="A349">
            <v>0</v>
          </cell>
          <cell r="C349">
            <v>0</v>
          </cell>
          <cell r="D349">
            <v>0</v>
          </cell>
        </row>
        <row r="350">
          <cell r="A350">
            <v>0</v>
          </cell>
          <cell r="C350">
            <v>0</v>
          </cell>
          <cell r="D350">
            <v>0</v>
          </cell>
        </row>
        <row r="351">
          <cell r="A351">
            <v>0</v>
          </cell>
          <cell r="C351">
            <v>0</v>
          </cell>
          <cell r="D351">
            <v>0</v>
          </cell>
        </row>
        <row r="352">
          <cell r="A352">
            <v>0</v>
          </cell>
          <cell r="C352">
            <v>0</v>
          </cell>
          <cell r="D352">
            <v>0</v>
          </cell>
        </row>
        <row r="353">
          <cell r="A353">
            <v>0</v>
          </cell>
          <cell r="C353">
            <v>0</v>
          </cell>
          <cell r="D353">
            <v>0</v>
          </cell>
        </row>
        <row r="354">
          <cell r="A354">
            <v>0</v>
          </cell>
          <cell r="C354">
            <v>0</v>
          </cell>
          <cell r="D354">
            <v>0</v>
          </cell>
        </row>
        <row r="355">
          <cell r="A355">
            <v>0</v>
          </cell>
          <cell r="C355">
            <v>0</v>
          </cell>
          <cell r="D355">
            <v>0</v>
          </cell>
        </row>
        <row r="356">
          <cell r="A356">
            <v>0</v>
          </cell>
          <cell r="C356">
            <v>0</v>
          </cell>
          <cell r="D356">
            <v>0</v>
          </cell>
        </row>
        <row r="357">
          <cell r="A357">
            <v>0</v>
          </cell>
          <cell r="C357">
            <v>0</v>
          </cell>
          <cell r="D357">
            <v>0</v>
          </cell>
        </row>
        <row r="358">
          <cell r="A358">
            <v>0</v>
          </cell>
          <cell r="C358">
            <v>0</v>
          </cell>
          <cell r="D358">
            <v>0</v>
          </cell>
        </row>
        <row r="359">
          <cell r="A359">
            <v>0</v>
          </cell>
          <cell r="C359">
            <v>0</v>
          </cell>
          <cell r="D359">
            <v>0</v>
          </cell>
        </row>
        <row r="360">
          <cell r="A360">
            <v>0</v>
          </cell>
          <cell r="C360">
            <v>0</v>
          </cell>
          <cell r="D360">
            <v>0</v>
          </cell>
        </row>
        <row r="361">
          <cell r="A361">
            <v>0</v>
          </cell>
          <cell r="C361">
            <v>0</v>
          </cell>
          <cell r="D361">
            <v>0</v>
          </cell>
        </row>
        <row r="362">
          <cell r="A362">
            <v>0</v>
          </cell>
          <cell r="C362">
            <v>0</v>
          </cell>
          <cell r="D362">
            <v>0</v>
          </cell>
        </row>
        <row r="363">
          <cell r="A363">
            <v>0</v>
          </cell>
          <cell r="C363">
            <v>0</v>
          </cell>
          <cell r="D363">
            <v>0</v>
          </cell>
        </row>
        <row r="364">
          <cell r="A364">
            <v>0</v>
          </cell>
          <cell r="C364">
            <v>0</v>
          </cell>
          <cell r="D364">
            <v>0</v>
          </cell>
        </row>
        <row r="365">
          <cell r="A365">
            <v>0</v>
          </cell>
          <cell r="C365">
            <v>0</v>
          </cell>
          <cell r="D365">
            <v>0</v>
          </cell>
        </row>
        <row r="366">
          <cell r="A366">
            <v>0</v>
          </cell>
          <cell r="C366">
            <v>0</v>
          </cell>
          <cell r="D366">
            <v>0</v>
          </cell>
        </row>
        <row r="367">
          <cell r="A367">
            <v>0</v>
          </cell>
          <cell r="C367">
            <v>0</v>
          </cell>
          <cell r="D367">
            <v>0</v>
          </cell>
        </row>
        <row r="368">
          <cell r="A368">
            <v>0</v>
          </cell>
          <cell r="C368">
            <v>0</v>
          </cell>
          <cell r="D368">
            <v>0</v>
          </cell>
        </row>
        <row r="369">
          <cell r="A369">
            <v>0</v>
          </cell>
          <cell r="C369">
            <v>0</v>
          </cell>
          <cell r="D369">
            <v>0</v>
          </cell>
        </row>
        <row r="370">
          <cell r="A370">
            <v>0</v>
          </cell>
          <cell r="C370">
            <v>0</v>
          </cell>
          <cell r="D370">
            <v>0</v>
          </cell>
        </row>
        <row r="371">
          <cell r="A371">
            <v>0</v>
          </cell>
          <cell r="C371">
            <v>0</v>
          </cell>
          <cell r="D371">
            <v>0</v>
          </cell>
        </row>
        <row r="372">
          <cell r="A372">
            <v>0</v>
          </cell>
          <cell r="C372">
            <v>0</v>
          </cell>
          <cell r="D372">
            <v>0</v>
          </cell>
        </row>
        <row r="373">
          <cell r="A373">
            <v>0</v>
          </cell>
          <cell r="C373">
            <v>0</v>
          </cell>
          <cell r="D373">
            <v>0</v>
          </cell>
        </row>
        <row r="374">
          <cell r="A374">
            <v>0</v>
          </cell>
          <cell r="C374">
            <v>0</v>
          </cell>
          <cell r="D374">
            <v>0</v>
          </cell>
        </row>
        <row r="375">
          <cell r="A375">
            <v>0</v>
          </cell>
          <cell r="C375">
            <v>0</v>
          </cell>
          <cell r="D375">
            <v>0</v>
          </cell>
        </row>
        <row r="376">
          <cell r="A376">
            <v>0</v>
          </cell>
          <cell r="C376">
            <v>0</v>
          </cell>
          <cell r="D376">
            <v>0</v>
          </cell>
        </row>
        <row r="377">
          <cell r="A377">
            <v>0</v>
          </cell>
          <cell r="C377">
            <v>0</v>
          </cell>
          <cell r="D377">
            <v>0</v>
          </cell>
        </row>
        <row r="378">
          <cell r="A378">
            <v>0</v>
          </cell>
          <cell r="C378">
            <v>0</v>
          </cell>
          <cell r="D378">
            <v>0</v>
          </cell>
        </row>
        <row r="379">
          <cell r="A379">
            <v>0</v>
          </cell>
          <cell r="C379">
            <v>0</v>
          </cell>
          <cell r="D379">
            <v>0</v>
          </cell>
        </row>
        <row r="380">
          <cell r="A380">
            <v>0</v>
          </cell>
          <cell r="C380">
            <v>0</v>
          </cell>
          <cell r="D380">
            <v>0</v>
          </cell>
        </row>
        <row r="381">
          <cell r="A381">
            <v>0</v>
          </cell>
          <cell r="C381">
            <v>0</v>
          </cell>
          <cell r="D381">
            <v>0</v>
          </cell>
        </row>
        <row r="382">
          <cell r="A382">
            <v>0</v>
          </cell>
          <cell r="C382">
            <v>0</v>
          </cell>
          <cell r="D382">
            <v>0</v>
          </cell>
        </row>
        <row r="383">
          <cell r="A383">
            <v>0</v>
          </cell>
          <cell r="C383">
            <v>0</v>
          </cell>
          <cell r="D383">
            <v>0</v>
          </cell>
        </row>
        <row r="384">
          <cell r="A384">
            <v>0</v>
          </cell>
          <cell r="C384">
            <v>0</v>
          </cell>
          <cell r="D384">
            <v>0</v>
          </cell>
        </row>
        <row r="385">
          <cell r="A385">
            <v>0</v>
          </cell>
          <cell r="C385">
            <v>0</v>
          </cell>
          <cell r="D385">
            <v>0</v>
          </cell>
        </row>
        <row r="386">
          <cell r="A386">
            <v>0</v>
          </cell>
          <cell r="C386">
            <v>0</v>
          </cell>
          <cell r="D386">
            <v>0</v>
          </cell>
        </row>
        <row r="387">
          <cell r="A387">
            <v>0</v>
          </cell>
          <cell r="C387">
            <v>0</v>
          </cell>
          <cell r="D387">
            <v>0</v>
          </cell>
        </row>
        <row r="388">
          <cell r="A388">
            <v>0</v>
          </cell>
          <cell r="C388">
            <v>0</v>
          </cell>
          <cell r="D388">
            <v>0</v>
          </cell>
        </row>
        <row r="389">
          <cell r="A389">
            <v>0</v>
          </cell>
          <cell r="C389">
            <v>0</v>
          </cell>
          <cell r="D389">
            <v>0</v>
          </cell>
        </row>
        <row r="390">
          <cell r="A390">
            <v>0</v>
          </cell>
          <cell r="C390">
            <v>0</v>
          </cell>
          <cell r="D390">
            <v>0</v>
          </cell>
        </row>
        <row r="391">
          <cell r="A391">
            <v>0</v>
          </cell>
          <cell r="C391">
            <v>0</v>
          </cell>
          <cell r="D391">
            <v>0</v>
          </cell>
        </row>
        <row r="392">
          <cell r="A392">
            <v>0</v>
          </cell>
          <cell r="C392">
            <v>0</v>
          </cell>
          <cell r="D392">
            <v>0</v>
          </cell>
        </row>
        <row r="393">
          <cell r="A393">
            <v>0</v>
          </cell>
          <cell r="C393">
            <v>0</v>
          </cell>
          <cell r="D393">
            <v>0</v>
          </cell>
        </row>
        <row r="394">
          <cell r="A394">
            <v>0</v>
          </cell>
          <cell r="C394">
            <v>0</v>
          </cell>
          <cell r="D394">
            <v>0</v>
          </cell>
        </row>
        <row r="395">
          <cell r="A395">
            <v>0</v>
          </cell>
          <cell r="C395">
            <v>0</v>
          </cell>
          <cell r="D395">
            <v>0</v>
          </cell>
        </row>
        <row r="396">
          <cell r="A396">
            <v>0</v>
          </cell>
          <cell r="C396">
            <v>0</v>
          </cell>
          <cell r="D396">
            <v>0</v>
          </cell>
        </row>
        <row r="397">
          <cell r="A397">
            <v>0</v>
          </cell>
          <cell r="C397">
            <v>0</v>
          </cell>
          <cell r="D397">
            <v>0</v>
          </cell>
        </row>
        <row r="398">
          <cell r="A398">
            <v>0</v>
          </cell>
          <cell r="C398">
            <v>0</v>
          </cell>
          <cell r="D398">
            <v>0</v>
          </cell>
        </row>
        <row r="399">
          <cell r="A399">
            <v>0</v>
          </cell>
          <cell r="C399">
            <v>0</v>
          </cell>
          <cell r="D399">
            <v>0</v>
          </cell>
        </row>
        <row r="400">
          <cell r="A400">
            <v>0</v>
          </cell>
          <cell r="C400">
            <v>0</v>
          </cell>
          <cell r="D400">
            <v>0</v>
          </cell>
        </row>
        <row r="401">
          <cell r="A401">
            <v>0</v>
          </cell>
          <cell r="C401">
            <v>0</v>
          </cell>
          <cell r="D401">
            <v>0</v>
          </cell>
        </row>
        <row r="402">
          <cell r="A402">
            <v>0</v>
          </cell>
          <cell r="C402">
            <v>0</v>
          </cell>
          <cell r="D402">
            <v>0</v>
          </cell>
        </row>
        <row r="403">
          <cell r="A403">
            <v>0</v>
          </cell>
          <cell r="C403">
            <v>0</v>
          </cell>
          <cell r="D403">
            <v>0</v>
          </cell>
        </row>
        <row r="404">
          <cell r="A404">
            <v>0</v>
          </cell>
          <cell r="C404">
            <v>0</v>
          </cell>
          <cell r="D404">
            <v>0</v>
          </cell>
        </row>
        <row r="405">
          <cell r="A405">
            <v>0</v>
          </cell>
          <cell r="C405">
            <v>0</v>
          </cell>
          <cell r="D405">
            <v>0</v>
          </cell>
        </row>
        <row r="406">
          <cell r="A406">
            <v>0</v>
          </cell>
          <cell r="C406">
            <v>0</v>
          </cell>
          <cell r="D406">
            <v>0</v>
          </cell>
        </row>
        <row r="407">
          <cell r="A407">
            <v>0</v>
          </cell>
          <cell r="C407">
            <v>0</v>
          </cell>
          <cell r="D407">
            <v>0</v>
          </cell>
        </row>
        <row r="408">
          <cell r="A408">
            <v>0</v>
          </cell>
          <cell r="C408">
            <v>0</v>
          </cell>
          <cell r="D408">
            <v>0</v>
          </cell>
        </row>
        <row r="409">
          <cell r="A409">
            <v>0</v>
          </cell>
          <cell r="C409">
            <v>0</v>
          </cell>
          <cell r="D409">
            <v>0</v>
          </cell>
        </row>
        <row r="410">
          <cell r="A410">
            <v>0</v>
          </cell>
          <cell r="C410">
            <v>0</v>
          </cell>
          <cell r="D410">
            <v>0</v>
          </cell>
        </row>
        <row r="411">
          <cell r="A411">
            <v>0</v>
          </cell>
          <cell r="C411">
            <v>0</v>
          </cell>
          <cell r="D411">
            <v>0</v>
          </cell>
        </row>
        <row r="412">
          <cell r="A412">
            <v>0</v>
          </cell>
          <cell r="C412">
            <v>0</v>
          </cell>
          <cell r="D412">
            <v>0</v>
          </cell>
        </row>
        <row r="413">
          <cell r="A413">
            <v>0</v>
          </cell>
          <cell r="C413">
            <v>0</v>
          </cell>
          <cell r="D413">
            <v>0</v>
          </cell>
        </row>
        <row r="414">
          <cell r="A414">
            <v>0</v>
          </cell>
          <cell r="C414">
            <v>0</v>
          </cell>
          <cell r="D414">
            <v>0</v>
          </cell>
        </row>
        <row r="415">
          <cell r="A415">
            <v>0</v>
          </cell>
          <cell r="C415">
            <v>0</v>
          </cell>
          <cell r="D415">
            <v>0</v>
          </cell>
        </row>
        <row r="416">
          <cell r="A416">
            <v>0</v>
          </cell>
          <cell r="C416">
            <v>0</v>
          </cell>
          <cell r="D416">
            <v>0</v>
          </cell>
        </row>
        <row r="417">
          <cell r="A417">
            <v>0</v>
          </cell>
          <cell r="C417">
            <v>0</v>
          </cell>
          <cell r="D417">
            <v>0</v>
          </cell>
        </row>
        <row r="418">
          <cell r="A418">
            <v>0</v>
          </cell>
          <cell r="C418">
            <v>0</v>
          </cell>
          <cell r="D418">
            <v>0</v>
          </cell>
        </row>
        <row r="419">
          <cell r="A419">
            <v>0</v>
          </cell>
          <cell r="C419">
            <v>0</v>
          </cell>
          <cell r="D419">
            <v>0</v>
          </cell>
        </row>
        <row r="420">
          <cell r="A420">
            <v>0</v>
          </cell>
          <cell r="C420">
            <v>0</v>
          </cell>
          <cell r="D420">
            <v>0</v>
          </cell>
        </row>
        <row r="421">
          <cell r="A421">
            <v>0</v>
          </cell>
          <cell r="C421">
            <v>0</v>
          </cell>
          <cell r="D421">
            <v>0</v>
          </cell>
        </row>
        <row r="422">
          <cell r="A422">
            <v>0</v>
          </cell>
          <cell r="C422">
            <v>0</v>
          </cell>
          <cell r="D422">
            <v>0</v>
          </cell>
        </row>
        <row r="423">
          <cell r="A423">
            <v>0</v>
          </cell>
          <cell r="C423">
            <v>0</v>
          </cell>
          <cell r="D423">
            <v>0</v>
          </cell>
        </row>
        <row r="424">
          <cell r="A424">
            <v>0</v>
          </cell>
          <cell r="C424">
            <v>0</v>
          </cell>
          <cell r="D424">
            <v>0</v>
          </cell>
        </row>
        <row r="425">
          <cell r="A425">
            <v>0</v>
          </cell>
          <cell r="C425">
            <v>0</v>
          </cell>
          <cell r="D425">
            <v>0</v>
          </cell>
        </row>
        <row r="426">
          <cell r="A426">
            <v>0</v>
          </cell>
          <cell r="C426">
            <v>0</v>
          </cell>
          <cell r="D426">
            <v>0</v>
          </cell>
        </row>
        <row r="427">
          <cell r="A427">
            <v>0</v>
          </cell>
          <cell r="C427">
            <v>0</v>
          </cell>
          <cell r="D427">
            <v>0</v>
          </cell>
        </row>
        <row r="428">
          <cell r="A428">
            <v>0</v>
          </cell>
          <cell r="C428">
            <v>0</v>
          </cell>
          <cell r="D428">
            <v>0</v>
          </cell>
        </row>
        <row r="429">
          <cell r="A429">
            <v>0</v>
          </cell>
          <cell r="C429">
            <v>0</v>
          </cell>
          <cell r="D429">
            <v>0</v>
          </cell>
        </row>
        <row r="430">
          <cell r="A430">
            <v>0</v>
          </cell>
          <cell r="C430">
            <v>0</v>
          </cell>
          <cell r="D430">
            <v>0</v>
          </cell>
        </row>
        <row r="431">
          <cell r="A431">
            <v>0</v>
          </cell>
          <cell r="C431">
            <v>0</v>
          </cell>
          <cell r="D431">
            <v>0</v>
          </cell>
        </row>
        <row r="432">
          <cell r="A432">
            <v>0</v>
          </cell>
          <cell r="C432">
            <v>0</v>
          </cell>
          <cell r="D432">
            <v>0</v>
          </cell>
        </row>
        <row r="433">
          <cell r="A433">
            <v>0</v>
          </cell>
          <cell r="C433">
            <v>0</v>
          </cell>
          <cell r="D433">
            <v>0</v>
          </cell>
        </row>
        <row r="434">
          <cell r="A434">
            <v>0</v>
          </cell>
          <cell r="C434">
            <v>0</v>
          </cell>
          <cell r="D434">
            <v>0</v>
          </cell>
        </row>
        <row r="435">
          <cell r="A435">
            <v>0</v>
          </cell>
          <cell r="C435">
            <v>0</v>
          </cell>
          <cell r="D435">
            <v>0</v>
          </cell>
        </row>
        <row r="436">
          <cell r="A436">
            <v>0</v>
          </cell>
          <cell r="C436">
            <v>0</v>
          </cell>
          <cell r="D436">
            <v>0</v>
          </cell>
        </row>
        <row r="437">
          <cell r="A437">
            <v>0</v>
          </cell>
          <cell r="C437">
            <v>0</v>
          </cell>
          <cell r="D437">
            <v>0</v>
          </cell>
        </row>
        <row r="438">
          <cell r="A438">
            <v>0</v>
          </cell>
          <cell r="C438">
            <v>0</v>
          </cell>
          <cell r="D438">
            <v>0</v>
          </cell>
        </row>
        <row r="439">
          <cell r="A439">
            <v>0</v>
          </cell>
          <cell r="C439">
            <v>0</v>
          </cell>
          <cell r="D439">
            <v>0</v>
          </cell>
        </row>
        <row r="440">
          <cell r="A440">
            <v>0</v>
          </cell>
          <cell r="C440">
            <v>0</v>
          </cell>
          <cell r="D440">
            <v>0</v>
          </cell>
        </row>
        <row r="441">
          <cell r="A441">
            <v>0</v>
          </cell>
          <cell r="C441">
            <v>0</v>
          </cell>
          <cell r="D441">
            <v>0</v>
          </cell>
        </row>
        <row r="442">
          <cell r="A442">
            <v>0</v>
          </cell>
          <cell r="C442">
            <v>0</v>
          </cell>
          <cell r="D442">
            <v>0</v>
          </cell>
        </row>
        <row r="443">
          <cell r="A443">
            <v>0</v>
          </cell>
          <cell r="C443">
            <v>0</v>
          </cell>
          <cell r="D443">
            <v>0</v>
          </cell>
        </row>
        <row r="444">
          <cell r="A444">
            <v>0</v>
          </cell>
          <cell r="C444">
            <v>0</v>
          </cell>
          <cell r="D444">
            <v>0</v>
          </cell>
        </row>
        <row r="445">
          <cell r="A445">
            <v>0</v>
          </cell>
          <cell r="C445">
            <v>0</v>
          </cell>
          <cell r="D445">
            <v>0</v>
          </cell>
        </row>
        <row r="446">
          <cell r="A446">
            <v>0</v>
          </cell>
          <cell r="C446">
            <v>0</v>
          </cell>
          <cell r="D446">
            <v>0</v>
          </cell>
        </row>
        <row r="447">
          <cell r="A447">
            <v>0</v>
          </cell>
          <cell r="C447">
            <v>0</v>
          </cell>
          <cell r="D447">
            <v>0</v>
          </cell>
        </row>
        <row r="448">
          <cell r="A448">
            <v>0</v>
          </cell>
          <cell r="C448">
            <v>0</v>
          </cell>
          <cell r="D448">
            <v>0</v>
          </cell>
        </row>
        <row r="449">
          <cell r="A449">
            <v>0</v>
          </cell>
          <cell r="C449">
            <v>0</v>
          </cell>
          <cell r="D449">
            <v>0</v>
          </cell>
        </row>
        <row r="450">
          <cell r="A450">
            <v>0</v>
          </cell>
          <cell r="C450">
            <v>0</v>
          </cell>
          <cell r="D450">
            <v>0</v>
          </cell>
        </row>
        <row r="451">
          <cell r="A451">
            <v>0</v>
          </cell>
          <cell r="C451">
            <v>0</v>
          </cell>
          <cell r="D451">
            <v>0</v>
          </cell>
        </row>
        <row r="452">
          <cell r="A452">
            <v>0</v>
          </cell>
          <cell r="C452">
            <v>0</v>
          </cell>
          <cell r="D452">
            <v>0</v>
          </cell>
        </row>
        <row r="453">
          <cell r="A453">
            <v>0</v>
          </cell>
          <cell r="C453">
            <v>0</v>
          </cell>
          <cell r="D453">
            <v>0</v>
          </cell>
        </row>
        <row r="454">
          <cell r="A454">
            <v>0</v>
          </cell>
          <cell r="C454">
            <v>0</v>
          </cell>
          <cell r="D454">
            <v>0</v>
          </cell>
        </row>
        <row r="455">
          <cell r="A455">
            <v>0</v>
          </cell>
          <cell r="C455">
            <v>0</v>
          </cell>
          <cell r="D455">
            <v>0</v>
          </cell>
        </row>
        <row r="456">
          <cell r="A456">
            <v>0</v>
          </cell>
          <cell r="C456">
            <v>0</v>
          </cell>
          <cell r="D456">
            <v>0</v>
          </cell>
        </row>
        <row r="457">
          <cell r="A457">
            <v>0</v>
          </cell>
          <cell r="C457">
            <v>0</v>
          </cell>
          <cell r="D457">
            <v>0</v>
          </cell>
        </row>
        <row r="458">
          <cell r="A458">
            <v>0</v>
          </cell>
          <cell r="C458">
            <v>0</v>
          </cell>
          <cell r="D458">
            <v>0</v>
          </cell>
        </row>
        <row r="459">
          <cell r="A459">
            <v>0</v>
          </cell>
          <cell r="C459">
            <v>0</v>
          </cell>
          <cell r="D459">
            <v>0</v>
          </cell>
        </row>
        <row r="460">
          <cell r="A460">
            <v>0</v>
          </cell>
          <cell r="C460">
            <v>0</v>
          </cell>
          <cell r="D460">
            <v>0</v>
          </cell>
        </row>
        <row r="461">
          <cell r="A461">
            <v>0</v>
          </cell>
          <cell r="C461">
            <v>0</v>
          </cell>
          <cell r="D461">
            <v>0</v>
          </cell>
        </row>
        <row r="462">
          <cell r="A462">
            <v>0</v>
          </cell>
          <cell r="C462">
            <v>0</v>
          </cell>
          <cell r="D462">
            <v>0</v>
          </cell>
        </row>
        <row r="463">
          <cell r="A463">
            <v>0</v>
          </cell>
          <cell r="C463">
            <v>0</v>
          </cell>
          <cell r="D463">
            <v>0</v>
          </cell>
        </row>
        <row r="464">
          <cell r="A464">
            <v>0</v>
          </cell>
          <cell r="C464">
            <v>0</v>
          </cell>
          <cell r="D464">
            <v>0</v>
          </cell>
        </row>
        <row r="465">
          <cell r="A465">
            <v>0</v>
          </cell>
          <cell r="C465">
            <v>0</v>
          </cell>
          <cell r="D465">
            <v>0</v>
          </cell>
        </row>
        <row r="466">
          <cell r="A466">
            <v>0</v>
          </cell>
          <cell r="C466">
            <v>0</v>
          </cell>
          <cell r="D466">
            <v>0</v>
          </cell>
        </row>
        <row r="467">
          <cell r="A467">
            <v>0</v>
          </cell>
          <cell r="C467">
            <v>0</v>
          </cell>
          <cell r="D467">
            <v>0</v>
          </cell>
        </row>
        <row r="468">
          <cell r="A468">
            <v>0</v>
          </cell>
          <cell r="C468">
            <v>0</v>
          </cell>
          <cell r="D468">
            <v>0</v>
          </cell>
        </row>
        <row r="469">
          <cell r="A469">
            <v>0</v>
          </cell>
          <cell r="C469">
            <v>0</v>
          </cell>
          <cell r="D469">
            <v>0</v>
          </cell>
        </row>
        <row r="470">
          <cell r="A470">
            <v>0</v>
          </cell>
          <cell r="C470">
            <v>0</v>
          </cell>
          <cell r="D470">
            <v>0</v>
          </cell>
        </row>
        <row r="471">
          <cell r="A471">
            <v>0</v>
          </cell>
          <cell r="C471">
            <v>0</v>
          </cell>
          <cell r="D471">
            <v>0</v>
          </cell>
        </row>
        <row r="472">
          <cell r="A472">
            <v>0</v>
          </cell>
          <cell r="C472">
            <v>0</v>
          </cell>
          <cell r="D472">
            <v>0</v>
          </cell>
        </row>
        <row r="473">
          <cell r="A473">
            <v>0</v>
          </cell>
          <cell r="C473">
            <v>0</v>
          </cell>
          <cell r="D473">
            <v>0</v>
          </cell>
        </row>
        <row r="474">
          <cell r="A474">
            <v>0</v>
          </cell>
          <cell r="C474">
            <v>0</v>
          </cell>
          <cell r="D474">
            <v>0</v>
          </cell>
        </row>
        <row r="475">
          <cell r="A475">
            <v>0</v>
          </cell>
          <cell r="C475">
            <v>0</v>
          </cell>
          <cell r="D475">
            <v>0</v>
          </cell>
        </row>
        <row r="476">
          <cell r="A476">
            <v>0</v>
          </cell>
          <cell r="C476">
            <v>0</v>
          </cell>
          <cell r="D476">
            <v>0</v>
          </cell>
        </row>
        <row r="477">
          <cell r="A477">
            <v>0</v>
          </cell>
          <cell r="C477">
            <v>0</v>
          </cell>
          <cell r="D477">
            <v>0</v>
          </cell>
        </row>
        <row r="478">
          <cell r="A478">
            <v>0</v>
          </cell>
          <cell r="C478">
            <v>0</v>
          </cell>
          <cell r="D478">
            <v>0</v>
          </cell>
        </row>
        <row r="479">
          <cell r="A479">
            <v>0</v>
          </cell>
          <cell r="C479">
            <v>0</v>
          </cell>
          <cell r="D479">
            <v>0</v>
          </cell>
        </row>
        <row r="480">
          <cell r="A480">
            <v>0</v>
          </cell>
          <cell r="C480">
            <v>0</v>
          </cell>
          <cell r="D480">
            <v>0</v>
          </cell>
        </row>
        <row r="481">
          <cell r="A481">
            <v>0</v>
          </cell>
          <cell r="C481">
            <v>0</v>
          </cell>
          <cell r="D481">
            <v>0</v>
          </cell>
        </row>
        <row r="482">
          <cell r="A482">
            <v>0</v>
          </cell>
          <cell r="C482">
            <v>0</v>
          </cell>
          <cell r="D482">
            <v>0</v>
          </cell>
        </row>
        <row r="483">
          <cell r="A483">
            <v>0</v>
          </cell>
          <cell r="C483">
            <v>0</v>
          </cell>
          <cell r="D483">
            <v>0</v>
          </cell>
        </row>
        <row r="484">
          <cell r="A484">
            <v>0</v>
          </cell>
          <cell r="C484">
            <v>0</v>
          </cell>
          <cell r="D484">
            <v>0</v>
          </cell>
        </row>
        <row r="485">
          <cell r="A485">
            <v>0</v>
          </cell>
          <cell r="C485">
            <v>0</v>
          </cell>
          <cell r="D485">
            <v>0</v>
          </cell>
        </row>
        <row r="486">
          <cell r="A486">
            <v>0</v>
          </cell>
          <cell r="C486">
            <v>0</v>
          </cell>
          <cell r="D486">
            <v>0</v>
          </cell>
        </row>
        <row r="487">
          <cell r="A487">
            <v>0</v>
          </cell>
          <cell r="C487">
            <v>0</v>
          </cell>
          <cell r="D487">
            <v>0</v>
          </cell>
        </row>
        <row r="488">
          <cell r="A488">
            <v>0</v>
          </cell>
          <cell r="C488">
            <v>0</v>
          </cell>
          <cell r="D488">
            <v>0</v>
          </cell>
        </row>
        <row r="489">
          <cell r="A489">
            <v>0</v>
          </cell>
          <cell r="C489">
            <v>0</v>
          </cell>
          <cell r="D489">
            <v>0</v>
          </cell>
        </row>
        <row r="490">
          <cell r="A490">
            <v>0</v>
          </cell>
          <cell r="C490">
            <v>0</v>
          </cell>
          <cell r="D490">
            <v>0</v>
          </cell>
        </row>
        <row r="491">
          <cell r="A491">
            <v>0</v>
          </cell>
          <cell r="C491">
            <v>0</v>
          </cell>
          <cell r="D491">
            <v>0</v>
          </cell>
        </row>
        <row r="492">
          <cell r="A492">
            <v>0</v>
          </cell>
          <cell r="C492">
            <v>0</v>
          </cell>
          <cell r="D492">
            <v>0</v>
          </cell>
        </row>
        <row r="493">
          <cell r="A493">
            <v>0</v>
          </cell>
          <cell r="C493">
            <v>0</v>
          </cell>
          <cell r="D493">
            <v>0</v>
          </cell>
        </row>
        <row r="494">
          <cell r="A494">
            <v>0</v>
          </cell>
          <cell r="C494">
            <v>0</v>
          </cell>
          <cell r="D494">
            <v>0</v>
          </cell>
        </row>
        <row r="495">
          <cell r="A495">
            <v>0</v>
          </cell>
          <cell r="C495">
            <v>0</v>
          </cell>
          <cell r="D495">
            <v>0</v>
          </cell>
        </row>
        <row r="496">
          <cell r="A496">
            <v>0</v>
          </cell>
          <cell r="C496">
            <v>0</v>
          </cell>
          <cell r="D496">
            <v>0</v>
          </cell>
        </row>
        <row r="497">
          <cell r="A497">
            <v>0</v>
          </cell>
          <cell r="C497">
            <v>0</v>
          </cell>
          <cell r="D497">
            <v>0</v>
          </cell>
        </row>
        <row r="498">
          <cell r="A498">
            <v>0</v>
          </cell>
          <cell r="C498">
            <v>0</v>
          </cell>
          <cell r="D498">
            <v>0</v>
          </cell>
        </row>
        <row r="499">
          <cell r="A499">
            <v>0</v>
          </cell>
          <cell r="C499">
            <v>0</v>
          </cell>
          <cell r="D499">
            <v>0</v>
          </cell>
        </row>
        <row r="500">
          <cell r="A500">
            <v>0</v>
          </cell>
          <cell r="C500">
            <v>0</v>
          </cell>
          <cell r="D500">
            <v>0</v>
          </cell>
        </row>
        <row r="501">
          <cell r="A501">
            <v>0</v>
          </cell>
          <cell r="C501">
            <v>0</v>
          </cell>
          <cell r="D501">
            <v>0</v>
          </cell>
        </row>
        <row r="502">
          <cell r="A502">
            <v>0</v>
          </cell>
          <cell r="C502">
            <v>0</v>
          </cell>
          <cell r="D502">
            <v>0</v>
          </cell>
        </row>
        <row r="503">
          <cell r="A503">
            <v>0</v>
          </cell>
          <cell r="C503">
            <v>0</v>
          </cell>
          <cell r="D503">
            <v>0</v>
          </cell>
        </row>
        <row r="504">
          <cell r="A504">
            <v>0</v>
          </cell>
          <cell r="C504">
            <v>0</v>
          </cell>
          <cell r="D504">
            <v>0</v>
          </cell>
        </row>
        <row r="505">
          <cell r="A505">
            <v>0</v>
          </cell>
          <cell r="C505">
            <v>0</v>
          </cell>
          <cell r="D505">
            <v>0</v>
          </cell>
        </row>
        <row r="506">
          <cell r="A506">
            <v>0</v>
          </cell>
          <cell r="C506">
            <v>0</v>
          </cell>
          <cell r="D506">
            <v>0</v>
          </cell>
        </row>
        <row r="507">
          <cell r="A507">
            <v>0</v>
          </cell>
          <cell r="C507">
            <v>0</v>
          </cell>
          <cell r="D507">
            <v>0</v>
          </cell>
        </row>
        <row r="508">
          <cell r="A508">
            <v>0</v>
          </cell>
          <cell r="C508">
            <v>0</v>
          </cell>
          <cell r="D508">
            <v>0</v>
          </cell>
        </row>
        <row r="509">
          <cell r="A509">
            <v>0</v>
          </cell>
          <cell r="C509">
            <v>0</v>
          </cell>
          <cell r="D509">
            <v>0</v>
          </cell>
        </row>
        <row r="510">
          <cell r="A510">
            <v>0</v>
          </cell>
          <cell r="C510">
            <v>0</v>
          </cell>
          <cell r="D510">
            <v>0</v>
          </cell>
        </row>
        <row r="511">
          <cell r="A511">
            <v>0</v>
          </cell>
          <cell r="C511">
            <v>0</v>
          </cell>
          <cell r="D511">
            <v>0</v>
          </cell>
        </row>
        <row r="512">
          <cell r="A512">
            <v>0</v>
          </cell>
          <cell r="C512">
            <v>0</v>
          </cell>
          <cell r="D512">
            <v>0</v>
          </cell>
        </row>
        <row r="513">
          <cell r="A513">
            <v>0</v>
          </cell>
          <cell r="C513">
            <v>0</v>
          </cell>
          <cell r="D513">
            <v>0</v>
          </cell>
        </row>
        <row r="514">
          <cell r="A514">
            <v>0</v>
          </cell>
          <cell r="C514">
            <v>0</v>
          </cell>
          <cell r="D514">
            <v>0</v>
          </cell>
        </row>
        <row r="515">
          <cell r="A515">
            <v>0</v>
          </cell>
          <cell r="C515">
            <v>0</v>
          </cell>
          <cell r="D515">
            <v>0</v>
          </cell>
        </row>
        <row r="516">
          <cell r="A516">
            <v>0</v>
          </cell>
          <cell r="C516">
            <v>0</v>
          </cell>
          <cell r="D516">
            <v>0</v>
          </cell>
        </row>
        <row r="517">
          <cell r="A517">
            <v>0</v>
          </cell>
          <cell r="C517">
            <v>0</v>
          </cell>
          <cell r="D517">
            <v>0</v>
          </cell>
        </row>
        <row r="518">
          <cell r="A518">
            <v>0</v>
          </cell>
          <cell r="C518">
            <v>0</v>
          </cell>
          <cell r="D518">
            <v>0</v>
          </cell>
        </row>
        <row r="519">
          <cell r="A519">
            <v>0</v>
          </cell>
          <cell r="C519">
            <v>0</v>
          </cell>
          <cell r="D519">
            <v>0</v>
          </cell>
        </row>
        <row r="520">
          <cell r="A520">
            <v>0</v>
          </cell>
          <cell r="C520">
            <v>0</v>
          </cell>
          <cell r="D520">
            <v>0</v>
          </cell>
        </row>
        <row r="521">
          <cell r="A521">
            <v>0</v>
          </cell>
          <cell r="C521">
            <v>0</v>
          </cell>
          <cell r="D521">
            <v>0</v>
          </cell>
        </row>
        <row r="522">
          <cell r="A522">
            <v>0</v>
          </cell>
          <cell r="C522">
            <v>0</v>
          </cell>
          <cell r="D522">
            <v>0</v>
          </cell>
        </row>
        <row r="523">
          <cell r="A523">
            <v>0</v>
          </cell>
          <cell r="C523">
            <v>0</v>
          </cell>
          <cell r="D523">
            <v>0</v>
          </cell>
        </row>
        <row r="524">
          <cell r="A524">
            <v>0</v>
          </cell>
          <cell r="C524">
            <v>0</v>
          </cell>
          <cell r="D524">
            <v>0</v>
          </cell>
        </row>
        <row r="525">
          <cell r="A525">
            <v>0</v>
          </cell>
          <cell r="C525">
            <v>0</v>
          </cell>
          <cell r="D525">
            <v>0</v>
          </cell>
        </row>
        <row r="526">
          <cell r="A526">
            <v>0</v>
          </cell>
          <cell r="C526">
            <v>0</v>
          </cell>
          <cell r="D526">
            <v>0</v>
          </cell>
        </row>
        <row r="527">
          <cell r="A527">
            <v>0</v>
          </cell>
          <cell r="C527">
            <v>0</v>
          </cell>
          <cell r="D527">
            <v>0</v>
          </cell>
        </row>
        <row r="528">
          <cell r="A528">
            <v>0</v>
          </cell>
          <cell r="C528">
            <v>0</v>
          </cell>
          <cell r="D528">
            <v>0</v>
          </cell>
        </row>
        <row r="529">
          <cell r="A529">
            <v>0</v>
          </cell>
          <cell r="C529">
            <v>0</v>
          </cell>
          <cell r="D529">
            <v>0</v>
          </cell>
        </row>
        <row r="530">
          <cell r="A530">
            <v>0</v>
          </cell>
          <cell r="C530">
            <v>0</v>
          </cell>
          <cell r="D530">
            <v>0</v>
          </cell>
        </row>
        <row r="531">
          <cell r="A531">
            <v>0</v>
          </cell>
          <cell r="C531">
            <v>0</v>
          </cell>
          <cell r="D531">
            <v>0</v>
          </cell>
        </row>
        <row r="532">
          <cell r="A532">
            <v>0</v>
          </cell>
          <cell r="C532">
            <v>0</v>
          </cell>
          <cell r="D532">
            <v>0</v>
          </cell>
        </row>
        <row r="533">
          <cell r="A533">
            <v>0</v>
          </cell>
          <cell r="C533">
            <v>0</v>
          </cell>
          <cell r="D533">
            <v>0</v>
          </cell>
        </row>
        <row r="534">
          <cell r="A534">
            <v>0</v>
          </cell>
          <cell r="C534">
            <v>0</v>
          </cell>
          <cell r="D534">
            <v>0</v>
          </cell>
        </row>
        <row r="535">
          <cell r="A535">
            <v>0</v>
          </cell>
          <cell r="C535">
            <v>0</v>
          </cell>
          <cell r="D535">
            <v>0</v>
          </cell>
        </row>
        <row r="536">
          <cell r="A536">
            <v>0</v>
          </cell>
          <cell r="C536">
            <v>0</v>
          </cell>
          <cell r="D536">
            <v>0</v>
          </cell>
        </row>
        <row r="537">
          <cell r="A537">
            <v>0</v>
          </cell>
          <cell r="C537">
            <v>0</v>
          </cell>
          <cell r="D537">
            <v>0</v>
          </cell>
        </row>
        <row r="538">
          <cell r="A538">
            <v>0</v>
          </cell>
          <cell r="C538">
            <v>0</v>
          </cell>
          <cell r="D538">
            <v>0</v>
          </cell>
        </row>
        <row r="539">
          <cell r="A539">
            <v>0</v>
          </cell>
          <cell r="C539">
            <v>0</v>
          </cell>
          <cell r="D539">
            <v>0</v>
          </cell>
        </row>
        <row r="540">
          <cell r="A540">
            <v>0</v>
          </cell>
          <cell r="C540">
            <v>0</v>
          </cell>
          <cell r="D540">
            <v>0</v>
          </cell>
        </row>
        <row r="541">
          <cell r="A541">
            <v>0</v>
          </cell>
          <cell r="C541">
            <v>0</v>
          </cell>
          <cell r="D541">
            <v>0</v>
          </cell>
        </row>
        <row r="542">
          <cell r="A542">
            <v>0</v>
          </cell>
          <cell r="C542">
            <v>0</v>
          </cell>
          <cell r="D542">
            <v>0</v>
          </cell>
        </row>
        <row r="543">
          <cell r="A543">
            <v>0</v>
          </cell>
          <cell r="C543">
            <v>0</v>
          </cell>
          <cell r="D543">
            <v>0</v>
          </cell>
        </row>
        <row r="544">
          <cell r="A544">
            <v>0</v>
          </cell>
          <cell r="C544">
            <v>0</v>
          </cell>
          <cell r="D544">
            <v>0</v>
          </cell>
        </row>
        <row r="545">
          <cell r="A545">
            <v>0</v>
          </cell>
          <cell r="C545">
            <v>0</v>
          </cell>
          <cell r="D545">
            <v>0</v>
          </cell>
        </row>
        <row r="546">
          <cell r="A546">
            <v>0</v>
          </cell>
          <cell r="C546">
            <v>0</v>
          </cell>
          <cell r="D546">
            <v>0</v>
          </cell>
        </row>
        <row r="547">
          <cell r="A547">
            <v>0</v>
          </cell>
          <cell r="C547">
            <v>0</v>
          </cell>
          <cell r="D547">
            <v>0</v>
          </cell>
        </row>
        <row r="548">
          <cell r="A548">
            <v>0</v>
          </cell>
          <cell r="C548">
            <v>0</v>
          </cell>
          <cell r="D548">
            <v>0</v>
          </cell>
        </row>
        <row r="549">
          <cell r="A549">
            <v>0</v>
          </cell>
          <cell r="C549">
            <v>0</v>
          </cell>
          <cell r="D549">
            <v>0</v>
          </cell>
        </row>
        <row r="550">
          <cell r="A550">
            <v>0</v>
          </cell>
          <cell r="C550">
            <v>0</v>
          </cell>
          <cell r="D550">
            <v>0</v>
          </cell>
        </row>
        <row r="551">
          <cell r="A551">
            <v>0</v>
          </cell>
          <cell r="C551">
            <v>0</v>
          </cell>
          <cell r="D551">
            <v>0</v>
          </cell>
        </row>
        <row r="552">
          <cell r="A552">
            <v>0</v>
          </cell>
          <cell r="C552">
            <v>0</v>
          </cell>
          <cell r="D552">
            <v>0</v>
          </cell>
        </row>
        <row r="553">
          <cell r="A553">
            <v>0</v>
          </cell>
          <cell r="C553">
            <v>0</v>
          </cell>
          <cell r="D553">
            <v>0</v>
          </cell>
        </row>
        <row r="554">
          <cell r="A554">
            <v>0</v>
          </cell>
          <cell r="C554">
            <v>0</v>
          </cell>
          <cell r="D554">
            <v>0</v>
          </cell>
        </row>
        <row r="555">
          <cell r="A555">
            <v>0</v>
          </cell>
          <cell r="C555">
            <v>0</v>
          </cell>
          <cell r="D555">
            <v>0</v>
          </cell>
        </row>
        <row r="556">
          <cell r="A556">
            <v>0</v>
          </cell>
          <cell r="C556">
            <v>0</v>
          </cell>
          <cell r="D556">
            <v>0</v>
          </cell>
        </row>
        <row r="557">
          <cell r="A557">
            <v>0</v>
          </cell>
          <cell r="C557">
            <v>0</v>
          </cell>
          <cell r="D557">
            <v>0</v>
          </cell>
        </row>
        <row r="558">
          <cell r="A558">
            <v>0</v>
          </cell>
          <cell r="C558">
            <v>0</v>
          </cell>
          <cell r="D558">
            <v>0</v>
          </cell>
        </row>
        <row r="559">
          <cell r="A559">
            <v>0</v>
          </cell>
          <cell r="C559">
            <v>0</v>
          </cell>
          <cell r="D559">
            <v>0</v>
          </cell>
        </row>
        <row r="560">
          <cell r="A560">
            <v>0</v>
          </cell>
          <cell r="C560">
            <v>0</v>
          </cell>
          <cell r="D560">
            <v>0</v>
          </cell>
        </row>
        <row r="561">
          <cell r="A561">
            <v>0</v>
          </cell>
          <cell r="C561">
            <v>0</v>
          </cell>
          <cell r="D561">
            <v>0</v>
          </cell>
        </row>
        <row r="562">
          <cell r="A562">
            <v>0</v>
          </cell>
          <cell r="C562">
            <v>0</v>
          </cell>
          <cell r="D562">
            <v>0</v>
          </cell>
        </row>
        <row r="563">
          <cell r="A563">
            <v>0</v>
          </cell>
          <cell r="C563">
            <v>0</v>
          </cell>
          <cell r="D563">
            <v>0</v>
          </cell>
        </row>
        <row r="564">
          <cell r="A564">
            <v>0</v>
          </cell>
          <cell r="C564">
            <v>0</v>
          </cell>
          <cell r="D564">
            <v>0</v>
          </cell>
        </row>
        <row r="565">
          <cell r="A565">
            <v>0</v>
          </cell>
          <cell r="C565">
            <v>0</v>
          </cell>
          <cell r="D565">
            <v>0</v>
          </cell>
        </row>
        <row r="566">
          <cell r="A566">
            <v>0</v>
          </cell>
          <cell r="C566">
            <v>0</v>
          </cell>
          <cell r="D566">
            <v>0</v>
          </cell>
        </row>
        <row r="567">
          <cell r="A567">
            <v>0</v>
          </cell>
          <cell r="C567">
            <v>0</v>
          </cell>
          <cell r="D567">
            <v>0</v>
          </cell>
        </row>
        <row r="568">
          <cell r="A568">
            <v>0</v>
          </cell>
          <cell r="C568">
            <v>0</v>
          </cell>
          <cell r="D568">
            <v>0</v>
          </cell>
        </row>
        <row r="569">
          <cell r="A569">
            <v>0</v>
          </cell>
          <cell r="C569">
            <v>0</v>
          </cell>
          <cell r="D569">
            <v>0</v>
          </cell>
        </row>
        <row r="570">
          <cell r="A570">
            <v>0</v>
          </cell>
          <cell r="C570">
            <v>0</v>
          </cell>
          <cell r="D570">
            <v>0</v>
          </cell>
        </row>
        <row r="571">
          <cell r="A571">
            <v>0</v>
          </cell>
          <cell r="C571">
            <v>0</v>
          </cell>
          <cell r="D571">
            <v>0</v>
          </cell>
        </row>
        <row r="572">
          <cell r="A572">
            <v>0</v>
          </cell>
          <cell r="C572">
            <v>0</v>
          </cell>
          <cell r="D572">
            <v>0</v>
          </cell>
        </row>
        <row r="573">
          <cell r="A573">
            <v>0</v>
          </cell>
          <cell r="C573">
            <v>0</v>
          </cell>
          <cell r="D573">
            <v>0</v>
          </cell>
        </row>
        <row r="574">
          <cell r="A574">
            <v>0</v>
          </cell>
          <cell r="C574">
            <v>0</v>
          </cell>
          <cell r="D574">
            <v>0</v>
          </cell>
        </row>
        <row r="575">
          <cell r="A575">
            <v>0</v>
          </cell>
          <cell r="C575">
            <v>0</v>
          </cell>
          <cell r="D575">
            <v>0</v>
          </cell>
        </row>
        <row r="576">
          <cell r="A576">
            <v>0</v>
          </cell>
          <cell r="C576">
            <v>0</v>
          </cell>
          <cell r="D576">
            <v>0</v>
          </cell>
        </row>
        <row r="577">
          <cell r="A577">
            <v>0</v>
          </cell>
          <cell r="C577">
            <v>0</v>
          </cell>
          <cell r="D577">
            <v>0</v>
          </cell>
        </row>
        <row r="578">
          <cell r="A578">
            <v>0</v>
          </cell>
          <cell r="C578">
            <v>0</v>
          </cell>
          <cell r="D578">
            <v>0</v>
          </cell>
        </row>
        <row r="579">
          <cell r="A579">
            <v>0</v>
          </cell>
          <cell r="C579">
            <v>0</v>
          </cell>
          <cell r="D579">
            <v>0</v>
          </cell>
        </row>
        <row r="580">
          <cell r="A580">
            <v>0</v>
          </cell>
          <cell r="C580">
            <v>0</v>
          </cell>
          <cell r="D580">
            <v>0</v>
          </cell>
        </row>
        <row r="581">
          <cell r="A581">
            <v>0</v>
          </cell>
          <cell r="C581">
            <v>0</v>
          </cell>
          <cell r="D581">
            <v>0</v>
          </cell>
        </row>
        <row r="582">
          <cell r="A582">
            <v>0</v>
          </cell>
          <cell r="C582">
            <v>0</v>
          </cell>
          <cell r="D582">
            <v>0</v>
          </cell>
        </row>
        <row r="583">
          <cell r="A583">
            <v>0</v>
          </cell>
          <cell r="C583">
            <v>0</v>
          </cell>
          <cell r="D583">
            <v>0</v>
          </cell>
        </row>
        <row r="584">
          <cell r="A584">
            <v>0</v>
          </cell>
          <cell r="C584">
            <v>0</v>
          </cell>
          <cell r="D584">
            <v>0</v>
          </cell>
        </row>
        <row r="585">
          <cell r="A585">
            <v>0</v>
          </cell>
          <cell r="C585">
            <v>0</v>
          </cell>
          <cell r="D585">
            <v>0</v>
          </cell>
        </row>
        <row r="586">
          <cell r="A586">
            <v>0</v>
          </cell>
          <cell r="C586">
            <v>0</v>
          </cell>
          <cell r="D586">
            <v>0</v>
          </cell>
        </row>
        <row r="587">
          <cell r="A587">
            <v>0</v>
          </cell>
          <cell r="C587">
            <v>0</v>
          </cell>
          <cell r="D587">
            <v>0</v>
          </cell>
        </row>
        <row r="588">
          <cell r="A588">
            <v>0</v>
          </cell>
          <cell r="C588">
            <v>0</v>
          </cell>
          <cell r="D588">
            <v>0</v>
          </cell>
        </row>
        <row r="589">
          <cell r="A589">
            <v>0</v>
          </cell>
          <cell r="C589">
            <v>0</v>
          </cell>
          <cell r="D589">
            <v>0</v>
          </cell>
        </row>
        <row r="590">
          <cell r="A590">
            <v>0</v>
          </cell>
          <cell r="C590">
            <v>0</v>
          </cell>
          <cell r="D590">
            <v>0</v>
          </cell>
        </row>
        <row r="591">
          <cell r="A591">
            <v>0</v>
          </cell>
          <cell r="C591">
            <v>0</v>
          </cell>
          <cell r="D591">
            <v>0</v>
          </cell>
        </row>
        <row r="592">
          <cell r="A592">
            <v>0</v>
          </cell>
          <cell r="C592">
            <v>0</v>
          </cell>
          <cell r="D592">
            <v>0</v>
          </cell>
        </row>
        <row r="593">
          <cell r="A593">
            <v>0</v>
          </cell>
          <cell r="C593">
            <v>0</v>
          </cell>
          <cell r="D593">
            <v>0</v>
          </cell>
        </row>
        <row r="594">
          <cell r="A594">
            <v>0</v>
          </cell>
          <cell r="C594">
            <v>0</v>
          </cell>
          <cell r="D594">
            <v>0</v>
          </cell>
        </row>
        <row r="595">
          <cell r="A595">
            <v>0</v>
          </cell>
          <cell r="C595">
            <v>0</v>
          </cell>
          <cell r="D595">
            <v>0</v>
          </cell>
        </row>
        <row r="596">
          <cell r="A596">
            <v>0</v>
          </cell>
          <cell r="C596">
            <v>0</v>
          </cell>
          <cell r="D596">
            <v>0</v>
          </cell>
        </row>
        <row r="597">
          <cell r="A597">
            <v>0</v>
          </cell>
          <cell r="C597">
            <v>0</v>
          </cell>
          <cell r="D597">
            <v>0</v>
          </cell>
        </row>
        <row r="598">
          <cell r="A598">
            <v>0</v>
          </cell>
          <cell r="C598">
            <v>0</v>
          </cell>
          <cell r="D598">
            <v>0</v>
          </cell>
        </row>
        <row r="599">
          <cell r="A599">
            <v>0</v>
          </cell>
          <cell r="C599">
            <v>0</v>
          </cell>
          <cell r="D599">
            <v>0</v>
          </cell>
        </row>
        <row r="600">
          <cell r="A600">
            <v>0</v>
          </cell>
          <cell r="C600">
            <v>0</v>
          </cell>
          <cell r="D600">
            <v>0</v>
          </cell>
        </row>
        <row r="601">
          <cell r="A601">
            <v>0</v>
          </cell>
          <cell r="C601">
            <v>0</v>
          </cell>
          <cell r="D601">
            <v>0</v>
          </cell>
        </row>
        <row r="602">
          <cell r="A602">
            <v>0</v>
          </cell>
          <cell r="C602">
            <v>0</v>
          </cell>
          <cell r="D602">
            <v>0</v>
          </cell>
        </row>
        <row r="603">
          <cell r="A603">
            <v>0</v>
          </cell>
          <cell r="C603">
            <v>0</v>
          </cell>
          <cell r="D603">
            <v>0</v>
          </cell>
        </row>
        <row r="604">
          <cell r="A604">
            <v>0</v>
          </cell>
          <cell r="C604">
            <v>0</v>
          </cell>
          <cell r="D604">
            <v>0</v>
          </cell>
        </row>
        <row r="605">
          <cell r="A605">
            <v>0</v>
          </cell>
          <cell r="C605">
            <v>0</v>
          </cell>
          <cell r="D605">
            <v>0</v>
          </cell>
        </row>
        <row r="606">
          <cell r="A606">
            <v>0</v>
          </cell>
          <cell r="C606">
            <v>0</v>
          </cell>
          <cell r="D606">
            <v>0</v>
          </cell>
        </row>
        <row r="607">
          <cell r="A607">
            <v>0</v>
          </cell>
          <cell r="C607">
            <v>0</v>
          </cell>
          <cell r="D607">
            <v>0</v>
          </cell>
        </row>
        <row r="608">
          <cell r="A608">
            <v>0</v>
          </cell>
          <cell r="C608">
            <v>0</v>
          </cell>
          <cell r="D608">
            <v>0</v>
          </cell>
        </row>
        <row r="609">
          <cell r="A609">
            <v>0</v>
          </cell>
          <cell r="C609">
            <v>0</v>
          </cell>
          <cell r="D609">
            <v>0</v>
          </cell>
        </row>
        <row r="610">
          <cell r="A610">
            <v>0</v>
          </cell>
          <cell r="C610">
            <v>0</v>
          </cell>
          <cell r="D610">
            <v>0</v>
          </cell>
        </row>
        <row r="611">
          <cell r="A611">
            <v>0</v>
          </cell>
          <cell r="C611">
            <v>0</v>
          </cell>
          <cell r="D611">
            <v>0</v>
          </cell>
        </row>
        <row r="612">
          <cell r="A612">
            <v>0</v>
          </cell>
          <cell r="C612">
            <v>0</v>
          </cell>
          <cell r="D612">
            <v>0</v>
          </cell>
        </row>
        <row r="613">
          <cell r="A613">
            <v>0</v>
          </cell>
          <cell r="C613">
            <v>0</v>
          </cell>
          <cell r="D613">
            <v>0</v>
          </cell>
        </row>
        <row r="614">
          <cell r="A614">
            <v>0</v>
          </cell>
          <cell r="C614">
            <v>0</v>
          </cell>
          <cell r="D614">
            <v>0</v>
          </cell>
        </row>
        <row r="615">
          <cell r="A615">
            <v>0</v>
          </cell>
          <cell r="C615">
            <v>0</v>
          </cell>
          <cell r="D615">
            <v>0</v>
          </cell>
        </row>
        <row r="616">
          <cell r="A616">
            <v>0</v>
          </cell>
          <cell r="C616">
            <v>0</v>
          </cell>
          <cell r="D616">
            <v>0</v>
          </cell>
        </row>
        <row r="617">
          <cell r="A617">
            <v>0</v>
          </cell>
          <cell r="C617">
            <v>0</v>
          </cell>
          <cell r="D617">
            <v>0</v>
          </cell>
        </row>
        <row r="618">
          <cell r="A618">
            <v>0</v>
          </cell>
          <cell r="C618">
            <v>0</v>
          </cell>
          <cell r="D618">
            <v>0</v>
          </cell>
        </row>
        <row r="619">
          <cell r="A619">
            <v>0</v>
          </cell>
          <cell r="C619">
            <v>0</v>
          </cell>
          <cell r="D619">
            <v>0</v>
          </cell>
        </row>
        <row r="620">
          <cell r="A620">
            <v>0</v>
          </cell>
          <cell r="C620">
            <v>0</v>
          </cell>
          <cell r="D620">
            <v>0</v>
          </cell>
        </row>
        <row r="621">
          <cell r="A621">
            <v>0</v>
          </cell>
          <cell r="C621">
            <v>0</v>
          </cell>
          <cell r="D621">
            <v>0</v>
          </cell>
        </row>
        <row r="622">
          <cell r="A622">
            <v>0</v>
          </cell>
          <cell r="C622">
            <v>0</v>
          </cell>
          <cell r="D622">
            <v>0</v>
          </cell>
        </row>
        <row r="623">
          <cell r="A623">
            <v>0</v>
          </cell>
          <cell r="C623">
            <v>0</v>
          </cell>
          <cell r="D623">
            <v>0</v>
          </cell>
        </row>
        <row r="624">
          <cell r="A624">
            <v>0</v>
          </cell>
          <cell r="C624">
            <v>0</v>
          </cell>
          <cell r="D624">
            <v>0</v>
          </cell>
        </row>
        <row r="625">
          <cell r="A625">
            <v>0</v>
          </cell>
          <cell r="C625">
            <v>0</v>
          </cell>
          <cell r="D625">
            <v>0</v>
          </cell>
        </row>
        <row r="626">
          <cell r="A626">
            <v>0</v>
          </cell>
          <cell r="C626">
            <v>0</v>
          </cell>
          <cell r="D626">
            <v>0</v>
          </cell>
        </row>
        <row r="627">
          <cell r="A627">
            <v>0</v>
          </cell>
          <cell r="C627">
            <v>0</v>
          </cell>
          <cell r="D627">
            <v>0</v>
          </cell>
        </row>
        <row r="628">
          <cell r="A628">
            <v>0</v>
          </cell>
          <cell r="C628">
            <v>0</v>
          </cell>
          <cell r="D628">
            <v>0</v>
          </cell>
        </row>
        <row r="629">
          <cell r="A629">
            <v>0</v>
          </cell>
          <cell r="C629">
            <v>0</v>
          </cell>
          <cell r="D629">
            <v>0</v>
          </cell>
        </row>
        <row r="630">
          <cell r="A630">
            <v>0</v>
          </cell>
          <cell r="C630">
            <v>0</v>
          </cell>
          <cell r="D630">
            <v>0</v>
          </cell>
        </row>
        <row r="631">
          <cell r="A631">
            <v>0</v>
          </cell>
          <cell r="C631">
            <v>0</v>
          </cell>
          <cell r="D631">
            <v>0</v>
          </cell>
        </row>
        <row r="632">
          <cell r="A632">
            <v>0</v>
          </cell>
          <cell r="C632">
            <v>0</v>
          </cell>
          <cell r="D632">
            <v>0</v>
          </cell>
        </row>
        <row r="633">
          <cell r="A633">
            <v>0</v>
          </cell>
          <cell r="C633">
            <v>0</v>
          </cell>
          <cell r="D633">
            <v>0</v>
          </cell>
        </row>
        <row r="634">
          <cell r="A634">
            <v>0</v>
          </cell>
          <cell r="C634">
            <v>0</v>
          </cell>
          <cell r="D634">
            <v>0</v>
          </cell>
        </row>
        <row r="635">
          <cell r="A635">
            <v>0</v>
          </cell>
          <cell r="C635">
            <v>0</v>
          </cell>
          <cell r="D635">
            <v>0</v>
          </cell>
        </row>
        <row r="636">
          <cell r="A636">
            <v>0</v>
          </cell>
          <cell r="C636">
            <v>0</v>
          </cell>
          <cell r="D636">
            <v>0</v>
          </cell>
        </row>
        <row r="637">
          <cell r="A637">
            <v>0</v>
          </cell>
          <cell r="C637">
            <v>0</v>
          </cell>
          <cell r="D637">
            <v>0</v>
          </cell>
        </row>
        <row r="638">
          <cell r="A638">
            <v>0</v>
          </cell>
          <cell r="C638">
            <v>0</v>
          </cell>
          <cell r="D638">
            <v>0</v>
          </cell>
        </row>
        <row r="639">
          <cell r="A639">
            <v>0</v>
          </cell>
          <cell r="C639">
            <v>0</v>
          </cell>
          <cell r="D639">
            <v>0</v>
          </cell>
        </row>
        <row r="640">
          <cell r="A640">
            <v>0</v>
          </cell>
          <cell r="C640">
            <v>0</v>
          </cell>
          <cell r="D640">
            <v>0</v>
          </cell>
        </row>
        <row r="641">
          <cell r="A641">
            <v>0</v>
          </cell>
          <cell r="C641">
            <v>0</v>
          </cell>
          <cell r="D641">
            <v>0</v>
          </cell>
        </row>
        <row r="642">
          <cell r="A642">
            <v>0</v>
          </cell>
          <cell r="C642">
            <v>0</v>
          </cell>
          <cell r="D642">
            <v>0</v>
          </cell>
        </row>
        <row r="643">
          <cell r="A643">
            <v>0</v>
          </cell>
          <cell r="C643">
            <v>0</v>
          </cell>
          <cell r="D643">
            <v>0</v>
          </cell>
        </row>
        <row r="644">
          <cell r="A644">
            <v>0</v>
          </cell>
          <cell r="C644">
            <v>0</v>
          </cell>
          <cell r="D644">
            <v>0</v>
          </cell>
        </row>
        <row r="645">
          <cell r="A645">
            <v>0</v>
          </cell>
          <cell r="C645">
            <v>0</v>
          </cell>
          <cell r="D645">
            <v>0</v>
          </cell>
        </row>
        <row r="646">
          <cell r="A646">
            <v>0</v>
          </cell>
          <cell r="C646">
            <v>0</v>
          </cell>
          <cell r="D646">
            <v>0</v>
          </cell>
        </row>
        <row r="647">
          <cell r="A647">
            <v>0</v>
          </cell>
          <cell r="C647">
            <v>0</v>
          </cell>
          <cell r="D647">
            <v>0</v>
          </cell>
        </row>
        <row r="648">
          <cell r="A648">
            <v>0</v>
          </cell>
          <cell r="C648">
            <v>0</v>
          </cell>
          <cell r="D648">
            <v>0</v>
          </cell>
        </row>
        <row r="649">
          <cell r="A649">
            <v>0</v>
          </cell>
          <cell r="C649">
            <v>0</v>
          </cell>
          <cell r="D649">
            <v>0</v>
          </cell>
        </row>
        <row r="650">
          <cell r="A650">
            <v>0</v>
          </cell>
          <cell r="C650">
            <v>0</v>
          </cell>
          <cell r="D650">
            <v>0</v>
          </cell>
        </row>
        <row r="651">
          <cell r="A651">
            <v>0</v>
          </cell>
          <cell r="C651">
            <v>0</v>
          </cell>
          <cell r="D651">
            <v>0</v>
          </cell>
        </row>
        <row r="652">
          <cell r="A652">
            <v>0</v>
          </cell>
          <cell r="C652">
            <v>0</v>
          </cell>
          <cell r="D652">
            <v>0</v>
          </cell>
        </row>
        <row r="653">
          <cell r="A653">
            <v>0</v>
          </cell>
          <cell r="C653">
            <v>0</v>
          </cell>
          <cell r="D653">
            <v>0</v>
          </cell>
        </row>
        <row r="654">
          <cell r="A654">
            <v>0</v>
          </cell>
          <cell r="C654">
            <v>0</v>
          </cell>
          <cell r="D654">
            <v>0</v>
          </cell>
        </row>
        <row r="655">
          <cell r="A655">
            <v>0</v>
          </cell>
          <cell r="C655">
            <v>0</v>
          </cell>
          <cell r="D655">
            <v>0</v>
          </cell>
        </row>
        <row r="656">
          <cell r="A656">
            <v>0</v>
          </cell>
          <cell r="C656">
            <v>0</v>
          </cell>
          <cell r="D656">
            <v>0</v>
          </cell>
        </row>
        <row r="657">
          <cell r="A657">
            <v>0</v>
          </cell>
          <cell r="C657">
            <v>0</v>
          </cell>
          <cell r="D657">
            <v>0</v>
          </cell>
        </row>
        <row r="658">
          <cell r="A658">
            <v>0</v>
          </cell>
          <cell r="C658">
            <v>0</v>
          </cell>
          <cell r="D658">
            <v>0</v>
          </cell>
        </row>
        <row r="659">
          <cell r="A659">
            <v>0</v>
          </cell>
          <cell r="C659">
            <v>0</v>
          </cell>
          <cell r="D659">
            <v>0</v>
          </cell>
        </row>
        <row r="660">
          <cell r="A660">
            <v>0</v>
          </cell>
          <cell r="C660">
            <v>0</v>
          </cell>
          <cell r="D660">
            <v>0</v>
          </cell>
        </row>
        <row r="661">
          <cell r="A661">
            <v>0</v>
          </cell>
          <cell r="C661">
            <v>0</v>
          </cell>
          <cell r="D661">
            <v>0</v>
          </cell>
        </row>
        <row r="662">
          <cell r="A662">
            <v>0</v>
          </cell>
          <cell r="C662">
            <v>0</v>
          </cell>
          <cell r="D662">
            <v>0</v>
          </cell>
        </row>
        <row r="663">
          <cell r="A663">
            <v>0</v>
          </cell>
          <cell r="C663">
            <v>0</v>
          </cell>
          <cell r="D663">
            <v>0</v>
          </cell>
        </row>
        <row r="664">
          <cell r="A664">
            <v>0</v>
          </cell>
          <cell r="C664">
            <v>0</v>
          </cell>
          <cell r="D664">
            <v>0</v>
          </cell>
        </row>
        <row r="665">
          <cell r="A665">
            <v>0</v>
          </cell>
          <cell r="C665">
            <v>0</v>
          </cell>
          <cell r="D665">
            <v>0</v>
          </cell>
        </row>
        <row r="666">
          <cell r="A666">
            <v>0</v>
          </cell>
          <cell r="C666">
            <v>0</v>
          </cell>
          <cell r="D666">
            <v>0</v>
          </cell>
        </row>
        <row r="667">
          <cell r="A667">
            <v>0</v>
          </cell>
          <cell r="C667">
            <v>0</v>
          </cell>
          <cell r="D667">
            <v>0</v>
          </cell>
        </row>
        <row r="668">
          <cell r="A668">
            <v>0</v>
          </cell>
          <cell r="C668">
            <v>0</v>
          </cell>
          <cell r="D668">
            <v>0</v>
          </cell>
        </row>
        <row r="669">
          <cell r="A669">
            <v>0</v>
          </cell>
          <cell r="C669">
            <v>0</v>
          </cell>
          <cell r="D669">
            <v>0</v>
          </cell>
        </row>
        <row r="670">
          <cell r="A670">
            <v>0</v>
          </cell>
          <cell r="C670">
            <v>0</v>
          </cell>
          <cell r="D670">
            <v>0</v>
          </cell>
        </row>
        <row r="671">
          <cell r="A671">
            <v>0</v>
          </cell>
          <cell r="C671">
            <v>0</v>
          </cell>
          <cell r="D671">
            <v>0</v>
          </cell>
        </row>
        <row r="672">
          <cell r="A672">
            <v>0</v>
          </cell>
          <cell r="C672">
            <v>0</v>
          </cell>
          <cell r="D672">
            <v>0</v>
          </cell>
        </row>
        <row r="673">
          <cell r="A673">
            <v>0</v>
          </cell>
          <cell r="C673">
            <v>0</v>
          </cell>
          <cell r="D673">
            <v>0</v>
          </cell>
        </row>
        <row r="674">
          <cell r="A674">
            <v>0</v>
          </cell>
          <cell r="C674">
            <v>0</v>
          </cell>
          <cell r="D674">
            <v>0</v>
          </cell>
        </row>
        <row r="675">
          <cell r="A675">
            <v>0</v>
          </cell>
          <cell r="C675">
            <v>0</v>
          </cell>
          <cell r="D675">
            <v>0</v>
          </cell>
        </row>
        <row r="676">
          <cell r="A676">
            <v>0</v>
          </cell>
          <cell r="C676">
            <v>0</v>
          </cell>
          <cell r="D676">
            <v>0</v>
          </cell>
        </row>
        <row r="677">
          <cell r="A677">
            <v>0</v>
          </cell>
          <cell r="C677">
            <v>0</v>
          </cell>
          <cell r="D677">
            <v>0</v>
          </cell>
        </row>
        <row r="678">
          <cell r="A678">
            <v>0</v>
          </cell>
          <cell r="C678">
            <v>0</v>
          </cell>
          <cell r="D678">
            <v>0</v>
          </cell>
        </row>
        <row r="679">
          <cell r="A679">
            <v>0</v>
          </cell>
          <cell r="C679">
            <v>0</v>
          </cell>
          <cell r="D679">
            <v>0</v>
          </cell>
        </row>
        <row r="680">
          <cell r="A680">
            <v>0</v>
          </cell>
          <cell r="C680">
            <v>0</v>
          </cell>
          <cell r="D680">
            <v>0</v>
          </cell>
        </row>
        <row r="681">
          <cell r="A681">
            <v>0</v>
          </cell>
          <cell r="C681">
            <v>0</v>
          </cell>
          <cell r="D681">
            <v>0</v>
          </cell>
        </row>
        <row r="682">
          <cell r="A682">
            <v>0</v>
          </cell>
          <cell r="C682">
            <v>0</v>
          </cell>
          <cell r="D682">
            <v>0</v>
          </cell>
        </row>
        <row r="683">
          <cell r="A683">
            <v>0</v>
          </cell>
          <cell r="C683">
            <v>0</v>
          </cell>
          <cell r="D683">
            <v>0</v>
          </cell>
        </row>
        <row r="684">
          <cell r="A684">
            <v>0</v>
          </cell>
          <cell r="C684">
            <v>0</v>
          </cell>
          <cell r="D684">
            <v>0</v>
          </cell>
        </row>
        <row r="685">
          <cell r="A685">
            <v>0</v>
          </cell>
          <cell r="C685">
            <v>0</v>
          </cell>
          <cell r="D685">
            <v>0</v>
          </cell>
        </row>
        <row r="686">
          <cell r="A686">
            <v>0</v>
          </cell>
          <cell r="C686">
            <v>0</v>
          </cell>
          <cell r="D686">
            <v>0</v>
          </cell>
        </row>
        <row r="687">
          <cell r="A687">
            <v>0</v>
          </cell>
          <cell r="C687">
            <v>0</v>
          </cell>
          <cell r="D687">
            <v>0</v>
          </cell>
        </row>
        <row r="688">
          <cell r="A688">
            <v>0</v>
          </cell>
          <cell r="C688">
            <v>0</v>
          </cell>
          <cell r="D688">
            <v>0</v>
          </cell>
        </row>
        <row r="689">
          <cell r="A689">
            <v>0</v>
          </cell>
          <cell r="C689">
            <v>0</v>
          </cell>
          <cell r="D689">
            <v>0</v>
          </cell>
        </row>
        <row r="690">
          <cell r="A690">
            <v>0</v>
          </cell>
          <cell r="C690">
            <v>0</v>
          </cell>
          <cell r="D690">
            <v>0</v>
          </cell>
        </row>
        <row r="691">
          <cell r="A691">
            <v>0</v>
          </cell>
          <cell r="C691">
            <v>0</v>
          </cell>
          <cell r="D691">
            <v>0</v>
          </cell>
        </row>
        <row r="692">
          <cell r="A692">
            <v>0</v>
          </cell>
          <cell r="C692">
            <v>0</v>
          </cell>
          <cell r="D692">
            <v>0</v>
          </cell>
        </row>
        <row r="693">
          <cell r="A693">
            <v>0</v>
          </cell>
          <cell r="C693">
            <v>0</v>
          </cell>
          <cell r="D693">
            <v>0</v>
          </cell>
        </row>
        <row r="694">
          <cell r="A694">
            <v>0</v>
          </cell>
          <cell r="C694">
            <v>0</v>
          </cell>
          <cell r="D694">
            <v>0</v>
          </cell>
        </row>
        <row r="695">
          <cell r="A695">
            <v>0</v>
          </cell>
          <cell r="C695">
            <v>0</v>
          </cell>
          <cell r="D695">
            <v>0</v>
          </cell>
        </row>
        <row r="696">
          <cell r="A696">
            <v>0</v>
          </cell>
          <cell r="C696">
            <v>0</v>
          </cell>
          <cell r="D696">
            <v>0</v>
          </cell>
        </row>
        <row r="697">
          <cell r="A697">
            <v>0</v>
          </cell>
          <cell r="C697">
            <v>0</v>
          </cell>
          <cell r="D697">
            <v>0</v>
          </cell>
        </row>
        <row r="698">
          <cell r="A698">
            <v>0</v>
          </cell>
          <cell r="C698">
            <v>0</v>
          </cell>
          <cell r="D698">
            <v>0</v>
          </cell>
        </row>
        <row r="699">
          <cell r="A699">
            <v>0</v>
          </cell>
          <cell r="C699">
            <v>0</v>
          </cell>
          <cell r="D699">
            <v>0</v>
          </cell>
        </row>
        <row r="700">
          <cell r="A700">
            <v>0</v>
          </cell>
          <cell r="C700">
            <v>0</v>
          </cell>
          <cell r="D700">
            <v>0</v>
          </cell>
        </row>
        <row r="701">
          <cell r="A701">
            <v>0</v>
          </cell>
          <cell r="C701">
            <v>0</v>
          </cell>
          <cell r="D701">
            <v>0</v>
          </cell>
        </row>
        <row r="702">
          <cell r="A702">
            <v>0</v>
          </cell>
          <cell r="C702">
            <v>0</v>
          </cell>
          <cell r="D702">
            <v>0</v>
          </cell>
        </row>
        <row r="703">
          <cell r="A703">
            <v>0</v>
          </cell>
          <cell r="C703">
            <v>0</v>
          </cell>
          <cell r="D703">
            <v>0</v>
          </cell>
        </row>
        <row r="704">
          <cell r="A704">
            <v>0</v>
          </cell>
          <cell r="C704">
            <v>0</v>
          </cell>
          <cell r="D704">
            <v>0</v>
          </cell>
        </row>
        <row r="705">
          <cell r="A705">
            <v>0</v>
          </cell>
          <cell r="C705">
            <v>0</v>
          </cell>
          <cell r="D705">
            <v>0</v>
          </cell>
        </row>
        <row r="706">
          <cell r="A706">
            <v>0</v>
          </cell>
          <cell r="C706">
            <v>0</v>
          </cell>
          <cell r="D706">
            <v>0</v>
          </cell>
        </row>
        <row r="707">
          <cell r="A707">
            <v>0</v>
          </cell>
          <cell r="C707">
            <v>0</v>
          </cell>
          <cell r="D707">
            <v>0</v>
          </cell>
        </row>
        <row r="708">
          <cell r="A708">
            <v>0</v>
          </cell>
          <cell r="C708">
            <v>0</v>
          </cell>
          <cell r="D708">
            <v>0</v>
          </cell>
        </row>
        <row r="709">
          <cell r="A709">
            <v>0</v>
          </cell>
          <cell r="C709">
            <v>0</v>
          </cell>
          <cell r="D709">
            <v>0</v>
          </cell>
        </row>
        <row r="710">
          <cell r="A710">
            <v>0</v>
          </cell>
          <cell r="C710">
            <v>0</v>
          </cell>
          <cell r="D710">
            <v>0</v>
          </cell>
        </row>
        <row r="711">
          <cell r="A711">
            <v>0</v>
          </cell>
          <cell r="C711">
            <v>0</v>
          </cell>
          <cell r="D711">
            <v>0</v>
          </cell>
        </row>
        <row r="712">
          <cell r="A712">
            <v>0</v>
          </cell>
          <cell r="C712">
            <v>0</v>
          </cell>
          <cell r="D712">
            <v>0</v>
          </cell>
        </row>
        <row r="713">
          <cell r="A713">
            <v>0</v>
          </cell>
          <cell r="C713">
            <v>0</v>
          </cell>
          <cell r="D713">
            <v>0</v>
          </cell>
        </row>
        <row r="714">
          <cell r="A714">
            <v>0</v>
          </cell>
          <cell r="C714">
            <v>0</v>
          </cell>
          <cell r="D714">
            <v>0</v>
          </cell>
        </row>
        <row r="715">
          <cell r="A715">
            <v>0</v>
          </cell>
          <cell r="C715">
            <v>0</v>
          </cell>
          <cell r="D715">
            <v>0</v>
          </cell>
        </row>
        <row r="716">
          <cell r="A716">
            <v>0</v>
          </cell>
          <cell r="C716">
            <v>0</v>
          </cell>
          <cell r="D716">
            <v>0</v>
          </cell>
        </row>
        <row r="717">
          <cell r="A717">
            <v>0</v>
          </cell>
          <cell r="C717">
            <v>0</v>
          </cell>
          <cell r="D717">
            <v>0</v>
          </cell>
        </row>
        <row r="718">
          <cell r="A718">
            <v>0</v>
          </cell>
          <cell r="C718">
            <v>0</v>
          </cell>
          <cell r="D718">
            <v>0</v>
          </cell>
        </row>
        <row r="719">
          <cell r="A719">
            <v>0</v>
          </cell>
          <cell r="C719">
            <v>0</v>
          </cell>
          <cell r="D719">
            <v>0</v>
          </cell>
        </row>
        <row r="720">
          <cell r="A720">
            <v>0</v>
          </cell>
          <cell r="C720">
            <v>0</v>
          </cell>
          <cell r="D720">
            <v>0</v>
          </cell>
        </row>
        <row r="721">
          <cell r="A721">
            <v>0</v>
          </cell>
          <cell r="C721">
            <v>0</v>
          </cell>
          <cell r="D721">
            <v>0</v>
          </cell>
        </row>
        <row r="722">
          <cell r="A722">
            <v>0</v>
          </cell>
          <cell r="C722">
            <v>0</v>
          </cell>
          <cell r="D722">
            <v>0</v>
          </cell>
        </row>
        <row r="723">
          <cell r="A723">
            <v>0</v>
          </cell>
          <cell r="C723">
            <v>0</v>
          </cell>
          <cell r="D723">
            <v>0</v>
          </cell>
        </row>
        <row r="724">
          <cell r="A724">
            <v>0</v>
          </cell>
          <cell r="C724">
            <v>0</v>
          </cell>
          <cell r="D724">
            <v>0</v>
          </cell>
        </row>
        <row r="725">
          <cell r="A725">
            <v>0</v>
          </cell>
          <cell r="C725">
            <v>0</v>
          </cell>
          <cell r="D725">
            <v>0</v>
          </cell>
        </row>
        <row r="726">
          <cell r="A726">
            <v>0</v>
          </cell>
          <cell r="C726">
            <v>0</v>
          </cell>
          <cell r="D726">
            <v>0</v>
          </cell>
        </row>
        <row r="727">
          <cell r="A727">
            <v>0</v>
          </cell>
          <cell r="C727">
            <v>0</v>
          </cell>
          <cell r="D727">
            <v>0</v>
          </cell>
        </row>
        <row r="728">
          <cell r="A728">
            <v>0</v>
          </cell>
          <cell r="C728">
            <v>0</v>
          </cell>
          <cell r="D728">
            <v>0</v>
          </cell>
        </row>
        <row r="729">
          <cell r="A729">
            <v>0</v>
          </cell>
          <cell r="C729">
            <v>0</v>
          </cell>
          <cell r="D729">
            <v>0</v>
          </cell>
        </row>
        <row r="730">
          <cell r="A730">
            <v>0</v>
          </cell>
          <cell r="C730">
            <v>0</v>
          </cell>
          <cell r="D730">
            <v>0</v>
          </cell>
        </row>
        <row r="731">
          <cell r="A731">
            <v>0</v>
          </cell>
          <cell r="C731">
            <v>0</v>
          </cell>
          <cell r="D731">
            <v>0</v>
          </cell>
        </row>
        <row r="732">
          <cell r="A732">
            <v>0</v>
          </cell>
          <cell r="C732">
            <v>0</v>
          </cell>
          <cell r="D732">
            <v>0</v>
          </cell>
        </row>
        <row r="733">
          <cell r="A733">
            <v>0</v>
          </cell>
          <cell r="C733">
            <v>0</v>
          </cell>
          <cell r="D733">
            <v>0</v>
          </cell>
        </row>
        <row r="734">
          <cell r="A734">
            <v>0</v>
          </cell>
          <cell r="C734">
            <v>0</v>
          </cell>
          <cell r="D734">
            <v>0</v>
          </cell>
        </row>
        <row r="735">
          <cell r="A735">
            <v>0</v>
          </cell>
          <cell r="C735">
            <v>0</v>
          </cell>
          <cell r="D735">
            <v>0</v>
          </cell>
        </row>
        <row r="736">
          <cell r="A736">
            <v>0</v>
          </cell>
          <cell r="C736">
            <v>0</v>
          </cell>
          <cell r="D736">
            <v>0</v>
          </cell>
        </row>
        <row r="737">
          <cell r="A737">
            <v>0</v>
          </cell>
          <cell r="C737">
            <v>0</v>
          </cell>
          <cell r="D737">
            <v>0</v>
          </cell>
        </row>
        <row r="738">
          <cell r="A738">
            <v>0</v>
          </cell>
          <cell r="C738">
            <v>0</v>
          </cell>
          <cell r="D738">
            <v>0</v>
          </cell>
        </row>
        <row r="739">
          <cell r="A739">
            <v>0</v>
          </cell>
          <cell r="C739">
            <v>0</v>
          </cell>
          <cell r="D739">
            <v>0</v>
          </cell>
        </row>
        <row r="740">
          <cell r="A740">
            <v>0</v>
          </cell>
          <cell r="C740">
            <v>0</v>
          </cell>
          <cell r="D740">
            <v>0</v>
          </cell>
        </row>
        <row r="741">
          <cell r="A741">
            <v>0</v>
          </cell>
          <cell r="C741">
            <v>0</v>
          </cell>
          <cell r="D741">
            <v>0</v>
          </cell>
        </row>
        <row r="742">
          <cell r="A742">
            <v>0</v>
          </cell>
          <cell r="C742">
            <v>0</v>
          </cell>
          <cell r="D742">
            <v>0</v>
          </cell>
        </row>
        <row r="743">
          <cell r="A743">
            <v>0</v>
          </cell>
          <cell r="C743">
            <v>0</v>
          </cell>
          <cell r="D743">
            <v>0</v>
          </cell>
        </row>
        <row r="744">
          <cell r="A744">
            <v>0</v>
          </cell>
          <cell r="C744">
            <v>0</v>
          </cell>
          <cell r="D744">
            <v>0</v>
          </cell>
        </row>
        <row r="745">
          <cell r="A745">
            <v>0</v>
          </cell>
          <cell r="C745">
            <v>0</v>
          </cell>
          <cell r="D745">
            <v>0</v>
          </cell>
        </row>
        <row r="746">
          <cell r="A746">
            <v>0</v>
          </cell>
          <cell r="C746">
            <v>0</v>
          </cell>
          <cell r="D746">
            <v>0</v>
          </cell>
        </row>
        <row r="747">
          <cell r="A747">
            <v>0</v>
          </cell>
          <cell r="C747">
            <v>0</v>
          </cell>
          <cell r="D747">
            <v>0</v>
          </cell>
        </row>
        <row r="748">
          <cell r="A748">
            <v>0</v>
          </cell>
          <cell r="C748">
            <v>0</v>
          </cell>
          <cell r="D748">
            <v>0</v>
          </cell>
        </row>
        <row r="749">
          <cell r="A749">
            <v>0</v>
          </cell>
          <cell r="C749">
            <v>0</v>
          </cell>
          <cell r="D749">
            <v>0</v>
          </cell>
        </row>
        <row r="750">
          <cell r="A750">
            <v>0</v>
          </cell>
          <cell r="C750">
            <v>0</v>
          </cell>
          <cell r="D750">
            <v>0</v>
          </cell>
        </row>
        <row r="751">
          <cell r="A751">
            <v>0</v>
          </cell>
          <cell r="C751">
            <v>0</v>
          </cell>
          <cell r="D751">
            <v>0</v>
          </cell>
        </row>
        <row r="752">
          <cell r="A752">
            <v>0</v>
          </cell>
          <cell r="C752">
            <v>0</v>
          </cell>
          <cell r="D752">
            <v>0</v>
          </cell>
        </row>
        <row r="753">
          <cell r="A753">
            <v>0</v>
          </cell>
          <cell r="C753">
            <v>0</v>
          </cell>
          <cell r="D753">
            <v>0</v>
          </cell>
        </row>
        <row r="754">
          <cell r="A754">
            <v>0</v>
          </cell>
          <cell r="C754">
            <v>0</v>
          </cell>
          <cell r="D754">
            <v>0</v>
          </cell>
        </row>
        <row r="755">
          <cell r="A755">
            <v>0</v>
          </cell>
          <cell r="C755">
            <v>0</v>
          </cell>
          <cell r="D755">
            <v>0</v>
          </cell>
        </row>
        <row r="756">
          <cell r="A756">
            <v>0</v>
          </cell>
          <cell r="C756">
            <v>0</v>
          </cell>
          <cell r="D756">
            <v>0</v>
          </cell>
        </row>
        <row r="757">
          <cell r="A757">
            <v>0</v>
          </cell>
          <cell r="C757">
            <v>0</v>
          </cell>
          <cell r="D757">
            <v>0</v>
          </cell>
        </row>
        <row r="758">
          <cell r="A758">
            <v>0</v>
          </cell>
          <cell r="C758">
            <v>0</v>
          </cell>
          <cell r="D758">
            <v>0</v>
          </cell>
        </row>
        <row r="759">
          <cell r="A759">
            <v>0</v>
          </cell>
          <cell r="C759">
            <v>0</v>
          </cell>
          <cell r="D759">
            <v>0</v>
          </cell>
        </row>
        <row r="760">
          <cell r="A760">
            <v>0</v>
          </cell>
          <cell r="C760">
            <v>0</v>
          </cell>
          <cell r="D760">
            <v>0</v>
          </cell>
        </row>
        <row r="761">
          <cell r="A761">
            <v>0</v>
          </cell>
          <cell r="C761">
            <v>0</v>
          </cell>
          <cell r="D761">
            <v>0</v>
          </cell>
        </row>
        <row r="762">
          <cell r="A762">
            <v>0</v>
          </cell>
          <cell r="C762">
            <v>0</v>
          </cell>
          <cell r="D762">
            <v>0</v>
          </cell>
        </row>
        <row r="763">
          <cell r="A763">
            <v>0</v>
          </cell>
          <cell r="C763">
            <v>0</v>
          </cell>
          <cell r="D763">
            <v>0</v>
          </cell>
        </row>
        <row r="764">
          <cell r="A764">
            <v>0</v>
          </cell>
          <cell r="C764">
            <v>0</v>
          </cell>
          <cell r="D764">
            <v>0</v>
          </cell>
        </row>
        <row r="765">
          <cell r="A765">
            <v>0</v>
          </cell>
          <cell r="C765">
            <v>0</v>
          </cell>
          <cell r="D765">
            <v>0</v>
          </cell>
        </row>
        <row r="766">
          <cell r="A766">
            <v>0</v>
          </cell>
          <cell r="C766">
            <v>0</v>
          </cell>
          <cell r="D766">
            <v>0</v>
          </cell>
        </row>
        <row r="767">
          <cell r="A767">
            <v>0</v>
          </cell>
          <cell r="C767">
            <v>0</v>
          </cell>
          <cell r="D767">
            <v>0</v>
          </cell>
        </row>
        <row r="768">
          <cell r="A768">
            <v>0</v>
          </cell>
          <cell r="C768">
            <v>0</v>
          </cell>
          <cell r="D768">
            <v>0</v>
          </cell>
        </row>
        <row r="769">
          <cell r="A769">
            <v>0</v>
          </cell>
          <cell r="C769">
            <v>0</v>
          </cell>
          <cell r="D769">
            <v>0</v>
          </cell>
        </row>
        <row r="770">
          <cell r="A770">
            <v>0</v>
          </cell>
          <cell r="C770">
            <v>0</v>
          </cell>
          <cell r="D770">
            <v>0</v>
          </cell>
        </row>
        <row r="771">
          <cell r="A771">
            <v>0</v>
          </cell>
          <cell r="C771">
            <v>0</v>
          </cell>
          <cell r="D771">
            <v>0</v>
          </cell>
        </row>
        <row r="772">
          <cell r="A772">
            <v>0</v>
          </cell>
          <cell r="C772">
            <v>0</v>
          </cell>
          <cell r="D772">
            <v>0</v>
          </cell>
        </row>
        <row r="773">
          <cell r="A773">
            <v>0</v>
          </cell>
          <cell r="C773">
            <v>0</v>
          </cell>
          <cell r="D773">
            <v>0</v>
          </cell>
        </row>
        <row r="774">
          <cell r="A774">
            <v>0</v>
          </cell>
          <cell r="C774">
            <v>0</v>
          </cell>
          <cell r="D774">
            <v>0</v>
          </cell>
        </row>
        <row r="775">
          <cell r="A775">
            <v>0</v>
          </cell>
          <cell r="C775">
            <v>0</v>
          </cell>
          <cell r="D775">
            <v>0</v>
          </cell>
        </row>
        <row r="776">
          <cell r="A776">
            <v>0</v>
          </cell>
          <cell r="C776">
            <v>0</v>
          </cell>
          <cell r="D776">
            <v>0</v>
          </cell>
        </row>
        <row r="777">
          <cell r="A777">
            <v>0</v>
          </cell>
          <cell r="C777">
            <v>0</v>
          </cell>
          <cell r="D777">
            <v>0</v>
          </cell>
        </row>
        <row r="778">
          <cell r="A778">
            <v>0</v>
          </cell>
          <cell r="C778">
            <v>0</v>
          </cell>
          <cell r="D778">
            <v>0</v>
          </cell>
        </row>
        <row r="779">
          <cell r="A779">
            <v>0</v>
          </cell>
          <cell r="C779">
            <v>0</v>
          </cell>
          <cell r="D779">
            <v>0</v>
          </cell>
        </row>
        <row r="780">
          <cell r="A780">
            <v>0</v>
          </cell>
          <cell r="C780">
            <v>0</v>
          </cell>
          <cell r="D780">
            <v>0</v>
          </cell>
        </row>
        <row r="781">
          <cell r="A781">
            <v>0</v>
          </cell>
          <cell r="C781">
            <v>0</v>
          </cell>
          <cell r="D781">
            <v>0</v>
          </cell>
        </row>
        <row r="782">
          <cell r="A782">
            <v>0</v>
          </cell>
          <cell r="C782">
            <v>0</v>
          </cell>
          <cell r="D782">
            <v>0</v>
          </cell>
        </row>
        <row r="783">
          <cell r="A783">
            <v>0</v>
          </cell>
          <cell r="C783">
            <v>0</v>
          </cell>
          <cell r="D783">
            <v>0</v>
          </cell>
        </row>
        <row r="784">
          <cell r="A784">
            <v>0</v>
          </cell>
          <cell r="C784">
            <v>0</v>
          </cell>
          <cell r="D784">
            <v>0</v>
          </cell>
        </row>
        <row r="785">
          <cell r="A785">
            <v>0</v>
          </cell>
          <cell r="C785">
            <v>0</v>
          </cell>
          <cell r="D785">
            <v>0</v>
          </cell>
        </row>
        <row r="786">
          <cell r="A786">
            <v>0</v>
          </cell>
          <cell r="C786">
            <v>0</v>
          </cell>
          <cell r="D786">
            <v>0</v>
          </cell>
        </row>
        <row r="787">
          <cell r="A787">
            <v>0</v>
          </cell>
          <cell r="C787">
            <v>0</v>
          </cell>
          <cell r="D787">
            <v>0</v>
          </cell>
        </row>
        <row r="788">
          <cell r="A788">
            <v>0</v>
          </cell>
          <cell r="C788">
            <v>0</v>
          </cell>
          <cell r="D788">
            <v>0</v>
          </cell>
        </row>
        <row r="789">
          <cell r="A789">
            <v>0</v>
          </cell>
          <cell r="C789">
            <v>0</v>
          </cell>
          <cell r="D789">
            <v>0</v>
          </cell>
        </row>
        <row r="790">
          <cell r="A790">
            <v>0</v>
          </cell>
          <cell r="C790">
            <v>0</v>
          </cell>
          <cell r="D790">
            <v>0</v>
          </cell>
        </row>
        <row r="791">
          <cell r="A791">
            <v>0</v>
          </cell>
          <cell r="C791">
            <v>0</v>
          </cell>
          <cell r="D791">
            <v>0</v>
          </cell>
        </row>
        <row r="792">
          <cell r="A792">
            <v>0</v>
          </cell>
          <cell r="C792">
            <v>0</v>
          </cell>
          <cell r="D792">
            <v>0</v>
          </cell>
        </row>
        <row r="793">
          <cell r="A793">
            <v>0</v>
          </cell>
          <cell r="C793">
            <v>0</v>
          </cell>
          <cell r="D793">
            <v>0</v>
          </cell>
        </row>
        <row r="794">
          <cell r="A794">
            <v>0</v>
          </cell>
          <cell r="C794">
            <v>0</v>
          </cell>
          <cell r="D794">
            <v>0</v>
          </cell>
        </row>
        <row r="795">
          <cell r="A795">
            <v>0</v>
          </cell>
          <cell r="C795">
            <v>0</v>
          </cell>
          <cell r="D795">
            <v>0</v>
          </cell>
        </row>
        <row r="796">
          <cell r="A796">
            <v>0</v>
          </cell>
          <cell r="C796">
            <v>0</v>
          </cell>
          <cell r="D796">
            <v>0</v>
          </cell>
        </row>
        <row r="797">
          <cell r="A797">
            <v>0</v>
          </cell>
          <cell r="C797">
            <v>0</v>
          </cell>
          <cell r="D797">
            <v>0</v>
          </cell>
        </row>
        <row r="798">
          <cell r="A798">
            <v>0</v>
          </cell>
          <cell r="C798">
            <v>0</v>
          </cell>
          <cell r="D798">
            <v>0</v>
          </cell>
        </row>
        <row r="799">
          <cell r="A799">
            <v>0</v>
          </cell>
          <cell r="C799">
            <v>0</v>
          </cell>
          <cell r="D799">
            <v>0</v>
          </cell>
        </row>
        <row r="800">
          <cell r="A800">
            <v>0</v>
          </cell>
          <cell r="C800">
            <v>0</v>
          </cell>
          <cell r="D800">
            <v>0</v>
          </cell>
        </row>
        <row r="801">
          <cell r="A801">
            <v>0</v>
          </cell>
          <cell r="C801">
            <v>0</v>
          </cell>
          <cell r="D801">
            <v>0</v>
          </cell>
        </row>
        <row r="802">
          <cell r="A802">
            <v>0</v>
          </cell>
          <cell r="C802">
            <v>0</v>
          </cell>
          <cell r="D802">
            <v>0</v>
          </cell>
        </row>
        <row r="803">
          <cell r="A803">
            <v>0</v>
          </cell>
          <cell r="C803">
            <v>0</v>
          </cell>
          <cell r="D803">
            <v>0</v>
          </cell>
        </row>
        <row r="804">
          <cell r="A804">
            <v>0</v>
          </cell>
          <cell r="C804">
            <v>0</v>
          </cell>
          <cell r="D804">
            <v>0</v>
          </cell>
        </row>
        <row r="805">
          <cell r="A805">
            <v>0</v>
          </cell>
          <cell r="C805">
            <v>0</v>
          </cell>
          <cell r="D805">
            <v>0</v>
          </cell>
        </row>
        <row r="806">
          <cell r="A806">
            <v>0</v>
          </cell>
          <cell r="C806">
            <v>0</v>
          </cell>
          <cell r="D806">
            <v>0</v>
          </cell>
        </row>
        <row r="807">
          <cell r="A807">
            <v>0</v>
          </cell>
          <cell r="C807">
            <v>0</v>
          </cell>
          <cell r="D807">
            <v>0</v>
          </cell>
        </row>
        <row r="808">
          <cell r="A808">
            <v>0</v>
          </cell>
          <cell r="C808">
            <v>0</v>
          </cell>
          <cell r="D808">
            <v>0</v>
          </cell>
        </row>
        <row r="809">
          <cell r="A809">
            <v>0</v>
          </cell>
          <cell r="C809">
            <v>0</v>
          </cell>
          <cell r="D809">
            <v>0</v>
          </cell>
        </row>
        <row r="810">
          <cell r="A810">
            <v>0</v>
          </cell>
          <cell r="C810">
            <v>0</v>
          </cell>
          <cell r="D810">
            <v>0</v>
          </cell>
        </row>
        <row r="811">
          <cell r="A811">
            <v>0</v>
          </cell>
          <cell r="C811">
            <v>0</v>
          </cell>
          <cell r="D811">
            <v>0</v>
          </cell>
        </row>
        <row r="812">
          <cell r="A812">
            <v>0</v>
          </cell>
          <cell r="C812">
            <v>0</v>
          </cell>
          <cell r="D812">
            <v>0</v>
          </cell>
        </row>
        <row r="813">
          <cell r="A813">
            <v>0</v>
          </cell>
          <cell r="C813">
            <v>0</v>
          </cell>
          <cell r="D813">
            <v>0</v>
          </cell>
        </row>
        <row r="814">
          <cell r="A814">
            <v>0</v>
          </cell>
          <cell r="C814">
            <v>0</v>
          </cell>
          <cell r="D814">
            <v>0</v>
          </cell>
        </row>
        <row r="815">
          <cell r="A815">
            <v>0</v>
          </cell>
          <cell r="C815">
            <v>0</v>
          </cell>
          <cell r="D815">
            <v>0</v>
          </cell>
        </row>
        <row r="816">
          <cell r="A816">
            <v>0</v>
          </cell>
          <cell r="C816">
            <v>0</v>
          </cell>
          <cell r="D816">
            <v>0</v>
          </cell>
        </row>
        <row r="817">
          <cell r="A817">
            <v>0</v>
          </cell>
          <cell r="C817">
            <v>0</v>
          </cell>
          <cell r="D817">
            <v>0</v>
          </cell>
        </row>
        <row r="818">
          <cell r="A818">
            <v>0</v>
          </cell>
          <cell r="C818">
            <v>0</v>
          </cell>
          <cell r="D818">
            <v>0</v>
          </cell>
        </row>
        <row r="819">
          <cell r="A819">
            <v>0</v>
          </cell>
          <cell r="C819">
            <v>0</v>
          </cell>
          <cell r="D819">
            <v>0</v>
          </cell>
        </row>
        <row r="820">
          <cell r="A820">
            <v>0</v>
          </cell>
          <cell r="C820">
            <v>0</v>
          </cell>
          <cell r="D820">
            <v>0</v>
          </cell>
        </row>
        <row r="821">
          <cell r="A821">
            <v>0</v>
          </cell>
          <cell r="C821">
            <v>0</v>
          </cell>
          <cell r="D821">
            <v>0</v>
          </cell>
        </row>
        <row r="822">
          <cell r="A822">
            <v>0</v>
          </cell>
          <cell r="C822">
            <v>0</v>
          </cell>
          <cell r="D822">
            <v>0</v>
          </cell>
        </row>
        <row r="823">
          <cell r="A823">
            <v>0</v>
          </cell>
          <cell r="C823">
            <v>0</v>
          </cell>
          <cell r="D823">
            <v>0</v>
          </cell>
        </row>
        <row r="824">
          <cell r="A824">
            <v>0</v>
          </cell>
          <cell r="C824">
            <v>0</v>
          </cell>
          <cell r="D824">
            <v>0</v>
          </cell>
        </row>
        <row r="825">
          <cell r="A825">
            <v>0</v>
          </cell>
          <cell r="C825">
            <v>0</v>
          </cell>
          <cell r="D825">
            <v>0</v>
          </cell>
        </row>
        <row r="826">
          <cell r="A826">
            <v>0</v>
          </cell>
          <cell r="C826">
            <v>0</v>
          </cell>
          <cell r="D826">
            <v>0</v>
          </cell>
        </row>
        <row r="827">
          <cell r="A827">
            <v>0</v>
          </cell>
          <cell r="C827">
            <v>0</v>
          </cell>
          <cell r="D827">
            <v>0</v>
          </cell>
        </row>
        <row r="828">
          <cell r="A828">
            <v>0</v>
          </cell>
          <cell r="C828">
            <v>0</v>
          </cell>
          <cell r="D828">
            <v>0</v>
          </cell>
        </row>
        <row r="829">
          <cell r="A829">
            <v>0</v>
          </cell>
          <cell r="C829">
            <v>0</v>
          </cell>
          <cell r="D829">
            <v>0</v>
          </cell>
        </row>
        <row r="830">
          <cell r="A830">
            <v>0</v>
          </cell>
          <cell r="C830">
            <v>0</v>
          </cell>
          <cell r="D830">
            <v>0</v>
          </cell>
        </row>
        <row r="831">
          <cell r="A831">
            <v>0</v>
          </cell>
          <cell r="C831">
            <v>0</v>
          </cell>
          <cell r="D831">
            <v>0</v>
          </cell>
        </row>
        <row r="832">
          <cell r="A832">
            <v>0</v>
          </cell>
          <cell r="C832">
            <v>0</v>
          </cell>
          <cell r="D832">
            <v>0</v>
          </cell>
        </row>
        <row r="833">
          <cell r="A833">
            <v>0</v>
          </cell>
          <cell r="C833">
            <v>0</v>
          </cell>
          <cell r="D833">
            <v>0</v>
          </cell>
        </row>
        <row r="834">
          <cell r="A834">
            <v>0</v>
          </cell>
          <cell r="C834">
            <v>0</v>
          </cell>
          <cell r="D834">
            <v>0</v>
          </cell>
        </row>
        <row r="835">
          <cell r="A835">
            <v>0</v>
          </cell>
          <cell r="C835">
            <v>0</v>
          </cell>
          <cell r="D835">
            <v>0</v>
          </cell>
        </row>
        <row r="836">
          <cell r="A836">
            <v>0</v>
          </cell>
          <cell r="C836">
            <v>0</v>
          </cell>
          <cell r="D836">
            <v>0</v>
          </cell>
        </row>
        <row r="837">
          <cell r="A837">
            <v>0</v>
          </cell>
          <cell r="C837">
            <v>0</v>
          </cell>
          <cell r="D837">
            <v>0</v>
          </cell>
        </row>
        <row r="838">
          <cell r="A838">
            <v>0</v>
          </cell>
          <cell r="C838">
            <v>0</v>
          </cell>
          <cell r="D838">
            <v>0</v>
          </cell>
        </row>
        <row r="839">
          <cell r="A839">
            <v>0</v>
          </cell>
          <cell r="C839">
            <v>0</v>
          </cell>
          <cell r="D839">
            <v>0</v>
          </cell>
        </row>
        <row r="840">
          <cell r="A840">
            <v>0</v>
          </cell>
          <cell r="C840">
            <v>0</v>
          </cell>
          <cell r="D840">
            <v>0</v>
          </cell>
        </row>
        <row r="841">
          <cell r="A841">
            <v>0</v>
          </cell>
          <cell r="C841">
            <v>0</v>
          </cell>
          <cell r="D841">
            <v>0</v>
          </cell>
        </row>
        <row r="842">
          <cell r="A842">
            <v>0</v>
          </cell>
          <cell r="C842">
            <v>0</v>
          </cell>
          <cell r="D842">
            <v>0</v>
          </cell>
        </row>
        <row r="843">
          <cell r="A843">
            <v>0</v>
          </cell>
          <cell r="C843">
            <v>0</v>
          </cell>
          <cell r="D843">
            <v>0</v>
          </cell>
        </row>
        <row r="844">
          <cell r="A844">
            <v>0</v>
          </cell>
          <cell r="C844">
            <v>0</v>
          </cell>
          <cell r="D844">
            <v>0</v>
          </cell>
        </row>
        <row r="845">
          <cell r="A845">
            <v>0</v>
          </cell>
          <cell r="C845">
            <v>0</v>
          </cell>
          <cell r="D845">
            <v>0</v>
          </cell>
        </row>
        <row r="846">
          <cell r="A846">
            <v>0</v>
          </cell>
          <cell r="C846">
            <v>0</v>
          </cell>
          <cell r="D846">
            <v>0</v>
          </cell>
        </row>
        <row r="847">
          <cell r="A847">
            <v>0</v>
          </cell>
          <cell r="C847">
            <v>0</v>
          </cell>
          <cell r="D847">
            <v>0</v>
          </cell>
        </row>
        <row r="848">
          <cell r="A848">
            <v>0</v>
          </cell>
          <cell r="C848">
            <v>0</v>
          </cell>
          <cell r="D848">
            <v>0</v>
          </cell>
        </row>
        <row r="849">
          <cell r="A849">
            <v>0</v>
          </cell>
          <cell r="C849">
            <v>0</v>
          </cell>
          <cell r="D849">
            <v>0</v>
          </cell>
        </row>
        <row r="850">
          <cell r="A850">
            <v>0</v>
          </cell>
          <cell r="C850">
            <v>0</v>
          </cell>
          <cell r="D850">
            <v>0</v>
          </cell>
        </row>
        <row r="851">
          <cell r="A851">
            <v>0</v>
          </cell>
          <cell r="C851">
            <v>0</v>
          </cell>
          <cell r="D851">
            <v>0</v>
          </cell>
        </row>
        <row r="852">
          <cell r="A852">
            <v>0</v>
          </cell>
          <cell r="C852">
            <v>0</v>
          </cell>
          <cell r="D852">
            <v>0</v>
          </cell>
        </row>
        <row r="853">
          <cell r="A853">
            <v>0</v>
          </cell>
          <cell r="C853">
            <v>0</v>
          </cell>
          <cell r="D853">
            <v>0</v>
          </cell>
        </row>
        <row r="854">
          <cell r="A854">
            <v>0</v>
          </cell>
          <cell r="C854">
            <v>0</v>
          </cell>
          <cell r="D854">
            <v>0</v>
          </cell>
        </row>
        <row r="855">
          <cell r="A855">
            <v>0</v>
          </cell>
          <cell r="C855">
            <v>0</v>
          </cell>
          <cell r="D855">
            <v>0</v>
          </cell>
        </row>
        <row r="856">
          <cell r="A856">
            <v>0</v>
          </cell>
          <cell r="C856">
            <v>0</v>
          </cell>
          <cell r="D856">
            <v>0</v>
          </cell>
        </row>
        <row r="857">
          <cell r="A857">
            <v>0</v>
          </cell>
          <cell r="C857">
            <v>0</v>
          </cell>
          <cell r="D857">
            <v>0</v>
          </cell>
        </row>
        <row r="858">
          <cell r="A858">
            <v>0</v>
          </cell>
          <cell r="C858">
            <v>0</v>
          </cell>
          <cell r="D858">
            <v>0</v>
          </cell>
        </row>
        <row r="859">
          <cell r="A859">
            <v>0</v>
          </cell>
          <cell r="C859">
            <v>0</v>
          </cell>
          <cell r="D859">
            <v>0</v>
          </cell>
        </row>
        <row r="860">
          <cell r="A860">
            <v>0</v>
          </cell>
          <cell r="C860">
            <v>0</v>
          </cell>
          <cell r="D860">
            <v>0</v>
          </cell>
        </row>
        <row r="861">
          <cell r="A861">
            <v>0</v>
          </cell>
          <cell r="C861">
            <v>0</v>
          </cell>
          <cell r="D861">
            <v>0</v>
          </cell>
        </row>
        <row r="862">
          <cell r="A862">
            <v>0</v>
          </cell>
          <cell r="C862">
            <v>0</v>
          </cell>
          <cell r="D862">
            <v>0</v>
          </cell>
        </row>
        <row r="863">
          <cell r="A863">
            <v>0</v>
          </cell>
          <cell r="C863">
            <v>0</v>
          </cell>
          <cell r="D863">
            <v>0</v>
          </cell>
        </row>
        <row r="864">
          <cell r="A864">
            <v>0</v>
          </cell>
          <cell r="C864">
            <v>0</v>
          </cell>
          <cell r="D864">
            <v>0</v>
          </cell>
        </row>
        <row r="865">
          <cell r="A865">
            <v>0</v>
          </cell>
          <cell r="C865">
            <v>0</v>
          </cell>
          <cell r="D865">
            <v>0</v>
          </cell>
        </row>
        <row r="866">
          <cell r="A866">
            <v>0</v>
          </cell>
          <cell r="C866">
            <v>0</v>
          </cell>
          <cell r="D866">
            <v>0</v>
          </cell>
        </row>
        <row r="867">
          <cell r="A867">
            <v>0</v>
          </cell>
          <cell r="C867">
            <v>0</v>
          </cell>
          <cell r="D867">
            <v>0</v>
          </cell>
        </row>
        <row r="868">
          <cell r="A868">
            <v>0</v>
          </cell>
          <cell r="C868">
            <v>0</v>
          </cell>
          <cell r="D868">
            <v>0</v>
          </cell>
        </row>
        <row r="869">
          <cell r="A869">
            <v>0</v>
          </cell>
          <cell r="C869">
            <v>0</v>
          </cell>
          <cell r="D869">
            <v>0</v>
          </cell>
        </row>
        <row r="870">
          <cell r="A870">
            <v>0</v>
          </cell>
          <cell r="C870">
            <v>0</v>
          </cell>
          <cell r="D870">
            <v>0</v>
          </cell>
        </row>
        <row r="871">
          <cell r="A871">
            <v>0</v>
          </cell>
          <cell r="C871">
            <v>0</v>
          </cell>
          <cell r="D871">
            <v>0</v>
          </cell>
        </row>
        <row r="872">
          <cell r="A872">
            <v>0</v>
          </cell>
          <cell r="C872">
            <v>0</v>
          </cell>
          <cell r="D872">
            <v>0</v>
          </cell>
        </row>
        <row r="873">
          <cell r="A873">
            <v>0</v>
          </cell>
          <cell r="C873">
            <v>0</v>
          </cell>
          <cell r="D873">
            <v>0</v>
          </cell>
        </row>
        <row r="874">
          <cell r="A874">
            <v>0</v>
          </cell>
          <cell r="C874">
            <v>0</v>
          </cell>
          <cell r="D874">
            <v>0</v>
          </cell>
        </row>
        <row r="875">
          <cell r="A875">
            <v>0</v>
          </cell>
          <cell r="C875">
            <v>0</v>
          </cell>
          <cell r="D875">
            <v>0</v>
          </cell>
        </row>
        <row r="876">
          <cell r="A876">
            <v>0</v>
          </cell>
          <cell r="C876">
            <v>0</v>
          </cell>
          <cell r="D876">
            <v>0</v>
          </cell>
        </row>
        <row r="877">
          <cell r="A877">
            <v>0</v>
          </cell>
          <cell r="C877">
            <v>0</v>
          </cell>
          <cell r="D877">
            <v>0</v>
          </cell>
        </row>
        <row r="878">
          <cell r="A878">
            <v>0</v>
          </cell>
          <cell r="C878">
            <v>0</v>
          </cell>
          <cell r="D878">
            <v>0</v>
          </cell>
        </row>
        <row r="879">
          <cell r="A879">
            <v>0</v>
          </cell>
          <cell r="C879">
            <v>0</v>
          </cell>
          <cell r="D879">
            <v>0</v>
          </cell>
        </row>
        <row r="880">
          <cell r="A880">
            <v>0</v>
          </cell>
          <cell r="C880">
            <v>0</v>
          </cell>
          <cell r="D880">
            <v>0</v>
          </cell>
        </row>
        <row r="881">
          <cell r="A881">
            <v>0</v>
          </cell>
          <cell r="C881">
            <v>0</v>
          </cell>
          <cell r="D881">
            <v>0</v>
          </cell>
        </row>
        <row r="882">
          <cell r="A882">
            <v>0</v>
          </cell>
          <cell r="C882">
            <v>0</v>
          </cell>
          <cell r="D882">
            <v>0</v>
          </cell>
        </row>
        <row r="883">
          <cell r="A883">
            <v>0</v>
          </cell>
          <cell r="C883">
            <v>0</v>
          </cell>
          <cell r="D883">
            <v>0</v>
          </cell>
        </row>
        <row r="884">
          <cell r="A884">
            <v>0</v>
          </cell>
          <cell r="C884">
            <v>0</v>
          </cell>
          <cell r="D884">
            <v>0</v>
          </cell>
        </row>
        <row r="885">
          <cell r="A885">
            <v>0</v>
          </cell>
          <cell r="C885">
            <v>0</v>
          </cell>
          <cell r="D885">
            <v>0</v>
          </cell>
        </row>
        <row r="886">
          <cell r="A886">
            <v>0</v>
          </cell>
          <cell r="C886">
            <v>0</v>
          </cell>
          <cell r="D886">
            <v>0</v>
          </cell>
        </row>
        <row r="887">
          <cell r="A887">
            <v>0</v>
          </cell>
          <cell r="C887">
            <v>0</v>
          </cell>
          <cell r="D887">
            <v>0</v>
          </cell>
        </row>
        <row r="888">
          <cell r="A888">
            <v>0</v>
          </cell>
          <cell r="C888">
            <v>0</v>
          </cell>
          <cell r="D888">
            <v>0</v>
          </cell>
        </row>
        <row r="889">
          <cell r="A889">
            <v>0</v>
          </cell>
          <cell r="C889">
            <v>0</v>
          </cell>
          <cell r="D889">
            <v>0</v>
          </cell>
        </row>
        <row r="890">
          <cell r="A890">
            <v>0</v>
          </cell>
          <cell r="C890">
            <v>0</v>
          </cell>
          <cell r="D890">
            <v>0</v>
          </cell>
        </row>
        <row r="891">
          <cell r="A891">
            <v>0</v>
          </cell>
          <cell r="C891">
            <v>0</v>
          </cell>
          <cell r="D891">
            <v>0</v>
          </cell>
        </row>
        <row r="892">
          <cell r="A892">
            <v>0</v>
          </cell>
          <cell r="C892">
            <v>0</v>
          </cell>
          <cell r="D892">
            <v>0</v>
          </cell>
        </row>
        <row r="893">
          <cell r="A893">
            <v>0</v>
          </cell>
          <cell r="C893">
            <v>0</v>
          </cell>
          <cell r="D893">
            <v>0</v>
          </cell>
        </row>
        <row r="894">
          <cell r="A894">
            <v>0</v>
          </cell>
          <cell r="C894">
            <v>0</v>
          </cell>
          <cell r="D894">
            <v>0</v>
          </cell>
        </row>
        <row r="895">
          <cell r="A895">
            <v>0</v>
          </cell>
          <cell r="C895">
            <v>0</v>
          </cell>
          <cell r="D895">
            <v>0</v>
          </cell>
        </row>
        <row r="896">
          <cell r="A896">
            <v>0</v>
          </cell>
          <cell r="C896">
            <v>0</v>
          </cell>
          <cell r="D896">
            <v>0</v>
          </cell>
        </row>
        <row r="897">
          <cell r="A897">
            <v>0</v>
          </cell>
          <cell r="C897">
            <v>0</v>
          </cell>
          <cell r="D897">
            <v>0</v>
          </cell>
        </row>
        <row r="898">
          <cell r="A898">
            <v>0</v>
          </cell>
          <cell r="C898">
            <v>0</v>
          </cell>
          <cell r="D898">
            <v>0</v>
          </cell>
        </row>
        <row r="899">
          <cell r="A899">
            <v>0</v>
          </cell>
          <cell r="C899">
            <v>0</v>
          </cell>
          <cell r="D899">
            <v>0</v>
          </cell>
        </row>
        <row r="900">
          <cell r="A900">
            <v>0</v>
          </cell>
          <cell r="C900">
            <v>0</v>
          </cell>
          <cell r="D900">
            <v>0</v>
          </cell>
        </row>
        <row r="901">
          <cell r="A901">
            <v>0</v>
          </cell>
          <cell r="C901">
            <v>0</v>
          </cell>
          <cell r="D901">
            <v>0</v>
          </cell>
        </row>
        <row r="902">
          <cell r="A902">
            <v>0</v>
          </cell>
          <cell r="C902">
            <v>0</v>
          </cell>
          <cell r="D902">
            <v>0</v>
          </cell>
        </row>
        <row r="903">
          <cell r="A903">
            <v>0</v>
          </cell>
          <cell r="C903">
            <v>0</v>
          </cell>
          <cell r="D903">
            <v>0</v>
          </cell>
        </row>
        <row r="904">
          <cell r="A904">
            <v>0</v>
          </cell>
          <cell r="C904">
            <v>0</v>
          </cell>
          <cell r="D904">
            <v>0</v>
          </cell>
        </row>
        <row r="905">
          <cell r="A905">
            <v>0</v>
          </cell>
          <cell r="C905">
            <v>0</v>
          </cell>
          <cell r="D905">
            <v>0</v>
          </cell>
        </row>
        <row r="906">
          <cell r="A906">
            <v>0</v>
          </cell>
          <cell r="C906">
            <v>0</v>
          </cell>
          <cell r="D906">
            <v>0</v>
          </cell>
        </row>
        <row r="907">
          <cell r="A907">
            <v>0</v>
          </cell>
          <cell r="C907">
            <v>0</v>
          </cell>
          <cell r="D907">
            <v>0</v>
          </cell>
        </row>
        <row r="908">
          <cell r="A908">
            <v>0</v>
          </cell>
          <cell r="C908">
            <v>0</v>
          </cell>
          <cell r="D908">
            <v>0</v>
          </cell>
        </row>
        <row r="909">
          <cell r="A909">
            <v>0</v>
          </cell>
          <cell r="C909">
            <v>0</v>
          </cell>
          <cell r="D909">
            <v>0</v>
          </cell>
        </row>
        <row r="910">
          <cell r="A910">
            <v>0</v>
          </cell>
          <cell r="C910">
            <v>0</v>
          </cell>
          <cell r="D910">
            <v>0</v>
          </cell>
        </row>
        <row r="911">
          <cell r="A911">
            <v>0</v>
          </cell>
          <cell r="C911">
            <v>0</v>
          </cell>
          <cell r="D911">
            <v>0</v>
          </cell>
        </row>
        <row r="912">
          <cell r="A912">
            <v>0</v>
          </cell>
          <cell r="C912">
            <v>0</v>
          </cell>
          <cell r="D912">
            <v>0</v>
          </cell>
        </row>
        <row r="913">
          <cell r="A913">
            <v>0</v>
          </cell>
          <cell r="C913">
            <v>0</v>
          </cell>
          <cell r="D913">
            <v>0</v>
          </cell>
        </row>
        <row r="914">
          <cell r="A914">
            <v>0</v>
          </cell>
          <cell r="C914">
            <v>0</v>
          </cell>
          <cell r="D914">
            <v>0</v>
          </cell>
        </row>
        <row r="915">
          <cell r="A915">
            <v>0</v>
          </cell>
          <cell r="C915">
            <v>0</v>
          </cell>
          <cell r="D915">
            <v>0</v>
          </cell>
        </row>
        <row r="916">
          <cell r="A916">
            <v>0</v>
          </cell>
          <cell r="C916">
            <v>0</v>
          </cell>
          <cell r="D916">
            <v>0</v>
          </cell>
        </row>
        <row r="917">
          <cell r="A917">
            <v>0</v>
          </cell>
          <cell r="C917">
            <v>0</v>
          </cell>
          <cell r="D917">
            <v>0</v>
          </cell>
        </row>
        <row r="918">
          <cell r="A918">
            <v>0</v>
          </cell>
          <cell r="C918">
            <v>0</v>
          </cell>
          <cell r="D918">
            <v>0</v>
          </cell>
        </row>
        <row r="919">
          <cell r="A919">
            <v>0</v>
          </cell>
          <cell r="C919">
            <v>0</v>
          </cell>
          <cell r="D919">
            <v>0</v>
          </cell>
        </row>
        <row r="920">
          <cell r="A920">
            <v>0</v>
          </cell>
          <cell r="C920">
            <v>0</v>
          </cell>
          <cell r="D920">
            <v>0</v>
          </cell>
        </row>
        <row r="921">
          <cell r="A921">
            <v>0</v>
          </cell>
          <cell r="C921">
            <v>0</v>
          </cell>
          <cell r="D921">
            <v>0</v>
          </cell>
        </row>
        <row r="922">
          <cell r="A922">
            <v>0</v>
          </cell>
          <cell r="C922">
            <v>0</v>
          </cell>
          <cell r="D922">
            <v>0</v>
          </cell>
        </row>
        <row r="923">
          <cell r="A923">
            <v>0</v>
          </cell>
          <cell r="C923">
            <v>0</v>
          </cell>
          <cell r="D923">
            <v>0</v>
          </cell>
        </row>
        <row r="924">
          <cell r="A924">
            <v>0</v>
          </cell>
          <cell r="C924">
            <v>0</v>
          </cell>
          <cell r="D924">
            <v>0</v>
          </cell>
        </row>
        <row r="925">
          <cell r="A925">
            <v>0</v>
          </cell>
          <cell r="C925">
            <v>0</v>
          </cell>
          <cell r="D925">
            <v>0</v>
          </cell>
        </row>
        <row r="926">
          <cell r="A926">
            <v>0</v>
          </cell>
          <cell r="C926">
            <v>0</v>
          </cell>
          <cell r="D926">
            <v>0</v>
          </cell>
        </row>
        <row r="927">
          <cell r="A927">
            <v>0</v>
          </cell>
          <cell r="C927">
            <v>0</v>
          </cell>
          <cell r="D927">
            <v>0</v>
          </cell>
        </row>
        <row r="928">
          <cell r="A928">
            <v>0</v>
          </cell>
          <cell r="C928">
            <v>0</v>
          </cell>
          <cell r="D928">
            <v>0</v>
          </cell>
        </row>
        <row r="929">
          <cell r="A929">
            <v>0</v>
          </cell>
          <cell r="C929">
            <v>0</v>
          </cell>
          <cell r="D929">
            <v>0</v>
          </cell>
        </row>
        <row r="930">
          <cell r="A930">
            <v>0</v>
          </cell>
          <cell r="C930">
            <v>0</v>
          </cell>
          <cell r="D930">
            <v>0</v>
          </cell>
        </row>
        <row r="931">
          <cell r="A931">
            <v>0</v>
          </cell>
          <cell r="C931">
            <v>0</v>
          </cell>
          <cell r="D931">
            <v>0</v>
          </cell>
        </row>
        <row r="932">
          <cell r="A932">
            <v>0</v>
          </cell>
          <cell r="C932">
            <v>0</v>
          </cell>
          <cell r="D932">
            <v>0</v>
          </cell>
        </row>
        <row r="933">
          <cell r="A933">
            <v>0</v>
          </cell>
          <cell r="C933">
            <v>0</v>
          </cell>
          <cell r="D933">
            <v>0</v>
          </cell>
        </row>
        <row r="934">
          <cell r="A934">
            <v>0</v>
          </cell>
          <cell r="C934">
            <v>0</v>
          </cell>
          <cell r="D934">
            <v>0</v>
          </cell>
        </row>
        <row r="935">
          <cell r="A935">
            <v>0</v>
          </cell>
          <cell r="C935">
            <v>0</v>
          </cell>
          <cell r="D935">
            <v>0</v>
          </cell>
        </row>
        <row r="936">
          <cell r="A936">
            <v>0</v>
          </cell>
          <cell r="C936">
            <v>0</v>
          </cell>
          <cell r="D936">
            <v>0</v>
          </cell>
        </row>
        <row r="937">
          <cell r="A937">
            <v>0</v>
          </cell>
          <cell r="C937">
            <v>0</v>
          </cell>
          <cell r="D937">
            <v>0</v>
          </cell>
        </row>
        <row r="938">
          <cell r="A938">
            <v>0</v>
          </cell>
          <cell r="C938">
            <v>0</v>
          </cell>
          <cell r="D938">
            <v>0</v>
          </cell>
        </row>
        <row r="939">
          <cell r="A939">
            <v>0</v>
          </cell>
          <cell r="C939">
            <v>0</v>
          </cell>
          <cell r="D939">
            <v>0</v>
          </cell>
        </row>
        <row r="940">
          <cell r="A940">
            <v>0</v>
          </cell>
          <cell r="C940">
            <v>0</v>
          </cell>
          <cell r="D940">
            <v>0</v>
          </cell>
        </row>
        <row r="941">
          <cell r="A941">
            <v>0</v>
          </cell>
          <cell r="C941">
            <v>0</v>
          </cell>
          <cell r="D941">
            <v>0</v>
          </cell>
        </row>
        <row r="942">
          <cell r="A942">
            <v>0</v>
          </cell>
          <cell r="C942">
            <v>0</v>
          </cell>
          <cell r="D942">
            <v>0</v>
          </cell>
        </row>
        <row r="943">
          <cell r="A943">
            <v>0</v>
          </cell>
          <cell r="C943">
            <v>0</v>
          </cell>
          <cell r="D943">
            <v>0</v>
          </cell>
        </row>
        <row r="944">
          <cell r="A944">
            <v>0</v>
          </cell>
          <cell r="C944">
            <v>0</v>
          </cell>
          <cell r="D944">
            <v>0</v>
          </cell>
        </row>
        <row r="945">
          <cell r="A945">
            <v>0</v>
          </cell>
          <cell r="C945">
            <v>0</v>
          </cell>
          <cell r="D945">
            <v>0</v>
          </cell>
        </row>
        <row r="946">
          <cell r="A946">
            <v>0</v>
          </cell>
          <cell r="C946">
            <v>0</v>
          </cell>
          <cell r="D946">
            <v>0</v>
          </cell>
        </row>
        <row r="947">
          <cell r="A947">
            <v>0</v>
          </cell>
          <cell r="C947">
            <v>0</v>
          </cell>
          <cell r="D947">
            <v>0</v>
          </cell>
        </row>
        <row r="948">
          <cell r="A948">
            <v>0</v>
          </cell>
          <cell r="C948">
            <v>0</v>
          </cell>
          <cell r="D948">
            <v>0</v>
          </cell>
        </row>
        <row r="949">
          <cell r="A949">
            <v>0</v>
          </cell>
          <cell r="C949">
            <v>0</v>
          </cell>
          <cell r="D949">
            <v>0</v>
          </cell>
        </row>
        <row r="950">
          <cell r="A950">
            <v>0</v>
          </cell>
          <cell r="C950">
            <v>0</v>
          </cell>
          <cell r="D950">
            <v>0</v>
          </cell>
        </row>
        <row r="951">
          <cell r="A951">
            <v>0</v>
          </cell>
          <cell r="C951">
            <v>0</v>
          </cell>
          <cell r="D951">
            <v>0</v>
          </cell>
        </row>
        <row r="952">
          <cell r="A952">
            <v>0</v>
          </cell>
          <cell r="C952">
            <v>0</v>
          </cell>
          <cell r="D952">
            <v>0</v>
          </cell>
        </row>
        <row r="953">
          <cell r="A953">
            <v>0</v>
          </cell>
          <cell r="C953">
            <v>0</v>
          </cell>
          <cell r="D953">
            <v>0</v>
          </cell>
        </row>
        <row r="954">
          <cell r="A954">
            <v>0</v>
          </cell>
          <cell r="C954">
            <v>0</v>
          </cell>
          <cell r="D954">
            <v>0</v>
          </cell>
        </row>
        <row r="955">
          <cell r="A955">
            <v>0</v>
          </cell>
          <cell r="B955">
            <v>0</v>
          </cell>
          <cell r="C955">
            <v>0</v>
          </cell>
          <cell r="D955">
            <v>0</v>
          </cell>
        </row>
        <row r="956">
          <cell r="A956">
            <v>0</v>
          </cell>
          <cell r="C956">
            <v>0</v>
          </cell>
          <cell r="D956">
            <v>0</v>
          </cell>
        </row>
        <row r="957">
          <cell r="A957">
            <v>0</v>
          </cell>
          <cell r="C957">
            <v>0</v>
          </cell>
          <cell r="D957">
            <v>0</v>
          </cell>
        </row>
        <row r="958">
          <cell r="A958">
            <v>0</v>
          </cell>
          <cell r="C958">
            <v>0</v>
          </cell>
          <cell r="D958">
            <v>0</v>
          </cell>
        </row>
        <row r="959">
          <cell r="A959">
            <v>0</v>
          </cell>
          <cell r="C959">
            <v>0</v>
          </cell>
          <cell r="D959">
            <v>0</v>
          </cell>
        </row>
        <row r="960">
          <cell r="A960">
            <v>0</v>
          </cell>
          <cell r="C960">
            <v>0</v>
          </cell>
          <cell r="D960">
            <v>0</v>
          </cell>
        </row>
        <row r="961">
          <cell r="A961">
            <v>0</v>
          </cell>
          <cell r="C961">
            <v>0</v>
          </cell>
          <cell r="D961">
            <v>0</v>
          </cell>
        </row>
        <row r="962">
          <cell r="A962">
            <v>0</v>
          </cell>
          <cell r="C962">
            <v>0</v>
          </cell>
          <cell r="D962">
            <v>0</v>
          </cell>
        </row>
        <row r="963">
          <cell r="A963">
            <v>0</v>
          </cell>
          <cell r="C963">
            <v>0</v>
          </cell>
          <cell r="D963">
            <v>0</v>
          </cell>
        </row>
        <row r="964">
          <cell r="A964">
            <v>0</v>
          </cell>
          <cell r="C964">
            <v>0</v>
          </cell>
          <cell r="D964">
            <v>0</v>
          </cell>
        </row>
        <row r="965">
          <cell r="A965">
            <v>0</v>
          </cell>
          <cell r="C965">
            <v>0</v>
          </cell>
          <cell r="D965">
            <v>0</v>
          </cell>
        </row>
        <row r="966">
          <cell r="A966">
            <v>0</v>
          </cell>
          <cell r="C966">
            <v>0</v>
          </cell>
          <cell r="D966">
            <v>0</v>
          </cell>
        </row>
        <row r="967">
          <cell r="A967">
            <v>0</v>
          </cell>
          <cell r="C967">
            <v>0</v>
          </cell>
          <cell r="D967">
            <v>0</v>
          </cell>
        </row>
        <row r="968">
          <cell r="A968">
            <v>0</v>
          </cell>
          <cell r="C968">
            <v>0</v>
          </cell>
          <cell r="D968">
            <v>0</v>
          </cell>
        </row>
        <row r="969">
          <cell r="A969">
            <v>0</v>
          </cell>
          <cell r="C969">
            <v>0</v>
          </cell>
          <cell r="D969">
            <v>0</v>
          </cell>
        </row>
        <row r="970">
          <cell r="A970">
            <v>0</v>
          </cell>
          <cell r="C970">
            <v>0</v>
          </cell>
          <cell r="D970">
            <v>0</v>
          </cell>
        </row>
        <row r="971">
          <cell r="A971">
            <v>0</v>
          </cell>
          <cell r="C971">
            <v>0</v>
          </cell>
          <cell r="D971">
            <v>0</v>
          </cell>
        </row>
        <row r="972">
          <cell r="A972">
            <v>0</v>
          </cell>
          <cell r="C972">
            <v>0</v>
          </cell>
          <cell r="D972">
            <v>0</v>
          </cell>
        </row>
        <row r="973">
          <cell r="A973">
            <v>0</v>
          </cell>
          <cell r="C973">
            <v>0</v>
          </cell>
          <cell r="D973">
            <v>0</v>
          </cell>
        </row>
        <row r="974">
          <cell r="A974">
            <v>0</v>
          </cell>
          <cell r="C974">
            <v>0</v>
          </cell>
          <cell r="D974">
            <v>0</v>
          </cell>
        </row>
        <row r="975">
          <cell r="A975">
            <v>0</v>
          </cell>
          <cell r="C975">
            <v>0</v>
          </cell>
          <cell r="D975">
            <v>0</v>
          </cell>
        </row>
        <row r="976">
          <cell r="A976">
            <v>0</v>
          </cell>
          <cell r="C976">
            <v>0</v>
          </cell>
          <cell r="D976">
            <v>0</v>
          </cell>
        </row>
        <row r="977">
          <cell r="A977">
            <v>0</v>
          </cell>
          <cell r="C977">
            <v>0</v>
          </cell>
          <cell r="D977">
            <v>0</v>
          </cell>
        </row>
        <row r="978">
          <cell r="A978">
            <v>0</v>
          </cell>
          <cell r="C978">
            <v>0</v>
          </cell>
          <cell r="D978">
            <v>0</v>
          </cell>
        </row>
        <row r="979">
          <cell r="A979">
            <v>0</v>
          </cell>
          <cell r="C979">
            <v>0</v>
          </cell>
          <cell r="D979">
            <v>0</v>
          </cell>
        </row>
        <row r="980">
          <cell r="A980">
            <v>0</v>
          </cell>
          <cell r="C980">
            <v>0</v>
          </cell>
          <cell r="D980">
            <v>0</v>
          </cell>
        </row>
        <row r="981">
          <cell r="A981">
            <v>0</v>
          </cell>
          <cell r="C981">
            <v>0</v>
          </cell>
          <cell r="D981">
            <v>0</v>
          </cell>
        </row>
        <row r="982">
          <cell r="A982">
            <v>0</v>
          </cell>
          <cell r="C982">
            <v>0</v>
          </cell>
          <cell r="D982">
            <v>0</v>
          </cell>
        </row>
        <row r="983">
          <cell r="A983">
            <v>0</v>
          </cell>
          <cell r="C983">
            <v>0</v>
          </cell>
          <cell r="D983">
            <v>0</v>
          </cell>
        </row>
        <row r="984">
          <cell r="A984">
            <v>0</v>
          </cell>
          <cell r="C984">
            <v>0</v>
          </cell>
          <cell r="D984">
            <v>0</v>
          </cell>
        </row>
        <row r="985">
          <cell r="A985">
            <v>0</v>
          </cell>
          <cell r="C985">
            <v>0</v>
          </cell>
          <cell r="D985">
            <v>0</v>
          </cell>
        </row>
        <row r="986">
          <cell r="A986">
            <v>0</v>
          </cell>
          <cell r="C986">
            <v>0</v>
          </cell>
          <cell r="D986">
            <v>0</v>
          </cell>
        </row>
        <row r="987">
          <cell r="A987">
            <v>0</v>
          </cell>
          <cell r="C987">
            <v>0</v>
          </cell>
          <cell r="D987">
            <v>0</v>
          </cell>
        </row>
        <row r="988">
          <cell r="A988">
            <v>0</v>
          </cell>
          <cell r="C988">
            <v>0</v>
          </cell>
          <cell r="D988">
            <v>0</v>
          </cell>
        </row>
        <row r="989">
          <cell r="A989">
            <v>0</v>
          </cell>
          <cell r="C989">
            <v>0</v>
          </cell>
          <cell r="D989">
            <v>0</v>
          </cell>
        </row>
        <row r="990">
          <cell r="A990">
            <v>0</v>
          </cell>
          <cell r="C990">
            <v>0</v>
          </cell>
          <cell r="D990">
            <v>0</v>
          </cell>
        </row>
        <row r="991">
          <cell r="A991">
            <v>0</v>
          </cell>
          <cell r="C991">
            <v>0</v>
          </cell>
          <cell r="D991">
            <v>0</v>
          </cell>
        </row>
        <row r="992">
          <cell r="A992">
            <v>0</v>
          </cell>
          <cell r="C992">
            <v>0</v>
          </cell>
          <cell r="D992">
            <v>0</v>
          </cell>
        </row>
        <row r="993">
          <cell r="A993">
            <v>0</v>
          </cell>
          <cell r="C993">
            <v>0</v>
          </cell>
          <cell r="D993">
            <v>0</v>
          </cell>
        </row>
        <row r="994">
          <cell r="A994">
            <v>0</v>
          </cell>
          <cell r="C994">
            <v>0</v>
          </cell>
          <cell r="D994">
            <v>0</v>
          </cell>
        </row>
        <row r="995">
          <cell r="A995">
            <v>0</v>
          </cell>
          <cell r="C995">
            <v>0</v>
          </cell>
          <cell r="D995">
            <v>0</v>
          </cell>
        </row>
        <row r="996">
          <cell r="A996">
            <v>0</v>
          </cell>
          <cell r="C996">
            <v>0</v>
          </cell>
          <cell r="D996">
            <v>0</v>
          </cell>
        </row>
        <row r="997">
          <cell r="A997">
            <v>0</v>
          </cell>
          <cell r="C997">
            <v>0</v>
          </cell>
          <cell r="D997">
            <v>0</v>
          </cell>
        </row>
        <row r="998">
          <cell r="A998">
            <v>0</v>
          </cell>
          <cell r="C998">
            <v>0</v>
          </cell>
          <cell r="D998">
            <v>0</v>
          </cell>
        </row>
        <row r="999">
          <cell r="A999">
            <v>0</v>
          </cell>
          <cell r="C999">
            <v>0</v>
          </cell>
          <cell r="D999">
            <v>0</v>
          </cell>
        </row>
        <row r="1000">
          <cell r="A1000">
            <v>0</v>
          </cell>
          <cell r="C1000">
            <v>0</v>
          </cell>
          <cell r="D1000">
            <v>0</v>
          </cell>
        </row>
        <row r="1001">
          <cell r="A1001">
            <v>0</v>
          </cell>
          <cell r="C1001">
            <v>0</v>
          </cell>
          <cell r="D1001">
            <v>0</v>
          </cell>
        </row>
        <row r="1002">
          <cell r="A1002">
            <v>0</v>
          </cell>
          <cell r="C1002">
            <v>0</v>
          </cell>
          <cell r="D1002">
            <v>0</v>
          </cell>
        </row>
        <row r="1003">
          <cell r="A1003">
            <v>0</v>
          </cell>
          <cell r="C1003">
            <v>0</v>
          </cell>
          <cell r="D1003">
            <v>0</v>
          </cell>
        </row>
        <row r="1004">
          <cell r="A1004">
            <v>0</v>
          </cell>
          <cell r="C1004">
            <v>0</v>
          </cell>
          <cell r="D1004">
            <v>0</v>
          </cell>
        </row>
        <row r="1005">
          <cell r="A1005">
            <v>0</v>
          </cell>
          <cell r="C1005">
            <v>0</v>
          </cell>
          <cell r="D1005">
            <v>0</v>
          </cell>
        </row>
        <row r="1006">
          <cell r="A1006">
            <v>0</v>
          </cell>
          <cell r="C1006">
            <v>0</v>
          </cell>
          <cell r="D1006">
            <v>0</v>
          </cell>
        </row>
        <row r="1007">
          <cell r="A1007">
            <v>0</v>
          </cell>
          <cell r="C1007">
            <v>0</v>
          </cell>
          <cell r="D1007">
            <v>0</v>
          </cell>
        </row>
        <row r="1008">
          <cell r="A1008">
            <v>0</v>
          </cell>
          <cell r="C1008">
            <v>0</v>
          </cell>
          <cell r="D1008">
            <v>0</v>
          </cell>
        </row>
        <row r="1009">
          <cell r="A1009">
            <v>0</v>
          </cell>
          <cell r="C1009">
            <v>0</v>
          </cell>
          <cell r="D1009">
            <v>0</v>
          </cell>
        </row>
        <row r="1010">
          <cell r="A1010">
            <v>0</v>
          </cell>
          <cell r="C1010">
            <v>0</v>
          </cell>
          <cell r="D1010">
            <v>0</v>
          </cell>
        </row>
        <row r="1011">
          <cell r="A1011">
            <v>0</v>
          </cell>
          <cell r="C1011">
            <v>0</v>
          </cell>
          <cell r="D1011">
            <v>0</v>
          </cell>
        </row>
        <row r="1012">
          <cell r="A1012">
            <v>0</v>
          </cell>
          <cell r="C1012">
            <v>0</v>
          </cell>
          <cell r="D1012">
            <v>0</v>
          </cell>
        </row>
        <row r="1013">
          <cell r="A1013">
            <v>0</v>
          </cell>
          <cell r="C1013">
            <v>0</v>
          </cell>
          <cell r="D1013">
            <v>0</v>
          </cell>
        </row>
        <row r="1014">
          <cell r="A1014">
            <v>0</v>
          </cell>
          <cell r="C1014">
            <v>0</v>
          </cell>
          <cell r="D1014">
            <v>0</v>
          </cell>
        </row>
        <row r="1015">
          <cell r="A1015">
            <v>0</v>
          </cell>
          <cell r="C1015">
            <v>0</v>
          </cell>
          <cell r="D1015">
            <v>0</v>
          </cell>
        </row>
        <row r="1016">
          <cell r="A1016">
            <v>0</v>
          </cell>
          <cell r="C1016">
            <v>0</v>
          </cell>
          <cell r="D1016">
            <v>0</v>
          </cell>
        </row>
        <row r="1017">
          <cell r="A1017">
            <v>0</v>
          </cell>
          <cell r="C1017">
            <v>0</v>
          </cell>
          <cell r="D1017">
            <v>0</v>
          </cell>
        </row>
        <row r="1018">
          <cell r="A1018">
            <v>0</v>
          </cell>
          <cell r="C1018">
            <v>0</v>
          </cell>
          <cell r="D1018">
            <v>0</v>
          </cell>
        </row>
        <row r="1019">
          <cell r="A1019">
            <v>0</v>
          </cell>
          <cell r="C1019">
            <v>0</v>
          </cell>
          <cell r="D1019">
            <v>0</v>
          </cell>
        </row>
        <row r="1020">
          <cell r="A1020">
            <v>0</v>
          </cell>
          <cell r="C1020">
            <v>0</v>
          </cell>
          <cell r="D1020">
            <v>0</v>
          </cell>
        </row>
        <row r="1021">
          <cell r="A1021">
            <v>0</v>
          </cell>
          <cell r="C1021">
            <v>0</v>
          </cell>
          <cell r="D1021">
            <v>0</v>
          </cell>
        </row>
        <row r="1022">
          <cell r="A1022">
            <v>0</v>
          </cell>
          <cell r="C1022">
            <v>0</v>
          </cell>
          <cell r="D1022">
            <v>0</v>
          </cell>
        </row>
        <row r="1023">
          <cell r="A1023">
            <v>0</v>
          </cell>
          <cell r="C1023">
            <v>0</v>
          </cell>
          <cell r="D1023">
            <v>0</v>
          </cell>
        </row>
        <row r="1024">
          <cell r="A1024">
            <v>0</v>
          </cell>
          <cell r="C1024">
            <v>0</v>
          </cell>
          <cell r="D1024">
            <v>0</v>
          </cell>
        </row>
        <row r="1025">
          <cell r="A1025">
            <v>0</v>
          </cell>
          <cell r="C1025">
            <v>0</v>
          </cell>
          <cell r="D1025">
            <v>0</v>
          </cell>
        </row>
        <row r="1026">
          <cell r="A1026">
            <v>0</v>
          </cell>
          <cell r="C1026">
            <v>0</v>
          </cell>
          <cell r="D1026">
            <v>0</v>
          </cell>
        </row>
        <row r="1027">
          <cell r="A1027">
            <v>0</v>
          </cell>
          <cell r="C1027">
            <v>0</v>
          </cell>
          <cell r="D1027">
            <v>0</v>
          </cell>
        </row>
        <row r="1028">
          <cell r="A1028">
            <v>0</v>
          </cell>
          <cell r="C1028">
            <v>0</v>
          </cell>
          <cell r="D1028">
            <v>0</v>
          </cell>
        </row>
        <row r="1029">
          <cell r="A1029">
            <v>0</v>
          </cell>
          <cell r="C1029">
            <v>0</v>
          </cell>
          <cell r="D1029">
            <v>0</v>
          </cell>
        </row>
        <row r="1030">
          <cell r="A1030">
            <v>0</v>
          </cell>
          <cell r="C1030">
            <v>0</v>
          </cell>
          <cell r="D1030">
            <v>0</v>
          </cell>
        </row>
        <row r="1031">
          <cell r="A1031">
            <v>0</v>
          </cell>
          <cell r="C1031">
            <v>0</v>
          </cell>
          <cell r="D1031">
            <v>0</v>
          </cell>
        </row>
        <row r="1032">
          <cell r="A1032">
            <v>0</v>
          </cell>
          <cell r="C1032">
            <v>0</v>
          </cell>
          <cell r="D1032">
            <v>0</v>
          </cell>
        </row>
        <row r="1033">
          <cell r="A1033">
            <v>0</v>
          </cell>
          <cell r="C1033">
            <v>0</v>
          </cell>
          <cell r="D1033">
            <v>0</v>
          </cell>
        </row>
        <row r="1034">
          <cell r="A1034">
            <v>0</v>
          </cell>
          <cell r="C1034">
            <v>0</v>
          </cell>
          <cell r="D1034">
            <v>0</v>
          </cell>
        </row>
        <row r="1035">
          <cell r="A1035">
            <v>0</v>
          </cell>
          <cell r="C1035">
            <v>0</v>
          </cell>
          <cell r="D1035">
            <v>0</v>
          </cell>
        </row>
        <row r="1036">
          <cell r="A1036">
            <v>0</v>
          </cell>
          <cell r="C1036">
            <v>0</v>
          </cell>
          <cell r="D1036">
            <v>0</v>
          </cell>
        </row>
        <row r="1037">
          <cell r="A1037">
            <v>0</v>
          </cell>
          <cell r="C1037">
            <v>0</v>
          </cell>
          <cell r="D1037">
            <v>0</v>
          </cell>
        </row>
        <row r="1038">
          <cell r="A1038">
            <v>0</v>
          </cell>
          <cell r="C1038">
            <v>0</v>
          </cell>
          <cell r="D1038">
            <v>0</v>
          </cell>
        </row>
        <row r="1039">
          <cell r="A1039">
            <v>0</v>
          </cell>
          <cell r="C1039">
            <v>0</v>
          </cell>
          <cell r="D1039">
            <v>0</v>
          </cell>
        </row>
        <row r="1040">
          <cell r="A1040">
            <v>0</v>
          </cell>
          <cell r="C1040">
            <v>0</v>
          </cell>
          <cell r="D1040">
            <v>0</v>
          </cell>
        </row>
        <row r="1041">
          <cell r="A1041">
            <v>0</v>
          </cell>
          <cell r="C1041">
            <v>0</v>
          </cell>
          <cell r="D1041">
            <v>0</v>
          </cell>
        </row>
        <row r="1042">
          <cell r="A1042">
            <v>0</v>
          </cell>
          <cell r="C1042">
            <v>0</v>
          </cell>
          <cell r="D1042">
            <v>0</v>
          </cell>
        </row>
        <row r="1043">
          <cell r="A1043">
            <v>0</v>
          </cell>
          <cell r="C1043">
            <v>0</v>
          </cell>
          <cell r="D1043">
            <v>0</v>
          </cell>
        </row>
        <row r="1044">
          <cell r="A1044">
            <v>0</v>
          </cell>
          <cell r="C1044">
            <v>0</v>
          </cell>
          <cell r="D1044">
            <v>0</v>
          </cell>
        </row>
        <row r="1045">
          <cell r="A1045">
            <v>0</v>
          </cell>
          <cell r="C1045">
            <v>0</v>
          </cell>
          <cell r="D1045">
            <v>0</v>
          </cell>
        </row>
        <row r="1046">
          <cell r="A1046">
            <v>0</v>
          </cell>
          <cell r="C1046">
            <v>0</v>
          </cell>
          <cell r="D1046">
            <v>0</v>
          </cell>
        </row>
        <row r="1047">
          <cell r="A1047">
            <v>0</v>
          </cell>
          <cell r="C1047">
            <v>0</v>
          </cell>
          <cell r="D1047">
            <v>0</v>
          </cell>
        </row>
        <row r="1048">
          <cell r="A1048">
            <v>0</v>
          </cell>
          <cell r="C1048">
            <v>0</v>
          </cell>
          <cell r="D1048">
            <v>0</v>
          </cell>
        </row>
        <row r="1049">
          <cell r="A1049">
            <v>0</v>
          </cell>
          <cell r="C1049">
            <v>0</v>
          </cell>
          <cell r="D1049">
            <v>0</v>
          </cell>
        </row>
        <row r="1050">
          <cell r="A1050">
            <v>0</v>
          </cell>
          <cell r="C1050">
            <v>0</v>
          </cell>
          <cell r="D1050">
            <v>0</v>
          </cell>
        </row>
        <row r="1051">
          <cell r="A1051">
            <v>0</v>
          </cell>
          <cell r="C1051">
            <v>0</v>
          </cell>
          <cell r="D1051">
            <v>0</v>
          </cell>
        </row>
        <row r="1052">
          <cell r="A1052">
            <v>0</v>
          </cell>
          <cell r="C1052">
            <v>0</v>
          </cell>
          <cell r="D1052">
            <v>0</v>
          </cell>
        </row>
        <row r="1053">
          <cell r="A1053">
            <v>0</v>
          </cell>
          <cell r="C1053">
            <v>0</v>
          </cell>
          <cell r="D1053">
            <v>0</v>
          </cell>
        </row>
        <row r="1054">
          <cell r="A1054">
            <v>0</v>
          </cell>
          <cell r="C1054">
            <v>0</v>
          </cell>
          <cell r="D1054">
            <v>0</v>
          </cell>
        </row>
        <row r="1055">
          <cell r="A1055">
            <v>0</v>
          </cell>
          <cell r="C1055">
            <v>0</v>
          </cell>
          <cell r="D1055">
            <v>0</v>
          </cell>
        </row>
        <row r="1056">
          <cell r="A1056">
            <v>0</v>
          </cell>
          <cell r="C1056">
            <v>0</v>
          </cell>
          <cell r="D1056">
            <v>0</v>
          </cell>
        </row>
        <row r="1057">
          <cell r="A1057">
            <v>0</v>
          </cell>
          <cell r="C1057">
            <v>0</v>
          </cell>
          <cell r="D1057">
            <v>0</v>
          </cell>
        </row>
        <row r="1058">
          <cell r="A1058">
            <v>0</v>
          </cell>
          <cell r="C1058">
            <v>0</v>
          </cell>
          <cell r="D1058">
            <v>0</v>
          </cell>
        </row>
        <row r="1059">
          <cell r="A1059">
            <v>0</v>
          </cell>
          <cell r="C1059">
            <v>0</v>
          </cell>
          <cell r="D1059">
            <v>0</v>
          </cell>
        </row>
        <row r="1060">
          <cell r="A1060">
            <v>0</v>
          </cell>
          <cell r="C1060">
            <v>0</v>
          </cell>
          <cell r="D1060">
            <v>0</v>
          </cell>
        </row>
        <row r="1061">
          <cell r="A1061">
            <v>0</v>
          </cell>
          <cell r="C1061">
            <v>0</v>
          </cell>
          <cell r="D1061">
            <v>0</v>
          </cell>
        </row>
        <row r="1062">
          <cell r="A1062">
            <v>0</v>
          </cell>
          <cell r="C1062">
            <v>0</v>
          </cell>
          <cell r="D1062">
            <v>0</v>
          </cell>
        </row>
        <row r="1063">
          <cell r="A1063">
            <v>0</v>
          </cell>
          <cell r="C1063">
            <v>0</v>
          </cell>
          <cell r="D1063">
            <v>0</v>
          </cell>
        </row>
        <row r="1064">
          <cell r="A1064">
            <v>0</v>
          </cell>
          <cell r="C1064">
            <v>0</v>
          </cell>
          <cell r="D1064">
            <v>0</v>
          </cell>
        </row>
        <row r="1065">
          <cell r="A1065">
            <v>0</v>
          </cell>
          <cell r="C1065">
            <v>0</v>
          </cell>
          <cell r="D1065">
            <v>0</v>
          </cell>
        </row>
        <row r="1066">
          <cell r="A1066">
            <v>0</v>
          </cell>
          <cell r="C1066">
            <v>0</v>
          </cell>
          <cell r="D1066">
            <v>0</v>
          </cell>
        </row>
        <row r="1067">
          <cell r="A1067">
            <v>0</v>
          </cell>
          <cell r="C1067">
            <v>0</v>
          </cell>
          <cell r="D1067">
            <v>0</v>
          </cell>
        </row>
        <row r="1068">
          <cell r="A1068">
            <v>0</v>
          </cell>
          <cell r="C1068">
            <v>0</v>
          </cell>
          <cell r="D1068">
            <v>0</v>
          </cell>
        </row>
        <row r="1069">
          <cell r="A1069">
            <v>0</v>
          </cell>
          <cell r="C1069">
            <v>0</v>
          </cell>
          <cell r="D1069">
            <v>0</v>
          </cell>
        </row>
        <row r="1070">
          <cell r="A1070">
            <v>0</v>
          </cell>
          <cell r="C1070">
            <v>0</v>
          </cell>
          <cell r="D1070">
            <v>0</v>
          </cell>
        </row>
        <row r="1071">
          <cell r="A1071">
            <v>0</v>
          </cell>
          <cell r="C1071">
            <v>0</v>
          </cell>
          <cell r="D1071">
            <v>0</v>
          </cell>
        </row>
        <row r="1072">
          <cell r="A1072">
            <v>0</v>
          </cell>
          <cell r="C1072">
            <v>0</v>
          </cell>
          <cell r="D1072">
            <v>0</v>
          </cell>
        </row>
        <row r="1073">
          <cell r="A1073">
            <v>0</v>
          </cell>
          <cell r="C1073">
            <v>0</v>
          </cell>
          <cell r="D1073">
            <v>0</v>
          </cell>
        </row>
        <row r="1074">
          <cell r="A1074">
            <v>0</v>
          </cell>
          <cell r="C1074">
            <v>0</v>
          </cell>
          <cell r="D1074">
            <v>0</v>
          </cell>
        </row>
        <row r="1075">
          <cell r="A1075">
            <v>0</v>
          </cell>
          <cell r="C1075">
            <v>0</v>
          </cell>
          <cell r="D1075">
            <v>0</v>
          </cell>
        </row>
        <row r="1076">
          <cell r="A1076">
            <v>0</v>
          </cell>
          <cell r="C1076">
            <v>0</v>
          </cell>
          <cell r="D1076">
            <v>0</v>
          </cell>
        </row>
        <row r="1077">
          <cell r="A1077">
            <v>0</v>
          </cell>
          <cell r="C1077">
            <v>0</v>
          </cell>
          <cell r="D1077">
            <v>0</v>
          </cell>
        </row>
        <row r="1078">
          <cell r="A1078">
            <v>0</v>
          </cell>
          <cell r="C1078">
            <v>0</v>
          </cell>
          <cell r="D1078">
            <v>0</v>
          </cell>
        </row>
        <row r="1079">
          <cell r="A1079">
            <v>0</v>
          </cell>
          <cell r="C1079">
            <v>0</v>
          </cell>
          <cell r="D1079">
            <v>0</v>
          </cell>
        </row>
        <row r="1080">
          <cell r="A1080">
            <v>0</v>
          </cell>
          <cell r="C1080">
            <v>0</v>
          </cell>
          <cell r="D1080">
            <v>0</v>
          </cell>
        </row>
        <row r="1081">
          <cell r="A1081">
            <v>0</v>
          </cell>
          <cell r="C1081">
            <v>0</v>
          </cell>
          <cell r="D1081">
            <v>0</v>
          </cell>
        </row>
        <row r="1082">
          <cell r="A1082">
            <v>0</v>
          </cell>
          <cell r="C1082">
            <v>0</v>
          </cell>
          <cell r="D1082">
            <v>0</v>
          </cell>
        </row>
        <row r="1083">
          <cell r="A1083">
            <v>0</v>
          </cell>
          <cell r="C1083">
            <v>0</v>
          </cell>
          <cell r="D1083">
            <v>0</v>
          </cell>
        </row>
        <row r="1084">
          <cell r="A1084">
            <v>0</v>
          </cell>
          <cell r="C1084">
            <v>0</v>
          </cell>
          <cell r="D1084">
            <v>0</v>
          </cell>
        </row>
        <row r="1085">
          <cell r="A1085">
            <v>0</v>
          </cell>
          <cell r="C1085">
            <v>0</v>
          </cell>
          <cell r="D1085">
            <v>0</v>
          </cell>
        </row>
        <row r="1086">
          <cell r="A1086">
            <v>0</v>
          </cell>
          <cell r="C1086">
            <v>0</v>
          </cell>
          <cell r="D1086">
            <v>0</v>
          </cell>
        </row>
        <row r="1087">
          <cell r="A1087">
            <v>0</v>
          </cell>
          <cell r="C1087">
            <v>0</v>
          </cell>
          <cell r="D1087">
            <v>0</v>
          </cell>
        </row>
        <row r="1088">
          <cell r="A1088">
            <v>0</v>
          </cell>
          <cell r="C1088">
            <v>0</v>
          </cell>
          <cell r="D1088">
            <v>0</v>
          </cell>
        </row>
        <row r="1089">
          <cell r="A1089">
            <v>0</v>
          </cell>
          <cell r="C1089">
            <v>0</v>
          </cell>
          <cell r="D1089">
            <v>0</v>
          </cell>
        </row>
        <row r="1090">
          <cell r="A1090">
            <v>0</v>
          </cell>
          <cell r="C1090">
            <v>0</v>
          </cell>
          <cell r="D1090">
            <v>0</v>
          </cell>
        </row>
        <row r="1091">
          <cell r="A1091">
            <v>0</v>
          </cell>
          <cell r="C1091">
            <v>0</v>
          </cell>
          <cell r="D1091">
            <v>0</v>
          </cell>
        </row>
        <row r="1092">
          <cell r="A1092">
            <v>0</v>
          </cell>
          <cell r="C1092">
            <v>0</v>
          </cell>
          <cell r="D1092">
            <v>0</v>
          </cell>
        </row>
        <row r="1093">
          <cell r="A1093">
            <v>0</v>
          </cell>
          <cell r="C1093">
            <v>0</v>
          </cell>
          <cell r="D1093">
            <v>0</v>
          </cell>
        </row>
        <row r="1094">
          <cell r="A1094">
            <v>0</v>
          </cell>
          <cell r="C1094">
            <v>0</v>
          </cell>
          <cell r="D1094">
            <v>0</v>
          </cell>
        </row>
        <row r="1095">
          <cell r="A1095">
            <v>0</v>
          </cell>
          <cell r="C1095">
            <v>0</v>
          </cell>
          <cell r="D1095">
            <v>0</v>
          </cell>
        </row>
        <row r="1096">
          <cell r="A1096">
            <v>0</v>
          </cell>
          <cell r="C1096">
            <v>0</v>
          </cell>
          <cell r="D1096">
            <v>0</v>
          </cell>
        </row>
        <row r="1097">
          <cell r="A1097">
            <v>0</v>
          </cell>
          <cell r="C1097">
            <v>0</v>
          </cell>
          <cell r="D1097">
            <v>0</v>
          </cell>
        </row>
        <row r="1098">
          <cell r="A1098">
            <v>0</v>
          </cell>
          <cell r="C1098">
            <v>0</v>
          </cell>
          <cell r="D1098">
            <v>0</v>
          </cell>
        </row>
        <row r="1099">
          <cell r="A1099">
            <v>0</v>
          </cell>
          <cell r="C1099">
            <v>0</v>
          </cell>
          <cell r="D1099">
            <v>0</v>
          </cell>
        </row>
        <row r="1100">
          <cell r="A1100">
            <v>0</v>
          </cell>
          <cell r="C1100">
            <v>0</v>
          </cell>
          <cell r="D1100">
            <v>0</v>
          </cell>
        </row>
        <row r="1101">
          <cell r="A1101">
            <v>0</v>
          </cell>
          <cell r="C1101">
            <v>0</v>
          </cell>
          <cell r="D1101">
            <v>0</v>
          </cell>
        </row>
        <row r="1102">
          <cell r="A1102">
            <v>0</v>
          </cell>
          <cell r="C1102">
            <v>0</v>
          </cell>
          <cell r="D1102">
            <v>0</v>
          </cell>
        </row>
        <row r="1103">
          <cell r="A1103">
            <v>0</v>
          </cell>
          <cell r="C1103">
            <v>0</v>
          </cell>
          <cell r="D1103">
            <v>0</v>
          </cell>
        </row>
        <row r="1104">
          <cell r="A1104">
            <v>0</v>
          </cell>
          <cell r="C1104">
            <v>0</v>
          </cell>
          <cell r="D1104">
            <v>0</v>
          </cell>
        </row>
        <row r="1105">
          <cell r="A1105">
            <v>0</v>
          </cell>
          <cell r="C1105">
            <v>0</v>
          </cell>
          <cell r="D1105">
            <v>0</v>
          </cell>
        </row>
        <row r="1106">
          <cell r="A1106">
            <v>0</v>
          </cell>
          <cell r="C1106">
            <v>0</v>
          </cell>
          <cell r="D1106">
            <v>0</v>
          </cell>
        </row>
        <row r="1107">
          <cell r="A1107">
            <v>0</v>
          </cell>
          <cell r="C1107">
            <v>0</v>
          </cell>
          <cell r="D1107">
            <v>0</v>
          </cell>
        </row>
        <row r="1108">
          <cell r="A1108">
            <v>0</v>
          </cell>
          <cell r="C1108">
            <v>0</v>
          </cell>
          <cell r="D1108">
            <v>0</v>
          </cell>
        </row>
        <row r="1109">
          <cell r="A1109">
            <v>0</v>
          </cell>
          <cell r="C1109">
            <v>0</v>
          </cell>
          <cell r="D1109">
            <v>0</v>
          </cell>
        </row>
        <row r="1110">
          <cell r="A1110">
            <v>0</v>
          </cell>
          <cell r="C1110">
            <v>0</v>
          </cell>
          <cell r="D1110">
            <v>0</v>
          </cell>
        </row>
        <row r="1111">
          <cell r="A1111">
            <v>0</v>
          </cell>
          <cell r="C1111">
            <v>0</v>
          </cell>
          <cell r="D1111">
            <v>0</v>
          </cell>
        </row>
        <row r="1112">
          <cell r="A1112">
            <v>0</v>
          </cell>
          <cell r="C1112">
            <v>0</v>
          </cell>
          <cell r="D1112">
            <v>0</v>
          </cell>
        </row>
        <row r="1113">
          <cell r="A1113">
            <v>0</v>
          </cell>
          <cell r="C1113">
            <v>0</v>
          </cell>
          <cell r="D1113">
            <v>0</v>
          </cell>
        </row>
        <row r="1114">
          <cell r="A1114">
            <v>0</v>
          </cell>
          <cell r="C1114">
            <v>0</v>
          </cell>
          <cell r="D1114">
            <v>0</v>
          </cell>
        </row>
        <row r="1115">
          <cell r="A1115">
            <v>0</v>
          </cell>
          <cell r="C1115">
            <v>0</v>
          </cell>
          <cell r="D1115">
            <v>0</v>
          </cell>
        </row>
        <row r="1116">
          <cell r="A1116">
            <v>0</v>
          </cell>
          <cell r="C1116">
            <v>0</v>
          </cell>
          <cell r="D1116">
            <v>0</v>
          </cell>
        </row>
        <row r="1117">
          <cell r="A1117">
            <v>0</v>
          </cell>
          <cell r="C1117">
            <v>0</v>
          </cell>
          <cell r="D1117">
            <v>0</v>
          </cell>
        </row>
        <row r="1118">
          <cell r="A1118">
            <v>0</v>
          </cell>
          <cell r="C1118">
            <v>0</v>
          </cell>
          <cell r="D1118">
            <v>0</v>
          </cell>
        </row>
        <row r="1119">
          <cell r="A1119">
            <v>0</v>
          </cell>
          <cell r="C1119">
            <v>0</v>
          </cell>
          <cell r="D1119">
            <v>0</v>
          </cell>
        </row>
        <row r="1120">
          <cell r="A1120">
            <v>0</v>
          </cell>
          <cell r="C1120">
            <v>0</v>
          </cell>
          <cell r="D1120">
            <v>0</v>
          </cell>
        </row>
        <row r="1121">
          <cell r="A1121">
            <v>0</v>
          </cell>
          <cell r="C1121">
            <v>0</v>
          </cell>
          <cell r="D1121">
            <v>0</v>
          </cell>
        </row>
        <row r="1122">
          <cell r="A1122">
            <v>0</v>
          </cell>
          <cell r="C1122">
            <v>0</v>
          </cell>
          <cell r="D1122">
            <v>0</v>
          </cell>
        </row>
        <row r="1123">
          <cell r="A1123">
            <v>0</v>
          </cell>
          <cell r="C1123">
            <v>0</v>
          </cell>
          <cell r="D1123">
            <v>0</v>
          </cell>
        </row>
        <row r="1124">
          <cell r="A1124">
            <v>0</v>
          </cell>
          <cell r="C1124">
            <v>0</v>
          </cell>
          <cell r="D1124">
            <v>0</v>
          </cell>
        </row>
        <row r="1125">
          <cell r="A1125">
            <v>0</v>
          </cell>
          <cell r="C1125">
            <v>0</v>
          </cell>
          <cell r="D1125">
            <v>0</v>
          </cell>
        </row>
        <row r="1126">
          <cell r="A1126">
            <v>0</v>
          </cell>
          <cell r="C1126">
            <v>0</v>
          </cell>
          <cell r="D1126">
            <v>0</v>
          </cell>
        </row>
        <row r="1127">
          <cell r="A1127">
            <v>0</v>
          </cell>
          <cell r="C1127">
            <v>0</v>
          </cell>
          <cell r="D1127">
            <v>0</v>
          </cell>
        </row>
        <row r="1128">
          <cell r="A1128">
            <v>0</v>
          </cell>
          <cell r="C1128">
            <v>0</v>
          </cell>
          <cell r="D1128">
            <v>0</v>
          </cell>
        </row>
        <row r="1129">
          <cell r="A1129">
            <v>0</v>
          </cell>
          <cell r="C1129">
            <v>0</v>
          </cell>
          <cell r="D1129">
            <v>0</v>
          </cell>
        </row>
        <row r="1130">
          <cell r="A1130">
            <v>0</v>
          </cell>
          <cell r="C1130">
            <v>0</v>
          </cell>
          <cell r="D1130">
            <v>0</v>
          </cell>
        </row>
        <row r="1131">
          <cell r="A1131">
            <v>0</v>
          </cell>
          <cell r="C1131">
            <v>0</v>
          </cell>
          <cell r="D1131">
            <v>0</v>
          </cell>
        </row>
        <row r="1132">
          <cell r="A1132">
            <v>0</v>
          </cell>
          <cell r="C1132">
            <v>0</v>
          </cell>
          <cell r="D1132">
            <v>0</v>
          </cell>
        </row>
        <row r="1133">
          <cell r="A1133">
            <v>0</v>
          </cell>
          <cell r="C1133">
            <v>0</v>
          </cell>
          <cell r="D1133">
            <v>0</v>
          </cell>
        </row>
        <row r="1134">
          <cell r="A1134">
            <v>0</v>
          </cell>
          <cell r="C1134">
            <v>0</v>
          </cell>
          <cell r="D1134">
            <v>0</v>
          </cell>
        </row>
        <row r="1135">
          <cell r="A1135">
            <v>0</v>
          </cell>
          <cell r="C1135">
            <v>0</v>
          </cell>
          <cell r="D1135">
            <v>0</v>
          </cell>
        </row>
        <row r="1136">
          <cell r="A1136">
            <v>0</v>
          </cell>
          <cell r="C1136">
            <v>0</v>
          </cell>
          <cell r="D1136">
            <v>0</v>
          </cell>
        </row>
        <row r="1137">
          <cell r="A1137">
            <v>0</v>
          </cell>
          <cell r="C1137">
            <v>0</v>
          </cell>
          <cell r="D1137">
            <v>0</v>
          </cell>
        </row>
        <row r="1138">
          <cell r="A1138">
            <v>0</v>
          </cell>
          <cell r="C1138">
            <v>0</v>
          </cell>
          <cell r="D1138">
            <v>0</v>
          </cell>
        </row>
        <row r="1139">
          <cell r="A1139">
            <v>0</v>
          </cell>
          <cell r="C1139">
            <v>0</v>
          </cell>
          <cell r="D1139">
            <v>0</v>
          </cell>
        </row>
        <row r="1140">
          <cell r="A1140">
            <v>0</v>
          </cell>
          <cell r="C1140">
            <v>0</v>
          </cell>
          <cell r="D1140">
            <v>0</v>
          </cell>
        </row>
        <row r="1141">
          <cell r="A1141">
            <v>0</v>
          </cell>
          <cell r="C1141">
            <v>0</v>
          </cell>
          <cell r="D1141">
            <v>0</v>
          </cell>
        </row>
        <row r="1142">
          <cell r="A1142">
            <v>0</v>
          </cell>
          <cell r="C1142">
            <v>0</v>
          </cell>
          <cell r="D1142">
            <v>0</v>
          </cell>
        </row>
        <row r="1143">
          <cell r="A1143">
            <v>0</v>
          </cell>
          <cell r="C1143">
            <v>0</v>
          </cell>
          <cell r="D1143">
            <v>0</v>
          </cell>
        </row>
        <row r="1144">
          <cell r="A1144">
            <v>0</v>
          </cell>
          <cell r="C1144">
            <v>0</v>
          </cell>
          <cell r="D1144">
            <v>0</v>
          </cell>
        </row>
        <row r="1145">
          <cell r="A1145">
            <v>0</v>
          </cell>
          <cell r="C1145">
            <v>0</v>
          </cell>
          <cell r="D1145">
            <v>0</v>
          </cell>
        </row>
        <row r="1146">
          <cell r="A1146">
            <v>0</v>
          </cell>
          <cell r="C1146">
            <v>0</v>
          </cell>
          <cell r="D1146">
            <v>0</v>
          </cell>
        </row>
        <row r="1147">
          <cell r="A1147">
            <v>0</v>
          </cell>
          <cell r="C1147">
            <v>0</v>
          </cell>
          <cell r="D1147">
            <v>0</v>
          </cell>
        </row>
        <row r="1148">
          <cell r="A1148">
            <v>0</v>
          </cell>
          <cell r="C1148">
            <v>0</v>
          </cell>
          <cell r="D1148">
            <v>0</v>
          </cell>
        </row>
        <row r="1149">
          <cell r="A1149">
            <v>0</v>
          </cell>
          <cell r="C1149">
            <v>0</v>
          </cell>
          <cell r="D1149">
            <v>0</v>
          </cell>
        </row>
        <row r="1150">
          <cell r="A1150">
            <v>0</v>
          </cell>
          <cell r="C1150">
            <v>0</v>
          </cell>
          <cell r="D1150">
            <v>0</v>
          </cell>
        </row>
        <row r="1151">
          <cell r="A1151">
            <v>0</v>
          </cell>
          <cell r="C1151">
            <v>0</v>
          </cell>
          <cell r="D1151">
            <v>0</v>
          </cell>
        </row>
        <row r="1152">
          <cell r="A1152">
            <v>0</v>
          </cell>
          <cell r="C1152">
            <v>0</v>
          </cell>
          <cell r="D1152">
            <v>0</v>
          </cell>
        </row>
        <row r="1153">
          <cell r="A1153">
            <v>0</v>
          </cell>
          <cell r="C1153">
            <v>0</v>
          </cell>
          <cell r="D1153">
            <v>0</v>
          </cell>
        </row>
        <row r="1154">
          <cell r="A1154">
            <v>0</v>
          </cell>
          <cell r="C1154">
            <v>0</v>
          </cell>
          <cell r="D1154">
            <v>0</v>
          </cell>
        </row>
        <row r="1155">
          <cell r="A1155">
            <v>0</v>
          </cell>
          <cell r="C1155">
            <v>0</v>
          </cell>
          <cell r="D1155">
            <v>0</v>
          </cell>
        </row>
        <row r="1156">
          <cell r="A1156">
            <v>0</v>
          </cell>
          <cell r="C1156">
            <v>0</v>
          </cell>
          <cell r="D1156">
            <v>0</v>
          </cell>
        </row>
        <row r="1157">
          <cell r="A1157">
            <v>0</v>
          </cell>
          <cell r="C1157">
            <v>0</v>
          </cell>
          <cell r="D1157">
            <v>0</v>
          </cell>
        </row>
        <row r="1158">
          <cell r="A1158">
            <v>0</v>
          </cell>
          <cell r="C1158">
            <v>0</v>
          </cell>
          <cell r="D1158">
            <v>0</v>
          </cell>
        </row>
        <row r="1159">
          <cell r="A1159">
            <v>0</v>
          </cell>
          <cell r="C1159">
            <v>0</v>
          </cell>
          <cell r="D1159">
            <v>0</v>
          </cell>
        </row>
        <row r="1160">
          <cell r="A1160">
            <v>0</v>
          </cell>
          <cell r="C1160">
            <v>0</v>
          </cell>
          <cell r="D1160">
            <v>0</v>
          </cell>
        </row>
        <row r="1161">
          <cell r="A1161">
            <v>0</v>
          </cell>
          <cell r="C1161">
            <v>0</v>
          </cell>
          <cell r="D1161">
            <v>0</v>
          </cell>
        </row>
        <row r="1162">
          <cell r="A1162">
            <v>0</v>
          </cell>
          <cell r="C1162">
            <v>0</v>
          </cell>
          <cell r="D1162">
            <v>0</v>
          </cell>
        </row>
        <row r="1163">
          <cell r="A1163">
            <v>0</v>
          </cell>
          <cell r="C1163">
            <v>0</v>
          </cell>
          <cell r="D1163">
            <v>0</v>
          </cell>
        </row>
        <row r="1164">
          <cell r="A1164">
            <v>0</v>
          </cell>
          <cell r="C1164">
            <v>0</v>
          </cell>
          <cell r="D1164">
            <v>0</v>
          </cell>
        </row>
        <row r="1165">
          <cell r="A1165">
            <v>0</v>
          </cell>
          <cell r="C1165">
            <v>0</v>
          </cell>
          <cell r="D1165">
            <v>0</v>
          </cell>
        </row>
        <row r="1166">
          <cell r="A1166">
            <v>0</v>
          </cell>
          <cell r="C1166">
            <v>0</v>
          </cell>
          <cell r="D1166">
            <v>0</v>
          </cell>
        </row>
        <row r="1167">
          <cell r="A1167">
            <v>0</v>
          </cell>
          <cell r="C1167">
            <v>0</v>
          </cell>
          <cell r="D1167">
            <v>0</v>
          </cell>
        </row>
        <row r="1168">
          <cell r="A1168">
            <v>0</v>
          </cell>
          <cell r="C1168">
            <v>0</v>
          </cell>
          <cell r="D1168">
            <v>0</v>
          </cell>
        </row>
        <row r="1169">
          <cell r="A1169">
            <v>0</v>
          </cell>
          <cell r="C1169">
            <v>0</v>
          </cell>
          <cell r="D1169">
            <v>0</v>
          </cell>
        </row>
        <row r="1170">
          <cell r="A1170">
            <v>0</v>
          </cell>
          <cell r="C1170">
            <v>0</v>
          </cell>
          <cell r="D1170">
            <v>0</v>
          </cell>
        </row>
        <row r="1171">
          <cell r="A1171">
            <v>0</v>
          </cell>
          <cell r="C1171">
            <v>0</v>
          </cell>
          <cell r="D1171">
            <v>0</v>
          </cell>
        </row>
        <row r="1172">
          <cell r="A1172">
            <v>0</v>
          </cell>
          <cell r="C1172">
            <v>0</v>
          </cell>
          <cell r="D1172">
            <v>0</v>
          </cell>
        </row>
        <row r="1173">
          <cell r="A1173">
            <v>0</v>
          </cell>
          <cell r="C1173">
            <v>0</v>
          </cell>
          <cell r="D1173">
            <v>0</v>
          </cell>
        </row>
        <row r="1174">
          <cell r="A1174">
            <v>0</v>
          </cell>
          <cell r="C1174">
            <v>0</v>
          </cell>
          <cell r="D1174">
            <v>0</v>
          </cell>
        </row>
        <row r="1175">
          <cell r="A1175">
            <v>0</v>
          </cell>
          <cell r="C1175">
            <v>0</v>
          </cell>
          <cell r="D1175">
            <v>0</v>
          </cell>
        </row>
        <row r="1176">
          <cell r="A1176">
            <v>0</v>
          </cell>
          <cell r="C1176">
            <v>0</v>
          </cell>
          <cell r="D1176">
            <v>0</v>
          </cell>
        </row>
        <row r="1177">
          <cell r="A1177">
            <v>0</v>
          </cell>
          <cell r="C1177">
            <v>0</v>
          </cell>
          <cell r="D1177">
            <v>0</v>
          </cell>
        </row>
        <row r="1178">
          <cell r="A1178">
            <v>0</v>
          </cell>
          <cell r="C1178">
            <v>0</v>
          </cell>
          <cell r="D1178">
            <v>0</v>
          </cell>
        </row>
        <row r="1179">
          <cell r="A1179">
            <v>0</v>
          </cell>
          <cell r="C1179">
            <v>0</v>
          </cell>
          <cell r="D1179">
            <v>0</v>
          </cell>
        </row>
        <row r="1180">
          <cell r="A1180">
            <v>0</v>
          </cell>
          <cell r="C1180">
            <v>0</v>
          </cell>
          <cell r="D1180">
            <v>0</v>
          </cell>
        </row>
        <row r="1181">
          <cell r="A1181">
            <v>0</v>
          </cell>
          <cell r="C1181">
            <v>0</v>
          </cell>
          <cell r="D1181">
            <v>0</v>
          </cell>
        </row>
        <row r="1182">
          <cell r="A1182">
            <v>0</v>
          </cell>
          <cell r="C1182">
            <v>0</v>
          </cell>
          <cell r="D1182">
            <v>0</v>
          </cell>
        </row>
        <row r="1183">
          <cell r="A1183">
            <v>0</v>
          </cell>
          <cell r="C1183">
            <v>0</v>
          </cell>
          <cell r="D1183">
            <v>0</v>
          </cell>
        </row>
        <row r="1184">
          <cell r="A1184">
            <v>0</v>
          </cell>
          <cell r="C1184">
            <v>0</v>
          </cell>
          <cell r="D1184">
            <v>0</v>
          </cell>
        </row>
        <row r="1185">
          <cell r="A1185">
            <v>0</v>
          </cell>
          <cell r="C1185">
            <v>0</v>
          </cell>
          <cell r="D1185">
            <v>0</v>
          </cell>
        </row>
        <row r="1186">
          <cell r="A1186">
            <v>0</v>
          </cell>
          <cell r="C1186">
            <v>0</v>
          </cell>
          <cell r="D1186">
            <v>0</v>
          </cell>
        </row>
        <row r="1187">
          <cell r="A1187">
            <v>0</v>
          </cell>
          <cell r="C1187">
            <v>0</v>
          </cell>
          <cell r="D1187">
            <v>0</v>
          </cell>
        </row>
        <row r="1188">
          <cell r="A1188">
            <v>0</v>
          </cell>
          <cell r="C1188">
            <v>0</v>
          </cell>
          <cell r="D1188">
            <v>0</v>
          </cell>
        </row>
        <row r="1189">
          <cell r="A1189">
            <v>0</v>
          </cell>
          <cell r="C1189">
            <v>0</v>
          </cell>
          <cell r="D1189">
            <v>0</v>
          </cell>
        </row>
        <row r="1190">
          <cell r="A1190">
            <v>0</v>
          </cell>
          <cell r="C1190">
            <v>0</v>
          </cell>
          <cell r="D1190">
            <v>0</v>
          </cell>
        </row>
        <row r="1191">
          <cell r="A1191">
            <v>0</v>
          </cell>
          <cell r="C1191">
            <v>0</v>
          </cell>
          <cell r="D1191">
            <v>0</v>
          </cell>
        </row>
        <row r="1192">
          <cell r="A1192">
            <v>0</v>
          </cell>
          <cell r="C1192">
            <v>0</v>
          </cell>
          <cell r="D1192">
            <v>0</v>
          </cell>
        </row>
        <row r="1193">
          <cell r="A1193">
            <v>0</v>
          </cell>
          <cell r="C1193">
            <v>0</v>
          </cell>
          <cell r="D1193">
            <v>0</v>
          </cell>
        </row>
        <row r="1194">
          <cell r="A1194">
            <v>0</v>
          </cell>
          <cell r="C1194">
            <v>0</v>
          </cell>
          <cell r="D1194">
            <v>0</v>
          </cell>
        </row>
        <row r="1195">
          <cell r="A1195">
            <v>0</v>
          </cell>
          <cell r="C1195">
            <v>0</v>
          </cell>
          <cell r="D1195">
            <v>0</v>
          </cell>
        </row>
        <row r="1196">
          <cell r="A1196">
            <v>0</v>
          </cell>
          <cell r="C1196">
            <v>0</v>
          </cell>
          <cell r="D1196">
            <v>0</v>
          </cell>
        </row>
        <row r="1197">
          <cell r="A1197">
            <v>0</v>
          </cell>
          <cell r="C1197">
            <v>0</v>
          </cell>
          <cell r="D1197">
            <v>0</v>
          </cell>
        </row>
        <row r="1198">
          <cell r="A1198">
            <v>0</v>
          </cell>
          <cell r="C1198">
            <v>0</v>
          </cell>
          <cell r="D1198">
            <v>0</v>
          </cell>
        </row>
        <row r="1199">
          <cell r="A1199">
            <v>0</v>
          </cell>
          <cell r="C1199">
            <v>0</v>
          </cell>
          <cell r="D1199">
            <v>0</v>
          </cell>
        </row>
        <row r="1200">
          <cell r="A1200">
            <v>0</v>
          </cell>
          <cell r="C1200">
            <v>0</v>
          </cell>
          <cell r="D1200">
            <v>0</v>
          </cell>
        </row>
        <row r="1201">
          <cell r="A1201">
            <v>0</v>
          </cell>
          <cell r="C1201">
            <v>0</v>
          </cell>
          <cell r="D1201">
            <v>0</v>
          </cell>
        </row>
        <row r="1202">
          <cell r="A1202">
            <v>0</v>
          </cell>
          <cell r="C1202">
            <v>0</v>
          </cell>
          <cell r="D1202">
            <v>0</v>
          </cell>
        </row>
        <row r="1203">
          <cell r="A1203">
            <v>0</v>
          </cell>
          <cell r="C1203">
            <v>0</v>
          </cell>
          <cell r="D1203">
            <v>0</v>
          </cell>
        </row>
        <row r="1204">
          <cell r="A1204">
            <v>0</v>
          </cell>
          <cell r="C1204">
            <v>0</v>
          </cell>
          <cell r="D1204">
            <v>0</v>
          </cell>
        </row>
        <row r="1205">
          <cell r="A1205">
            <v>0</v>
          </cell>
          <cell r="C1205">
            <v>0</v>
          </cell>
          <cell r="D1205">
            <v>0</v>
          </cell>
        </row>
        <row r="1206">
          <cell r="A1206">
            <v>0</v>
          </cell>
          <cell r="C1206">
            <v>0</v>
          </cell>
          <cell r="D1206">
            <v>0</v>
          </cell>
        </row>
        <row r="1207">
          <cell r="A1207">
            <v>0</v>
          </cell>
          <cell r="C1207">
            <v>0</v>
          </cell>
          <cell r="D1207">
            <v>0</v>
          </cell>
        </row>
        <row r="1208">
          <cell r="A1208">
            <v>0</v>
          </cell>
          <cell r="C1208">
            <v>0</v>
          </cell>
          <cell r="D1208">
            <v>0</v>
          </cell>
        </row>
        <row r="1209">
          <cell r="A1209">
            <v>0</v>
          </cell>
          <cell r="C1209">
            <v>0</v>
          </cell>
          <cell r="D1209">
            <v>0</v>
          </cell>
        </row>
        <row r="1210">
          <cell r="A1210">
            <v>0</v>
          </cell>
          <cell r="C1210">
            <v>0</v>
          </cell>
          <cell r="D1210">
            <v>0</v>
          </cell>
        </row>
        <row r="1211">
          <cell r="A1211">
            <v>0</v>
          </cell>
          <cell r="C1211">
            <v>0</v>
          </cell>
          <cell r="D1211">
            <v>0</v>
          </cell>
        </row>
        <row r="1212">
          <cell r="A1212">
            <v>0</v>
          </cell>
          <cell r="C1212">
            <v>0</v>
          </cell>
          <cell r="D1212">
            <v>0</v>
          </cell>
        </row>
        <row r="1213">
          <cell r="A1213">
            <v>0</v>
          </cell>
          <cell r="C1213">
            <v>0</v>
          </cell>
          <cell r="D1213">
            <v>0</v>
          </cell>
        </row>
        <row r="1214">
          <cell r="A1214">
            <v>0</v>
          </cell>
          <cell r="C1214">
            <v>0</v>
          </cell>
          <cell r="D1214">
            <v>0</v>
          </cell>
        </row>
        <row r="1215">
          <cell r="A1215">
            <v>0</v>
          </cell>
          <cell r="C1215">
            <v>0</v>
          </cell>
          <cell r="D1215">
            <v>0</v>
          </cell>
        </row>
        <row r="1216">
          <cell r="A1216">
            <v>0</v>
          </cell>
          <cell r="C1216">
            <v>0</v>
          </cell>
          <cell r="D1216">
            <v>0</v>
          </cell>
        </row>
        <row r="1217">
          <cell r="A1217">
            <v>0</v>
          </cell>
          <cell r="C1217">
            <v>0</v>
          </cell>
          <cell r="D1217">
            <v>0</v>
          </cell>
        </row>
        <row r="1218">
          <cell r="A1218">
            <v>0</v>
          </cell>
          <cell r="C1218">
            <v>0</v>
          </cell>
          <cell r="D1218">
            <v>0</v>
          </cell>
        </row>
        <row r="1219">
          <cell r="A1219">
            <v>0</v>
          </cell>
          <cell r="C1219">
            <v>0</v>
          </cell>
          <cell r="D1219">
            <v>0</v>
          </cell>
        </row>
        <row r="1220">
          <cell r="A1220">
            <v>0</v>
          </cell>
          <cell r="C1220">
            <v>0</v>
          </cell>
          <cell r="D1220">
            <v>0</v>
          </cell>
        </row>
        <row r="1221">
          <cell r="A1221">
            <v>0</v>
          </cell>
          <cell r="C1221">
            <v>0</v>
          </cell>
          <cell r="D1221">
            <v>0</v>
          </cell>
        </row>
        <row r="1222">
          <cell r="A1222">
            <v>0</v>
          </cell>
          <cell r="C1222">
            <v>0</v>
          </cell>
          <cell r="D1222">
            <v>0</v>
          </cell>
        </row>
        <row r="1223">
          <cell r="A1223">
            <v>0</v>
          </cell>
          <cell r="C1223">
            <v>0</v>
          </cell>
          <cell r="D1223">
            <v>0</v>
          </cell>
        </row>
        <row r="1224">
          <cell r="A1224">
            <v>0</v>
          </cell>
          <cell r="C1224">
            <v>0</v>
          </cell>
          <cell r="D1224">
            <v>0</v>
          </cell>
        </row>
        <row r="1225">
          <cell r="A1225">
            <v>0</v>
          </cell>
          <cell r="C1225">
            <v>0</v>
          </cell>
          <cell r="D1225">
            <v>0</v>
          </cell>
        </row>
        <row r="1226">
          <cell r="A1226">
            <v>0</v>
          </cell>
          <cell r="C1226">
            <v>0</v>
          </cell>
          <cell r="D1226">
            <v>0</v>
          </cell>
        </row>
        <row r="1227">
          <cell r="A1227">
            <v>0</v>
          </cell>
          <cell r="C1227">
            <v>0</v>
          </cell>
          <cell r="D1227">
            <v>0</v>
          </cell>
        </row>
        <row r="1228">
          <cell r="A1228">
            <v>0</v>
          </cell>
          <cell r="C1228">
            <v>0</v>
          </cell>
          <cell r="D1228">
            <v>0</v>
          </cell>
        </row>
        <row r="1229">
          <cell r="A1229">
            <v>0</v>
          </cell>
          <cell r="C1229">
            <v>0</v>
          </cell>
          <cell r="D1229">
            <v>0</v>
          </cell>
        </row>
        <row r="1230">
          <cell r="A1230">
            <v>0</v>
          </cell>
          <cell r="C1230">
            <v>0</v>
          </cell>
          <cell r="D1230">
            <v>0</v>
          </cell>
        </row>
        <row r="1231">
          <cell r="A1231">
            <v>0</v>
          </cell>
          <cell r="C1231">
            <v>0</v>
          </cell>
          <cell r="D1231">
            <v>0</v>
          </cell>
        </row>
        <row r="1232">
          <cell r="A1232">
            <v>0</v>
          </cell>
          <cell r="C1232">
            <v>0</v>
          </cell>
          <cell r="D1232">
            <v>0</v>
          </cell>
        </row>
        <row r="1233">
          <cell r="A1233">
            <v>0</v>
          </cell>
          <cell r="C1233">
            <v>0</v>
          </cell>
          <cell r="D1233">
            <v>0</v>
          </cell>
        </row>
        <row r="1234">
          <cell r="A1234">
            <v>0</v>
          </cell>
          <cell r="C1234">
            <v>0</v>
          </cell>
          <cell r="D1234">
            <v>0</v>
          </cell>
        </row>
        <row r="1235">
          <cell r="A1235">
            <v>0</v>
          </cell>
          <cell r="C1235">
            <v>0</v>
          </cell>
          <cell r="D1235">
            <v>0</v>
          </cell>
        </row>
        <row r="1236">
          <cell r="A1236">
            <v>0</v>
          </cell>
          <cell r="C1236">
            <v>0</v>
          </cell>
          <cell r="D1236">
            <v>0</v>
          </cell>
        </row>
        <row r="1237">
          <cell r="A1237">
            <v>0</v>
          </cell>
          <cell r="C1237">
            <v>0</v>
          </cell>
          <cell r="D1237">
            <v>0</v>
          </cell>
        </row>
        <row r="1238">
          <cell r="A1238">
            <v>0</v>
          </cell>
          <cell r="C1238">
            <v>0</v>
          </cell>
          <cell r="D1238">
            <v>0</v>
          </cell>
        </row>
        <row r="1239">
          <cell r="A1239">
            <v>0</v>
          </cell>
          <cell r="C1239">
            <v>0</v>
          </cell>
          <cell r="D1239">
            <v>0</v>
          </cell>
        </row>
        <row r="1240">
          <cell r="A1240">
            <v>0</v>
          </cell>
          <cell r="C1240">
            <v>0</v>
          </cell>
          <cell r="D1240">
            <v>0</v>
          </cell>
        </row>
        <row r="1241">
          <cell r="A1241">
            <v>0</v>
          </cell>
          <cell r="C1241">
            <v>0</v>
          </cell>
          <cell r="D1241">
            <v>0</v>
          </cell>
        </row>
        <row r="1242">
          <cell r="A1242">
            <v>0</v>
          </cell>
          <cell r="C1242">
            <v>0</v>
          </cell>
          <cell r="D1242">
            <v>0</v>
          </cell>
        </row>
        <row r="1243">
          <cell r="A1243">
            <v>0</v>
          </cell>
          <cell r="C1243">
            <v>0</v>
          </cell>
          <cell r="D1243">
            <v>0</v>
          </cell>
        </row>
        <row r="1244">
          <cell r="A1244">
            <v>0</v>
          </cell>
          <cell r="C1244">
            <v>0</v>
          </cell>
          <cell r="D1244">
            <v>0</v>
          </cell>
        </row>
        <row r="1245">
          <cell r="A1245">
            <v>0</v>
          </cell>
          <cell r="C1245">
            <v>0</v>
          </cell>
          <cell r="D1245">
            <v>0</v>
          </cell>
        </row>
        <row r="1246">
          <cell r="A1246">
            <v>0</v>
          </cell>
          <cell r="C1246">
            <v>0</v>
          </cell>
          <cell r="D1246">
            <v>0</v>
          </cell>
        </row>
        <row r="1247">
          <cell r="A1247">
            <v>0</v>
          </cell>
          <cell r="C1247">
            <v>0</v>
          </cell>
          <cell r="D1247">
            <v>0</v>
          </cell>
        </row>
        <row r="1248">
          <cell r="A1248">
            <v>0</v>
          </cell>
          <cell r="C1248">
            <v>0</v>
          </cell>
          <cell r="D1248">
            <v>0</v>
          </cell>
        </row>
        <row r="1249">
          <cell r="A1249">
            <v>0</v>
          </cell>
          <cell r="C1249">
            <v>0</v>
          </cell>
          <cell r="D1249">
            <v>0</v>
          </cell>
        </row>
        <row r="1250">
          <cell r="A1250">
            <v>0</v>
          </cell>
          <cell r="C1250">
            <v>0</v>
          </cell>
          <cell r="D1250">
            <v>0</v>
          </cell>
        </row>
        <row r="1251">
          <cell r="A1251">
            <v>0</v>
          </cell>
          <cell r="C1251">
            <v>0</v>
          </cell>
          <cell r="D1251">
            <v>0</v>
          </cell>
        </row>
        <row r="1252">
          <cell r="A1252">
            <v>0</v>
          </cell>
          <cell r="C1252">
            <v>0</v>
          </cell>
          <cell r="D1252">
            <v>0</v>
          </cell>
        </row>
        <row r="1253">
          <cell r="A1253">
            <v>0</v>
          </cell>
          <cell r="C1253">
            <v>0</v>
          </cell>
          <cell r="D1253">
            <v>0</v>
          </cell>
        </row>
        <row r="1254">
          <cell r="A1254">
            <v>0</v>
          </cell>
          <cell r="C1254">
            <v>0</v>
          </cell>
          <cell r="D1254">
            <v>0</v>
          </cell>
        </row>
        <row r="1255">
          <cell r="A1255">
            <v>0</v>
          </cell>
          <cell r="C1255">
            <v>0</v>
          </cell>
          <cell r="D1255">
            <v>0</v>
          </cell>
        </row>
        <row r="1256">
          <cell r="A1256">
            <v>0</v>
          </cell>
          <cell r="C1256">
            <v>0</v>
          </cell>
          <cell r="D1256">
            <v>0</v>
          </cell>
        </row>
        <row r="1257">
          <cell r="A1257">
            <v>0</v>
          </cell>
          <cell r="C1257">
            <v>0</v>
          </cell>
          <cell r="D1257">
            <v>0</v>
          </cell>
        </row>
        <row r="1258">
          <cell r="A1258">
            <v>0</v>
          </cell>
          <cell r="C1258">
            <v>0</v>
          </cell>
          <cell r="D1258">
            <v>0</v>
          </cell>
        </row>
        <row r="1259">
          <cell r="A1259">
            <v>0</v>
          </cell>
          <cell r="C1259">
            <v>0</v>
          </cell>
          <cell r="D1259">
            <v>0</v>
          </cell>
        </row>
        <row r="1260">
          <cell r="A1260">
            <v>0</v>
          </cell>
          <cell r="C1260">
            <v>0</v>
          </cell>
          <cell r="D1260">
            <v>0</v>
          </cell>
        </row>
        <row r="1261">
          <cell r="A1261">
            <v>0</v>
          </cell>
          <cell r="C1261">
            <v>0</v>
          </cell>
          <cell r="D1261">
            <v>0</v>
          </cell>
        </row>
        <row r="1262">
          <cell r="A1262">
            <v>0</v>
          </cell>
          <cell r="C1262">
            <v>0</v>
          </cell>
          <cell r="D1262">
            <v>0</v>
          </cell>
        </row>
        <row r="1263">
          <cell r="A1263">
            <v>0</v>
          </cell>
          <cell r="C1263">
            <v>0</v>
          </cell>
          <cell r="D1263">
            <v>0</v>
          </cell>
        </row>
        <row r="1264">
          <cell r="A1264">
            <v>0</v>
          </cell>
          <cell r="C1264">
            <v>0</v>
          </cell>
          <cell r="D1264">
            <v>0</v>
          </cell>
        </row>
        <row r="1265">
          <cell r="A1265">
            <v>0</v>
          </cell>
          <cell r="C1265">
            <v>0</v>
          </cell>
          <cell r="D1265">
            <v>0</v>
          </cell>
        </row>
        <row r="1266">
          <cell r="A1266">
            <v>0</v>
          </cell>
          <cell r="C1266">
            <v>0</v>
          </cell>
          <cell r="D1266">
            <v>0</v>
          </cell>
        </row>
        <row r="1267">
          <cell r="A1267">
            <v>0</v>
          </cell>
          <cell r="C1267">
            <v>0</v>
          </cell>
          <cell r="D1267">
            <v>0</v>
          </cell>
        </row>
        <row r="1268">
          <cell r="A1268">
            <v>0</v>
          </cell>
          <cell r="C1268">
            <v>0</v>
          </cell>
          <cell r="D1268">
            <v>0</v>
          </cell>
        </row>
        <row r="1269">
          <cell r="A1269">
            <v>0</v>
          </cell>
          <cell r="C1269">
            <v>0</v>
          </cell>
          <cell r="D1269">
            <v>0</v>
          </cell>
        </row>
        <row r="1270">
          <cell r="A1270">
            <v>0</v>
          </cell>
          <cell r="C1270">
            <v>0</v>
          </cell>
          <cell r="D1270">
            <v>0</v>
          </cell>
        </row>
        <row r="1271">
          <cell r="A1271">
            <v>0</v>
          </cell>
          <cell r="C1271">
            <v>0</v>
          </cell>
          <cell r="D1271">
            <v>0</v>
          </cell>
        </row>
        <row r="1272">
          <cell r="A1272">
            <v>0</v>
          </cell>
          <cell r="C1272">
            <v>0</v>
          </cell>
          <cell r="D1272">
            <v>0</v>
          </cell>
        </row>
        <row r="1273">
          <cell r="A1273">
            <v>0</v>
          </cell>
          <cell r="C1273">
            <v>0</v>
          </cell>
          <cell r="D1273">
            <v>0</v>
          </cell>
        </row>
        <row r="1274">
          <cell r="A1274">
            <v>0</v>
          </cell>
          <cell r="C1274">
            <v>0</v>
          </cell>
          <cell r="D1274">
            <v>0</v>
          </cell>
        </row>
        <row r="1275">
          <cell r="A1275">
            <v>0</v>
          </cell>
          <cell r="C1275">
            <v>0</v>
          </cell>
          <cell r="D1275">
            <v>0</v>
          </cell>
        </row>
        <row r="1276">
          <cell r="A1276">
            <v>0</v>
          </cell>
          <cell r="C1276">
            <v>0</v>
          </cell>
          <cell r="D1276">
            <v>0</v>
          </cell>
        </row>
        <row r="1277">
          <cell r="A1277">
            <v>0</v>
          </cell>
          <cell r="C1277">
            <v>0</v>
          </cell>
          <cell r="D1277">
            <v>0</v>
          </cell>
        </row>
        <row r="1278">
          <cell r="A1278">
            <v>0</v>
          </cell>
          <cell r="C1278">
            <v>0</v>
          </cell>
          <cell r="D1278">
            <v>0</v>
          </cell>
        </row>
        <row r="1279">
          <cell r="A1279">
            <v>0</v>
          </cell>
          <cell r="C1279">
            <v>0</v>
          </cell>
          <cell r="D1279">
            <v>0</v>
          </cell>
        </row>
        <row r="1280">
          <cell r="A1280">
            <v>0</v>
          </cell>
          <cell r="C1280">
            <v>0</v>
          </cell>
          <cell r="D1280">
            <v>0</v>
          </cell>
        </row>
        <row r="1281">
          <cell r="A1281">
            <v>0</v>
          </cell>
          <cell r="C1281">
            <v>0</v>
          </cell>
          <cell r="D1281">
            <v>0</v>
          </cell>
        </row>
        <row r="1282">
          <cell r="A1282">
            <v>0</v>
          </cell>
          <cell r="C1282">
            <v>0</v>
          </cell>
          <cell r="D1282">
            <v>0</v>
          </cell>
        </row>
        <row r="1283">
          <cell r="A1283">
            <v>0</v>
          </cell>
          <cell r="C1283">
            <v>0</v>
          </cell>
          <cell r="D1283">
            <v>0</v>
          </cell>
        </row>
        <row r="1284">
          <cell r="A1284">
            <v>0</v>
          </cell>
          <cell r="C1284">
            <v>0</v>
          </cell>
          <cell r="D1284">
            <v>0</v>
          </cell>
        </row>
        <row r="1285">
          <cell r="A1285">
            <v>0</v>
          </cell>
          <cell r="C1285">
            <v>0</v>
          </cell>
          <cell r="D1285">
            <v>0</v>
          </cell>
        </row>
        <row r="1286">
          <cell r="A1286">
            <v>0</v>
          </cell>
          <cell r="C1286">
            <v>0</v>
          </cell>
          <cell r="D1286">
            <v>0</v>
          </cell>
        </row>
        <row r="1287">
          <cell r="A1287">
            <v>0</v>
          </cell>
          <cell r="C1287">
            <v>0</v>
          </cell>
          <cell r="D1287">
            <v>0</v>
          </cell>
        </row>
        <row r="1288">
          <cell r="A1288">
            <v>0</v>
          </cell>
          <cell r="C1288">
            <v>0</v>
          </cell>
          <cell r="D1288">
            <v>0</v>
          </cell>
        </row>
        <row r="1289">
          <cell r="A1289">
            <v>0</v>
          </cell>
          <cell r="C1289">
            <v>0</v>
          </cell>
          <cell r="D1289">
            <v>0</v>
          </cell>
        </row>
        <row r="1290">
          <cell r="A1290">
            <v>0</v>
          </cell>
          <cell r="C1290">
            <v>0</v>
          </cell>
          <cell r="D1290">
            <v>0</v>
          </cell>
        </row>
        <row r="1291">
          <cell r="A1291">
            <v>0</v>
          </cell>
          <cell r="C1291">
            <v>0</v>
          </cell>
          <cell r="D1291">
            <v>0</v>
          </cell>
        </row>
        <row r="1292">
          <cell r="A1292">
            <v>0</v>
          </cell>
          <cell r="C1292">
            <v>0</v>
          </cell>
          <cell r="D1292">
            <v>0</v>
          </cell>
        </row>
        <row r="1293">
          <cell r="A1293">
            <v>0</v>
          </cell>
          <cell r="C1293">
            <v>0</v>
          </cell>
          <cell r="D1293">
            <v>0</v>
          </cell>
        </row>
        <row r="1294">
          <cell r="A1294">
            <v>0</v>
          </cell>
          <cell r="C1294">
            <v>0</v>
          </cell>
          <cell r="D1294">
            <v>0</v>
          </cell>
        </row>
        <row r="1295">
          <cell r="A1295">
            <v>0</v>
          </cell>
          <cell r="C1295">
            <v>0</v>
          </cell>
          <cell r="D1295">
            <v>0</v>
          </cell>
        </row>
        <row r="1296">
          <cell r="A1296">
            <v>0</v>
          </cell>
          <cell r="C1296">
            <v>0</v>
          </cell>
          <cell r="D1296">
            <v>0</v>
          </cell>
        </row>
        <row r="1297">
          <cell r="A1297">
            <v>0</v>
          </cell>
          <cell r="C1297">
            <v>0</v>
          </cell>
          <cell r="D1297">
            <v>0</v>
          </cell>
        </row>
        <row r="1298">
          <cell r="A1298">
            <v>0</v>
          </cell>
          <cell r="C1298">
            <v>0</v>
          </cell>
          <cell r="D1298">
            <v>0</v>
          </cell>
        </row>
        <row r="1299">
          <cell r="A1299">
            <v>0</v>
          </cell>
          <cell r="C1299">
            <v>0</v>
          </cell>
          <cell r="D1299">
            <v>0</v>
          </cell>
        </row>
        <row r="1300">
          <cell r="A1300">
            <v>0</v>
          </cell>
          <cell r="C1300">
            <v>0</v>
          </cell>
          <cell r="D1300">
            <v>0</v>
          </cell>
        </row>
        <row r="1301">
          <cell r="A1301">
            <v>0</v>
          </cell>
          <cell r="C1301">
            <v>0</v>
          </cell>
          <cell r="D1301">
            <v>0</v>
          </cell>
        </row>
        <row r="1302">
          <cell r="A1302">
            <v>0</v>
          </cell>
          <cell r="C1302">
            <v>0</v>
          </cell>
          <cell r="D1302">
            <v>0</v>
          </cell>
        </row>
        <row r="1303">
          <cell r="A1303">
            <v>0</v>
          </cell>
          <cell r="C1303">
            <v>0</v>
          </cell>
          <cell r="D1303">
            <v>0</v>
          </cell>
        </row>
        <row r="1304">
          <cell r="A1304">
            <v>0</v>
          </cell>
          <cell r="C1304">
            <v>0</v>
          </cell>
          <cell r="D1304">
            <v>0</v>
          </cell>
        </row>
        <row r="1305">
          <cell r="A1305">
            <v>0</v>
          </cell>
          <cell r="C1305">
            <v>0</v>
          </cell>
          <cell r="D1305">
            <v>0</v>
          </cell>
        </row>
        <row r="1306">
          <cell r="A1306">
            <v>0</v>
          </cell>
          <cell r="C1306">
            <v>0</v>
          </cell>
          <cell r="D1306">
            <v>0</v>
          </cell>
        </row>
        <row r="1307">
          <cell r="A1307">
            <v>0</v>
          </cell>
          <cell r="C1307">
            <v>0</v>
          </cell>
          <cell r="D1307">
            <v>0</v>
          </cell>
        </row>
        <row r="1308">
          <cell r="A1308">
            <v>0</v>
          </cell>
          <cell r="C1308">
            <v>0</v>
          </cell>
          <cell r="D1308">
            <v>0</v>
          </cell>
        </row>
        <row r="1309">
          <cell r="A1309">
            <v>0</v>
          </cell>
          <cell r="C1309">
            <v>0</v>
          </cell>
          <cell r="D1309">
            <v>0</v>
          </cell>
        </row>
        <row r="1310">
          <cell r="A1310">
            <v>0</v>
          </cell>
          <cell r="C1310">
            <v>0</v>
          </cell>
          <cell r="D1310">
            <v>0</v>
          </cell>
        </row>
        <row r="1311">
          <cell r="A1311">
            <v>0</v>
          </cell>
          <cell r="C1311">
            <v>0</v>
          </cell>
          <cell r="D1311">
            <v>0</v>
          </cell>
        </row>
        <row r="1312">
          <cell r="A1312">
            <v>0</v>
          </cell>
          <cell r="C1312">
            <v>0</v>
          </cell>
          <cell r="D1312">
            <v>0</v>
          </cell>
        </row>
        <row r="1313">
          <cell r="A1313">
            <v>0</v>
          </cell>
          <cell r="C1313">
            <v>0</v>
          </cell>
          <cell r="D1313">
            <v>0</v>
          </cell>
        </row>
        <row r="1314">
          <cell r="A1314">
            <v>0</v>
          </cell>
          <cell r="C1314">
            <v>0</v>
          </cell>
          <cell r="D1314">
            <v>0</v>
          </cell>
        </row>
        <row r="1315">
          <cell r="A1315">
            <v>0</v>
          </cell>
          <cell r="C1315">
            <v>0</v>
          </cell>
          <cell r="D1315">
            <v>0</v>
          </cell>
        </row>
        <row r="1316">
          <cell r="A1316">
            <v>0</v>
          </cell>
          <cell r="C1316">
            <v>0</v>
          </cell>
          <cell r="D1316">
            <v>0</v>
          </cell>
        </row>
        <row r="1317">
          <cell r="A1317">
            <v>0</v>
          </cell>
          <cell r="C1317">
            <v>0</v>
          </cell>
          <cell r="D1317">
            <v>0</v>
          </cell>
        </row>
        <row r="1318">
          <cell r="A1318">
            <v>0</v>
          </cell>
          <cell r="C1318">
            <v>0</v>
          </cell>
          <cell r="D1318">
            <v>0</v>
          </cell>
        </row>
        <row r="1319">
          <cell r="A1319">
            <v>0</v>
          </cell>
          <cell r="C1319">
            <v>0</v>
          </cell>
          <cell r="D1319">
            <v>0</v>
          </cell>
        </row>
        <row r="1320">
          <cell r="A1320">
            <v>0</v>
          </cell>
          <cell r="C1320">
            <v>0</v>
          </cell>
          <cell r="D1320">
            <v>0</v>
          </cell>
        </row>
        <row r="1321">
          <cell r="A1321">
            <v>0</v>
          </cell>
          <cell r="C1321">
            <v>0</v>
          </cell>
          <cell r="D1321">
            <v>0</v>
          </cell>
        </row>
        <row r="1322">
          <cell r="A1322">
            <v>0</v>
          </cell>
          <cell r="C1322">
            <v>0</v>
          </cell>
          <cell r="D1322">
            <v>0</v>
          </cell>
        </row>
        <row r="1323">
          <cell r="A1323">
            <v>0</v>
          </cell>
          <cell r="C1323">
            <v>0</v>
          </cell>
          <cell r="D1323">
            <v>0</v>
          </cell>
        </row>
        <row r="1324">
          <cell r="A1324">
            <v>0</v>
          </cell>
          <cell r="C1324">
            <v>0</v>
          </cell>
          <cell r="D1324">
            <v>0</v>
          </cell>
        </row>
        <row r="1325">
          <cell r="A1325">
            <v>0</v>
          </cell>
          <cell r="C1325">
            <v>0</v>
          </cell>
          <cell r="D1325">
            <v>0</v>
          </cell>
        </row>
        <row r="1326">
          <cell r="A1326">
            <v>0</v>
          </cell>
          <cell r="C1326">
            <v>0</v>
          </cell>
          <cell r="D1326">
            <v>0</v>
          </cell>
        </row>
        <row r="1327">
          <cell r="A1327">
            <v>0</v>
          </cell>
          <cell r="C1327">
            <v>0</v>
          </cell>
          <cell r="D1327">
            <v>0</v>
          </cell>
        </row>
        <row r="1328">
          <cell r="A1328">
            <v>0</v>
          </cell>
          <cell r="C1328">
            <v>0</v>
          </cell>
          <cell r="D1328">
            <v>0</v>
          </cell>
        </row>
        <row r="1329">
          <cell r="A1329">
            <v>0</v>
          </cell>
          <cell r="C1329">
            <v>0</v>
          </cell>
          <cell r="D1329">
            <v>0</v>
          </cell>
        </row>
        <row r="1330">
          <cell r="A1330">
            <v>0</v>
          </cell>
          <cell r="C1330">
            <v>0</v>
          </cell>
          <cell r="D1330">
            <v>0</v>
          </cell>
        </row>
        <row r="1331">
          <cell r="A1331">
            <v>0</v>
          </cell>
          <cell r="C1331">
            <v>0</v>
          </cell>
          <cell r="D1331">
            <v>0</v>
          </cell>
        </row>
        <row r="1332">
          <cell r="A1332">
            <v>0</v>
          </cell>
          <cell r="C1332">
            <v>0</v>
          </cell>
          <cell r="D1332">
            <v>0</v>
          </cell>
        </row>
        <row r="1333">
          <cell r="A1333">
            <v>0</v>
          </cell>
          <cell r="C1333">
            <v>0</v>
          </cell>
          <cell r="D1333">
            <v>0</v>
          </cell>
        </row>
        <row r="1334">
          <cell r="A1334">
            <v>0</v>
          </cell>
          <cell r="C1334">
            <v>0</v>
          </cell>
          <cell r="D1334">
            <v>0</v>
          </cell>
        </row>
        <row r="1335">
          <cell r="A1335">
            <v>0</v>
          </cell>
          <cell r="C1335">
            <v>0</v>
          </cell>
          <cell r="D1335">
            <v>0</v>
          </cell>
        </row>
        <row r="1336">
          <cell r="A1336">
            <v>0</v>
          </cell>
          <cell r="C1336">
            <v>0</v>
          </cell>
          <cell r="D1336">
            <v>0</v>
          </cell>
        </row>
        <row r="1337">
          <cell r="A1337">
            <v>0</v>
          </cell>
          <cell r="C1337">
            <v>0</v>
          </cell>
          <cell r="D1337">
            <v>0</v>
          </cell>
        </row>
        <row r="1338">
          <cell r="A1338">
            <v>0</v>
          </cell>
          <cell r="C1338">
            <v>0</v>
          </cell>
          <cell r="D1338">
            <v>0</v>
          </cell>
        </row>
        <row r="1339">
          <cell r="A1339">
            <v>0</v>
          </cell>
          <cell r="C1339">
            <v>0</v>
          </cell>
          <cell r="D1339">
            <v>0</v>
          </cell>
        </row>
        <row r="1340">
          <cell r="A1340">
            <v>0</v>
          </cell>
          <cell r="C1340">
            <v>0</v>
          </cell>
          <cell r="D1340">
            <v>0</v>
          </cell>
        </row>
        <row r="1341">
          <cell r="A1341">
            <v>0</v>
          </cell>
          <cell r="C1341">
            <v>0</v>
          </cell>
          <cell r="D1341">
            <v>0</v>
          </cell>
        </row>
        <row r="1342">
          <cell r="A1342">
            <v>0</v>
          </cell>
          <cell r="C1342">
            <v>0</v>
          </cell>
          <cell r="D1342">
            <v>0</v>
          </cell>
        </row>
        <row r="1343">
          <cell r="A1343">
            <v>0</v>
          </cell>
          <cell r="C1343">
            <v>0</v>
          </cell>
          <cell r="D1343">
            <v>0</v>
          </cell>
        </row>
        <row r="1344">
          <cell r="A1344">
            <v>0</v>
          </cell>
          <cell r="C1344">
            <v>0</v>
          </cell>
          <cell r="D1344">
            <v>0</v>
          </cell>
        </row>
        <row r="1345">
          <cell r="A1345">
            <v>0</v>
          </cell>
          <cell r="C1345">
            <v>0</v>
          </cell>
          <cell r="D1345">
            <v>0</v>
          </cell>
        </row>
        <row r="1346">
          <cell r="A1346">
            <v>0</v>
          </cell>
          <cell r="C1346">
            <v>0</v>
          </cell>
          <cell r="D1346">
            <v>0</v>
          </cell>
        </row>
        <row r="1347">
          <cell r="A1347">
            <v>0</v>
          </cell>
          <cell r="C1347">
            <v>0</v>
          </cell>
          <cell r="D1347">
            <v>0</v>
          </cell>
        </row>
        <row r="1348">
          <cell r="A1348">
            <v>0</v>
          </cell>
          <cell r="C1348">
            <v>0</v>
          </cell>
          <cell r="D1348">
            <v>0</v>
          </cell>
        </row>
        <row r="1349">
          <cell r="A1349">
            <v>0</v>
          </cell>
          <cell r="C1349">
            <v>0</v>
          </cell>
          <cell r="D1349">
            <v>0</v>
          </cell>
        </row>
        <row r="1350">
          <cell r="A1350">
            <v>0</v>
          </cell>
          <cell r="C1350">
            <v>0</v>
          </cell>
          <cell r="D1350">
            <v>0</v>
          </cell>
        </row>
        <row r="1351">
          <cell r="A1351">
            <v>0</v>
          </cell>
          <cell r="C1351">
            <v>0</v>
          </cell>
          <cell r="D1351">
            <v>0</v>
          </cell>
        </row>
        <row r="1352">
          <cell r="A1352">
            <v>0</v>
          </cell>
          <cell r="C1352">
            <v>0</v>
          </cell>
          <cell r="D1352">
            <v>0</v>
          </cell>
        </row>
        <row r="1353">
          <cell r="A1353">
            <v>0</v>
          </cell>
          <cell r="C1353">
            <v>0</v>
          </cell>
          <cell r="D1353">
            <v>0</v>
          </cell>
        </row>
        <row r="1354">
          <cell r="A1354">
            <v>0</v>
          </cell>
          <cell r="C1354">
            <v>0</v>
          </cell>
          <cell r="D1354">
            <v>0</v>
          </cell>
        </row>
        <row r="1355">
          <cell r="A1355">
            <v>0</v>
          </cell>
          <cell r="C1355">
            <v>0</v>
          </cell>
          <cell r="D1355">
            <v>0</v>
          </cell>
        </row>
        <row r="1356">
          <cell r="A1356">
            <v>0</v>
          </cell>
          <cell r="C1356">
            <v>0</v>
          </cell>
          <cell r="D1356">
            <v>0</v>
          </cell>
        </row>
        <row r="1357">
          <cell r="A1357">
            <v>0</v>
          </cell>
          <cell r="C1357">
            <v>0</v>
          </cell>
          <cell r="D1357">
            <v>0</v>
          </cell>
        </row>
        <row r="1358">
          <cell r="A1358">
            <v>0</v>
          </cell>
          <cell r="C1358">
            <v>0</v>
          </cell>
          <cell r="D1358">
            <v>0</v>
          </cell>
        </row>
        <row r="1359">
          <cell r="A1359">
            <v>0</v>
          </cell>
          <cell r="C1359">
            <v>0</v>
          </cell>
          <cell r="D1359">
            <v>0</v>
          </cell>
        </row>
        <row r="1360">
          <cell r="A1360">
            <v>0</v>
          </cell>
          <cell r="C1360">
            <v>0</v>
          </cell>
          <cell r="D1360">
            <v>0</v>
          </cell>
        </row>
        <row r="1361">
          <cell r="A1361">
            <v>0</v>
          </cell>
          <cell r="C1361">
            <v>0</v>
          </cell>
          <cell r="D1361">
            <v>0</v>
          </cell>
        </row>
        <row r="1362">
          <cell r="A1362">
            <v>0</v>
          </cell>
          <cell r="C1362">
            <v>0</v>
          </cell>
          <cell r="D1362">
            <v>0</v>
          </cell>
        </row>
        <row r="1363">
          <cell r="A1363">
            <v>0</v>
          </cell>
          <cell r="C1363">
            <v>0</v>
          </cell>
          <cell r="D1363">
            <v>0</v>
          </cell>
        </row>
        <row r="1364">
          <cell r="A1364">
            <v>0</v>
          </cell>
          <cell r="C1364">
            <v>0</v>
          </cell>
          <cell r="D1364">
            <v>0</v>
          </cell>
        </row>
        <row r="1365">
          <cell r="A1365">
            <v>0</v>
          </cell>
          <cell r="C1365">
            <v>0</v>
          </cell>
          <cell r="D1365">
            <v>0</v>
          </cell>
        </row>
        <row r="1366">
          <cell r="A1366">
            <v>0</v>
          </cell>
          <cell r="C1366">
            <v>0</v>
          </cell>
          <cell r="D1366">
            <v>0</v>
          </cell>
        </row>
        <row r="1367">
          <cell r="A1367">
            <v>0</v>
          </cell>
          <cell r="C1367">
            <v>0</v>
          </cell>
          <cell r="D1367">
            <v>0</v>
          </cell>
        </row>
        <row r="1368">
          <cell r="A1368">
            <v>0</v>
          </cell>
          <cell r="C1368">
            <v>0</v>
          </cell>
          <cell r="D1368">
            <v>0</v>
          </cell>
        </row>
        <row r="1369">
          <cell r="A1369">
            <v>0</v>
          </cell>
          <cell r="C1369">
            <v>0</v>
          </cell>
          <cell r="D1369">
            <v>0</v>
          </cell>
        </row>
        <row r="1370">
          <cell r="A1370">
            <v>0</v>
          </cell>
          <cell r="C1370">
            <v>0</v>
          </cell>
          <cell r="D1370">
            <v>0</v>
          </cell>
        </row>
        <row r="1371">
          <cell r="A1371">
            <v>0</v>
          </cell>
          <cell r="C1371">
            <v>0</v>
          </cell>
          <cell r="D1371">
            <v>0</v>
          </cell>
        </row>
        <row r="1372">
          <cell r="A1372">
            <v>0</v>
          </cell>
          <cell r="C1372">
            <v>0</v>
          </cell>
          <cell r="D1372">
            <v>0</v>
          </cell>
        </row>
        <row r="1373">
          <cell r="A1373">
            <v>0</v>
          </cell>
          <cell r="C1373">
            <v>0</v>
          </cell>
          <cell r="D1373">
            <v>0</v>
          </cell>
        </row>
        <row r="1374">
          <cell r="A1374">
            <v>0</v>
          </cell>
          <cell r="C1374">
            <v>0</v>
          </cell>
          <cell r="D1374">
            <v>0</v>
          </cell>
        </row>
        <row r="1375">
          <cell r="A1375">
            <v>0</v>
          </cell>
          <cell r="C1375">
            <v>0</v>
          </cell>
          <cell r="D1375">
            <v>0</v>
          </cell>
        </row>
        <row r="1376">
          <cell r="A1376">
            <v>0</v>
          </cell>
          <cell r="C1376">
            <v>0</v>
          </cell>
          <cell r="D1376">
            <v>0</v>
          </cell>
        </row>
        <row r="1377">
          <cell r="A1377">
            <v>0</v>
          </cell>
          <cell r="C1377">
            <v>0</v>
          </cell>
          <cell r="D1377">
            <v>0</v>
          </cell>
        </row>
        <row r="1378">
          <cell r="A1378">
            <v>0</v>
          </cell>
          <cell r="C1378">
            <v>0</v>
          </cell>
          <cell r="D1378">
            <v>0</v>
          </cell>
        </row>
        <row r="1379">
          <cell r="A1379">
            <v>0</v>
          </cell>
          <cell r="C1379">
            <v>0</v>
          </cell>
          <cell r="D1379">
            <v>0</v>
          </cell>
        </row>
        <row r="1380">
          <cell r="A1380">
            <v>0</v>
          </cell>
          <cell r="C1380">
            <v>0</v>
          </cell>
          <cell r="D1380">
            <v>0</v>
          </cell>
        </row>
        <row r="1381">
          <cell r="A1381">
            <v>0</v>
          </cell>
          <cell r="C1381">
            <v>0</v>
          </cell>
          <cell r="D1381">
            <v>0</v>
          </cell>
        </row>
        <row r="1382">
          <cell r="A1382">
            <v>0</v>
          </cell>
          <cell r="C1382">
            <v>0</v>
          </cell>
          <cell r="D1382">
            <v>0</v>
          </cell>
        </row>
        <row r="1383">
          <cell r="A1383">
            <v>0</v>
          </cell>
          <cell r="C1383">
            <v>0</v>
          </cell>
          <cell r="D1383">
            <v>0</v>
          </cell>
        </row>
        <row r="1384">
          <cell r="A1384">
            <v>0</v>
          </cell>
          <cell r="C1384">
            <v>0</v>
          </cell>
          <cell r="D1384">
            <v>0</v>
          </cell>
        </row>
        <row r="1385">
          <cell r="A1385">
            <v>0</v>
          </cell>
          <cell r="C1385">
            <v>0</v>
          </cell>
          <cell r="D1385">
            <v>0</v>
          </cell>
        </row>
        <row r="1386">
          <cell r="A1386">
            <v>0</v>
          </cell>
          <cell r="C1386">
            <v>0</v>
          </cell>
          <cell r="D1386">
            <v>0</v>
          </cell>
        </row>
        <row r="1387">
          <cell r="A1387">
            <v>0</v>
          </cell>
          <cell r="C1387">
            <v>0</v>
          </cell>
          <cell r="D1387">
            <v>0</v>
          </cell>
        </row>
        <row r="1388">
          <cell r="A1388">
            <v>0</v>
          </cell>
          <cell r="C1388">
            <v>0</v>
          </cell>
          <cell r="D1388">
            <v>0</v>
          </cell>
        </row>
        <row r="1389">
          <cell r="A1389">
            <v>0</v>
          </cell>
          <cell r="C1389">
            <v>0</v>
          </cell>
          <cell r="D1389">
            <v>0</v>
          </cell>
        </row>
        <row r="1390">
          <cell r="A1390">
            <v>0</v>
          </cell>
          <cell r="C1390">
            <v>0</v>
          </cell>
          <cell r="D1390">
            <v>0</v>
          </cell>
        </row>
        <row r="1391">
          <cell r="A1391">
            <v>0</v>
          </cell>
          <cell r="C1391">
            <v>0</v>
          </cell>
          <cell r="D1391">
            <v>0</v>
          </cell>
        </row>
        <row r="1392">
          <cell r="A1392">
            <v>0</v>
          </cell>
          <cell r="C1392">
            <v>0</v>
          </cell>
          <cell r="D1392">
            <v>0</v>
          </cell>
        </row>
        <row r="1393">
          <cell r="A1393">
            <v>0</v>
          </cell>
          <cell r="C1393">
            <v>0</v>
          </cell>
          <cell r="D1393">
            <v>0</v>
          </cell>
        </row>
        <row r="1394">
          <cell r="A1394">
            <v>0</v>
          </cell>
          <cell r="C1394">
            <v>0</v>
          </cell>
          <cell r="D1394">
            <v>0</v>
          </cell>
        </row>
        <row r="1395">
          <cell r="A1395">
            <v>0</v>
          </cell>
          <cell r="C1395">
            <v>0</v>
          </cell>
          <cell r="D1395">
            <v>0</v>
          </cell>
        </row>
        <row r="1396">
          <cell r="A1396">
            <v>0</v>
          </cell>
          <cell r="C1396">
            <v>0</v>
          </cell>
          <cell r="D1396">
            <v>0</v>
          </cell>
        </row>
        <row r="1397">
          <cell r="A1397">
            <v>0</v>
          </cell>
          <cell r="C1397">
            <v>0</v>
          </cell>
          <cell r="D1397">
            <v>0</v>
          </cell>
        </row>
        <row r="1398">
          <cell r="A1398">
            <v>0</v>
          </cell>
          <cell r="B1398">
            <v>0</v>
          </cell>
          <cell r="C1398">
            <v>0</v>
          </cell>
          <cell r="D1398">
            <v>0</v>
          </cell>
        </row>
        <row r="1399">
          <cell r="A1399">
            <v>0</v>
          </cell>
          <cell r="B1399">
            <v>0</v>
          </cell>
          <cell r="C1399">
            <v>0</v>
          </cell>
          <cell r="D1399">
            <v>0</v>
          </cell>
        </row>
        <row r="1400">
          <cell r="A1400">
            <v>0</v>
          </cell>
          <cell r="B1400">
            <v>0</v>
          </cell>
          <cell r="C1400">
            <v>0</v>
          </cell>
          <cell r="D1400">
            <v>0</v>
          </cell>
        </row>
        <row r="1401">
          <cell r="A1401">
            <v>0</v>
          </cell>
          <cell r="C1401">
            <v>0</v>
          </cell>
          <cell r="D1401">
            <v>0</v>
          </cell>
        </row>
        <row r="1402">
          <cell r="A1402">
            <v>0</v>
          </cell>
          <cell r="C1402">
            <v>0</v>
          </cell>
          <cell r="D1402">
            <v>0</v>
          </cell>
        </row>
        <row r="1403">
          <cell r="A1403">
            <v>0</v>
          </cell>
          <cell r="C1403">
            <v>0</v>
          </cell>
          <cell r="D1403">
            <v>0</v>
          </cell>
        </row>
        <row r="1404">
          <cell r="A1404">
            <v>0</v>
          </cell>
          <cell r="C1404">
            <v>0</v>
          </cell>
          <cell r="D1404">
            <v>0</v>
          </cell>
        </row>
        <row r="1405">
          <cell r="A1405">
            <v>0</v>
          </cell>
          <cell r="C1405">
            <v>0</v>
          </cell>
          <cell r="D1405">
            <v>0</v>
          </cell>
        </row>
        <row r="1406">
          <cell r="A1406">
            <v>0</v>
          </cell>
          <cell r="C1406">
            <v>0</v>
          </cell>
          <cell r="D1406">
            <v>0</v>
          </cell>
        </row>
        <row r="1407">
          <cell r="A1407">
            <v>0</v>
          </cell>
          <cell r="C1407">
            <v>0</v>
          </cell>
          <cell r="D1407">
            <v>0</v>
          </cell>
        </row>
        <row r="1408">
          <cell r="A1408">
            <v>0</v>
          </cell>
          <cell r="C1408">
            <v>0</v>
          </cell>
          <cell r="D1408">
            <v>0</v>
          </cell>
        </row>
        <row r="1409">
          <cell r="A1409">
            <v>0</v>
          </cell>
          <cell r="C1409">
            <v>0</v>
          </cell>
          <cell r="D1409">
            <v>0</v>
          </cell>
        </row>
        <row r="1410">
          <cell r="A1410">
            <v>0</v>
          </cell>
          <cell r="C1410">
            <v>0</v>
          </cell>
          <cell r="D1410">
            <v>0</v>
          </cell>
        </row>
        <row r="1411">
          <cell r="A1411">
            <v>0</v>
          </cell>
          <cell r="C1411">
            <v>0</v>
          </cell>
          <cell r="D1411">
            <v>0</v>
          </cell>
        </row>
        <row r="1412">
          <cell r="A1412">
            <v>0</v>
          </cell>
          <cell r="C1412">
            <v>0</v>
          </cell>
          <cell r="D1412">
            <v>0</v>
          </cell>
        </row>
        <row r="1413">
          <cell r="A1413">
            <v>0</v>
          </cell>
          <cell r="C1413">
            <v>0</v>
          </cell>
          <cell r="D1413">
            <v>0</v>
          </cell>
        </row>
        <row r="1414">
          <cell r="A1414">
            <v>0</v>
          </cell>
          <cell r="C1414">
            <v>0</v>
          </cell>
          <cell r="D1414">
            <v>0</v>
          </cell>
        </row>
        <row r="1415">
          <cell r="A1415">
            <v>0</v>
          </cell>
          <cell r="B1415">
            <v>0</v>
          </cell>
          <cell r="C1415">
            <v>0</v>
          </cell>
          <cell r="D1415">
            <v>0</v>
          </cell>
        </row>
        <row r="1416">
          <cell r="A1416">
            <v>0</v>
          </cell>
          <cell r="B1416">
            <v>0</v>
          </cell>
          <cell r="C1416">
            <v>0</v>
          </cell>
          <cell r="D1416">
            <v>0</v>
          </cell>
        </row>
        <row r="1417">
          <cell r="A1417">
            <v>0</v>
          </cell>
          <cell r="B1417">
            <v>0</v>
          </cell>
          <cell r="C1417">
            <v>0</v>
          </cell>
          <cell r="D1417">
            <v>0</v>
          </cell>
        </row>
        <row r="1418">
          <cell r="A1418">
            <v>0</v>
          </cell>
          <cell r="C1418">
            <v>0</v>
          </cell>
          <cell r="D1418">
            <v>0</v>
          </cell>
        </row>
        <row r="1419">
          <cell r="A1419">
            <v>0</v>
          </cell>
          <cell r="C1419">
            <v>0</v>
          </cell>
          <cell r="D1419">
            <v>0</v>
          </cell>
        </row>
        <row r="1420">
          <cell r="A1420">
            <v>0</v>
          </cell>
          <cell r="C1420">
            <v>0</v>
          </cell>
          <cell r="D1420">
            <v>0</v>
          </cell>
        </row>
        <row r="1421">
          <cell r="A1421">
            <v>0</v>
          </cell>
          <cell r="C1421">
            <v>0</v>
          </cell>
          <cell r="D1421">
            <v>0</v>
          </cell>
        </row>
        <row r="1422">
          <cell r="A1422">
            <v>0</v>
          </cell>
          <cell r="C1422">
            <v>0</v>
          </cell>
          <cell r="D1422">
            <v>0</v>
          </cell>
        </row>
        <row r="1423">
          <cell r="A1423">
            <v>0</v>
          </cell>
          <cell r="C1423">
            <v>0</v>
          </cell>
          <cell r="D1423">
            <v>0</v>
          </cell>
        </row>
        <row r="1424">
          <cell r="A1424">
            <v>0</v>
          </cell>
          <cell r="C1424">
            <v>0</v>
          </cell>
          <cell r="D1424">
            <v>0</v>
          </cell>
        </row>
        <row r="1425">
          <cell r="A1425">
            <v>0</v>
          </cell>
          <cell r="C1425">
            <v>0</v>
          </cell>
          <cell r="D1425">
            <v>0</v>
          </cell>
        </row>
        <row r="1426">
          <cell r="A1426">
            <v>0</v>
          </cell>
          <cell r="C1426">
            <v>0</v>
          </cell>
          <cell r="D1426">
            <v>0</v>
          </cell>
        </row>
        <row r="1427">
          <cell r="A1427">
            <v>0</v>
          </cell>
          <cell r="C1427">
            <v>0</v>
          </cell>
          <cell r="D1427">
            <v>0</v>
          </cell>
        </row>
        <row r="1428">
          <cell r="A1428">
            <v>0</v>
          </cell>
          <cell r="C1428">
            <v>0</v>
          </cell>
          <cell r="D1428">
            <v>0</v>
          </cell>
        </row>
        <row r="1429">
          <cell r="A1429">
            <v>0</v>
          </cell>
          <cell r="C1429">
            <v>0</v>
          </cell>
          <cell r="D1429">
            <v>0</v>
          </cell>
        </row>
        <row r="1430">
          <cell r="A1430">
            <v>0</v>
          </cell>
          <cell r="C1430">
            <v>0</v>
          </cell>
          <cell r="D1430">
            <v>0</v>
          </cell>
        </row>
        <row r="1431">
          <cell r="A1431">
            <v>0</v>
          </cell>
          <cell r="C1431">
            <v>0</v>
          </cell>
          <cell r="D1431">
            <v>0</v>
          </cell>
        </row>
        <row r="1432">
          <cell r="A1432">
            <v>0</v>
          </cell>
          <cell r="C1432">
            <v>0</v>
          </cell>
          <cell r="D1432">
            <v>0</v>
          </cell>
        </row>
        <row r="1433">
          <cell r="A1433">
            <v>0</v>
          </cell>
          <cell r="C1433">
            <v>0</v>
          </cell>
          <cell r="D1433">
            <v>0</v>
          </cell>
        </row>
        <row r="1434">
          <cell r="A1434">
            <v>0</v>
          </cell>
          <cell r="C1434">
            <v>0</v>
          </cell>
          <cell r="D1434">
            <v>0</v>
          </cell>
        </row>
        <row r="1435">
          <cell r="A1435">
            <v>0</v>
          </cell>
          <cell r="C1435">
            <v>0</v>
          </cell>
          <cell r="D1435">
            <v>0</v>
          </cell>
        </row>
        <row r="1436">
          <cell r="A1436">
            <v>0</v>
          </cell>
          <cell r="C1436">
            <v>0</v>
          </cell>
          <cell r="D1436">
            <v>0</v>
          </cell>
        </row>
        <row r="1437">
          <cell r="A1437">
            <v>0</v>
          </cell>
          <cell r="C1437">
            <v>0</v>
          </cell>
          <cell r="D1437">
            <v>0</v>
          </cell>
        </row>
        <row r="1438">
          <cell r="A1438">
            <v>0</v>
          </cell>
          <cell r="C1438">
            <v>0</v>
          </cell>
          <cell r="D1438">
            <v>0</v>
          </cell>
        </row>
        <row r="1439">
          <cell r="A1439">
            <v>0</v>
          </cell>
          <cell r="C1439">
            <v>0</v>
          </cell>
          <cell r="D1439">
            <v>0</v>
          </cell>
        </row>
        <row r="1440">
          <cell r="A1440">
            <v>0</v>
          </cell>
          <cell r="C1440">
            <v>0</v>
          </cell>
          <cell r="D1440">
            <v>0</v>
          </cell>
        </row>
        <row r="1441">
          <cell r="A1441">
            <v>0</v>
          </cell>
          <cell r="C1441">
            <v>0</v>
          </cell>
          <cell r="D1441">
            <v>0</v>
          </cell>
        </row>
        <row r="1442">
          <cell r="A1442">
            <v>0</v>
          </cell>
          <cell r="C1442">
            <v>0</v>
          </cell>
          <cell r="D1442">
            <v>0</v>
          </cell>
        </row>
        <row r="1443">
          <cell r="A1443">
            <v>0</v>
          </cell>
          <cell r="C1443">
            <v>0</v>
          </cell>
          <cell r="D1443">
            <v>0</v>
          </cell>
        </row>
        <row r="1444">
          <cell r="A1444">
            <v>0</v>
          </cell>
          <cell r="C1444">
            <v>0</v>
          </cell>
          <cell r="D1444">
            <v>0</v>
          </cell>
        </row>
        <row r="1445">
          <cell r="A1445">
            <v>0</v>
          </cell>
          <cell r="C1445">
            <v>0</v>
          </cell>
          <cell r="D1445">
            <v>0</v>
          </cell>
        </row>
        <row r="1446">
          <cell r="A1446">
            <v>0</v>
          </cell>
          <cell r="C1446">
            <v>0</v>
          </cell>
          <cell r="D1446">
            <v>0</v>
          </cell>
        </row>
        <row r="1447">
          <cell r="A1447">
            <v>0</v>
          </cell>
          <cell r="C1447">
            <v>0</v>
          </cell>
          <cell r="D1447">
            <v>0</v>
          </cell>
        </row>
        <row r="1448">
          <cell r="A1448">
            <v>0</v>
          </cell>
          <cell r="C1448">
            <v>0</v>
          </cell>
          <cell r="D1448">
            <v>0</v>
          </cell>
        </row>
        <row r="1449">
          <cell r="A1449">
            <v>0</v>
          </cell>
          <cell r="C1449">
            <v>0</v>
          </cell>
          <cell r="D1449">
            <v>0</v>
          </cell>
        </row>
        <row r="1450">
          <cell r="A1450">
            <v>0</v>
          </cell>
          <cell r="C1450">
            <v>0</v>
          </cell>
          <cell r="D1450">
            <v>0</v>
          </cell>
        </row>
        <row r="1451">
          <cell r="A1451">
            <v>0</v>
          </cell>
          <cell r="C1451">
            <v>0</v>
          </cell>
          <cell r="D1451">
            <v>0</v>
          </cell>
        </row>
        <row r="1452">
          <cell r="A1452">
            <v>0</v>
          </cell>
          <cell r="C1452">
            <v>0</v>
          </cell>
          <cell r="D1452">
            <v>0</v>
          </cell>
        </row>
        <row r="1453">
          <cell r="A1453">
            <v>0</v>
          </cell>
          <cell r="C1453">
            <v>0</v>
          </cell>
          <cell r="D1453">
            <v>0</v>
          </cell>
        </row>
        <row r="1454">
          <cell r="A1454">
            <v>0</v>
          </cell>
          <cell r="C1454">
            <v>0</v>
          </cell>
          <cell r="D1454">
            <v>0</v>
          </cell>
        </row>
        <row r="1455">
          <cell r="A1455">
            <v>0</v>
          </cell>
          <cell r="C1455">
            <v>0</v>
          </cell>
          <cell r="D1455">
            <v>0</v>
          </cell>
        </row>
        <row r="1456">
          <cell r="A1456">
            <v>0</v>
          </cell>
          <cell r="C1456">
            <v>0</v>
          </cell>
          <cell r="D1456">
            <v>0</v>
          </cell>
        </row>
        <row r="1457">
          <cell r="A1457">
            <v>0</v>
          </cell>
          <cell r="C1457">
            <v>0</v>
          </cell>
          <cell r="D1457">
            <v>0</v>
          </cell>
        </row>
        <row r="1458">
          <cell r="A1458">
            <v>0</v>
          </cell>
          <cell r="C1458">
            <v>0</v>
          </cell>
          <cell r="D1458">
            <v>0</v>
          </cell>
        </row>
        <row r="1459">
          <cell r="A1459">
            <v>0</v>
          </cell>
          <cell r="C1459">
            <v>0</v>
          </cell>
          <cell r="D1459">
            <v>0</v>
          </cell>
        </row>
        <row r="1460">
          <cell r="A1460">
            <v>0</v>
          </cell>
          <cell r="C1460">
            <v>0</v>
          </cell>
          <cell r="D1460">
            <v>0</v>
          </cell>
        </row>
        <row r="1461">
          <cell r="A1461">
            <v>0</v>
          </cell>
          <cell r="C1461">
            <v>0</v>
          </cell>
          <cell r="D1461">
            <v>0</v>
          </cell>
        </row>
        <row r="1462">
          <cell r="A1462">
            <v>0</v>
          </cell>
          <cell r="C1462">
            <v>0</v>
          </cell>
          <cell r="D1462">
            <v>0</v>
          </cell>
        </row>
        <row r="1463">
          <cell r="A1463">
            <v>0</v>
          </cell>
          <cell r="C1463">
            <v>0</v>
          </cell>
          <cell r="D1463">
            <v>0</v>
          </cell>
        </row>
        <row r="1464">
          <cell r="A1464">
            <v>0</v>
          </cell>
          <cell r="C1464">
            <v>0</v>
          </cell>
          <cell r="D1464">
            <v>0</v>
          </cell>
        </row>
        <row r="1465">
          <cell r="A1465">
            <v>0</v>
          </cell>
          <cell r="C1465">
            <v>0</v>
          </cell>
          <cell r="D1465">
            <v>0</v>
          </cell>
        </row>
        <row r="1466">
          <cell r="A1466">
            <v>0</v>
          </cell>
          <cell r="C1466">
            <v>0</v>
          </cell>
          <cell r="D1466">
            <v>0</v>
          </cell>
        </row>
        <row r="1467">
          <cell r="A1467">
            <v>0</v>
          </cell>
          <cell r="C1467">
            <v>0</v>
          </cell>
          <cell r="D1467">
            <v>0</v>
          </cell>
        </row>
        <row r="1468">
          <cell r="A1468">
            <v>0</v>
          </cell>
          <cell r="C1468">
            <v>0</v>
          </cell>
          <cell r="D1468">
            <v>0</v>
          </cell>
        </row>
        <row r="1469">
          <cell r="A1469">
            <v>0</v>
          </cell>
          <cell r="C1469">
            <v>0</v>
          </cell>
          <cell r="D1469">
            <v>0</v>
          </cell>
        </row>
        <row r="1470">
          <cell r="A1470">
            <v>0</v>
          </cell>
          <cell r="C1470">
            <v>0</v>
          </cell>
          <cell r="D1470">
            <v>0</v>
          </cell>
        </row>
        <row r="1471">
          <cell r="A1471">
            <v>0</v>
          </cell>
          <cell r="C1471">
            <v>0</v>
          </cell>
          <cell r="D1471">
            <v>0</v>
          </cell>
        </row>
        <row r="1472">
          <cell r="A1472">
            <v>0</v>
          </cell>
          <cell r="C1472">
            <v>0</v>
          </cell>
          <cell r="D1472">
            <v>0</v>
          </cell>
        </row>
        <row r="1473">
          <cell r="A1473">
            <v>0</v>
          </cell>
          <cell r="C1473">
            <v>0</v>
          </cell>
          <cell r="D1473">
            <v>0</v>
          </cell>
        </row>
        <row r="1474">
          <cell r="A1474">
            <v>0</v>
          </cell>
          <cell r="C1474">
            <v>0</v>
          </cell>
          <cell r="D1474">
            <v>0</v>
          </cell>
        </row>
        <row r="1475">
          <cell r="A1475">
            <v>0</v>
          </cell>
          <cell r="C1475">
            <v>0</v>
          </cell>
          <cell r="D1475">
            <v>0</v>
          </cell>
        </row>
        <row r="1476">
          <cell r="A1476">
            <v>0</v>
          </cell>
          <cell r="C1476">
            <v>0</v>
          </cell>
          <cell r="D1476">
            <v>0</v>
          </cell>
        </row>
        <row r="1477">
          <cell r="A1477">
            <v>0</v>
          </cell>
          <cell r="C1477">
            <v>0</v>
          </cell>
          <cell r="D1477">
            <v>0</v>
          </cell>
        </row>
        <row r="1478">
          <cell r="A1478">
            <v>0</v>
          </cell>
          <cell r="C1478">
            <v>0</v>
          </cell>
          <cell r="D1478">
            <v>0</v>
          </cell>
        </row>
        <row r="1479">
          <cell r="A1479">
            <v>0</v>
          </cell>
          <cell r="C1479">
            <v>0</v>
          </cell>
          <cell r="D1479">
            <v>0</v>
          </cell>
        </row>
        <row r="1480">
          <cell r="A1480">
            <v>0</v>
          </cell>
          <cell r="C1480">
            <v>0</v>
          </cell>
          <cell r="D1480">
            <v>0</v>
          </cell>
        </row>
        <row r="1481">
          <cell r="A1481">
            <v>0</v>
          </cell>
          <cell r="C1481">
            <v>0</v>
          </cell>
          <cell r="D1481">
            <v>0</v>
          </cell>
        </row>
        <row r="1482">
          <cell r="A1482">
            <v>0</v>
          </cell>
          <cell r="C1482">
            <v>0</v>
          </cell>
          <cell r="D1482">
            <v>0</v>
          </cell>
        </row>
        <row r="1483">
          <cell r="A1483">
            <v>0</v>
          </cell>
          <cell r="C1483">
            <v>0</v>
          </cell>
          <cell r="D1483">
            <v>0</v>
          </cell>
        </row>
        <row r="1484">
          <cell r="A1484">
            <v>0</v>
          </cell>
          <cell r="C1484">
            <v>0</v>
          </cell>
          <cell r="D1484">
            <v>0</v>
          </cell>
        </row>
        <row r="1485">
          <cell r="A1485">
            <v>0</v>
          </cell>
          <cell r="C1485">
            <v>0</v>
          </cell>
          <cell r="D1485">
            <v>0</v>
          </cell>
        </row>
        <row r="1486">
          <cell r="A1486">
            <v>0</v>
          </cell>
          <cell r="C1486">
            <v>0</v>
          </cell>
          <cell r="D1486">
            <v>0</v>
          </cell>
        </row>
        <row r="1487">
          <cell r="A1487">
            <v>0</v>
          </cell>
          <cell r="C1487">
            <v>0</v>
          </cell>
          <cell r="D1487">
            <v>0</v>
          </cell>
        </row>
        <row r="1488">
          <cell r="A1488">
            <v>0</v>
          </cell>
          <cell r="C1488">
            <v>0</v>
          </cell>
          <cell r="D1488">
            <v>0</v>
          </cell>
        </row>
        <row r="1489">
          <cell r="A1489">
            <v>0</v>
          </cell>
          <cell r="C1489">
            <v>0</v>
          </cell>
          <cell r="D1489">
            <v>0</v>
          </cell>
        </row>
        <row r="1490">
          <cell r="A1490">
            <v>0</v>
          </cell>
          <cell r="C1490">
            <v>0</v>
          </cell>
          <cell r="D1490">
            <v>0</v>
          </cell>
        </row>
        <row r="1491">
          <cell r="A1491">
            <v>0</v>
          </cell>
          <cell r="C1491">
            <v>0</v>
          </cell>
          <cell r="D1491">
            <v>0</v>
          </cell>
        </row>
        <row r="1492">
          <cell r="A1492">
            <v>0</v>
          </cell>
          <cell r="C1492">
            <v>0</v>
          </cell>
          <cell r="D1492">
            <v>0</v>
          </cell>
        </row>
        <row r="1493">
          <cell r="A1493">
            <v>0</v>
          </cell>
          <cell r="C1493">
            <v>0</v>
          </cell>
          <cell r="D1493">
            <v>0</v>
          </cell>
        </row>
        <row r="1494">
          <cell r="A1494">
            <v>0</v>
          </cell>
          <cell r="C1494">
            <v>0</v>
          </cell>
          <cell r="D1494">
            <v>0</v>
          </cell>
        </row>
        <row r="1495">
          <cell r="A1495">
            <v>0</v>
          </cell>
          <cell r="C1495">
            <v>0</v>
          </cell>
          <cell r="D1495">
            <v>0</v>
          </cell>
        </row>
        <row r="1496">
          <cell r="A1496">
            <v>0</v>
          </cell>
          <cell r="C1496">
            <v>0</v>
          </cell>
          <cell r="D1496">
            <v>0</v>
          </cell>
        </row>
        <row r="1497">
          <cell r="A1497">
            <v>0</v>
          </cell>
          <cell r="C1497">
            <v>0</v>
          </cell>
          <cell r="D1497">
            <v>0</v>
          </cell>
        </row>
        <row r="1498">
          <cell r="A1498">
            <v>0</v>
          </cell>
          <cell r="C1498">
            <v>0</v>
          </cell>
          <cell r="D1498">
            <v>0</v>
          </cell>
        </row>
        <row r="1499">
          <cell r="A1499">
            <v>0</v>
          </cell>
          <cell r="C1499">
            <v>0</v>
          </cell>
          <cell r="D1499">
            <v>0</v>
          </cell>
        </row>
        <row r="1500">
          <cell r="A1500">
            <v>0</v>
          </cell>
          <cell r="C1500">
            <v>0</v>
          </cell>
          <cell r="D1500">
            <v>0</v>
          </cell>
        </row>
        <row r="1501">
          <cell r="A1501">
            <v>0</v>
          </cell>
          <cell r="C1501">
            <v>0</v>
          </cell>
          <cell r="D1501">
            <v>0</v>
          </cell>
        </row>
        <row r="1502">
          <cell r="A1502">
            <v>0</v>
          </cell>
          <cell r="C1502">
            <v>0</v>
          </cell>
          <cell r="D1502">
            <v>0</v>
          </cell>
        </row>
        <row r="1503">
          <cell r="A1503">
            <v>0</v>
          </cell>
          <cell r="C1503">
            <v>0</v>
          </cell>
          <cell r="D1503">
            <v>0</v>
          </cell>
        </row>
        <row r="1504">
          <cell r="A1504">
            <v>0</v>
          </cell>
          <cell r="C1504">
            <v>0</v>
          </cell>
          <cell r="D1504">
            <v>0</v>
          </cell>
        </row>
        <row r="1505">
          <cell r="A1505">
            <v>0</v>
          </cell>
          <cell r="C1505">
            <v>0</v>
          </cell>
          <cell r="D1505">
            <v>0</v>
          </cell>
        </row>
        <row r="1506">
          <cell r="A1506">
            <v>0</v>
          </cell>
          <cell r="C1506">
            <v>0</v>
          </cell>
          <cell r="D1506">
            <v>0</v>
          </cell>
        </row>
        <row r="1507">
          <cell r="A1507">
            <v>0</v>
          </cell>
          <cell r="C1507">
            <v>0</v>
          </cell>
          <cell r="D1507">
            <v>0</v>
          </cell>
        </row>
        <row r="1508">
          <cell r="A1508">
            <v>0</v>
          </cell>
          <cell r="C1508">
            <v>0</v>
          </cell>
          <cell r="D1508">
            <v>0</v>
          </cell>
        </row>
        <row r="1509">
          <cell r="A1509">
            <v>0</v>
          </cell>
          <cell r="C1509">
            <v>0</v>
          </cell>
          <cell r="D1509">
            <v>0</v>
          </cell>
        </row>
        <row r="1510">
          <cell r="A1510">
            <v>0</v>
          </cell>
          <cell r="C1510">
            <v>0</v>
          </cell>
          <cell r="D1510">
            <v>0</v>
          </cell>
        </row>
        <row r="1511">
          <cell r="A1511">
            <v>0</v>
          </cell>
          <cell r="C1511">
            <v>0</v>
          </cell>
          <cell r="D1511">
            <v>0</v>
          </cell>
        </row>
        <row r="1512">
          <cell r="A1512">
            <v>0</v>
          </cell>
          <cell r="C1512">
            <v>0</v>
          </cell>
          <cell r="D1512">
            <v>0</v>
          </cell>
        </row>
        <row r="1513">
          <cell r="A1513">
            <v>0</v>
          </cell>
          <cell r="C1513">
            <v>0</v>
          </cell>
          <cell r="D1513">
            <v>0</v>
          </cell>
        </row>
        <row r="1514">
          <cell r="A1514">
            <v>0</v>
          </cell>
          <cell r="C1514">
            <v>0</v>
          </cell>
          <cell r="D1514">
            <v>0</v>
          </cell>
        </row>
        <row r="1515">
          <cell r="A1515">
            <v>0</v>
          </cell>
          <cell r="C1515">
            <v>0</v>
          </cell>
          <cell r="D1515">
            <v>0</v>
          </cell>
        </row>
        <row r="1516">
          <cell r="A1516">
            <v>0</v>
          </cell>
          <cell r="C1516">
            <v>0</v>
          </cell>
          <cell r="D1516">
            <v>0</v>
          </cell>
        </row>
        <row r="1517">
          <cell r="A1517">
            <v>0</v>
          </cell>
          <cell r="C1517">
            <v>0</v>
          </cell>
          <cell r="D1517">
            <v>0</v>
          </cell>
        </row>
        <row r="1518">
          <cell r="A1518">
            <v>0</v>
          </cell>
          <cell r="C1518">
            <v>0</v>
          </cell>
          <cell r="D1518">
            <v>0</v>
          </cell>
        </row>
        <row r="1519">
          <cell r="A1519">
            <v>0</v>
          </cell>
          <cell r="C1519">
            <v>0</v>
          </cell>
          <cell r="D1519">
            <v>0</v>
          </cell>
        </row>
        <row r="1520">
          <cell r="A1520">
            <v>0</v>
          </cell>
          <cell r="C1520">
            <v>0</v>
          </cell>
          <cell r="D1520">
            <v>0</v>
          </cell>
        </row>
        <row r="1521">
          <cell r="A1521">
            <v>0</v>
          </cell>
          <cell r="C1521">
            <v>0</v>
          </cell>
          <cell r="D1521">
            <v>0</v>
          </cell>
        </row>
        <row r="1522">
          <cell r="A1522">
            <v>0</v>
          </cell>
          <cell r="C1522">
            <v>0</v>
          </cell>
          <cell r="D1522">
            <v>0</v>
          </cell>
        </row>
        <row r="1523">
          <cell r="A1523">
            <v>0</v>
          </cell>
          <cell r="C1523">
            <v>0</v>
          </cell>
          <cell r="D1523">
            <v>0</v>
          </cell>
        </row>
        <row r="1524">
          <cell r="A1524">
            <v>0</v>
          </cell>
          <cell r="C1524">
            <v>0</v>
          </cell>
          <cell r="D1524">
            <v>0</v>
          </cell>
        </row>
        <row r="1525">
          <cell r="A1525">
            <v>0</v>
          </cell>
          <cell r="C1525">
            <v>0</v>
          </cell>
          <cell r="D1525">
            <v>0</v>
          </cell>
        </row>
        <row r="1526">
          <cell r="A1526">
            <v>0</v>
          </cell>
          <cell r="C1526">
            <v>0</v>
          </cell>
          <cell r="D1526">
            <v>0</v>
          </cell>
        </row>
        <row r="1527">
          <cell r="A1527">
            <v>0</v>
          </cell>
          <cell r="C1527">
            <v>0</v>
          </cell>
          <cell r="D1527">
            <v>0</v>
          </cell>
        </row>
        <row r="1528">
          <cell r="A1528">
            <v>0</v>
          </cell>
          <cell r="C1528">
            <v>0</v>
          </cell>
          <cell r="D1528">
            <v>0</v>
          </cell>
        </row>
        <row r="1529">
          <cell r="A1529">
            <v>0</v>
          </cell>
          <cell r="C1529">
            <v>0</v>
          </cell>
          <cell r="D1529">
            <v>0</v>
          </cell>
        </row>
        <row r="1530">
          <cell r="A1530">
            <v>0</v>
          </cell>
          <cell r="C1530">
            <v>0</v>
          </cell>
          <cell r="D1530">
            <v>0</v>
          </cell>
        </row>
        <row r="1531">
          <cell r="A1531">
            <v>0</v>
          </cell>
          <cell r="C1531">
            <v>0</v>
          </cell>
          <cell r="D1531">
            <v>0</v>
          </cell>
        </row>
        <row r="1532">
          <cell r="A1532">
            <v>0</v>
          </cell>
          <cell r="C1532">
            <v>0</v>
          </cell>
          <cell r="D1532">
            <v>0</v>
          </cell>
        </row>
        <row r="1533">
          <cell r="A1533">
            <v>0</v>
          </cell>
          <cell r="C1533">
            <v>0</v>
          </cell>
          <cell r="D1533">
            <v>0</v>
          </cell>
        </row>
        <row r="1534">
          <cell r="A1534">
            <v>0</v>
          </cell>
          <cell r="C1534">
            <v>0</v>
          </cell>
          <cell r="D1534">
            <v>0</v>
          </cell>
        </row>
        <row r="1535">
          <cell r="A1535">
            <v>0</v>
          </cell>
          <cell r="C1535">
            <v>0</v>
          </cell>
          <cell r="D1535">
            <v>0</v>
          </cell>
        </row>
        <row r="1536">
          <cell r="A1536">
            <v>0</v>
          </cell>
          <cell r="C1536">
            <v>0</v>
          </cell>
          <cell r="D1536">
            <v>0</v>
          </cell>
        </row>
        <row r="1537">
          <cell r="A1537">
            <v>0</v>
          </cell>
          <cell r="C1537">
            <v>0</v>
          </cell>
          <cell r="D1537">
            <v>0</v>
          </cell>
        </row>
        <row r="1538">
          <cell r="A1538">
            <v>0</v>
          </cell>
          <cell r="C1538">
            <v>0</v>
          </cell>
          <cell r="D1538">
            <v>0</v>
          </cell>
        </row>
        <row r="1539">
          <cell r="A1539">
            <v>0</v>
          </cell>
          <cell r="C1539">
            <v>0</v>
          </cell>
          <cell r="D1539">
            <v>0</v>
          </cell>
        </row>
        <row r="1540">
          <cell r="A1540">
            <v>0</v>
          </cell>
          <cell r="C1540">
            <v>0</v>
          </cell>
          <cell r="D1540">
            <v>0</v>
          </cell>
        </row>
        <row r="1541">
          <cell r="A1541">
            <v>0</v>
          </cell>
          <cell r="C1541">
            <v>0</v>
          </cell>
          <cell r="D1541">
            <v>0</v>
          </cell>
        </row>
        <row r="1542">
          <cell r="A1542">
            <v>0</v>
          </cell>
          <cell r="C1542">
            <v>0</v>
          </cell>
          <cell r="D1542">
            <v>0</v>
          </cell>
        </row>
        <row r="1543">
          <cell r="A1543">
            <v>0</v>
          </cell>
          <cell r="C1543">
            <v>0</v>
          </cell>
          <cell r="D1543">
            <v>0</v>
          </cell>
        </row>
        <row r="1544">
          <cell r="A1544">
            <v>0</v>
          </cell>
          <cell r="C1544">
            <v>0</v>
          </cell>
          <cell r="D1544">
            <v>0</v>
          </cell>
        </row>
        <row r="1545">
          <cell r="A1545">
            <v>0</v>
          </cell>
          <cell r="C1545">
            <v>0</v>
          </cell>
          <cell r="D1545">
            <v>0</v>
          </cell>
        </row>
        <row r="1546">
          <cell r="A1546">
            <v>0</v>
          </cell>
          <cell r="C1546">
            <v>0</v>
          </cell>
          <cell r="D1546">
            <v>0</v>
          </cell>
        </row>
        <row r="1547">
          <cell r="A1547">
            <v>0</v>
          </cell>
          <cell r="C1547">
            <v>0</v>
          </cell>
          <cell r="D1547">
            <v>0</v>
          </cell>
        </row>
        <row r="1548">
          <cell r="A1548">
            <v>0</v>
          </cell>
          <cell r="C1548">
            <v>0</v>
          </cell>
          <cell r="D1548">
            <v>0</v>
          </cell>
        </row>
        <row r="1549">
          <cell r="A1549">
            <v>0</v>
          </cell>
          <cell r="C1549">
            <v>0</v>
          </cell>
          <cell r="D1549">
            <v>0</v>
          </cell>
        </row>
        <row r="1550">
          <cell r="A1550">
            <v>0</v>
          </cell>
          <cell r="C1550">
            <v>0</v>
          </cell>
          <cell r="D1550">
            <v>0</v>
          </cell>
        </row>
        <row r="1551">
          <cell r="A1551">
            <v>0</v>
          </cell>
          <cell r="C1551">
            <v>0</v>
          </cell>
          <cell r="D1551">
            <v>0</v>
          </cell>
        </row>
        <row r="1552">
          <cell r="A1552">
            <v>0</v>
          </cell>
          <cell r="C1552">
            <v>0</v>
          </cell>
          <cell r="D1552">
            <v>0</v>
          </cell>
        </row>
        <row r="1553">
          <cell r="A1553">
            <v>0</v>
          </cell>
          <cell r="C1553">
            <v>0</v>
          </cell>
          <cell r="D1553">
            <v>0</v>
          </cell>
        </row>
        <row r="1554">
          <cell r="A1554">
            <v>0</v>
          </cell>
          <cell r="C1554">
            <v>0</v>
          </cell>
          <cell r="D1554">
            <v>0</v>
          </cell>
        </row>
        <row r="1555">
          <cell r="A1555">
            <v>0</v>
          </cell>
          <cell r="C1555">
            <v>0</v>
          </cell>
          <cell r="D1555">
            <v>0</v>
          </cell>
        </row>
        <row r="1556">
          <cell r="A1556">
            <v>0</v>
          </cell>
          <cell r="C1556">
            <v>0</v>
          </cell>
          <cell r="D1556">
            <v>0</v>
          </cell>
        </row>
        <row r="1557">
          <cell r="A1557">
            <v>0</v>
          </cell>
          <cell r="C1557">
            <v>0</v>
          </cell>
          <cell r="D1557">
            <v>0</v>
          </cell>
        </row>
        <row r="1558">
          <cell r="A1558">
            <v>0</v>
          </cell>
          <cell r="C1558">
            <v>0</v>
          </cell>
          <cell r="D1558">
            <v>0</v>
          </cell>
        </row>
        <row r="1559">
          <cell r="A1559">
            <v>0</v>
          </cell>
          <cell r="C1559">
            <v>0</v>
          </cell>
          <cell r="D1559">
            <v>0</v>
          </cell>
        </row>
        <row r="1560">
          <cell r="A1560">
            <v>0</v>
          </cell>
          <cell r="C1560">
            <v>0</v>
          </cell>
          <cell r="D1560">
            <v>0</v>
          </cell>
        </row>
        <row r="1561">
          <cell r="A1561">
            <v>0</v>
          </cell>
          <cell r="C1561">
            <v>0</v>
          </cell>
          <cell r="D1561">
            <v>0</v>
          </cell>
        </row>
        <row r="1562">
          <cell r="A1562">
            <v>0</v>
          </cell>
          <cell r="C1562">
            <v>0</v>
          </cell>
          <cell r="D1562">
            <v>0</v>
          </cell>
        </row>
        <row r="1563">
          <cell r="A1563">
            <v>0</v>
          </cell>
          <cell r="C1563">
            <v>0</v>
          </cell>
          <cell r="D1563">
            <v>0</v>
          </cell>
        </row>
        <row r="1564">
          <cell r="A1564">
            <v>0</v>
          </cell>
          <cell r="C1564">
            <v>0</v>
          </cell>
          <cell r="D1564">
            <v>0</v>
          </cell>
        </row>
        <row r="1565">
          <cell r="A1565">
            <v>0</v>
          </cell>
          <cell r="C1565">
            <v>0</v>
          </cell>
          <cell r="D1565">
            <v>0</v>
          </cell>
        </row>
        <row r="1566">
          <cell r="A1566">
            <v>0</v>
          </cell>
          <cell r="C1566">
            <v>0</v>
          </cell>
          <cell r="D1566">
            <v>0</v>
          </cell>
        </row>
        <row r="1567">
          <cell r="A1567">
            <v>0</v>
          </cell>
          <cell r="C1567">
            <v>0</v>
          </cell>
          <cell r="D1567">
            <v>0</v>
          </cell>
        </row>
        <row r="1568">
          <cell r="A1568">
            <v>0</v>
          </cell>
          <cell r="C1568">
            <v>0</v>
          </cell>
          <cell r="D1568">
            <v>0</v>
          </cell>
        </row>
        <row r="1569">
          <cell r="A1569">
            <v>0</v>
          </cell>
          <cell r="C1569">
            <v>0</v>
          </cell>
          <cell r="D1569">
            <v>0</v>
          </cell>
        </row>
        <row r="1570">
          <cell r="A1570">
            <v>0</v>
          </cell>
          <cell r="C1570">
            <v>0</v>
          </cell>
          <cell r="D1570">
            <v>0</v>
          </cell>
        </row>
        <row r="1571">
          <cell r="A1571">
            <v>0</v>
          </cell>
          <cell r="C1571">
            <v>0</v>
          </cell>
          <cell r="D1571">
            <v>0</v>
          </cell>
        </row>
        <row r="1572">
          <cell r="A1572">
            <v>0</v>
          </cell>
          <cell r="C1572">
            <v>0</v>
          </cell>
          <cell r="D1572">
            <v>0</v>
          </cell>
        </row>
        <row r="1573">
          <cell r="A1573">
            <v>0</v>
          </cell>
          <cell r="C1573">
            <v>0</v>
          </cell>
          <cell r="D1573">
            <v>0</v>
          </cell>
        </row>
        <row r="1574">
          <cell r="A1574">
            <v>0</v>
          </cell>
          <cell r="C1574">
            <v>0</v>
          </cell>
          <cell r="D1574">
            <v>0</v>
          </cell>
        </row>
        <row r="1575">
          <cell r="A1575">
            <v>0</v>
          </cell>
          <cell r="C1575">
            <v>0</v>
          </cell>
          <cell r="D1575">
            <v>0</v>
          </cell>
        </row>
        <row r="1576">
          <cell r="A1576">
            <v>0</v>
          </cell>
          <cell r="C1576">
            <v>0</v>
          </cell>
          <cell r="D1576">
            <v>0</v>
          </cell>
        </row>
        <row r="1577">
          <cell r="A1577">
            <v>0</v>
          </cell>
          <cell r="C1577">
            <v>0</v>
          </cell>
          <cell r="D1577">
            <v>0</v>
          </cell>
        </row>
        <row r="1578">
          <cell r="A1578">
            <v>0</v>
          </cell>
          <cell r="C1578">
            <v>0</v>
          </cell>
          <cell r="D1578">
            <v>0</v>
          </cell>
        </row>
        <row r="1579">
          <cell r="A1579">
            <v>0</v>
          </cell>
          <cell r="C1579">
            <v>0</v>
          </cell>
          <cell r="D1579">
            <v>0</v>
          </cell>
        </row>
        <row r="1580">
          <cell r="A1580">
            <v>0</v>
          </cell>
          <cell r="C1580">
            <v>0</v>
          </cell>
          <cell r="D1580">
            <v>0</v>
          </cell>
        </row>
        <row r="1581">
          <cell r="A1581">
            <v>0</v>
          </cell>
          <cell r="C1581">
            <v>0</v>
          </cell>
          <cell r="D1581">
            <v>0</v>
          </cell>
        </row>
        <row r="1582">
          <cell r="A1582">
            <v>0</v>
          </cell>
          <cell r="C1582">
            <v>0</v>
          </cell>
          <cell r="D1582">
            <v>0</v>
          </cell>
        </row>
        <row r="1583">
          <cell r="A1583">
            <v>0</v>
          </cell>
          <cell r="C1583">
            <v>0</v>
          </cell>
          <cell r="D1583">
            <v>0</v>
          </cell>
        </row>
        <row r="1584">
          <cell r="A1584">
            <v>0</v>
          </cell>
          <cell r="C1584">
            <v>0</v>
          </cell>
          <cell r="D1584">
            <v>0</v>
          </cell>
        </row>
        <row r="1585">
          <cell r="A1585">
            <v>0</v>
          </cell>
          <cell r="C1585">
            <v>0</v>
          </cell>
          <cell r="D1585">
            <v>0</v>
          </cell>
        </row>
        <row r="1586">
          <cell r="A1586">
            <v>0</v>
          </cell>
          <cell r="C1586">
            <v>0</v>
          </cell>
          <cell r="D1586">
            <v>0</v>
          </cell>
        </row>
        <row r="1587">
          <cell r="A1587">
            <v>0</v>
          </cell>
          <cell r="C1587">
            <v>0</v>
          </cell>
          <cell r="D1587">
            <v>0</v>
          </cell>
        </row>
        <row r="1588">
          <cell r="A1588">
            <v>0</v>
          </cell>
          <cell r="C1588">
            <v>0</v>
          </cell>
          <cell r="D1588">
            <v>0</v>
          </cell>
        </row>
        <row r="1589">
          <cell r="A1589">
            <v>0</v>
          </cell>
          <cell r="C1589">
            <v>0</v>
          </cell>
          <cell r="D1589">
            <v>0</v>
          </cell>
        </row>
        <row r="1590">
          <cell r="A1590">
            <v>0</v>
          </cell>
          <cell r="C1590">
            <v>0</v>
          </cell>
          <cell r="D1590">
            <v>0</v>
          </cell>
        </row>
        <row r="1591">
          <cell r="A1591">
            <v>0</v>
          </cell>
          <cell r="C1591">
            <v>0</v>
          </cell>
          <cell r="D1591">
            <v>0</v>
          </cell>
        </row>
        <row r="1592">
          <cell r="A1592">
            <v>0</v>
          </cell>
          <cell r="C1592">
            <v>0</v>
          </cell>
          <cell r="D1592">
            <v>0</v>
          </cell>
        </row>
        <row r="1593">
          <cell r="A1593">
            <v>0</v>
          </cell>
          <cell r="C1593">
            <v>0</v>
          </cell>
          <cell r="D1593">
            <v>0</v>
          </cell>
        </row>
        <row r="1594">
          <cell r="A1594">
            <v>0</v>
          </cell>
          <cell r="C1594">
            <v>0</v>
          </cell>
          <cell r="D1594">
            <v>0</v>
          </cell>
        </row>
        <row r="1595">
          <cell r="A1595">
            <v>0</v>
          </cell>
          <cell r="C1595">
            <v>0</v>
          </cell>
          <cell r="D1595">
            <v>0</v>
          </cell>
        </row>
        <row r="1596">
          <cell r="A1596">
            <v>0</v>
          </cell>
          <cell r="C1596">
            <v>0</v>
          </cell>
          <cell r="D1596">
            <v>0</v>
          </cell>
        </row>
        <row r="1597">
          <cell r="A1597">
            <v>0</v>
          </cell>
          <cell r="C1597">
            <v>0</v>
          </cell>
          <cell r="D1597">
            <v>0</v>
          </cell>
        </row>
        <row r="1598">
          <cell r="A1598">
            <v>0</v>
          </cell>
          <cell r="C1598">
            <v>0</v>
          </cell>
          <cell r="D1598">
            <v>0</v>
          </cell>
        </row>
        <row r="1599">
          <cell r="A1599">
            <v>0</v>
          </cell>
          <cell r="C1599">
            <v>0</v>
          </cell>
          <cell r="D1599">
            <v>0</v>
          </cell>
        </row>
        <row r="1600">
          <cell r="A1600">
            <v>0</v>
          </cell>
          <cell r="C1600">
            <v>0</v>
          </cell>
          <cell r="D1600">
            <v>0</v>
          </cell>
        </row>
        <row r="1601">
          <cell r="A1601">
            <v>0</v>
          </cell>
          <cell r="C1601">
            <v>0</v>
          </cell>
          <cell r="D1601">
            <v>0</v>
          </cell>
        </row>
        <row r="1602">
          <cell r="A1602">
            <v>0</v>
          </cell>
          <cell r="C1602">
            <v>0</v>
          </cell>
          <cell r="D1602">
            <v>0</v>
          </cell>
        </row>
        <row r="1603">
          <cell r="A1603">
            <v>0</v>
          </cell>
          <cell r="C1603">
            <v>0</v>
          </cell>
          <cell r="D1603">
            <v>0</v>
          </cell>
        </row>
        <row r="1604">
          <cell r="A1604">
            <v>0</v>
          </cell>
          <cell r="C1604">
            <v>0</v>
          </cell>
          <cell r="D1604">
            <v>0</v>
          </cell>
        </row>
        <row r="1605">
          <cell r="A1605">
            <v>0</v>
          </cell>
          <cell r="C1605">
            <v>0</v>
          </cell>
          <cell r="D1605">
            <v>0</v>
          </cell>
        </row>
        <row r="1606">
          <cell r="A1606">
            <v>0</v>
          </cell>
          <cell r="C1606">
            <v>0</v>
          </cell>
          <cell r="D1606">
            <v>0</v>
          </cell>
        </row>
        <row r="1607">
          <cell r="A1607">
            <v>0</v>
          </cell>
          <cell r="C1607">
            <v>0</v>
          </cell>
          <cell r="D1607">
            <v>0</v>
          </cell>
        </row>
        <row r="1608">
          <cell r="A1608">
            <v>0</v>
          </cell>
          <cell r="C1608">
            <v>0</v>
          </cell>
          <cell r="D1608">
            <v>0</v>
          </cell>
        </row>
        <row r="1609">
          <cell r="A1609">
            <v>0</v>
          </cell>
          <cell r="C1609">
            <v>0</v>
          </cell>
          <cell r="D1609">
            <v>0</v>
          </cell>
        </row>
        <row r="1610">
          <cell r="A1610">
            <v>0</v>
          </cell>
          <cell r="C1610">
            <v>0</v>
          </cell>
          <cell r="D1610">
            <v>0</v>
          </cell>
        </row>
        <row r="1611">
          <cell r="A1611">
            <v>0</v>
          </cell>
          <cell r="C1611">
            <v>0</v>
          </cell>
          <cell r="D1611">
            <v>0</v>
          </cell>
        </row>
        <row r="1612">
          <cell r="A1612">
            <v>0</v>
          </cell>
          <cell r="C1612">
            <v>0</v>
          </cell>
          <cell r="D1612">
            <v>0</v>
          </cell>
        </row>
        <row r="1613">
          <cell r="A1613">
            <v>0</v>
          </cell>
          <cell r="C1613">
            <v>0</v>
          </cell>
          <cell r="D1613">
            <v>0</v>
          </cell>
        </row>
        <row r="1614">
          <cell r="A1614">
            <v>0</v>
          </cell>
          <cell r="C1614">
            <v>0</v>
          </cell>
          <cell r="D1614">
            <v>0</v>
          </cell>
        </row>
        <row r="1615">
          <cell r="A1615">
            <v>0</v>
          </cell>
          <cell r="C1615">
            <v>0</v>
          </cell>
          <cell r="D1615">
            <v>0</v>
          </cell>
        </row>
        <row r="1616">
          <cell r="A1616">
            <v>0</v>
          </cell>
          <cell r="C1616">
            <v>0</v>
          </cell>
          <cell r="D1616">
            <v>0</v>
          </cell>
        </row>
        <row r="1617">
          <cell r="A1617">
            <v>0</v>
          </cell>
          <cell r="C1617">
            <v>0</v>
          </cell>
          <cell r="D1617">
            <v>0</v>
          </cell>
        </row>
        <row r="1618">
          <cell r="A1618">
            <v>0</v>
          </cell>
          <cell r="C1618">
            <v>0</v>
          </cell>
          <cell r="D1618">
            <v>0</v>
          </cell>
        </row>
        <row r="1619">
          <cell r="A1619">
            <v>0</v>
          </cell>
          <cell r="C1619">
            <v>0</v>
          </cell>
          <cell r="D1619">
            <v>0</v>
          </cell>
        </row>
        <row r="1620">
          <cell r="A1620">
            <v>0</v>
          </cell>
          <cell r="C1620">
            <v>0</v>
          </cell>
          <cell r="D1620">
            <v>0</v>
          </cell>
        </row>
        <row r="1621">
          <cell r="A1621">
            <v>0</v>
          </cell>
          <cell r="C1621">
            <v>0</v>
          </cell>
          <cell r="D1621">
            <v>0</v>
          </cell>
        </row>
        <row r="1622">
          <cell r="A1622">
            <v>0</v>
          </cell>
          <cell r="C1622">
            <v>0</v>
          </cell>
          <cell r="D1622">
            <v>0</v>
          </cell>
        </row>
        <row r="1623">
          <cell r="A1623">
            <v>0</v>
          </cell>
          <cell r="C1623">
            <v>0</v>
          </cell>
          <cell r="D1623">
            <v>0</v>
          </cell>
        </row>
        <row r="1624">
          <cell r="A1624">
            <v>0</v>
          </cell>
          <cell r="C1624">
            <v>0</v>
          </cell>
          <cell r="D1624">
            <v>0</v>
          </cell>
        </row>
        <row r="1625">
          <cell r="A1625">
            <v>0</v>
          </cell>
          <cell r="C1625">
            <v>0</v>
          </cell>
          <cell r="D1625">
            <v>0</v>
          </cell>
        </row>
        <row r="1626">
          <cell r="A1626">
            <v>0</v>
          </cell>
          <cell r="C1626">
            <v>0</v>
          </cell>
          <cell r="D1626">
            <v>0</v>
          </cell>
        </row>
        <row r="1627">
          <cell r="A1627">
            <v>0</v>
          </cell>
          <cell r="C1627">
            <v>0</v>
          </cell>
          <cell r="D1627">
            <v>0</v>
          </cell>
        </row>
        <row r="1628">
          <cell r="A1628">
            <v>0</v>
          </cell>
          <cell r="C1628">
            <v>0</v>
          </cell>
          <cell r="D1628">
            <v>0</v>
          </cell>
        </row>
        <row r="1629">
          <cell r="A1629">
            <v>0</v>
          </cell>
          <cell r="C1629">
            <v>0</v>
          </cell>
          <cell r="D1629">
            <v>0</v>
          </cell>
        </row>
        <row r="1630">
          <cell r="A1630">
            <v>0</v>
          </cell>
          <cell r="C1630">
            <v>0</v>
          </cell>
          <cell r="D1630">
            <v>0</v>
          </cell>
        </row>
        <row r="1631">
          <cell r="A1631">
            <v>0</v>
          </cell>
          <cell r="C1631">
            <v>0</v>
          </cell>
          <cell r="D1631">
            <v>0</v>
          </cell>
        </row>
        <row r="1632">
          <cell r="A1632">
            <v>0</v>
          </cell>
          <cell r="C1632">
            <v>0</v>
          </cell>
          <cell r="D1632">
            <v>0</v>
          </cell>
        </row>
        <row r="1633">
          <cell r="A1633">
            <v>0</v>
          </cell>
          <cell r="C1633">
            <v>0</v>
          </cell>
          <cell r="D1633">
            <v>0</v>
          </cell>
        </row>
        <row r="1634">
          <cell r="A1634">
            <v>0</v>
          </cell>
          <cell r="C1634">
            <v>0</v>
          </cell>
          <cell r="D1634">
            <v>0</v>
          </cell>
        </row>
        <row r="1635">
          <cell r="A1635">
            <v>0</v>
          </cell>
          <cell r="C1635">
            <v>0</v>
          </cell>
          <cell r="D1635">
            <v>0</v>
          </cell>
        </row>
        <row r="1636">
          <cell r="A1636">
            <v>0</v>
          </cell>
          <cell r="C1636">
            <v>0</v>
          </cell>
          <cell r="D1636">
            <v>0</v>
          </cell>
        </row>
        <row r="1637">
          <cell r="A1637">
            <v>0</v>
          </cell>
          <cell r="C1637">
            <v>0</v>
          </cell>
          <cell r="D1637">
            <v>0</v>
          </cell>
        </row>
        <row r="1638">
          <cell r="A1638">
            <v>0</v>
          </cell>
          <cell r="C1638">
            <v>0</v>
          </cell>
          <cell r="D1638">
            <v>0</v>
          </cell>
        </row>
        <row r="1639">
          <cell r="A1639">
            <v>0</v>
          </cell>
          <cell r="C1639">
            <v>0</v>
          </cell>
          <cell r="D1639">
            <v>0</v>
          </cell>
        </row>
        <row r="1640">
          <cell r="A1640">
            <v>0</v>
          </cell>
          <cell r="C1640">
            <v>0</v>
          </cell>
          <cell r="D1640">
            <v>0</v>
          </cell>
        </row>
        <row r="1641">
          <cell r="A1641">
            <v>0</v>
          </cell>
          <cell r="C1641">
            <v>0</v>
          </cell>
          <cell r="D1641">
            <v>0</v>
          </cell>
        </row>
        <row r="1642">
          <cell r="A1642">
            <v>0</v>
          </cell>
          <cell r="C1642">
            <v>0</v>
          </cell>
          <cell r="D1642">
            <v>0</v>
          </cell>
        </row>
        <row r="1643">
          <cell r="A1643">
            <v>0</v>
          </cell>
          <cell r="C1643">
            <v>0</v>
          </cell>
          <cell r="D1643">
            <v>0</v>
          </cell>
        </row>
        <row r="1644">
          <cell r="A1644">
            <v>0</v>
          </cell>
          <cell r="C1644">
            <v>0</v>
          </cell>
          <cell r="D1644">
            <v>0</v>
          </cell>
        </row>
        <row r="1645">
          <cell r="A1645">
            <v>0</v>
          </cell>
          <cell r="C1645">
            <v>0</v>
          </cell>
          <cell r="D1645">
            <v>0</v>
          </cell>
        </row>
        <row r="1646">
          <cell r="A1646">
            <v>0</v>
          </cell>
          <cell r="C1646">
            <v>0</v>
          </cell>
          <cell r="D1646">
            <v>0</v>
          </cell>
        </row>
        <row r="1647">
          <cell r="A1647">
            <v>0</v>
          </cell>
          <cell r="C1647">
            <v>0</v>
          </cell>
          <cell r="D1647">
            <v>0</v>
          </cell>
        </row>
        <row r="1648">
          <cell r="A1648">
            <v>0</v>
          </cell>
          <cell r="C1648">
            <v>0</v>
          </cell>
          <cell r="D1648">
            <v>0</v>
          </cell>
        </row>
        <row r="1649">
          <cell r="A1649">
            <v>0</v>
          </cell>
          <cell r="C1649">
            <v>0</v>
          </cell>
          <cell r="D1649">
            <v>0</v>
          </cell>
        </row>
        <row r="1650">
          <cell r="A1650">
            <v>0</v>
          </cell>
          <cell r="C1650">
            <v>0</v>
          </cell>
          <cell r="D1650">
            <v>0</v>
          </cell>
        </row>
        <row r="1651">
          <cell r="A1651">
            <v>0</v>
          </cell>
          <cell r="C1651">
            <v>0</v>
          </cell>
          <cell r="D1651">
            <v>0</v>
          </cell>
        </row>
        <row r="1652">
          <cell r="A1652">
            <v>0</v>
          </cell>
          <cell r="C1652">
            <v>0</v>
          </cell>
          <cell r="D1652">
            <v>0</v>
          </cell>
        </row>
        <row r="1653">
          <cell r="A1653">
            <v>0</v>
          </cell>
          <cell r="C1653">
            <v>0</v>
          </cell>
          <cell r="D1653">
            <v>0</v>
          </cell>
        </row>
        <row r="1654">
          <cell r="A1654">
            <v>0</v>
          </cell>
          <cell r="C1654">
            <v>0</v>
          </cell>
          <cell r="D1654">
            <v>0</v>
          </cell>
        </row>
        <row r="1655">
          <cell r="A1655">
            <v>0</v>
          </cell>
          <cell r="C1655">
            <v>0</v>
          </cell>
          <cell r="D1655">
            <v>0</v>
          </cell>
        </row>
        <row r="1656">
          <cell r="A1656">
            <v>0</v>
          </cell>
          <cell r="C1656">
            <v>0</v>
          </cell>
          <cell r="D1656">
            <v>0</v>
          </cell>
        </row>
        <row r="1657">
          <cell r="A1657">
            <v>0</v>
          </cell>
          <cell r="C1657">
            <v>0</v>
          </cell>
          <cell r="D1657">
            <v>0</v>
          </cell>
        </row>
        <row r="1658">
          <cell r="A1658">
            <v>0</v>
          </cell>
          <cell r="C1658">
            <v>0</v>
          </cell>
          <cell r="D1658">
            <v>0</v>
          </cell>
        </row>
        <row r="1659">
          <cell r="A1659">
            <v>0</v>
          </cell>
          <cell r="C1659">
            <v>0</v>
          </cell>
          <cell r="D1659">
            <v>0</v>
          </cell>
        </row>
        <row r="1660">
          <cell r="A1660">
            <v>0</v>
          </cell>
          <cell r="C1660">
            <v>0</v>
          </cell>
          <cell r="D1660">
            <v>0</v>
          </cell>
        </row>
        <row r="1661">
          <cell r="A1661">
            <v>0</v>
          </cell>
          <cell r="C1661">
            <v>0</v>
          </cell>
          <cell r="D1661">
            <v>0</v>
          </cell>
        </row>
        <row r="1662">
          <cell r="A1662">
            <v>0</v>
          </cell>
          <cell r="C1662">
            <v>0</v>
          </cell>
          <cell r="D1662">
            <v>0</v>
          </cell>
        </row>
        <row r="1663">
          <cell r="A1663">
            <v>0</v>
          </cell>
          <cell r="C1663">
            <v>0</v>
          </cell>
          <cell r="D1663">
            <v>0</v>
          </cell>
        </row>
        <row r="1664">
          <cell r="A1664">
            <v>0</v>
          </cell>
          <cell r="C1664">
            <v>0</v>
          </cell>
          <cell r="D1664">
            <v>0</v>
          </cell>
        </row>
        <row r="1665">
          <cell r="A1665">
            <v>0</v>
          </cell>
          <cell r="C1665">
            <v>0</v>
          </cell>
          <cell r="D1665">
            <v>0</v>
          </cell>
        </row>
        <row r="1666">
          <cell r="A1666">
            <v>0</v>
          </cell>
          <cell r="C1666">
            <v>0</v>
          </cell>
          <cell r="D1666">
            <v>0</v>
          </cell>
        </row>
        <row r="1667">
          <cell r="A1667">
            <v>0</v>
          </cell>
          <cell r="C1667">
            <v>0</v>
          </cell>
          <cell r="D1667">
            <v>0</v>
          </cell>
        </row>
        <row r="1668">
          <cell r="A1668">
            <v>0</v>
          </cell>
          <cell r="C1668">
            <v>0</v>
          </cell>
          <cell r="D1668">
            <v>0</v>
          </cell>
        </row>
        <row r="1669">
          <cell r="A1669">
            <v>0</v>
          </cell>
          <cell r="C1669">
            <v>0</v>
          </cell>
          <cell r="D1669">
            <v>0</v>
          </cell>
        </row>
        <row r="1670">
          <cell r="A1670">
            <v>0</v>
          </cell>
          <cell r="C1670">
            <v>0</v>
          </cell>
          <cell r="D1670">
            <v>0</v>
          </cell>
        </row>
        <row r="1671">
          <cell r="A1671">
            <v>0</v>
          </cell>
          <cell r="C1671">
            <v>0</v>
          </cell>
          <cell r="D1671">
            <v>0</v>
          </cell>
        </row>
        <row r="1672">
          <cell r="A1672">
            <v>0</v>
          </cell>
          <cell r="C1672">
            <v>0</v>
          </cell>
          <cell r="D1672">
            <v>0</v>
          </cell>
        </row>
        <row r="1673">
          <cell r="A1673">
            <v>0</v>
          </cell>
          <cell r="C1673">
            <v>0</v>
          </cell>
          <cell r="D1673">
            <v>0</v>
          </cell>
        </row>
        <row r="1674">
          <cell r="A1674">
            <v>0</v>
          </cell>
          <cell r="C1674">
            <v>0</v>
          </cell>
          <cell r="D1674">
            <v>0</v>
          </cell>
        </row>
        <row r="1675">
          <cell r="A1675">
            <v>0</v>
          </cell>
          <cell r="C1675">
            <v>0</v>
          </cell>
          <cell r="D1675">
            <v>0</v>
          </cell>
        </row>
        <row r="1676">
          <cell r="A1676">
            <v>0</v>
          </cell>
          <cell r="C1676">
            <v>0</v>
          </cell>
          <cell r="D1676">
            <v>0</v>
          </cell>
        </row>
        <row r="1677">
          <cell r="A1677">
            <v>0</v>
          </cell>
          <cell r="C1677">
            <v>0</v>
          </cell>
          <cell r="D1677">
            <v>0</v>
          </cell>
        </row>
        <row r="1678">
          <cell r="A1678">
            <v>0</v>
          </cell>
          <cell r="C1678">
            <v>0</v>
          </cell>
          <cell r="D1678">
            <v>0</v>
          </cell>
        </row>
        <row r="1679">
          <cell r="A1679">
            <v>0</v>
          </cell>
          <cell r="C1679">
            <v>0</v>
          </cell>
          <cell r="D1679">
            <v>0</v>
          </cell>
        </row>
        <row r="1680">
          <cell r="A1680">
            <v>0</v>
          </cell>
          <cell r="C1680">
            <v>0</v>
          </cell>
          <cell r="D1680">
            <v>0</v>
          </cell>
        </row>
        <row r="1681">
          <cell r="A1681">
            <v>0</v>
          </cell>
          <cell r="C1681">
            <v>0</v>
          </cell>
          <cell r="D1681">
            <v>0</v>
          </cell>
        </row>
        <row r="1682">
          <cell r="A1682">
            <v>0</v>
          </cell>
          <cell r="C1682">
            <v>0</v>
          </cell>
          <cell r="D1682">
            <v>0</v>
          </cell>
        </row>
        <row r="1683">
          <cell r="A1683">
            <v>0</v>
          </cell>
          <cell r="C1683">
            <v>0</v>
          </cell>
          <cell r="D1683">
            <v>0</v>
          </cell>
        </row>
        <row r="1684">
          <cell r="A1684">
            <v>0</v>
          </cell>
          <cell r="C1684">
            <v>0</v>
          </cell>
          <cell r="D1684">
            <v>0</v>
          </cell>
        </row>
        <row r="1685">
          <cell r="A1685">
            <v>0</v>
          </cell>
          <cell r="C1685">
            <v>0</v>
          </cell>
          <cell r="D1685">
            <v>0</v>
          </cell>
        </row>
        <row r="1686">
          <cell r="A1686">
            <v>0</v>
          </cell>
          <cell r="C1686">
            <v>0</v>
          </cell>
          <cell r="D1686">
            <v>0</v>
          </cell>
        </row>
        <row r="1687">
          <cell r="A1687">
            <v>0</v>
          </cell>
          <cell r="C1687">
            <v>0</v>
          </cell>
          <cell r="D1687">
            <v>0</v>
          </cell>
        </row>
        <row r="1688">
          <cell r="A1688">
            <v>0</v>
          </cell>
          <cell r="C1688">
            <v>0</v>
          </cell>
          <cell r="D1688">
            <v>0</v>
          </cell>
        </row>
        <row r="1689">
          <cell r="A1689">
            <v>0</v>
          </cell>
          <cell r="C1689">
            <v>0</v>
          </cell>
          <cell r="D1689">
            <v>0</v>
          </cell>
        </row>
        <row r="1690">
          <cell r="A1690">
            <v>0</v>
          </cell>
          <cell r="C1690">
            <v>0</v>
          </cell>
          <cell r="D1690">
            <v>0</v>
          </cell>
        </row>
        <row r="1691">
          <cell r="A1691">
            <v>0</v>
          </cell>
          <cell r="C1691">
            <v>0</v>
          </cell>
          <cell r="D1691">
            <v>0</v>
          </cell>
        </row>
        <row r="1692">
          <cell r="A1692">
            <v>0</v>
          </cell>
          <cell r="C1692">
            <v>0</v>
          </cell>
          <cell r="D1692">
            <v>0</v>
          </cell>
        </row>
        <row r="1693">
          <cell r="A1693">
            <v>0</v>
          </cell>
          <cell r="C1693">
            <v>0</v>
          </cell>
          <cell r="D1693">
            <v>0</v>
          </cell>
        </row>
        <row r="1694">
          <cell r="A1694">
            <v>0</v>
          </cell>
          <cell r="C1694">
            <v>0</v>
          </cell>
          <cell r="D1694">
            <v>0</v>
          </cell>
        </row>
        <row r="1695">
          <cell r="A1695">
            <v>0</v>
          </cell>
          <cell r="C1695">
            <v>0</v>
          </cell>
          <cell r="D1695">
            <v>0</v>
          </cell>
        </row>
        <row r="1696">
          <cell r="A1696">
            <v>0</v>
          </cell>
          <cell r="C1696">
            <v>0</v>
          </cell>
          <cell r="D1696">
            <v>0</v>
          </cell>
        </row>
        <row r="1697">
          <cell r="A1697">
            <v>0</v>
          </cell>
          <cell r="C1697">
            <v>0</v>
          </cell>
          <cell r="D1697">
            <v>0</v>
          </cell>
        </row>
        <row r="1698">
          <cell r="A1698">
            <v>0</v>
          </cell>
          <cell r="C1698">
            <v>0</v>
          </cell>
          <cell r="D1698">
            <v>0</v>
          </cell>
        </row>
        <row r="1699">
          <cell r="A1699">
            <v>0</v>
          </cell>
          <cell r="C1699">
            <v>0</v>
          </cell>
          <cell r="D1699">
            <v>0</v>
          </cell>
        </row>
        <row r="1700">
          <cell r="A1700">
            <v>0</v>
          </cell>
          <cell r="C1700">
            <v>0</v>
          </cell>
          <cell r="D1700">
            <v>0</v>
          </cell>
        </row>
        <row r="1701">
          <cell r="A1701">
            <v>0</v>
          </cell>
          <cell r="C1701">
            <v>0</v>
          </cell>
          <cell r="D1701">
            <v>0</v>
          </cell>
        </row>
        <row r="1702">
          <cell r="A1702">
            <v>0</v>
          </cell>
          <cell r="C1702">
            <v>0</v>
          </cell>
          <cell r="D1702">
            <v>0</v>
          </cell>
        </row>
        <row r="1703">
          <cell r="A1703">
            <v>0</v>
          </cell>
          <cell r="C1703">
            <v>0</v>
          </cell>
          <cell r="D1703">
            <v>0</v>
          </cell>
        </row>
        <row r="1704">
          <cell r="A1704">
            <v>0</v>
          </cell>
          <cell r="C1704">
            <v>0</v>
          </cell>
          <cell r="D1704">
            <v>0</v>
          </cell>
        </row>
        <row r="1705">
          <cell r="A1705">
            <v>0</v>
          </cell>
          <cell r="C1705">
            <v>0</v>
          </cell>
          <cell r="D1705">
            <v>0</v>
          </cell>
        </row>
        <row r="1706">
          <cell r="A1706">
            <v>0</v>
          </cell>
          <cell r="C1706">
            <v>0</v>
          </cell>
          <cell r="D1706">
            <v>0</v>
          </cell>
        </row>
        <row r="1707">
          <cell r="A1707">
            <v>0</v>
          </cell>
          <cell r="C1707">
            <v>0</v>
          </cell>
          <cell r="D1707">
            <v>0</v>
          </cell>
        </row>
        <row r="1708">
          <cell r="A1708">
            <v>0</v>
          </cell>
          <cell r="C1708">
            <v>0</v>
          </cell>
          <cell r="D1708">
            <v>0</v>
          </cell>
        </row>
        <row r="1709">
          <cell r="A1709">
            <v>0</v>
          </cell>
          <cell r="C1709">
            <v>0</v>
          </cell>
          <cell r="D1709">
            <v>0</v>
          </cell>
        </row>
        <row r="1710">
          <cell r="A1710">
            <v>0</v>
          </cell>
          <cell r="C1710">
            <v>0</v>
          </cell>
          <cell r="D1710">
            <v>0</v>
          </cell>
        </row>
        <row r="1711">
          <cell r="A1711">
            <v>0</v>
          </cell>
          <cell r="C1711">
            <v>0</v>
          </cell>
          <cell r="D1711">
            <v>0</v>
          </cell>
        </row>
        <row r="1712">
          <cell r="A1712">
            <v>0</v>
          </cell>
          <cell r="C1712">
            <v>0</v>
          </cell>
          <cell r="D1712">
            <v>0</v>
          </cell>
        </row>
        <row r="1713">
          <cell r="A1713">
            <v>0</v>
          </cell>
          <cell r="C1713">
            <v>0</v>
          </cell>
          <cell r="D1713">
            <v>0</v>
          </cell>
        </row>
        <row r="1714">
          <cell r="A1714">
            <v>0</v>
          </cell>
          <cell r="C1714">
            <v>0</v>
          </cell>
          <cell r="D1714">
            <v>0</v>
          </cell>
        </row>
        <row r="1715">
          <cell r="A1715">
            <v>0</v>
          </cell>
          <cell r="C1715">
            <v>0</v>
          </cell>
          <cell r="D1715">
            <v>0</v>
          </cell>
        </row>
        <row r="1716">
          <cell r="A1716">
            <v>0</v>
          </cell>
          <cell r="C1716">
            <v>0</v>
          </cell>
          <cell r="D1716">
            <v>0</v>
          </cell>
        </row>
        <row r="1717">
          <cell r="A1717">
            <v>0</v>
          </cell>
          <cell r="C1717">
            <v>0</v>
          </cell>
          <cell r="D1717">
            <v>0</v>
          </cell>
        </row>
        <row r="1718">
          <cell r="A1718">
            <v>0</v>
          </cell>
          <cell r="C1718">
            <v>0</v>
          </cell>
          <cell r="D1718">
            <v>0</v>
          </cell>
        </row>
        <row r="1719">
          <cell r="A1719">
            <v>0</v>
          </cell>
          <cell r="C1719">
            <v>0</v>
          </cell>
          <cell r="D1719">
            <v>0</v>
          </cell>
        </row>
        <row r="1720">
          <cell r="A1720">
            <v>0</v>
          </cell>
          <cell r="C1720">
            <v>0</v>
          </cell>
          <cell r="D1720">
            <v>0</v>
          </cell>
        </row>
        <row r="1721">
          <cell r="A1721">
            <v>0</v>
          </cell>
          <cell r="C1721">
            <v>0</v>
          </cell>
          <cell r="D1721">
            <v>0</v>
          </cell>
        </row>
        <row r="1722">
          <cell r="A1722">
            <v>0</v>
          </cell>
          <cell r="C1722">
            <v>0</v>
          </cell>
          <cell r="D1722">
            <v>0</v>
          </cell>
        </row>
        <row r="1723">
          <cell r="A1723">
            <v>0</v>
          </cell>
          <cell r="C1723">
            <v>0</v>
          </cell>
          <cell r="D1723">
            <v>0</v>
          </cell>
        </row>
        <row r="1724">
          <cell r="A1724">
            <v>0</v>
          </cell>
          <cell r="C1724">
            <v>0</v>
          </cell>
          <cell r="D1724">
            <v>0</v>
          </cell>
        </row>
        <row r="1725">
          <cell r="A1725">
            <v>0</v>
          </cell>
          <cell r="C1725">
            <v>0</v>
          </cell>
          <cell r="D1725">
            <v>0</v>
          </cell>
        </row>
        <row r="1726">
          <cell r="A1726">
            <v>0</v>
          </cell>
          <cell r="C1726">
            <v>0</v>
          </cell>
          <cell r="D1726">
            <v>0</v>
          </cell>
        </row>
        <row r="1727">
          <cell r="A1727">
            <v>0</v>
          </cell>
          <cell r="C1727">
            <v>0</v>
          </cell>
          <cell r="D1727">
            <v>0</v>
          </cell>
        </row>
        <row r="1728">
          <cell r="A1728">
            <v>0</v>
          </cell>
          <cell r="C1728">
            <v>0</v>
          </cell>
          <cell r="D1728">
            <v>0</v>
          </cell>
        </row>
        <row r="1729">
          <cell r="A1729">
            <v>0</v>
          </cell>
          <cell r="C1729">
            <v>0</v>
          </cell>
          <cell r="D1729">
            <v>0</v>
          </cell>
        </row>
        <row r="1730">
          <cell r="A1730">
            <v>0</v>
          </cell>
          <cell r="C1730">
            <v>0</v>
          </cell>
          <cell r="D1730">
            <v>0</v>
          </cell>
        </row>
        <row r="1731">
          <cell r="A1731">
            <v>0</v>
          </cell>
          <cell r="C1731">
            <v>0</v>
          </cell>
          <cell r="D1731">
            <v>0</v>
          </cell>
        </row>
        <row r="1732">
          <cell r="A1732">
            <v>0</v>
          </cell>
          <cell r="C1732">
            <v>0</v>
          </cell>
          <cell r="D1732">
            <v>0</v>
          </cell>
        </row>
        <row r="1733">
          <cell r="A1733">
            <v>0</v>
          </cell>
          <cell r="C1733">
            <v>0</v>
          </cell>
          <cell r="D1733">
            <v>0</v>
          </cell>
        </row>
        <row r="1734">
          <cell r="A1734">
            <v>0</v>
          </cell>
          <cell r="C1734">
            <v>0</v>
          </cell>
          <cell r="D1734">
            <v>0</v>
          </cell>
        </row>
        <row r="1735">
          <cell r="A1735">
            <v>0</v>
          </cell>
          <cell r="C1735">
            <v>0</v>
          </cell>
          <cell r="D1735">
            <v>0</v>
          </cell>
        </row>
        <row r="1736">
          <cell r="A1736">
            <v>0</v>
          </cell>
          <cell r="C1736">
            <v>0</v>
          </cell>
          <cell r="D1736">
            <v>0</v>
          </cell>
        </row>
        <row r="1737">
          <cell r="A1737">
            <v>0</v>
          </cell>
          <cell r="C1737">
            <v>0</v>
          </cell>
          <cell r="D1737">
            <v>0</v>
          </cell>
        </row>
        <row r="1738">
          <cell r="A1738">
            <v>0</v>
          </cell>
          <cell r="C1738">
            <v>0</v>
          </cell>
          <cell r="D1738">
            <v>0</v>
          </cell>
        </row>
        <row r="1739">
          <cell r="A1739">
            <v>0</v>
          </cell>
          <cell r="C1739">
            <v>0</v>
          </cell>
          <cell r="D1739">
            <v>0</v>
          </cell>
        </row>
        <row r="1740">
          <cell r="A1740">
            <v>0</v>
          </cell>
          <cell r="C1740">
            <v>0</v>
          </cell>
          <cell r="D1740">
            <v>0</v>
          </cell>
        </row>
        <row r="1741">
          <cell r="A1741">
            <v>0</v>
          </cell>
          <cell r="C1741">
            <v>0</v>
          </cell>
          <cell r="D1741">
            <v>0</v>
          </cell>
        </row>
        <row r="1742">
          <cell r="A1742">
            <v>0</v>
          </cell>
          <cell r="C1742">
            <v>0</v>
          </cell>
          <cell r="D1742">
            <v>0</v>
          </cell>
        </row>
        <row r="1743">
          <cell r="A1743">
            <v>0</v>
          </cell>
          <cell r="C1743">
            <v>0</v>
          </cell>
          <cell r="D1743">
            <v>0</v>
          </cell>
        </row>
        <row r="1744">
          <cell r="A1744">
            <v>0</v>
          </cell>
          <cell r="C1744">
            <v>0</v>
          </cell>
          <cell r="D1744">
            <v>0</v>
          </cell>
        </row>
        <row r="1745">
          <cell r="A1745">
            <v>0</v>
          </cell>
          <cell r="C1745">
            <v>0</v>
          </cell>
          <cell r="D1745">
            <v>0</v>
          </cell>
        </row>
        <row r="1746">
          <cell r="A1746">
            <v>0</v>
          </cell>
          <cell r="C1746">
            <v>0</v>
          </cell>
          <cell r="D1746">
            <v>0</v>
          </cell>
        </row>
        <row r="1747">
          <cell r="A1747">
            <v>0</v>
          </cell>
          <cell r="C1747">
            <v>0</v>
          </cell>
          <cell r="D1747">
            <v>0</v>
          </cell>
        </row>
        <row r="1748">
          <cell r="A1748">
            <v>0</v>
          </cell>
          <cell r="C1748">
            <v>0</v>
          </cell>
          <cell r="D1748">
            <v>0</v>
          </cell>
        </row>
        <row r="1749">
          <cell r="A1749">
            <v>0</v>
          </cell>
          <cell r="C1749">
            <v>0</v>
          </cell>
          <cell r="D1749">
            <v>0</v>
          </cell>
        </row>
        <row r="1750">
          <cell r="A1750">
            <v>0</v>
          </cell>
          <cell r="C1750">
            <v>0</v>
          </cell>
          <cell r="D1750">
            <v>0</v>
          </cell>
        </row>
        <row r="1751">
          <cell r="A1751">
            <v>0</v>
          </cell>
          <cell r="C1751">
            <v>0</v>
          </cell>
          <cell r="D1751">
            <v>0</v>
          </cell>
        </row>
        <row r="1752">
          <cell r="A1752">
            <v>0</v>
          </cell>
          <cell r="C1752">
            <v>0</v>
          </cell>
          <cell r="D1752">
            <v>0</v>
          </cell>
        </row>
        <row r="1753">
          <cell r="A1753">
            <v>0</v>
          </cell>
          <cell r="C1753">
            <v>0</v>
          </cell>
          <cell r="D1753">
            <v>0</v>
          </cell>
        </row>
        <row r="1754">
          <cell r="A1754">
            <v>0</v>
          </cell>
          <cell r="C1754">
            <v>0</v>
          </cell>
          <cell r="D1754">
            <v>0</v>
          </cell>
        </row>
        <row r="1755">
          <cell r="A1755">
            <v>0</v>
          </cell>
          <cell r="C1755">
            <v>0</v>
          </cell>
          <cell r="D1755">
            <v>0</v>
          </cell>
        </row>
        <row r="1756">
          <cell r="A1756">
            <v>0</v>
          </cell>
          <cell r="C1756">
            <v>0</v>
          </cell>
          <cell r="D1756">
            <v>0</v>
          </cell>
        </row>
        <row r="1757">
          <cell r="A1757">
            <v>0</v>
          </cell>
          <cell r="C1757">
            <v>0</v>
          </cell>
          <cell r="D1757">
            <v>0</v>
          </cell>
        </row>
        <row r="1758">
          <cell r="A1758">
            <v>0</v>
          </cell>
          <cell r="C1758">
            <v>0</v>
          </cell>
          <cell r="D1758">
            <v>0</v>
          </cell>
        </row>
        <row r="1759">
          <cell r="A1759">
            <v>0</v>
          </cell>
          <cell r="C1759">
            <v>0</v>
          </cell>
          <cell r="D1759">
            <v>0</v>
          </cell>
        </row>
        <row r="1760">
          <cell r="A1760">
            <v>0</v>
          </cell>
          <cell r="C1760">
            <v>0</v>
          </cell>
          <cell r="D1760">
            <v>0</v>
          </cell>
        </row>
        <row r="1761">
          <cell r="A1761">
            <v>0</v>
          </cell>
          <cell r="C1761">
            <v>0</v>
          </cell>
          <cell r="D1761">
            <v>0</v>
          </cell>
        </row>
        <row r="1762">
          <cell r="A1762">
            <v>0</v>
          </cell>
          <cell r="C1762">
            <v>0</v>
          </cell>
          <cell r="D1762">
            <v>0</v>
          </cell>
        </row>
        <row r="1763">
          <cell r="A1763">
            <v>0</v>
          </cell>
          <cell r="C1763">
            <v>0</v>
          </cell>
          <cell r="D1763">
            <v>0</v>
          </cell>
        </row>
        <row r="1764">
          <cell r="A1764">
            <v>0</v>
          </cell>
          <cell r="C1764">
            <v>0</v>
          </cell>
          <cell r="D1764">
            <v>0</v>
          </cell>
        </row>
        <row r="1765">
          <cell r="A1765">
            <v>0</v>
          </cell>
          <cell r="C1765">
            <v>0</v>
          </cell>
          <cell r="D1765">
            <v>0</v>
          </cell>
        </row>
        <row r="1766">
          <cell r="A1766">
            <v>0</v>
          </cell>
          <cell r="C1766">
            <v>0</v>
          </cell>
          <cell r="D1766">
            <v>0</v>
          </cell>
        </row>
        <row r="1767">
          <cell r="A1767">
            <v>0</v>
          </cell>
          <cell r="C1767">
            <v>0</v>
          </cell>
          <cell r="D1767">
            <v>0</v>
          </cell>
        </row>
        <row r="1768">
          <cell r="A1768">
            <v>0</v>
          </cell>
          <cell r="C1768">
            <v>0</v>
          </cell>
          <cell r="D1768">
            <v>0</v>
          </cell>
        </row>
        <row r="1769">
          <cell r="A1769">
            <v>0</v>
          </cell>
          <cell r="C1769">
            <v>0</v>
          </cell>
          <cell r="D1769">
            <v>0</v>
          </cell>
        </row>
        <row r="1770">
          <cell r="A1770">
            <v>0</v>
          </cell>
          <cell r="C1770">
            <v>0</v>
          </cell>
          <cell r="D1770">
            <v>0</v>
          </cell>
        </row>
        <row r="1771">
          <cell r="A1771">
            <v>0</v>
          </cell>
          <cell r="C1771">
            <v>0</v>
          </cell>
          <cell r="D1771">
            <v>0</v>
          </cell>
        </row>
        <row r="1772">
          <cell r="A1772">
            <v>0</v>
          </cell>
          <cell r="C1772">
            <v>0</v>
          </cell>
          <cell r="D1772">
            <v>0</v>
          </cell>
        </row>
        <row r="1773">
          <cell r="A1773">
            <v>0</v>
          </cell>
          <cell r="C1773">
            <v>0</v>
          </cell>
          <cell r="D1773">
            <v>0</v>
          </cell>
        </row>
        <row r="1774">
          <cell r="A1774">
            <v>0</v>
          </cell>
          <cell r="C1774">
            <v>0</v>
          </cell>
          <cell r="D1774">
            <v>0</v>
          </cell>
        </row>
        <row r="1775">
          <cell r="A1775">
            <v>0</v>
          </cell>
          <cell r="C1775">
            <v>0</v>
          </cell>
          <cell r="D1775">
            <v>0</v>
          </cell>
        </row>
        <row r="1776">
          <cell r="A1776">
            <v>0</v>
          </cell>
          <cell r="C1776">
            <v>0</v>
          </cell>
          <cell r="D1776">
            <v>0</v>
          </cell>
        </row>
        <row r="1777">
          <cell r="A1777">
            <v>0</v>
          </cell>
          <cell r="C1777">
            <v>0</v>
          </cell>
          <cell r="D1777">
            <v>0</v>
          </cell>
        </row>
        <row r="1778">
          <cell r="A1778">
            <v>0</v>
          </cell>
          <cell r="C1778">
            <v>0</v>
          </cell>
          <cell r="D1778">
            <v>0</v>
          </cell>
        </row>
        <row r="1779">
          <cell r="A1779">
            <v>0</v>
          </cell>
          <cell r="C1779">
            <v>0</v>
          </cell>
          <cell r="D1779">
            <v>0</v>
          </cell>
        </row>
        <row r="1780">
          <cell r="A1780">
            <v>0</v>
          </cell>
          <cell r="C1780">
            <v>0</v>
          </cell>
          <cell r="D1780">
            <v>0</v>
          </cell>
        </row>
        <row r="1781">
          <cell r="A1781">
            <v>0</v>
          </cell>
          <cell r="C1781">
            <v>0</v>
          </cell>
          <cell r="D1781">
            <v>0</v>
          </cell>
        </row>
        <row r="1782">
          <cell r="A1782">
            <v>0</v>
          </cell>
          <cell r="C1782">
            <v>0</v>
          </cell>
          <cell r="D1782">
            <v>0</v>
          </cell>
        </row>
        <row r="1783">
          <cell r="A1783">
            <v>0</v>
          </cell>
          <cell r="C1783">
            <v>0</v>
          </cell>
          <cell r="D1783">
            <v>0</v>
          </cell>
        </row>
        <row r="1784">
          <cell r="A1784">
            <v>0</v>
          </cell>
          <cell r="C1784">
            <v>0</v>
          </cell>
          <cell r="D1784">
            <v>0</v>
          </cell>
        </row>
        <row r="1785">
          <cell r="A1785">
            <v>0</v>
          </cell>
          <cell r="C1785">
            <v>0</v>
          </cell>
          <cell r="D1785">
            <v>0</v>
          </cell>
        </row>
        <row r="1786">
          <cell r="A1786">
            <v>0</v>
          </cell>
          <cell r="C1786">
            <v>0</v>
          </cell>
          <cell r="D1786">
            <v>0</v>
          </cell>
        </row>
        <row r="1787">
          <cell r="A1787">
            <v>0</v>
          </cell>
          <cell r="C1787">
            <v>0</v>
          </cell>
          <cell r="D1787">
            <v>0</v>
          </cell>
        </row>
        <row r="1788">
          <cell r="A1788">
            <v>0</v>
          </cell>
          <cell r="C1788">
            <v>0</v>
          </cell>
          <cell r="D1788">
            <v>0</v>
          </cell>
        </row>
        <row r="1789">
          <cell r="A1789">
            <v>0</v>
          </cell>
          <cell r="C1789">
            <v>0</v>
          </cell>
          <cell r="D1789">
            <v>0</v>
          </cell>
        </row>
        <row r="1790">
          <cell r="A1790">
            <v>0</v>
          </cell>
          <cell r="C1790">
            <v>0</v>
          </cell>
          <cell r="D1790">
            <v>0</v>
          </cell>
        </row>
        <row r="1791">
          <cell r="A1791">
            <v>0</v>
          </cell>
          <cell r="C1791">
            <v>0</v>
          </cell>
          <cell r="D1791">
            <v>0</v>
          </cell>
        </row>
        <row r="1792">
          <cell r="A1792">
            <v>0</v>
          </cell>
          <cell r="C1792">
            <v>0</v>
          </cell>
          <cell r="D1792">
            <v>0</v>
          </cell>
        </row>
        <row r="1793">
          <cell r="A1793">
            <v>0</v>
          </cell>
          <cell r="C1793">
            <v>0</v>
          </cell>
          <cell r="D1793">
            <v>0</v>
          </cell>
        </row>
        <row r="1794">
          <cell r="A1794">
            <v>0</v>
          </cell>
          <cell r="C1794">
            <v>0</v>
          </cell>
          <cell r="D1794">
            <v>0</v>
          </cell>
        </row>
        <row r="1795">
          <cell r="A1795">
            <v>0</v>
          </cell>
          <cell r="C1795">
            <v>0</v>
          </cell>
          <cell r="D1795">
            <v>0</v>
          </cell>
        </row>
        <row r="1796">
          <cell r="A1796">
            <v>0</v>
          </cell>
          <cell r="C1796">
            <v>0</v>
          </cell>
          <cell r="D1796">
            <v>0</v>
          </cell>
        </row>
        <row r="1797">
          <cell r="A1797">
            <v>0</v>
          </cell>
          <cell r="C1797">
            <v>0</v>
          </cell>
          <cell r="D1797">
            <v>0</v>
          </cell>
        </row>
        <row r="1798">
          <cell r="A1798">
            <v>0</v>
          </cell>
          <cell r="C1798">
            <v>0</v>
          </cell>
          <cell r="D1798">
            <v>0</v>
          </cell>
        </row>
        <row r="1799">
          <cell r="A1799">
            <v>0</v>
          </cell>
          <cell r="C1799">
            <v>0</v>
          </cell>
          <cell r="D1799">
            <v>0</v>
          </cell>
        </row>
        <row r="1800">
          <cell r="A1800">
            <v>0</v>
          </cell>
          <cell r="C1800">
            <v>0</v>
          </cell>
          <cell r="D1800">
            <v>0</v>
          </cell>
        </row>
        <row r="1801">
          <cell r="A1801">
            <v>0</v>
          </cell>
          <cell r="C1801">
            <v>0</v>
          </cell>
          <cell r="D1801">
            <v>0</v>
          </cell>
        </row>
        <row r="1802">
          <cell r="A1802">
            <v>0</v>
          </cell>
          <cell r="C1802">
            <v>0</v>
          </cell>
          <cell r="D1802">
            <v>0</v>
          </cell>
        </row>
        <row r="1803">
          <cell r="A1803">
            <v>0</v>
          </cell>
          <cell r="C1803">
            <v>0</v>
          </cell>
          <cell r="D1803">
            <v>0</v>
          </cell>
        </row>
        <row r="1804">
          <cell r="A1804">
            <v>0</v>
          </cell>
          <cell r="C1804">
            <v>0</v>
          </cell>
          <cell r="D1804">
            <v>0</v>
          </cell>
        </row>
        <row r="1805">
          <cell r="A1805">
            <v>0</v>
          </cell>
          <cell r="C1805">
            <v>0</v>
          </cell>
          <cell r="D1805">
            <v>0</v>
          </cell>
        </row>
        <row r="1806">
          <cell r="A1806">
            <v>0</v>
          </cell>
          <cell r="C1806">
            <v>0</v>
          </cell>
          <cell r="D1806">
            <v>0</v>
          </cell>
        </row>
        <row r="1807">
          <cell r="A1807">
            <v>0</v>
          </cell>
          <cell r="C1807">
            <v>0</v>
          </cell>
          <cell r="D1807">
            <v>0</v>
          </cell>
        </row>
        <row r="1808">
          <cell r="A1808">
            <v>0</v>
          </cell>
          <cell r="C1808">
            <v>0</v>
          </cell>
          <cell r="D1808">
            <v>0</v>
          </cell>
        </row>
        <row r="1809">
          <cell r="A1809">
            <v>0</v>
          </cell>
          <cell r="C1809">
            <v>0</v>
          </cell>
          <cell r="D1809">
            <v>0</v>
          </cell>
        </row>
        <row r="1810">
          <cell r="A1810">
            <v>0</v>
          </cell>
          <cell r="C1810">
            <v>0</v>
          </cell>
          <cell r="D1810">
            <v>0</v>
          </cell>
        </row>
        <row r="1811">
          <cell r="A1811">
            <v>0</v>
          </cell>
          <cell r="C1811">
            <v>0</v>
          </cell>
          <cell r="D1811">
            <v>0</v>
          </cell>
        </row>
        <row r="1812">
          <cell r="A1812">
            <v>0</v>
          </cell>
          <cell r="C1812">
            <v>0</v>
          </cell>
          <cell r="D1812">
            <v>0</v>
          </cell>
        </row>
        <row r="1813">
          <cell r="A1813">
            <v>0</v>
          </cell>
          <cell r="C1813">
            <v>0</v>
          </cell>
          <cell r="D1813">
            <v>0</v>
          </cell>
        </row>
        <row r="1814">
          <cell r="A1814">
            <v>0</v>
          </cell>
          <cell r="C1814">
            <v>0</v>
          </cell>
          <cell r="D1814">
            <v>0</v>
          </cell>
        </row>
        <row r="1815">
          <cell r="A1815">
            <v>0</v>
          </cell>
          <cell r="C1815">
            <v>0</v>
          </cell>
          <cell r="D1815">
            <v>0</v>
          </cell>
        </row>
        <row r="1816">
          <cell r="A1816">
            <v>0</v>
          </cell>
          <cell r="C1816">
            <v>0</v>
          </cell>
          <cell r="D1816">
            <v>0</v>
          </cell>
        </row>
        <row r="1817">
          <cell r="A1817">
            <v>0</v>
          </cell>
          <cell r="B1817">
            <v>0</v>
          </cell>
          <cell r="C1817">
            <v>0</v>
          </cell>
          <cell r="D1817">
            <v>0</v>
          </cell>
        </row>
        <row r="1818">
          <cell r="A1818">
            <v>0</v>
          </cell>
          <cell r="C1818">
            <v>0</v>
          </cell>
          <cell r="D1818">
            <v>0</v>
          </cell>
        </row>
        <row r="1819">
          <cell r="A1819">
            <v>0</v>
          </cell>
          <cell r="C1819">
            <v>0</v>
          </cell>
          <cell r="D1819">
            <v>0</v>
          </cell>
        </row>
        <row r="1820">
          <cell r="A1820">
            <v>0</v>
          </cell>
          <cell r="C1820">
            <v>0</v>
          </cell>
          <cell r="D1820">
            <v>0</v>
          </cell>
        </row>
        <row r="1821">
          <cell r="A1821">
            <v>0</v>
          </cell>
          <cell r="C1821">
            <v>0</v>
          </cell>
          <cell r="D1821">
            <v>0</v>
          </cell>
        </row>
        <row r="1822">
          <cell r="A1822">
            <v>0</v>
          </cell>
          <cell r="C1822">
            <v>0</v>
          </cell>
          <cell r="D1822">
            <v>0</v>
          </cell>
        </row>
        <row r="1823">
          <cell r="A1823">
            <v>0</v>
          </cell>
          <cell r="C1823">
            <v>0</v>
          </cell>
          <cell r="D1823">
            <v>0</v>
          </cell>
        </row>
        <row r="1824">
          <cell r="A1824">
            <v>0</v>
          </cell>
          <cell r="C1824">
            <v>0</v>
          </cell>
          <cell r="D1824">
            <v>0</v>
          </cell>
        </row>
        <row r="1825">
          <cell r="A1825">
            <v>0</v>
          </cell>
          <cell r="C1825">
            <v>0</v>
          </cell>
          <cell r="D1825">
            <v>0</v>
          </cell>
        </row>
        <row r="1826">
          <cell r="A1826">
            <v>0</v>
          </cell>
          <cell r="C1826">
            <v>0</v>
          </cell>
          <cell r="D1826">
            <v>0</v>
          </cell>
        </row>
        <row r="1827">
          <cell r="A1827">
            <v>0</v>
          </cell>
          <cell r="C1827">
            <v>0</v>
          </cell>
          <cell r="D1827">
            <v>0</v>
          </cell>
        </row>
        <row r="1828">
          <cell r="A1828">
            <v>0</v>
          </cell>
          <cell r="C1828">
            <v>0</v>
          </cell>
          <cell r="D1828">
            <v>0</v>
          </cell>
        </row>
        <row r="1829">
          <cell r="A1829">
            <v>0</v>
          </cell>
          <cell r="C1829">
            <v>0</v>
          </cell>
          <cell r="D1829">
            <v>0</v>
          </cell>
        </row>
        <row r="1830">
          <cell r="A1830">
            <v>0</v>
          </cell>
          <cell r="C1830">
            <v>0</v>
          </cell>
          <cell r="D1830">
            <v>0</v>
          </cell>
        </row>
        <row r="1831">
          <cell r="A1831">
            <v>0</v>
          </cell>
          <cell r="C1831">
            <v>0</v>
          </cell>
          <cell r="D1831">
            <v>0</v>
          </cell>
        </row>
        <row r="1832">
          <cell r="A1832">
            <v>0</v>
          </cell>
          <cell r="C1832">
            <v>0</v>
          </cell>
          <cell r="D1832">
            <v>0</v>
          </cell>
        </row>
        <row r="1833">
          <cell r="A1833">
            <v>0</v>
          </cell>
          <cell r="C1833">
            <v>0</v>
          </cell>
          <cell r="D1833">
            <v>0</v>
          </cell>
        </row>
        <row r="1834">
          <cell r="A1834">
            <v>0</v>
          </cell>
          <cell r="B1834">
            <v>0</v>
          </cell>
          <cell r="C1834">
            <v>0</v>
          </cell>
          <cell r="D1834">
            <v>0</v>
          </cell>
        </row>
        <row r="1835">
          <cell r="A1835">
            <v>0</v>
          </cell>
          <cell r="C1835">
            <v>0</v>
          </cell>
          <cell r="D1835">
            <v>0</v>
          </cell>
        </row>
        <row r="1836">
          <cell r="A1836">
            <v>0</v>
          </cell>
          <cell r="C1836">
            <v>0</v>
          </cell>
          <cell r="D1836">
            <v>0</v>
          </cell>
        </row>
        <row r="1837">
          <cell r="A1837">
            <v>0</v>
          </cell>
          <cell r="C1837">
            <v>0</v>
          </cell>
          <cell r="D1837">
            <v>0</v>
          </cell>
        </row>
        <row r="1838">
          <cell r="A1838">
            <v>0</v>
          </cell>
          <cell r="C1838">
            <v>0</v>
          </cell>
          <cell r="D1838">
            <v>0</v>
          </cell>
        </row>
        <row r="1839">
          <cell r="A1839">
            <v>0</v>
          </cell>
          <cell r="C1839">
            <v>0</v>
          </cell>
          <cell r="D1839">
            <v>0</v>
          </cell>
        </row>
        <row r="1840">
          <cell r="A1840">
            <v>0</v>
          </cell>
          <cell r="C1840">
            <v>0</v>
          </cell>
          <cell r="D1840">
            <v>0</v>
          </cell>
        </row>
        <row r="1841">
          <cell r="A1841">
            <v>0</v>
          </cell>
          <cell r="C1841">
            <v>0</v>
          </cell>
          <cell r="D1841">
            <v>0</v>
          </cell>
        </row>
        <row r="1842">
          <cell r="A1842">
            <v>0</v>
          </cell>
          <cell r="C1842">
            <v>0</v>
          </cell>
          <cell r="D1842">
            <v>0</v>
          </cell>
        </row>
        <row r="1843">
          <cell r="A1843">
            <v>0</v>
          </cell>
          <cell r="C1843">
            <v>0</v>
          </cell>
          <cell r="D1843">
            <v>0</v>
          </cell>
        </row>
        <row r="1844">
          <cell r="A1844">
            <v>0</v>
          </cell>
          <cell r="C1844">
            <v>0</v>
          </cell>
          <cell r="D1844">
            <v>0</v>
          </cell>
        </row>
        <row r="1845">
          <cell r="A1845">
            <v>0</v>
          </cell>
          <cell r="C1845">
            <v>0</v>
          </cell>
          <cell r="D1845">
            <v>0</v>
          </cell>
        </row>
        <row r="1846">
          <cell r="A1846">
            <v>0</v>
          </cell>
          <cell r="C1846">
            <v>0</v>
          </cell>
          <cell r="D1846">
            <v>0</v>
          </cell>
        </row>
        <row r="1847">
          <cell r="A1847">
            <v>0</v>
          </cell>
          <cell r="C1847">
            <v>0</v>
          </cell>
          <cell r="D1847">
            <v>0</v>
          </cell>
        </row>
        <row r="1848">
          <cell r="A1848">
            <v>0</v>
          </cell>
          <cell r="C1848">
            <v>0</v>
          </cell>
          <cell r="D1848">
            <v>0</v>
          </cell>
        </row>
        <row r="1849">
          <cell r="A1849">
            <v>0</v>
          </cell>
          <cell r="C1849">
            <v>0</v>
          </cell>
          <cell r="D1849">
            <v>0</v>
          </cell>
        </row>
        <row r="1850">
          <cell r="A1850">
            <v>0</v>
          </cell>
          <cell r="C1850">
            <v>0</v>
          </cell>
          <cell r="D1850">
            <v>0</v>
          </cell>
        </row>
        <row r="1851">
          <cell r="A1851">
            <v>0</v>
          </cell>
          <cell r="C1851">
            <v>0</v>
          </cell>
          <cell r="D1851">
            <v>0</v>
          </cell>
        </row>
        <row r="1852">
          <cell r="A1852">
            <v>0</v>
          </cell>
          <cell r="C1852">
            <v>0</v>
          </cell>
          <cell r="D1852">
            <v>0</v>
          </cell>
        </row>
        <row r="1853">
          <cell r="A1853">
            <v>0</v>
          </cell>
          <cell r="C1853">
            <v>0</v>
          </cell>
          <cell r="D1853">
            <v>0</v>
          </cell>
        </row>
        <row r="1854">
          <cell r="A1854">
            <v>0</v>
          </cell>
          <cell r="C1854">
            <v>0</v>
          </cell>
          <cell r="D1854">
            <v>0</v>
          </cell>
        </row>
        <row r="1855">
          <cell r="A1855">
            <v>0</v>
          </cell>
          <cell r="C1855">
            <v>0</v>
          </cell>
          <cell r="D1855">
            <v>0</v>
          </cell>
        </row>
        <row r="1856">
          <cell r="A1856">
            <v>0</v>
          </cell>
          <cell r="C1856">
            <v>0</v>
          </cell>
          <cell r="D1856">
            <v>0</v>
          </cell>
        </row>
        <row r="1857">
          <cell r="A1857">
            <v>0</v>
          </cell>
          <cell r="C1857">
            <v>0</v>
          </cell>
          <cell r="D1857">
            <v>0</v>
          </cell>
        </row>
        <row r="1858">
          <cell r="A1858">
            <v>0</v>
          </cell>
          <cell r="C1858">
            <v>0</v>
          </cell>
          <cell r="D1858">
            <v>0</v>
          </cell>
        </row>
        <row r="1859">
          <cell r="A1859">
            <v>0</v>
          </cell>
          <cell r="C1859">
            <v>0</v>
          </cell>
          <cell r="D1859">
            <v>0</v>
          </cell>
        </row>
        <row r="1860">
          <cell r="A1860">
            <v>0</v>
          </cell>
          <cell r="C1860">
            <v>0</v>
          </cell>
          <cell r="D1860">
            <v>0</v>
          </cell>
        </row>
        <row r="1861">
          <cell r="A1861">
            <v>0</v>
          </cell>
          <cell r="C1861">
            <v>0</v>
          </cell>
          <cell r="D1861">
            <v>0</v>
          </cell>
        </row>
        <row r="1862">
          <cell r="A1862">
            <v>0</v>
          </cell>
          <cell r="C1862">
            <v>0</v>
          </cell>
          <cell r="D1862">
            <v>0</v>
          </cell>
        </row>
        <row r="1863">
          <cell r="A1863">
            <v>0</v>
          </cell>
          <cell r="C1863">
            <v>0</v>
          </cell>
          <cell r="D1863">
            <v>0</v>
          </cell>
        </row>
        <row r="1864">
          <cell r="A1864">
            <v>0</v>
          </cell>
          <cell r="C1864">
            <v>0</v>
          </cell>
          <cell r="D1864">
            <v>0</v>
          </cell>
        </row>
        <row r="1865">
          <cell r="A1865">
            <v>0</v>
          </cell>
          <cell r="C1865">
            <v>0</v>
          </cell>
          <cell r="D1865">
            <v>0</v>
          </cell>
        </row>
        <row r="1866">
          <cell r="A1866">
            <v>0</v>
          </cell>
          <cell r="C1866">
            <v>0</v>
          </cell>
          <cell r="D1866">
            <v>0</v>
          </cell>
        </row>
        <row r="1867">
          <cell r="A1867">
            <v>0</v>
          </cell>
          <cell r="C1867">
            <v>0</v>
          </cell>
          <cell r="D1867">
            <v>0</v>
          </cell>
        </row>
        <row r="1868">
          <cell r="A1868">
            <v>0</v>
          </cell>
          <cell r="C1868">
            <v>0</v>
          </cell>
          <cell r="D1868">
            <v>0</v>
          </cell>
        </row>
        <row r="1869">
          <cell r="A1869">
            <v>0</v>
          </cell>
          <cell r="C1869">
            <v>0</v>
          </cell>
          <cell r="D1869">
            <v>0</v>
          </cell>
        </row>
        <row r="1870">
          <cell r="A1870">
            <v>0</v>
          </cell>
          <cell r="C1870">
            <v>0</v>
          </cell>
          <cell r="D1870">
            <v>0</v>
          </cell>
        </row>
        <row r="1871">
          <cell r="A1871">
            <v>0</v>
          </cell>
          <cell r="C1871">
            <v>0</v>
          </cell>
          <cell r="D1871">
            <v>0</v>
          </cell>
        </row>
        <row r="1872">
          <cell r="A1872">
            <v>0</v>
          </cell>
          <cell r="C1872">
            <v>0</v>
          </cell>
          <cell r="D1872">
            <v>0</v>
          </cell>
        </row>
        <row r="1873">
          <cell r="A1873">
            <v>0</v>
          </cell>
          <cell r="C1873">
            <v>0</v>
          </cell>
          <cell r="D1873">
            <v>0</v>
          </cell>
        </row>
        <row r="1874">
          <cell r="A1874">
            <v>0</v>
          </cell>
          <cell r="C1874">
            <v>0</v>
          </cell>
          <cell r="D1874">
            <v>0</v>
          </cell>
        </row>
        <row r="1875">
          <cell r="A1875">
            <v>0</v>
          </cell>
          <cell r="C1875">
            <v>0</v>
          </cell>
          <cell r="D1875">
            <v>0</v>
          </cell>
        </row>
        <row r="1876">
          <cell r="A1876">
            <v>0</v>
          </cell>
          <cell r="C1876">
            <v>0</v>
          </cell>
          <cell r="D1876">
            <v>0</v>
          </cell>
        </row>
        <row r="1877">
          <cell r="A1877">
            <v>0</v>
          </cell>
          <cell r="C1877">
            <v>0</v>
          </cell>
          <cell r="D1877">
            <v>0</v>
          </cell>
        </row>
        <row r="1878">
          <cell r="A1878">
            <v>0</v>
          </cell>
          <cell r="C1878">
            <v>0</v>
          </cell>
          <cell r="D1878">
            <v>0</v>
          </cell>
        </row>
        <row r="1879">
          <cell r="A1879">
            <v>0</v>
          </cell>
          <cell r="C1879">
            <v>0</v>
          </cell>
          <cell r="D1879">
            <v>0</v>
          </cell>
        </row>
        <row r="1880">
          <cell r="A1880">
            <v>0</v>
          </cell>
          <cell r="C1880">
            <v>0</v>
          </cell>
          <cell r="D1880">
            <v>0</v>
          </cell>
        </row>
        <row r="1881">
          <cell r="A1881">
            <v>0</v>
          </cell>
          <cell r="C1881">
            <v>0</v>
          </cell>
          <cell r="D1881">
            <v>0</v>
          </cell>
        </row>
        <row r="1882">
          <cell r="A1882">
            <v>0</v>
          </cell>
          <cell r="C1882">
            <v>0</v>
          </cell>
          <cell r="D1882">
            <v>0</v>
          </cell>
        </row>
        <row r="1883">
          <cell r="A1883">
            <v>0</v>
          </cell>
          <cell r="C1883">
            <v>0</v>
          </cell>
          <cell r="D1883">
            <v>0</v>
          </cell>
        </row>
        <row r="1884">
          <cell r="A1884">
            <v>0</v>
          </cell>
          <cell r="C1884">
            <v>0</v>
          </cell>
          <cell r="D1884">
            <v>0</v>
          </cell>
        </row>
        <row r="1885">
          <cell r="A1885">
            <v>0</v>
          </cell>
          <cell r="C1885">
            <v>0</v>
          </cell>
          <cell r="D1885">
            <v>0</v>
          </cell>
        </row>
        <row r="1886">
          <cell r="A1886">
            <v>0</v>
          </cell>
          <cell r="C1886">
            <v>0</v>
          </cell>
          <cell r="D1886">
            <v>0</v>
          </cell>
        </row>
        <row r="1887">
          <cell r="A1887">
            <v>0</v>
          </cell>
          <cell r="C1887">
            <v>0</v>
          </cell>
          <cell r="D1887">
            <v>0</v>
          </cell>
        </row>
        <row r="1888">
          <cell r="A1888">
            <v>0</v>
          </cell>
          <cell r="C1888">
            <v>0</v>
          </cell>
          <cell r="D1888">
            <v>0</v>
          </cell>
        </row>
        <row r="1889">
          <cell r="A1889">
            <v>0</v>
          </cell>
          <cell r="C1889">
            <v>0</v>
          </cell>
          <cell r="D1889">
            <v>0</v>
          </cell>
        </row>
        <row r="1890">
          <cell r="A1890">
            <v>0</v>
          </cell>
          <cell r="C1890">
            <v>0</v>
          </cell>
          <cell r="D1890">
            <v>0</v>
          </cell>
        </row>
        <row r="1891">
          <cell r="A1891">
            <v>0</v>
          </cell>
          <cell r="C1891">
            <v>0</v>
          </cell>
          <cell r="D1891">
            <v>0</v>
          </cell>
        </row>
        <row r="1892">
          <cell r="A1892">
            <v>0</v>
          </cell>
          <cell r="C1892">
            <v>0</v>
          </cell>
          <cell r="D1892">
            <v>0</v>
          </cell>
        </row>
        <row r="1893">
          <cell r="A1893">
            <v>0</v>
          </cell>
          <cell r="C1893">
            <v>0</v>
          </cell>
          <cell r="D1893">
            <v>0</v>
          </cell>
        </row>
        <row r="1894">
          <cell r="A1894">
            <v>0</v>
          </cell>
          <cell r="C1894">
            <v>0</v>
          </cell>
          <cell r="D1894">
            <v>0</v>
          </cell>
        </row>
        <row r="1895">
          <cell r="A1895">
            <v>0</v>
          </cell>
          <cell r="C1895">
            <v>0</v>
          </cell>
          <cell r="D1895">
            <v>0</v>
          </cell>
        </row>
        <row r="1896">
          <cell r="A1896">
            <v>0</v>
          </cell>
          <cell r="C1896">
            <v>0</v>
          </cell>
          <cell r="D1896">
            <v>0</v>
          </cell>
        </row>
        <row r="1897">
          <cell r="A1897">
            <v>0</v>
          </cell>
          <cell r="C1897">
            <v>0</v>
          </cell>
          <cell r="D1897">
            <v>0</v>
          </cell>
        </row>
        <row r="1898">
          <cell r="A1898">
            <v>0</v>
          </cell>
          <cell r="C1898">
            <v>0</v>
          </cell>
          <cell r="D1898">
            <v>0</v>
          </cell>
        </row>
        <row r="1899">
          <cell r="A1899">
            <v>0</v>
          </cell>
          <cell r="C1899">
            <v>0</v>
          </cell>
          <cell r="D1899">
            <v>0</v>
          </cell>
        </row>
        <row r="1900">
          <cell r="A1900">
            <v>0</v>
          </cell>
          <cell r="C1900">
            <v>0</v>
          </cell>
          <cell r="D1900">
            <v>0</v>
          </cell>
        </row>
        <row r="1901">
          <cell r="A1901">
            <v>0</v>
          </cell>
          <cell r="C1901">
            <v>0</v>
          </cell>
          <cell r="D1901">
            <v>0</v>
          </cell>
        </row>
        <row r="1902">
          <cell r="A1902">
            <v>0</v>
          </cell>
          <cell r="C1902">
            <v>0</v>
          </cell>
          <cell r="D1902">
            <v>0</v>
          </cell>
        </row>
        <row r="1903">
          <cell r="A1903">
            <v>0</v>
          </cell>
          <cell r="C1903">
            <v>0</v>
          </cell>
          <cell r="D1903">
            <v>0</v>
          </cell>
        </row>
        <row r="1904">
          <cell r="A1904">
            <v>0</v>
          </cell>
          <cell r="C1904">
            <v>0</v>
          </cell>
          <cell r="D1904">
            <v>0</v>
          </cell>
        </row>
        <row r="1905">
          <cell r="A1905">
            <v>0</v>
          </cell>
          <cell r="C1905">
            <v>0</v>
          </cell>
          <cell r="D1905">
            <v>0</v>
          </cell>
        </row>
        <row r="1906">
          <cell r="A1906">
            <v>0</v>
          </cell>
          <cell r="C1906">
            <v>0</v>
          </cell>
          <cell r="D1906">
            <v>0</v>
          </cell>
        </row>
        <row r="1907">
          <cell r="A1907">
            <v>0</v>
          </cell>
          <cell r="C1907">
            <v>0</v>
          </cell>
          <cell r="D1907">
            <v>0</v>
          </cell>
        </row>
        <row r="1908">
          <cell r="A1908">
            <v>0</v>
          </cell>
          <cell r="C1908">
            <v>0</v>
          </cell>
          <cell r="D1908">
            <v>0</v>
          </cell>
        </row>
        <row r="1909">
          <cell r="A1909">
            <v>0</v>
          </cell>
          <cell r="C1909">
            <v>0</v>
          </cell>
          <cell r="D1909">
            <v>0</v>
          </cell>
        </row>
        <row r="1910">
          <cell r="A1910">
            <v>0</v>
          </cell>
          <cell r="C1910">
            <v>0</v>
          </cell>
          <cell r="D1910">
            <v>0</v>
          </cell>
        </row>
        <row r="1911">
          <cell r="A1911">
            <v>0</v>
          </cell>
          <cell r="C1911">
            <v>0</v>
          </cell>
          <cell r="D1911">
            <v>0</v>
          </cell>
        </row>
        <row r="1912">
          <cell r="A1912">
            <v>0</v>
          </cell>
          <cell r="C1912">
            <v>0</v>
          </cell>
          <cell r="D1912">
            <v>0</v>
          </cell>
        </row>
        <row r="1913">
          <cell r="A1913">
            <v>0</v>
          </cell>
          <cell r="C1913">
            <v>0</v>
          </cell>
          <cell r="D1913">
            <v>0</v>
          </cell>
        </row>
        <row r="1914">
          <cell r="A1914">
            <v>0</v>
          </cell>
          <cell r="C1914">
            <v>0</v>
          </cell>
          <cell r="D1914">
            <v>0</v>
          </cell>
        </row>
        <row r="1915">
          <cell r="A1915">
            <v>0</v>
          </cell>
          <cell r="C1915">
            <v>0</v>
          </cell>
          <cell r="D1915">
            <v>0</v>
          </cell>
        </row>
        <row r="1916">
          <cell r="A1916">
            <v>0</v>
          </cell>
          <cell r="C1916">
            <v>0</v>
          </cell>
          <cell r="D1916">
            <v>0</v>
          </cell>
        </row>
        <row r="1917">
          <cell r="A1917">
            <v>0</v>
          </cell>
          <cell r="C1917">
            <v>0</v>
          </cell>
          <cell r="D1917">
            <v>0</v>
          </cell>
        </row>
        <row r="1918">
          <cell r="A1918">
            <v>0</v>
          </cell>
          <cell r="C1918">
            <v>0</v>
          </cell>
          <cell r="D1918">
            <v>0</v>
          </cell>
        </row>
        <row r="1919">
          <cell r="A1919">
            <v>0</v>
          </cell>
          <cell r="C1919">
            <v>0</v>
          </cell>
          <cell r="D1919">
            <v>0</v>
          </cell>
        </row>
        <row r="1920">
          <cell r="A1920">
            <v>0</v>
          </cell>
          <cell r="C1920">
            <v>0</v>
          </cell>
          <cell r="D1920">
            <v>0</v>
          </cell>
        </row>
        <row r="1921">
          <cell r="A1921">
            <v>0</v>
          </cell>
          <cell r="C1921">
            <v>0</v>
          </cell>
          <cell r="D1921">
            <v>0</v>
          </cell>
        </row>
        <row r="1922">
          <cell r="A1922">
            <v>0</v>
          </cell>
          <cell r="C1922">
            <v>0</v>
          </cell>
          <cell r="D1922">
            <v>0</v>
          </cell>
        </row>
        <row r="1923">
          <cell r="A1923">
            <v>0</v>
          </cell>
          <cell r="C1923">
            <v>0</v>
          </cell>
          <cell r="D1923">
            <v>0</v>
          </cell>
        </row>
        <row r="1924">
          <cell r="A1924">
            <v>0</v>
          </cell>
          <cell r="C1924">
            <v>0</v>
          </cell>
          <cell r="D1924">
            <v>0</v>
          </cell>
        </row>
        <row r="1925">
          <cell r="A1925">
            <v>0</v>
          </cell>
          <cell r="C1925">
            <v>0</v>
          </cell>
          <cell r="D1925">
            <v>0</v>
          </cell>
        </row>
        <row r="1926">
          <cell r="A1926">
            <v>0</v>
          </cell>
          <cell r="C1926">
            <v>0</v>
          </cell>
          <cell r="D1926">
            <v>0</v>
          </cell>
        </row>
        <row r="1927">
          <cell r="A1927">
            <v>0</v>
          </cell>
          <cell r="C1927">
            <v>0</v>
          </cell>
          <cell r="D1927">
            <v>0</v>
          </cell>
        </row>
        <row r="1928">
          <cell r="A1928">
            <v>0</v>
          </cell>
          <cell r="C1928">
            <v>0</v>
          </cell>
          <cell r="D1928">
            <v>0</v>
          </cell>
        </row>
        <row r="1929">
          <cell r="A1929">
            <v>0</v>
          </cell>
          <cell r="C1929">
            <v>0</v>
          </cell>
          <cell r="D1929">
            <v>0</v>
          </cell>
        </row>
        <row r="1930">
          <cell r="A1930">
            <v>0</v>
          </cell>
          <cell r="C1930">
            <v>0</v>
          </cell>
          <cell r="D1930">
            <v>0</v>
          </cell>
        </row>
        <row r="1931">
          <cell r="A1931">
            <v>0</v>
          </cell>
          <cell r="C1931">
            <v>0</v>
          </cell>
          <cell r="D1931">
            <v>0</v>
          </cell>
        </row>
        <row r="1932">
          <cell r="A1932">
            <v>0</v>
          </cell>
          <cell r="C1932">
            <v>0</v>
          </cell>
          <cell r="D1932">
            <v>0</v>
          </cell>
        </row>
        <row r="1933">
          <cell r="A1933">
            <v>0</v>
          </cell>
          <cell r="C1933">
            <v>0</v>
          </cell>
          <cell r="D1933">
            <v>0</v>
          </cell>
        </row>
        <row r="1934">
          <cell r="A1934">
            <v>0</v>
          </cell>
          <cell r="C1934">
            <v>0</v>
          </cell>
          <cell r="D1934">
            <v>0</v>
          </cell>
        </row>
        <row r="1935">
          <cell r="A1935">
            <v>0</v>
          </cell>
          <cell r="C1935">
            <v>0</v>
          </cell>
          <cell r="D1935">
            <v>0</v>
          </cell>
        </row>
        <row r="1936">
          <cell r="A1936">
            <v>0</v>
          </cell>
          <cell r="C1936">
            <v>0</v>
          </cell>
          <cell r="D1936">
            <v>0</v>
          </cell>
        </row>
        <row r="1937">
          <cell r="A1937">
            <v>0</v>
          </cell>
          <cell r="C1937">
            <v>0</v>
          </cell>
          <cell r="D1937">
            <v>0</v>
          </cell>
        </row>
        <row r="1938">
          <cell r="A1938">
            <v>0</v>
          </cell>
          <cell r="C1938">
            <v>0</v>
          </cell>
          <cell r="D1938">
            <v>0</v>
          </cell>
        </row>
        <row r="1939">
          <cell r="A1939">
            <v>0</v>
          </cell>
          <cell r="C1939">
            <v>0</v>
          </cell>
          <cell r="D1939">
            <v>0</v>
          </cell>
        </row>
        <row r="1940">
          <cell r="A1940">
            <v>0</v>
          </cell>
          <cell r="C1940">
            <v>0</v>
          </cell>
          <cell r="D1940">
            <v>0</v>
          </cell>
        </row>
        <row r="1941">
          <cell r="A1941">
            <v>0</v>
          </cell>
          <cell r="C1941">
            <v>0</v>
          </cell>
          <cell r="D1941">
            <v>0</v>
          </cell>
        </row>
        <row r="1942">
          <cell r="A1942">
            <v>0</v>
          </cell>
          <cell r="C1942">
            <v>0</v>
          </cell>
          <cell r="D1942">
            <v>0</v>
          </cell>
        </row>
        <row r="1943">
          <cell r="A1943">
            <v>0</v>
          </cell>
          <cell r="C1943">
            <v>0</v>
          </cell>
          <cell r="D1943">
            <v>0</v>
          </cell>
        </row>
        <row r="1944">
          <cell r="A1944">
            <v>0</v>
          </cell>
          <cell r="C1944">
            <v>0</v>
          </cell>
          <cell r="D1944">
            <v>0</v>
          </cell>
        </row>
        <row r="1945">
          <cell r="A1945">
            <v>0</v>
          </cell>
          <cell r="C1945">
            <v>0</v>
          </cell>
          <cell r="D1945">
            <v>0</v>
          </cell>
        </row>
        <row r="1946">
          <cell r="A1946">
            <v>0</v>
          </cell>
          <cell r="C1946">
            <v>0</v>
          </cell>
          <cell r="D1946">
            <v>0</v>
          </cell>
        </row>
        <row r="1947">
          <cell r="A1947">
            <v>0</v>
          </cell>
          <cell r="C1947">
            <v>0</v>
          </cell>
          <cell r="D1947">
            <v>0</v>
          </cell>
        </row>
        <row r="1948">
          <cell r="A1948">
            <v>0</v>
          </cell>
          <cell r="C1948">
            <v>0</v>
          </cell>
          <cell r="D1948">
            <v>0</v>
          </cell>
        </row>
        <row r="1949">
          <cell r="A1949">
            <v>0</v>
          </cell>
          <cell r="C1949">
            <v>0</v>
          </cell>
          <cell r="D1949">
            <v>0</v>
          </cell>
        </row>
        <row r="1950">
          <cell r="A1950">
            <v>0</v>
          </cell>
          <cell r="C1950">
            <v>0</v>
          </cell>
          <cell r="D1950">
            <v>0</v>
          </cell>
        </row>
        <row r="1951">
          <cell r="A1951">
            <v>0</v>
          </cell>
          <cell r="C1951">
            <v>0</v>
          </cell>
          <cell r="D1951">
            <v>0</v>
          </cell>
        </row>
        <row r="1952">
          <cell r="A1952">
            <v>0</v>
          </cell>
          <cell r="C1952">
            <v>0</v>
          </cell>
          <cell r="D1952">
            <v>0</v>
          </cell>
        </row>
        <row r="1953">
          <cell r="A1953">
            <v>0</v>
          </cell>
          <cell r="C1953">
            <v>0</v>
          </cell>
          <cell r="D1953">
            <v>0</v>
          </cell>
        </row>
        <row r="1954">
          <cell r="A1954">
            <v>0</v>
          </cell>
          <cell r="C1954">
            <v>0</v>
          </cell>
          <cell r="D1954">
            <v>0</v>
          </cell>
        </row>
        <row r="1955">
          <cell r="A1955">
            <v>0</v>
          </cell>
          <cell r="C1955">
            <v>0</v>
          </cell>
          <cell r="D1955">
            <v>0</v>
          </cell>
        </row>
        <row r="1956">
          <cell r="A1956">
            <v>0</v>
          </cell>
          <cell r="C1956">
            <v>0</v>
          </cell>
          <cell r="D1956">
            <v>0</v>
          </cell>
        </row>
        <row r="1957">
          <cell r="A1957">
            <v>0</v>
          </cell>
          <cell r="C1957">
            <v>0</v>
          </cell>
          <cell r="D1957">
            <v>0</v>
          </cell>
        </row>
        <row r="1958">
          <cell r="A1958">
            <v>0</v>
          </cell>
          <cell r="C1958">
            <v>0</v>
          </cell>
          <cell r="D1958">
            <v>0</v>
          </cell>
        </row>
        <row r="1959">
          <cell r="A1959">
            <v>0</v>
          </cell>
          <cell r="C1959">
            <v>0</v>
          </cell>
          <cell r="D1959">
            <v>0</v>
          </cell>
        </row>
        <row r="1960">
          <cell r="A1960">
            <v>0</v>
          </cell>
          <cell r="C1960">
            <v>0</v>
          </cell>
          <cell r="D1960">
            <v>0</v>
          </cell>
        </row>
        <row r="1961">
          <cell r="A1961">
            <v>0</v>
          </cell>
          <cell r="C1961">
            <v>0</v>
          </cell>
          <cell r="D1961">
            <v>0</v>
          </cell>
        </row>
        <row r="1962">
          <cell r="A1962">
            <v>0</v>
          </cell>
          <cell r="C1962">
            <v>0</v>
          </cell>
          <cell r="D1962">
            <v>0</v>
          </cell>
        </row>
        <row r="1963">
          <cell r="A1963">
            <v>0</v>
          </cell>
          <cell r="C1963">
            <v>0</v>
          </cell>
          <cell r="D1963">
            <v>0</v>
          </cell>
        </row>
        <row r="1964">
          <cell r="A1964">
            <v>0</v>
          </cell>
          <cell r="C1964">
            <v>0</v>
          </cell>
          <cell r="D1964">
            <v>0</v>
          </cell>
        </row>
        <row r="1965">
          <cell r="A1965">
            <v>0</v>
          </cell>
          <cell r="C1965">
            <v>0</v>
          </cell>
          <cell r="D1965">
            <v>0</v>
          </cell>
        </row>
        <row r="1966">
          <cell r="A1966">
            <v>0</v>
          </cell>
          <cell r="C1966">
            <v>0</v>
          </cell>
          <cell r="D1966">
            <v>0</v>
          </cell>
        </row>
        <row r="1967">
          <cell r="A1967">
            <v>0</v>
          </cell>
          <cell r="C1967">
            <v>0</v>
          </cell>
          <cell r="D1967">
            <v>0</v>
          </cell>
        </row>
        <row r="1968">
          <cell r="A1968">
            <v>0</v>
          </cell>
          <cell r="C1968">
            <v>0</v>
          </cell>
          <cell r="D1968">
            <v>0</v>
          </cell>
        </row>
        <row r="1969">
          <cell r="A1969">
            <v>0</v>
          </cell>
          <cell r="C1969">
            <v>0</v>
          </cell>
          <cell r="D1969">
            <v>0</v>
          </cell>
        </row>
        <row r="1970">
          <cell r="A1970">
            <v>0</v>
          </cell>
          <cell r="C1970">
            <v>0</v>
          </cell>
          <cell r="D1970">
            <v>0</v>
          </cell>
        </row>
        <row r="1971">
          <cell r="A1971">
            <v>0</v>
          </cell>
          <cell r="C1971">
            <v>0</v>
          </cell>
          <cell r="D1971">
            <v>0</v>
          </cell>
        </row>
        <row r="1972">
          <cell r="A1972">
            <v>0</v>
          </cell>
          <cell r="C1972">
            <v>0</v>
          </cell>
          <cell r="D1972">
            <v>0</v>
          </cell>
        </row>
        <row r="1973">
          <cell r="A1973">
            <v>0</v>
          </cell>
          <cell r="C1973">
            <v>0</v>
          </cell>
          <cell r="D1973">
            <v>0</v>
          </cell>
        </row>
        <row r="1974">
          <cell r="A1974">
            <v>0</v>
          </cell>
          <cell r="C1974">
            <v>0</v>
          </cell>
          <cell r="D1974">
            <v>0</v>
          </cell>
        </row>
        <row r="1975">
          <cell r="A1975">
            <v>0</v>
          </cell>
          <cell r="C1975">
            <v>0</v>
          </cell>
          <cell r="D1975">
            <v>0</v>
          </cell>
        </row>
        <row r="1976">
          <cell r="A1976">
            <v>0</v>
          </cell>
          <cell r="C1976">
            <v>0</v>
          </cell>
          <cell r="D1976">
            <v>0</v>
          </cell>
        </row>
        <row r="1977">
          <cell r="A1977">
            <v>0</v>
          </cell>
          <cell r="C1977">
            <v>0</v>
          </cell>
          <cell r="D1977">
            <v>0</v>
          </cell>
        </row>
        <row r="1978">
          <cell r="A1978">
            <v>0</v>
          </cell>
          <cell r="C1978">
            <v>0</v>
          </cell>
          <cell r="D1978">
            <v>0</v>
          </cell>
        </row>
        <row r="1979">
          <cell r="A1979">
            <v>0</v>
          </cell>
          <cell r="C1979">
            <v>0</v>
          </cell>
          <cell r="D1979">
            <v>0</v>
          </cell>
        </row>
        <row r="1980">
          <cell r="A1980">
            <v>0</v>
          </cell>
          <cell r="C1980">
            <v>0</v>
          </cell>
          <cell r="D1980">
            <v>0</v>
          </cell>
        </row>
        <row r="1981">
          <cell r="A1981">
            <v>0</v>
          </cell>
          <cell r="C1981">
            <v>0</v>
          </cell>
          <cell r="D1981">
            <v>0</v>
          </cell>
        </row>
        <row r="1982">
          <cell r="A1982">
            <v>0</v>
          </cell>
          <cell r="C1982">
            <v>0</v>
          </cell>
          <cell r="D1982">
            <v>0</v>
          </cell>
        </row>
        <row r="1983">
          <cell r="A1983">
            <v>0</v>
          </cell>
          <cell r="C1983">
            <v>0</v>
          </cell>
          <cell r="D1983">
            <v>0</v>
          </cell>
        </row>
        <row r="1984">
          <cell r="A1984">
            <v>0</v>
          </cell>
          <cell r="C1984">
            <v>0</v>
          </cell>
          <cell r="D1984">
            <v>0</v>
          </cell>
        </row>
        <row r="1985">
          <cell r="A1985">
            <v>0</v>
          </cell>
          <cell r="C1985">
            <v>0</v>
          </cell>
          <cell r="D1985">
            <v>0</v>
          </cell>
        </row>
        <row r="1986">
          <cell r="A1986">
            <v>0</v>
          </cell>
          <cell r="C1986">
            <v>0</v>
          </cell>
          <cell r="D1986">
            <v>0</v>
          </cell>
        </row>
        <row r="1987">
          <cell r="A1987">
            <v>0</v>
          </cell>
          <cell r="C1987">
            <v>0</v>
          </cell>
          <cell r="D1987">
            <v>0</v>
          </cell>
        </row>
        <row r="1988">
          <cell r="A1988">
            <v>0</v>
          </cell>
          <cell r="C1988">
            <v>0</v>
          </cell>
          <cell r="D1988">
            <v>0</v>
          </cell>
        </row>
        <row r="1989">
          <cell r="A1989">
            <v>0</v>
          </cell>
          <cell r="C1989">
            <v>0</v>
          </cell>
          <cell r="D1989">
            <v>0</v>
          </cell>
        </row>
        <row r="1990">
          <cell r="A1990">
            <v>0</v>
          </cell>
          <cell r="C1990">
            <v>0</v>
          </cell>
          <cell r="D1990">
            <v>0</v>
          </cell>
        </row>
        <row r="1991">
          <cell r="A1991">
            <v>0</v>
          </cell>
          <cell r="C1991">
            <v>0</v>
          </cell>
          <cell r="D1991">
            <v>0</v>
          </cell>
        </row>
        <row r="1992">
          <cell r="A1992">
            <v>0</v>
          </cell>
          <cell r="C1992">
            <v>0</v>
          </cell>
          <cell r="D1992">
            <v>0</v>
          </cell>
        </row>
        <row r="1993">
          <cell r="A1993">
            <v>0</v>
          </cell>
          <cell r="C1993">
            <v>0</v>
          </cell>
          <cell r="D1993">
            <v>0</v>
          </cell>
        </row>
        <row r="1994">
          <cell r="A1994">
            <v>0</v>
          </cell>
          <cell r="C1994">
            <v>0</v>
          </cell>
          <cell r="D1994">
            <v>0</v>
          </cell>
        </row>
        <row r="1995">
          <cell r="A1995">
            <v>0</v>
          </cell>
          <cell r="C1995">
            <v>0</v>
          </cell>
          <cell r="D1995">
            <v>0</v>
          </cell>
        </row>
        <row r="1996">
          <cell r="A1996">
            <v>0</v>
          </cell>
          <cell r="C1996">
            <v>0</v>
          </cell>
          <cell r="D1996">
            <v>0</v>
          </cell>
        </row>
        <row r="1997">
          <cell r="A1997">
            <v>0</v>
          </cell>
          <cell r="C1997">
            <v>0</v>
          </cell>
          <cell r="D1997">
            <v>0</v>
          </cell>
        </row>
        <row r="1998">
          <cell r="A1998">
            <v>0</v>
          </cell>
          <cell r="C1998">
            <v>0</v>
          </cell>
          <cell r="D1998">
            <v>0</v>
          </cell>
        </row>
        <row r="1999">
          <cell r="A1999">
            <v>0</v>
          </cell>
          <cell r="C1999">
            <v>0</v>
          </cell>
          <cell r="D1999">
            <v>0</v>
          </cell>
        </row>
        <row r="2000">
          <cell r="A2000">
            <v>0</v>
          </cell>
          <cell r="C2000">
            <v>0</v>
          </cell>
          <cell r="D2000">
            <v>0</v>
          </cell>
        </row>
        <row r="2001">
          <cell r="A2001">
            <v>0</v>
          </cell>
          <cell r="C2001">
            <v>0</v>
          </cell>
          <cell r="D2001">
            <v>0</v>
          </cell>
        </row>
        <row r="2002">
          <cell r="A2002">
            <v>0</v>
          </cell>
          <cell r="C2002">
            <v>0</v>
          </cell>
          <cell r="D2002">
            <v>0</v>
          </cell>
        </row>
        <row r="2003">
          <cell r="A2003">
            <v>0</v>
          </cell>
          <cell r="C2003">
            <v>0</v>
          </cell>
          <cell r="D2003">
            <v>0</v>
          </cell>
        </row>
        <row r="2004">
          <cell r="A2004">
            <v>0</v>
          </cell>
          <cell r="C2004">
            <v>0</v>
          </cell>
          <cell r="D2004">
            <v>0</v>
          </cell>
        </row>
        <row r="2005">
          <cell r="A2005">
            <v>0</v>
          </cell>
          <cell r="C2005">
            <v>0</v>
          </cell>
          <cell r="D2005">
            <v>0</v>
          </cell>
        </row>
        <row r="2006">
          <cell r="A2006">
            <v>0</v>
          </cell>
          <cell r="C2006">
            <v>0</v>
          </cell>
          <cell r="D2006">
            <v>0</v>
          </cell>
        </row>
        <row r="2007">
          <cell r="A2007">
            <v>0</v>
          </cell>
          <cell r="C2007">
            <v>0</v>
          </cell>
          <cell r="D2007">
            <v>0</v>
          </cell>
        </row>
        <row r="2008">
          <cell r="A2008">
            <v>0</v>
          </cell>
          <cell r="C2008">
            <v>0</v>
          </cell>
          <cell r="D2008">
            <v>0</v>
          </cell>
        </row>
        <row r="2009">
          <cell r="A2009">
            <v>0</v>
          </cell>
          <cell r="C2009">
            <v>0</v>
          </cell>
          <cell r="D2009">
            <v>0</v>
          </cell>
        </row>
        <row r="2010">
          <cell r="A2010">
            <v>0</v>
          </cell>
          <cell r="C2010">
            <v>0</v>
          </cell>
          <cell r="D2010">
            <v>0</v>
          </cell>
        </row>
        <row r="2011">
          <cell r="A2011">
            <v>0</v>
          </cell>
          <cell r="C2011">
            <v>0</v>
          </cell>
          <cell r="D2011">
            <v>0</v>
          </cell>
        </row>
        <row r="2012">
          <cell r="A2012">
            <v>0</v>
          </cell>
          <cell r="C2012">
            <v>0</v>
          </cell>
          <cell r="D2012">
            <v>0</v>
          </cell>
        </row>
        <row r="2013">
          <cell r="A2013">
            <v>0</v>
          </cell>
          <cell r="C2013">
            <v>0</v>
          </cell>
          <cell r="D2013">
            <v>0</v>
          </cell>
        </row>
        <row r="2014">
          <cell r="A2014">
            <v>0</v>
          </cell>
          <cell r="C2014">
            <v>0</v>
          </cell>
          <cell r="D2014">
            <v>0</v>
          </cell>
        </row>
        <row r="2015">
          <cell r="A2015">
            <v>0</v>
          </cell>
          <cell r="C2015">
            <v>0</v>
          </cell>
          <cell r="D2015">
            <v>0</v>
          </cell>
        </row>
        <row r="2016">
          <cell r="A2016">
            <v>0</v>
          </cell>
          <cell r="C2016">
            <v>0</v>
          </cell>
          <cell r="D2016">
            <v>0</v>
          </cell>
        </row>
        <row r="2017">
          <cell r="A2017">
            <v>0</v>
          </cell>
          <cell r="C2017">
            <v>0</v>
          </cell>
          <cell r="D2017">
            <v>0</v>
          </cell>
        </row>
        <row r="2018">
          <cell r="A2018">
            <v>0</v>
          </cell>
          <cell r="C2018">
            <v>0</v>
          </cell>
          <cell r="D2018">
            <v>0</v>
          </cell>
        </row>
        <row r="2019">
          <cell r="A2019">
            <v>0</v>
          </cell>
          <cell r="C2019">
            <v>0</v>
          </cell>
          <cell r="D2019">
            <v>0</v>
          </cell>
        </row>
        <row r="2020">
          <cell r="A2020">
            <v>0</v>
          </cell>
          <cell r="C2020">
            <v>0</v>
          </cell>
          <cell r="D2020">
            <v>0</v>
          </cell>
        </row>
        <row r="2021">
          <cell r="A2021">
            <v>0</v>
          </cell>
          <cell r="C2021">
            <v>0</v>
          </cell>
          <cell r="D2021">
            <v>0</v>
          </cell>
        </row>
        <row r="2022">
          <cell r="A2022">
            <v>0</v>
          </cell>
          <cell r="C2022">
            <v>0</v>
          </cell>
          <cell r="D2022">
            <v>0</v>
          </cell>
        </row>
        <row r="2023">
          <cell r="A2023">
            <v>0</v>
          </cell>
          <cell r="C2023">
            <v>0</v>
          </cell>
          <cell r="D2023">
            <v>0</v>
          </cell>
        </row>
        <row r="2024">
          <cell r="A2024">
            <v>0</v>
          </cell>
          <cell r="C2024">
            <v>0</v>
          </cell>
          <cell r="D2024">
            <v>0</v>
          </cell>
        </row>
        <row r="2025">
          <cell r="A2025">
            <v>0</v>
          </cell>
          <cell r="C2025">
            <v>0</v>
          </cell>
          <cell r="D2025">
            <v>0</v>
          </cell>
        </row>
        <row r="2026">
          <cell r="A2026">
            <v>0</v>
          </cell>
          <cell r="C2026">
            <v>0</v>
          </cell>
          <cell r="D2026">
            <v>0</v>
          </cell>
        </row>
        <row r="2027">
          <cell r="A2027">
            <v>0</v>
          </cell>
          <cell r="C2027">
            <v>0</v>
          </cell>
          <cell r="D2027">
            <v>0</v>
          </cell>
        </row>
        <row r="2028">
          <cell r="A2028">
            <v>0</v>
          </cell>
          <cell r="C2028">
            <v>0</v>
          </cell>
          <cell r="D2028">
            <v>0</v>
          </cell>
        </row>
        <row r="2029">
          <cell r="A2029">
            <v>0</v>
          </cell>
          <cell r="C2029">
            <v>0</v>
          </cell>
          <cell r="D2029">
            <v>0</v>
          </cell>
        </row>
        <row r="2030">
          <cell r="A2030">
            <v>0</v>
          </cell>
          <cell r="C2030">
            <v>0</v>
          </cell>
          <cell r="D2030">
            <v>0</v>
          </cell>
        </row>
        <row r="2031">
          <cell r="A2031">
            <v>0</v>
          </cell>
          <cell r="C2031">
            <v>0</v>
          </cell>
          <cell r="D2031">
            <v>0</v>
          </cell>
        </row>
        <row r="2032">
          <cell r="A2032">
            <v>0</v>
          </cell>
          <cell r="C2032">
            <v>0</v>
          </cell>
          <cell r="D2032">
            <v>0</v>
          </cell>
        </row>
        <row r="2033">
          <cell r="A2033">
            <v>0</v>
          </cell>
          <cell r="C2033">
            <v>0</v>
          </cell>
          <cell r="D2033">
            <v>0</v>
          </cell>
        </row>
        <row r="2034">
          <cell r="A2034">
            <v>0</v>
          </cell>
          <cell r="C2034">
            <v>0</v>
          </cell>
          <cell r="D2034">
            <v>0</v>
          </cell>
        </row>
        <row r="2035">
          <cell r="A2035">
            <v>0</v>
          </cell>
          <cell r="C2035">
            <v>0</v>
          </cell>
          <cell r="D2035">
            <v>0</v>
          </cell>
        </row>
        <row r="2036">
          <cell r="A2036">
            <v>0</v>
          </cell>
          <cell r="C2036">
            <v>0</v>
          </cell>
          <cell r="D2036">
            <v>0</v>
          </cell>
        </row>
        <row r="2037">
          <cell r="A2037">
            <v>0</v>
          </cell>
          <cell r="C2037">
            <v>0</v>
          </cell>
          <cell r="D2037">
            <v>0</v>
          </cell>
        </row>
        <row r="2038">
          <cell r="A2038">
            <v>0</v>
          </cell>
          <cell r="C2038">
            <v>0</v>
          </cell>
          <cell r="D2038">
            <v>0</v>
          </cell>
        </row>
        <row r="2039">
          <cell r="A2039">
            <v>0</v>
          </cell>
          <cell r="C2039">
            <v>0</v>
          </cell>
          <cell r="D2039">
            <v>0</v>
          </cell>
        </row>
        <row r="2040">
          <cell r="A2040">
            <v>0</v>
          </cell>
          <cell r="C2040">
            <v>0</v>
          </cell>
          <cell r="D2040">
            <v>0</v>
          </cell>
        </row>
        <row r="2041">
          <cell r="A2041">
            <v>0</v>
          </cell>
          <cell r="C2041">
            <v>0</v>
          </cell>
          <cell r="D2041">
            <v>0</v>
          </cell>
        </row>
        <row r="2042">
          <cell r="A2042">
            <v>0</v>
          </cell>
          <cell r="C2042">
            <v>0</v>
          </cell>
          <cell r="D2042">
            <v>0</v>
          </cell>
        </row>
        <row r="2043">
          <cell r="A2043">
            <v>0</v>
          </cell>
          <cell r="C2043">
            <v>0</v>
          </cell>
          <cell r="D2043">
            <v>0</v>
          </cell>
        </row>
        <row r="2044">
          <cell r="A2044">
            <v>0</v>
          </cell>
          <cell r="C2044">
            <v>0</v>
          </cell>
          <cell r="D2044">
            <v>0</v>
          </cell>
        </row>
        <row r="2045">
          <cell r="A2045">
            <v>0</v>
          </cell>
          <cell r="C2045">
            <v>0</v>
          </cell>
          <cell r="D2045">
            <v>0</v>
          </cell>
        </row>
        <row r="2046">
          <cell r="A2046">
            <v>0</v>
          </cell>
          <cell r="C2046">
            <v>0</v>
          </cell>
          <cell r="D2046">
            <v>0</v>
          </cell>
        </row>
        <row r="2047">
          <cell r="A2047">
            <v>0</v>
          </cell>
          <cell r="C2047">
            <v>0</v>
          </cell>
          <cell r="D2047">
            <v>0</v>
          </cell>
        </row>
        <row r="2048">
          <cell r="A2048">
            <v>0</v>
          </cell>
          <cell r="C2048">
            <v>0</v>
          </cell>
          <cell r="D2048">
            <v>0</v>
          </cell>
        </row>
        <row r="2049">
          <cell r="A2049">
            <v>0</v>
          </cell>
          <cell r="C2049">
            <v>0</v>
          </cell>
          <cell r="D2049">
            <v>0</v>
          </cell>
        </row>
        <row r="2050">
          <cell r="A2050">
            <v>0</v>
          </cell>
          <cell r="C2050">
            <v>0</v>
          </cell>
          <cell r="D2050">
            <v>0</v>
          </cell>
        </row>
        <row r="2051">
          <cell r="A2051">
            <v>0</v>
          </cell>
          <cell r="C2051">
            <v>0</v>
          </cell>
          <cell r="D2051">
            <v>0</v>
          </cell>
        </row>
        <row r="2052">
          <cell r="A2052">
            <v>0</v>
          </cell>
          <cell r="C2052">
            <v>0</v>
          </cell>
          <cell r="D2052">
            <v>0</v>
          </cell>
        </row>
        <row r="2053">
          <cell r="A2053">
            <v>0</v>
          </cell>
          <cell r="C2053">
            <v>0</v>
          </cell>
          <cell r="D2053">
            <v>0</v>
          </cell>
        </row>
        <row r="2054">
          <cell r="A2054">
            <v>0</v>
          </cell>
          <cell r="C2054">
            <v>0</v>
          </cell>
          <cell r="D2054">
            <v>0</v>
          </cell>
        </row>
        <row r="2055">
          <cell r="A2055">
            <v>0</v>
          </cell>
          <cell r="C2055">
            <v>0</v>
          </cell>
          <cell r="D2055">
            <v>0</v>
          </cell>
        </row>
        <row r="2056">
          <cell r="A2056">
            <v>0</v>
          </cell>
          <cell r="C2056">
            <v>0</v>
          </cell>
          <cell r="D2056">
            <v>0</v>
          </cell>
        </row>
        <row r="2057">
          <cell r="A2057">
            <v>0</v>
          </cell>
          <cell r="C2057">
            <v>0</v>
          </cell>
          <cell r="D2057">
            <v>0</v>
          </cell>
        </row>
        <row r="2058">
          <cell r="A2058">
            <v>0</v>
          </cell>
          <cell r="C2058">
            <v>0</v>
          </cell>
          <cell r="D2058">
            <v>0</v>
          </cell>
        </row>
        <row r="2059">
          <cell r="A2059">
            <v>0</v>
          </cell>
          <cell r="C2059">
            <v>0</v>
          </cell>
          <cell r="D2059">
            <v>0</v>
          </cell>
        </row>
        <row r="2060">
          <cell r="A2060">
            <v>0</v>
          </cell>
          <cell r="C2060">
            <v>0</v>
          </cell>
          <cell r="D2060">
            <v>0</v>
          </cell>
        </row>
        <row r="2061">
          <cell r="A2061">
            <v>0</v>
          </cell>
          <cell r="C2061">
            <v>0</v>
          </cell>
          <cell r="D2061">
            <v>0</v>
          </cell>
        </row>
        <row r="2062">
          <cell r="A2062">
            <v>0</v>
          </cell>
          <cell r="C2062">
            <v>0</v>
          </cell>
          <cell r="D2062">
            <v>0</v>
          </cell>
        </row>
        <row r="2063">
          <cell r="A2063">
            <v>0</v>
          </cell>
          <cell r="C2063">
            <v>0</v>
          </cell>
          <cell r="D2063">
            <v>0</v>
          </cell>
        </row>
        <row r="2064">
          <cell r="A2064">
            <v>0</v>
          </cell>
          <cell r="C2064">
            <v>0</v>
          </cell>
          <cell r="D2064">
            <v>0</v>
          </cell>
        </row>
        <row r="2065">
          <cell r="A2065">
            <v>0</v>
          </cell>
          <cell r="C2065">
            <v>0</v>
          </cell>
          <cell r="D2065">
            <v>0</v>
          </cell>
        </row>
        <row r="2066">
          <cell r="A2066">
            <v>0</v>
          </cell>
          <cell r="C2066">
            <v>0</v>
          </cell>
          <cell r="D2066">
            <v>0</v>
          </cell>
        </row>
        <row r="2067">
          <cell r="A2067">
            <v>0</v>
          </cell>
          <cell r="C2067">
            <v>0</v>
          </cell>
          <cell r="D2067">
            <v>0</v>
          </cell>
        </row>
        <row r="2068">
          <cell r="A2068">
            <v>0</v>
          </cell>
          <cell r="C2068">
            <v>0</v>
          </cell>
          <cell r="D2068">
            <v>0</v>
          </cell>
        </row>
        <row r="2069">
          <cell r="A2069">
            <v>0</v>
          </cell>
          <cell r="C2069">
            <v>0</v>
          </cell>
          <cell r="D2069">
            <v>0</v>
          </cell>
        </row>
        <row r="2070">
          <cell r="A2070">
            <v>0</v>
          </cell>
          <cell r="C2070">
            <v>0</v>
          </cell>
          <cell r="D2070">
            <v>0</v>
          </cell>
        </row>
        <row r="2071">
          <cell r="A2071">
            <v>0</v>
          </cell>
          <cell r="C2071">
            <v>0</v>
          </cell>
          <cell r="D2071">
            <v>0</v>
          </cell>
        </row>
        <row r="2072">
          <cell r="A2072">
            <v>0</v>
          </cell>
          <cell r="C2072">
            <v>0</v>
          </cell>
          <cell r="D2072">
            <v>0</v>
          </cell>
        </row>
        <row r="2073">
          <cell r="A2073">
            <v>0</v>
          </cell>
          <cell r="C2073">
            <v>0</v>
          </cell>
          <cell r="D2073">
            <v>0</v>
          </cell>
        </row>
        <row r="2074">
          <cell r="A2074">
            <v>0</v>
          </cell>
          <cell r="C2074">
            <v>0</v>
          </cell>
          <cell r="D2074">
            <v>0</v>
          </cell>
        </row>
        <row r="2075">
          <cell r="A2075">
            <v>0</v>
          </cell>
          <cell r="C2075">
            <v>0</v>
          </cell>
          <cell r="D2075">
            <v>0</v>
          </cell>
        </row>
        <row r="2076">
          <cell r="A2076">
            <v>0</v>
          </cell>
          <cell r="C2076">
            <v>0</v>
          </cell>
          <cell r="D2076">
            <v>0</v>
          </cell>
        </row>
        <row r="2077">
          <cell r="A2077">
            <v>0</v>
          </cell>
          <cell r="C2077">
            <v>0</v>
          </cell>
          <cell r="D2077">
            <v>0</v>
          </cell>
        </row>
        <row r="2078">
          <cell r="A2078">
            <v>0</v>
          </cell>
          <cell r="C2078">
            <v>0</v>
          </cell>
          <cell r="D2078">
            <v>0</v>
          </cell>
        </row>
        <row r="2079">
          <cell r="A2079">
            <v>0</v>
          </cell>
          <cell r="C2079">
            <v>0</v>
          </cell>
          <cell r="D2079">
            <v>0</v>
          </cell>
        </row>
        <row r="2080">
          <cell r="A2080">
            <v>0</v>
          </cell>
          <cell r="C2080">
            <v>0</v>
          </cell>
          <cell r="D2080">
            <v>0</v>
          </cell>
        </row>
        <row r="2081">
          <cell r="A2081">
            <v>0</v>
          </cell>
          <cell r="C2081">
            <v>0</v>
          </cell>
          <cell r="D2081">
            <v>0</v>
          </cell>
        </row>
        <row r="2082">
          <cell r="A2082">
            <v>0</v>
          </cell>
          <cell r="C2082">
            <v>0</v>
          </cell>
          <cell r="D2082">
            <v>0</v>
          </cell>
        </row>
        <row r="2083">
          <cell r="A2083">
            <v>0</v>
          </cell>
          <cell r="C2083">
            <v>0</v>
          </cell>
          <cell r="D2083">
            <v>0</v>
          </cell>
        </row>
        <row r="2084">
          <cell r="A2084">
            <v>0</v>
          </cell>
          <cell r="C2084">
            <v>0</v>
          </cell>
          <cell r="D2084">
            <v>0</v>
          </cell>
        </row>
        <row r="2085">
          <cell r="A2085">
            <v>0</v>
          </cell>
          <cell r="C2085">
            <v>0</v>
          </cell>
          <cell r="D2085">
            <v>0</v>
          </cell>
        </row>
        <row r="2086">
          <cell r="A2086">
            <v>0</v>
          </cell>
          <cell r="C2086">
            <v>0</v>
          </cell>
          <cell r="D2086">
            <v>0</v>
          </cell>
        </row>
        <row r="2087">
          <cell r="A2087">
            <v>0</v>
          </cell>
          <cell r="C2087">
            <v>0</v>
          </cell>
          <cell r="D2087">
            <v>0</v>
          </cell>
        </row>
        <row r="2088">
          <cell r="A2088">
            <v>0</v>
          </cell>
          <cell r="C2088">
            <v>0</v>
          </cell>
          <cell r="D2088">
            <v>0</v>
          </cell>
        </row>
        <row r="2089">
          <cell r="A2089">
            <v>0</v>
          </cell>
          <cell r="C2089">
            <v>0</v>
          </cell>
          <cell r="D2089">
            <v>0</v>
          </cell>
        </row>
        <row r="2090">
          <cell r="A2090">
            <v>0</v>
          </cell>
          <cell r="C2090">
            <v>0</v>
          </cell>
          <cell r="D2090">
            <v>0</v>
          </cell>
        </row>
        <row r="2091">
          <cell r="A2091">
            <v>0</v>
          </cell>
          <cell r="C2091">
            <v>0</v>
          </cell>
          <cell r="D2091">
            <v>0</v>
          </cell>
        </row>
        <row r="2092">
          <cell r="A2092">
            <v>0</v>
          </cell>
          <cell r="C2092">
            <v>0</v>
          </cell>
          <cell r="D2092">
            <v>0</v>
          </cell>
        </row>
        <row r="2093">
          <cell r="A2093">
            <v>0</v>
          </cell>
          <cell r="C2093">
            <v>0</v>
          </cell>
          <cell r="D2093">
            <v>0</v>
          </cell>
        </row>
        <row r="2094">
          <cell r="A2094">
            <v>0</v>
          </cell>
          <cell r="C2094">
            <v>0</v>
          </cell>
          <cell r="D2094">
            <v>0</v>
          </cell>
        </row>
        <row r="2095">
          <cell r="A2095">
            <v>0</v>
          </cell>
          <cell r="C2095">
            <v>0</v>
          </cell>
          <cell r="D2095">
            <v>0</v>
          </cell>
        </row>
        <row r="2096">
          <cell r="A2096">
            <v>0</v>
          </cell>
          <cell r="C2096">
            <v>0</v>
          </cell>
          <cell r="D2096">
            <v>0</v>
          </cell>
        </row>
        <row r="2097">
          <cell r="A2097">
            <v>0</v>
          </cell>
          <cell r="C2097">
            <v>0</v>
          </cell>
          <cell r="D2097">
            <v>0</v>
          </cell>
        </row>
        <row r="2098">
          <cell r="A2098">
            <v>0</v>
          </cell>
          <cell r="C2098">
            <v>0</v>
          </cell>
          <cell r="D2098">
            <v>0</v>
          </cell>
        </row>
        <row r="2099">
          <cell r="A2099">
            <v>0</v>
          </cell>
          <cell r="C2099">
            <v>0</v>
          </cell>
          <cell r="D2099">
            <v>0</v>
          </cell>
        </row>
        <row r="2100">
          <cell r="A2100">
            <v>0</v>
          </cell>
          <cell r="C2100">
            <v>0</v>
          </cell>
          <cell r="D2100">
            <v>0</v>
          </cell>
        </row>
        <row r="2101">
          <cell r="A2101">
            <v>0</v>
          </cell>
          <cell r="C2101">
            <v>0</v>
          </cell>
          <cell r="D2101">
            <v>0</v>
          </cell>
        </row>
        <row r="2102">
          <cell r="A2102">
            <v>0</v>
          </cell>
          <cell r="C2102">
            <v>0</v>
          </cell>
          <cell r="D2102">
            <v>0</v>
          </cell>
        </row>
        <row r="2103">
          <cell r="A2103">
            <v>0</v>
          </cell>
          <cell r="C2103">
            <v>0</v>
          </cell>
          <cell r="D2103">
            <v>0</v>
          </cell>
        </row>
        <row r="2104">
          <cell r="A2104">
            <v>0</v>
          </cell>
          <cell r="C2104">
            <v>0</v>
          </cell>
          <cell r="D2104">
            <v>0</v>
          </cell>
        </row>
        <row r="2105">
          <cell r="A2105">
            <v>0</v>
          </cell>
          <cell r="C2105">
            <v>0</v>
          </cell>
          <cell r="D2105">
            <v>0</v>
          </cell>
        </row>
        <row r="2106">
          <cell r="A2106">
            <v>0</v>
          </cell>
          <cell r="C2106">
            <v>0</v>
          </cell>
          <cell r="D2106">
            <v>0</v>
          </cell>
        </row>
        <row r="2107">
          <cell r="A2107">
            <v>0</v>
          </cell>
          <cell r="C2107">
            <v>0</v>
          </cell>
          <cell r="D2107">
            <v>0</v>
          </cell>
        </row>
        <row r="2108">
          <cell r="A2108">
            <v>0</v>
          </cell>
          <cell r="C2108">
            <v>0</v>
          </cell>
          <cell r="D2108">
            <v>0</v>
          </cell>
        </row>
        <row r="2109">
          <cell r="A2109">
            <v>0</v>
          </cell>
          <cell r="C2109">
            <v>0</v>
          </cell>
          <cell r="D2109">
            <v>0</v>
          </cell>
        </row>
        <row r="2110">
          <cell r="A2110">
            <v>0</v>
          </cell>
          <cell r="C2110">
            <v>0</v>
          </cell>
          <cell r="D2110">
            <v>0</v>
          </cell>
        </row>
        <row r="2111">
          <cell r="A2111">
            <v>0</v>
          </cell>
          <cell r="C2111">
            <v>0</v>
          </cell>
          <cell r="D2111">
            <v>0</v>
          </cell>
        </row>
        <row r="2112">
          <cell r="A2112">
            <v>0</v>
          </cell>
          <cell r="C2112">
            <v>0</v>
          </cell>
          <cell r="D2112">
            <v>0</v>
          </cell>
        </row>
        <row r="2113">
          <cell r="A2113">
            <v>0</v>
          </cell>
          <cell r="C2113">
            <v>0</v>
          </cell>
          <cell r="D2113">
            <v>0</v>
          </cell>
        </row>
        <row r="2114">
          <cell r="A2114">
            <v>0</v>
          </cell>
          <cell r="C2114">
            <v>0</v>
          </cell>
          <cell r="D2114">
            <v>0</v>
          </cell>
        </row>
        <row r="2115">
          <cell r="A2115">
            <v>0</v>
          </cell>
          <cell r="C2115">
            <v>0</v>
          </cell>
          <cell r="D2115">
            <v>0</v>
          </cell>
        </row>
        <row r="2116">
          <cell r="A2116">
            <v>0</v>
          </cell>
          <cell r="C2116">
            <v>0</v>
          </cell>
          <cell r="D2116">
            <v>0</v>
          </cell>
        </row>
        <row r="2117">
          <cell r="A2117">
            <v>0</v>
          </cell>
          <cell r="C2117">
            <v>0</v>
          </cell>
          <cell r="D2117">
            <v>0</v>
          </cell>
        </row>
        <row r="2118">
          <cell r="A2118">
            <v>0</v>
          </cell>
          <cell r="C2118">
            <v>0</v>
          </cell>
          <cell r="D2118">
            <v>0</v>
          </cell>
        </row>
        <row r="2119">
          <cell r="A2119">
            <v>0</v>
          </cell>
          <cell r="C2119">
            <v>0</v>
          </cell>
          <cell r="D2119">
            <v>0</v>
          </cell>
        </row>
        <row r="2120">
          <cell r="A2120">
            <v>0</v>
          </cell>
          <cell r="C2120">
            <v>0</v>
          </cell>
          <cell r="D2120">
            <v>0</v>
          </cell>
        </row>
        <row r="2121">
          <cell r="A2121">
            <v>0</v>
          </cell>
          <cell r="C2121">
            <v>0</v>
          </cell>
          <cell r="D2121">
            <v>0</v>
          </cell>
        </row>
        <row r="2122">
          <cell r="A2122">
            <v>0</v>
          </cell>
          <cell r="C2122">
            <v>0</v>
          </cell>
          <cell r="D2122">
            <v>0</v>
          </cell>
        </row>
        <row r="2123">
          <cell r="A2123">
            <v>0</v>
          </cell>
          <cell r="C2123">
            <v>0</v>
          </cell>
          <cell r="D2123">
            <v>0</v>
          </cell>
        </row>
        <row r="2124">
          <cell r="A2124">
            <v>0</v>
          </cell>
          <cell r="C2124">
            <v>0</v>
          </cell>
          <cell r="D2124">
            <v>0</v>
          </cell>
        </row>
        <row r="2125">
          <cell r="A2125">
            <v>0</v>
          </cell>
          <cell r="C2125">
            <v>0</v>
          </cell>
          <cell r="D2125">
            <v>0</v>
          </cell>
        </row>
        <row r="2126">
          <cell r="A2126">
            <v>0</v>
          </cell>
          <cell r="C2126">
            <v>0</v>
          </cell>
          <cell r="D2126">
            <v>0</v>
          </cell>
        </row>
        <row r="2127">
          <cell r="A2127">
            <v>0</v>
          </cell>
          <cell r="C2127">
            <v>0</v>
          </cell>
          <cell r="D2127">
            <v>0</v>
          </cell>
        </row>
        <row r="2128">
          <cell r="A2128">
            <v>0</v>
          </cell>
          <cell r="C2128">
            <v>0</v>
          </cell>
          <cell r="D2128">
            <v>0</v>
          </cell>
        </row>
        <row r="2129">
          <cell r="A2129">
            <v>0</v>
          </cell>
          <cell r="C2129">
            <v>0</v>
          </cell>
          <cell r="D2129">
            <v>0</v>
          </cell>
        </row>
        <row r="2130">
          <cell r="A2130">
            <v>0</v>
          </cell>
          <cell r="C2130">
            <v>0</v>
          </cell>
          <cell r="D2130">
            <v>0</v>
          </cell>
        </row>
        <row r="2131">
          <cell r="A2131">
            <v>0</v>
          </cell>
          <cell r="C2131">
            <v>0</v>
          </cell>
          <cell r="D2131">
            <v>0</v>
          </cell>
        </row>
        <row r="2132">
          <cell r="A2132">
            <v>0</v>
          </cell>
          <cell r="C2132">
            <v>0</v>
          </cell>
          <cell r="D2132">
            <v>0</v>
          </cell>
        </row>
        <row r="2133">
          <cell r="A2133">
            <v>0</v>
          </cell>
          <cell r="C2133">
            <v>0</v>
          </cell>
          <cell r="D2133">
            <v>0</v>
          </cell>
        </row>
        <row r="2134">
          <cell r="A2134">
            <v>0</v>
          </cell>
          <cell r="C2134">
            <v>0</v>
          </cell>
          <cell r="D2134">
            <v>0</v>
          </cell>
        </row>
        <row r="2135">
          <cell r="A2135">
            <v>0</v>
          </cell>
          <cell r="C2135">
            <v>0</v>
          </cell>
          <cell r="D2135">
            <v>0</v>
          </cell>
        </row>
        <row r="2136">
          <cell r="A2136">
            <v>0</v>
          </cell>
          <cell r="C2136">
            <v>0</v>
          </cell>
          <cell r="D2136">
            <v>0</v>
          </cell>
        </row>
        <row r="2137">
          <cell r="A2137">
            <v>0</v>
          </cell>
          <cell r="C2137">
            <v>0</v>
          </cell>
          <cell r="D2137">
            <v>0</v>
          </cell>
        </row>
        <row r="2138">
          <cell r="A2138">
            <v>0</v>
          </cell>
          <cell r="C2138">
            <v>0</v>
          </cell>
          <cell r="D2138">
            <v>0</v>
          </cell>
        </row>
        <row r="2139">
          <cell r="A2139">
            <v>0</v>
          </cell>
          <cell r="C2139">
            <v>0</v>
          </cell>
          <cell r="D2139">
            <v>0</v>
          </cell>
        </row>
        <row r="2140">
          <cell r="A2140">
            <v>0</v>
          </cell>
          <cell r="C2140">
            <v>0</v>
          </cell>
          <cell r="D2140">
            <v>0</v>
          </cell>
        </row>
        <row r="2141">
          <cell r="A2141">
            <v>0</v>
          </cell>
          <cell r="C2141">
            <v>0</v>
          </cell>
          <cell r="D2141">
            <v>0</v>
          </cell>
        </row>
        <row r="2142">
          <cell r="A2142">
            <v>0</v>
          </cell>
          <cell r="C2142">
            <v>0</v>
          </cell>
          <cell r="D2142">
            <v>0</v>
          </cell>
        </row>
        <row r="2143">
          <cell r="A2143">
            <v>0</v>
          </cell>
          <cell r="C2143">
            <v>0</v>
          </cell>
          <cell r="D2143">
            <v>0</v>
          </cell>
        </row>
        <row r="2144">
          <cell r="A2144">
            <v>0</v>
          </cell>
          <cell r="C2144">
            <v>0</v>
          </cell>
          <cell r="D2144">
            <v>0</v>
          </cell>
        </row>
        <row r="2145">
          <cell r="A2145">
            <v>0</v>
          </cell>
          <cell r="C2145">
            <v>0</v>
          </cell>
          <cell r="D2145">
            <v>0</v>
          </cell>
        </row>
        <row r="2146">
          <cell r="A2146">
            <v>0</v>
          </cell>
          <cell r="C2146">
            <v>0</v>
          </cell>
          <cell r="D2146">
            <v>0</v>
          </cell>
        </row>
        <row r="2147">
          <cell r="A2147">
            <v>0</v>
          </cell>
          <cell r="C2147">
            <v>0</v>
          </cell>
          <cell r="D2147">
            <v>0</v>
          </cell>
        </row>
        <row r="2148">
          <cell r="A2148">
            <v>0</v>
          </cell>
          <cell r="C2148">
            <v>0</v>
          </cell>
          <cell r="D2148">
            <v>0</v>
          </cell>
        </row>
        <row r="2149">
          <cell r="A2149">
            <v>0</v>
          </cell>
          <cell r="C2149">
            <v>0</v>
          </cell>
          <cell r="D2149">
            <v>0</v>
          </cell>
        </row>
        <row r="2150">
          <cell r="A2150">
            <v>0</v>
          </cell>
          <cell r="C2150">
            <v>0</v>
          </cell>
          <cell r="D2150">
            <v>0</v>
          </cell>
        </row>
        <row r="2151">
          <cell r="A2151">
            <v>0</v>
          </cell>
          <cell r="C2151">
            <v>0</v>
          </cell>
          <cell r="D2151">
            <v>0</v>
          </cell>
        </row>
        <row r="2152">
          <cell r="A2152">
            <v>0</v>
          </cell>
          <cell r="C2152">
            <v>0</v>
          </cell>
          <cell r="D2152">
            <v>0</v>
          </cell>
        </row>
        <row r="2153">
          <cell r="A2153">
            <v>0</v>
          </cell>
          <cell r="C2153">
            <v>0</v>
          </cell>
          <cell r="D2153">
            <v>0</v>
          </cell>
        </row>
        <row r="2154">
          <cell r="A2154">
            <v>0</v>
          </cell>
          <cell r="C2154">
            <v>0</v>
          </cell>
          <cell r="D2154">
            <v>0</v>
          </cell>
        </row>
        <row r="2155">
          <cell r="A2155">
            <v>0</v>
          </cell>
          <cell r="C2155">
            <v>0</v>
          </cell>
          <cell r="D2155">
            <v>0</v>
          </cell>
        </row>
        <row r="2156">
          <cell r="A2156">
            <v>0</v>
          </cell>
          <cell r="C2156">
            <v>0</v>
          </cell>
          <cell r="D2156">
            <v>0</v>
          </cell>
        </row>
        <row r="2157">
          <cell r="A2157">
            <v>0</v>
          </cell>
          <cell r="C2157">
            <v>0</v>
          </cell>
          <cell r="D2157">
            <v>0</v>
          </cell>
        </row>
        <row r="2158">
          <cell r="A2158">
            <v>0</v>
          </cell>
          <cell r="C2158">
            <v>0</v>
          </cell>
          <cell r="D2158">
            <v>0</v>
          </cell>
        </row>
        <row r="2159">
          <cell r="A2159">
            <v>0</v>
          </cell>
          <cell r="C2159">
            <v>0</v>
          </cell>
          <cell r="D2159">
            <v>0</v>
          </cell>
        </row>
        <row r="2160">
          <cell r="A2160">
            <v>0</v>
          </cell>
          <cell r="C2160">
            <v>0</v>
          </cell>
          <cell r="D2160">
            <v>0</v>
          </cell>
        </row>
        <row r="2161">
          <cell r="A2161">
            <v>0</v>
          </cell>
          <cell r="C2161">
            <v>0</v>
          </cell>
          <cell r="D2161">
            <v>0</v>
          </cell>
        </row>
        <row r="2162">
          <cell r="A2162">
            <v>0</v>
          </cell>
          <cell r="C2162">
            <v>0</v>
          </cell>
          <cell r="D2162">
            <v>0</v>
          </cell>
        </row>
        <row r="2163">
          <cell r="A2163">
            <v>0</v>
          </cell>
          <cell r="C2163">
            <v>0</v>
          </cell>
          <cell r="D2163">
            <v>0</v>
          </cell>
        </row>
        <row r="2164">
          <cell r="A2164">
            <v>0</v>
          </cell>
          <cell r="C2164">
            <v>0</v>
          </cell>
          <cell r="D2164">
            <v>0</v>
          </cell>
        </row>
        <row r="2165">
          <cell r="A2165">
            <v>0</v>
          </cell>
          <cell r="C2165">
            <v>0</v>
          </cell>
          <cell r="D2165">
            <v>0</v>
          </cell>
        </row>
        <row r="2166">
          <cell r="A2166">
            <v>0</v>
          </cell>
          <cell r="C2166">
            <v>0</v>
          </cell>
          <cell r="D2166">
            <v>0</v>
          </cell>
        </row>
        <row r="2167">
          <cell r="A2167">
            <v>0</v>
          </cell>
          <cell r="C2167">
            <v>0</v>
          </cell>
          <cell r="D2167">
            <v>0</v>
          </cell>
        </row>
        <row r="2168">
          <cell r="A2168">
            <v>0</v>
          </cell>
          <cell r="C2168">
            <v>0</v>
          </cell>
          <cell r="D2168">
            <v>0</v>
          </cell>
        </row>
        <row r="2169">
          <cell r="A2169">
            <v>0</v>
          </cell>
          <cell r="C2169">
            <v>0</v>
          </cell>
          <cell r="D2169">
            <v>0</v>
          </cell>
        </row>
        <row r="2170">
          <cell r="A2170">
            <v>0</v>
          </cell>
          <cell r="C2170">
            <v>0</v>
          </cell>
          <cell r="D2170">
            <v>0</v>
          </cell>
        </row>
        <row r="2171">
          <cell r="A2171">
            <v>0</v>
          </cell>
          <cell r="C2171">
            <v>0</v>
          </cell>
          <cell r="D2171">
            <v>0</v>
          </cell>
        </row>
        <row r="2172">
          <cell r="A2172">
            <v>0</v>
          </cell>
          <cell r="C2172">
            <v>0</v>
          </cell>
          <cell r="D2172">
            <v>0</v>
          </cell>
        </row>
        <row r="2173">
          <cell r="A2173">
            <v>0</v>
          </cell>
          <cell r="C2173">
            <v>0</v>
          </cell>
          <cell r="D2173">
            <v>0</v>
          </cell>
        </row>
        <row r="2174">
          <cell r="A2174">
            <v>0</v>
          </cell>
          <cell r="C2174">
            <v>0</v>
          </cell>
          <cell r="D2174">
            <v>0</v>
          </cell>
        </row>
        <row r="2175">
          <cell r="A2175">
            <v>0</v>
          </cell>
          <cell r="C2175">
            <v>0</v>
          </cell>
          <cell r="D2175">
            <v>0</v>
          </cell>
        </row>
        <row r="2176">
          <cell r="A2176">
            <v>0</v>
          </cell>
          <cell r="C2176">
            <v>0</v>
          </cell>
          <cell r="D2176">
            <v>0</v>
          </cell>
        </row>
        <row r="2177">
          <cell r="A2177">
            <v>0</v>
          </cell>
          <cell r="C2177">
            <v>0</v>
          </cell>
          <cell r="D2177">
            <v>0</v>
          </cell>
        </row>
        <row r="2178">
          <cell r="A2178">
            <v>0</v>
          </cell>
          <cell r="C2178">
            <v>0</v>
          </cell>
          <cell r="D2178">
            <v>0</v>
          </cell>
        </row>
        <row r="2179">
          <cell r="A2179">
            <v>0</v>
          </cell>
          <cell r="C2179">
            <v>0</v>
          </cell>
          <cell r="D2179">
            <v>0</v>
          </cell>
        </row>
        <row r="2180">
          <cell r="A2180">
            <v>0</v>
          </cell>
          <cell r="C2180">
            <v>0</v>
          </cell>
          <cell r="D2180">
            <v>0</v>
          </cell>
        </row>
        <row r="2181">
          <cell r="A2181">
            <v>0</v>
          </cell>
          <cell r="C2181">
            <v>0</v>
          </cell>
          <cell r="D2181">
            <v>0</v>
          </cell>
        </row>
        <row r="2182">
          <cell r="A2182">
            <v>0</v>
          </cell>
          <cell r="C2182">
            <v>0</v>
          </cell>
          <cell r="D2182">
            <v>0</v>
          </cell>
        </row>
        <row r="2183">
          <cell r="A2183">
            <v>0</v>
          </cell>
          <cell r="C2183">
            <v>0</v>
          </cell>
          <cell r="D2183">
            <v>0</v>
          </cell>
        </row>
        <row r="2184">
          <cell r="A2184">
            <v>0</v>
          </cell>
          <cell r="C2184">
            <v>0</v>
          </cell>
          <cell r="D2184">
            <v>0</v>
          </cell>
        </row>
        <row r="2185">
          <cell r="A2185">
            <v>0</v>
          </cell>
          <cell r="C2185">
            <v>0</v>
          </cell>
          <cell r="D2185">
            <v>0</v>
          </cell>
        </row>
        <row r="2186">
          <cell r="A2186">
            <v>0</v>
          </cell>
          <cell r="C2186">
            <v>0</v>
          </cell>
          <cell r="D2186">
            <v>0</v>
          </cell>
        </row>
        <row r="2187">
          <cell r="A2187">
            <v>0</v>
          </cell>
          <cell r="C2187">
            <v>0</v>
          </cell>
          <cell r="D2187">
            <v>0</v>
          </cell>
        </row>
        <row r="2188">
          <cell r="A2188">
            <v>0</v>
          </cell>
          <cell r="C2188">
            <v>0</v>
          </cell>
          <cell r="D2188">
            <v>0</v>
          </cell>
        </row>
        <row r="2189">
          <cell r="A2189">
            <v>0</v>
          </cell>
          <cell r="C2189">
            <v>0</v>
          </cell>
          <cell r="D2189">
            <v>0</v>
          </cell>
        </row>
        <row r="2190">
          <cell r="A2190">
            <v>0</v>
          </cell>
          <cell r="C2190">
            <v>0</v>
          </cell>
          <cell r="D2190">
            <v>0</v>
          </cell>
        </row>
        <row r="2191">
          <cell r="A2191">
            <v>0</v>
          </cell>
          <cell r="C2191">
            <v>0</v>
          </cell>
          <cell r="D2191">
            <v>0</v>
          </cell>
        </row>
        <row r="2192">
          <cell r="A2192">
            <v>0</v>
          </cell>
          <cell r="C2192">
            <v>0</v>
          </cell>
          <cell r="D2192">
            <v>0</v>
          </cell>
        </row>
        <row r="2193">
          <cell r="A2193">
            <v>0</v>
          </cell>
          <cell r="C2193">
            <v>0</v>
          </cell>
          <cell r="D2193">
            <v>0</v>
          </cell>
        </row>
        <row r="2194">
          <cell r="A2194">
            <v>0</v>
          </cell>
          <cell r="C2194">
            <v>0</v>
          </cell>
          <cell r="D2194">
            <v>0</v>
          </cell>
        </row>
        <row r="2195">
          <cell r="A2195">
            <v>0</v>
          </cell>
          <cell r="C2195">
            <v>0</v>
          </cell>
          <cell r="D2195">
            <v>0</v>
          </cell>
        </row>
        <row r="2196">
          <cell r="A2196">
            <v>0</v>
          </cell>
          <cell r="C2196">
            <v>0</v>
          </cell>
          <cell r="D2196">
            <v>0</v>
          </cell>
        </row>
        <row r="2197">
          <cell r="A2197">
            <v>0</v>
          </cell>
          <cell r="C2197">
            <v>0</v>
          </cell>
          <cell r="D2197">
            <v>0</v>
          </cell>
        </row>
        <row r="2198">
          <cell r="A2198">
            <v>0</v>
          </cell>
          <cell r="C2198">
            <v>0</v>
          </cell>
          <cell r="D2198">
            <v>0</v>
          </cell>
        </row>
        <row r="2199">
          <cell r="A2199">
            <v>0</v>
          </cell>
          <cell r="C2199">
            <v>0</v>
          </cell>
          <cell r="D2199">
            <v>0</v>
          </cell>
        </row>
        <row r="2200">
          <cell r="A2200">
            <v>0</v>
          </cell>
          <cell r="C2200">
            <v>0</v>
          </cell>
          <cell r="D2200">
            <v>0</v>
          </cell>
        </row>
        <row r="2201">
          <cell r="A2201">
            <v>0</v>
          </cell>
          <cell r="C2201">
            <v>0</v>
          </cell>
          <cell r="D2201">
            <v>0</v>
          </cell>
        </row>
        <row r="2202">
          <cell r="A2202">
            <v>0</v>
          </cell>
          <cell r="C2202">
            <v>0</v>
          </cell>
          <cell r="D2202">
            <v>0</v>
          </cell>
        </row>
        <row r="2203">
          <cell r="A2203">
            <v>0</v>
          </cell>
          <cell r="C2203">
            <v>0</v>
          </cell>
          <cell r="D2203">
            <v>0</v>
          </cell>
        </row>
        <row r="2204">
          <cell r="A2204">
            <v>0</v>
          </cell>
          <cell r="C2204">
            <v>0</v>
          </cell>
          <cell r="D2204">
            <v>0</v>
          </cell>
        </row>
        <row r="2205">
          <cell r="A2205">
            <v>0</v>
          </cell>
          <cell r="C2205">
            <v>0</v>
          </cell>
          <cell r="D2205">
            <v>0</v>
          </cell>
        </row>
        <row r="2206">
          <cell r="A2206">
            <v>0</v>
          </cell>
          <cell r="C2206">
            <v>0</v>
          </cell>
          <cell r="D2206">
            <v>0</v>
          </cell>
        </row>
        <row r="2207">
          <cell r="A2207">
            <v>0</v>
          </cell>
          <cell r="C2207">
            <v>0</v>
          </cell>
          <cell r="D2207">
            <v>0</v>
          </cell>
        </row>
        <row r="2208">
          <cell r="A2208">
            <v>0</v>
          </cell>
          <cell r="C2208">
            <v>0</v>
          </cell>
          <cell r="D2208">
            <v>0</v>
          </cell>
        </row>
        <row r="2209">
          <cell r="A2209">
            <v>0</v>
          </cell>
          <cell r="C2209">
            <v>0</v>
          </cell>
          <cell r="D2209">
            <v>0</v>
          </cell>
        </row>
        <row r="2210">
          <cell r="A2210">
            <v>0</v>
          </cell>
          <cell r="C2210">
            <v>0</v>
          </cell>
          <cell r="D2210">
            <v>0</v>
          </cell>
        </row>
        <row r="2211">
          <cell r="A2211">
            <v>0</v>
          </cell>
          <cell r="C2211">
            <v>0</v>
          </cell>
          <cell r="D2211">
            <v>0</v>
          </cell>
        </row>
        <row r="2212">
          <cell r="A2212">
            <v>0</v>
          </cell>
          <cell r="C2212">
            <v>0</v>
          </cell>
          <cell r="D2212">
            <v>0</v>
          </cell>
        </row>
        <row r="2213">
          <cell r="A2213">
            <v>0</v>
          </cell>
          <cell r="C2213">
            <v>0</v>
          </cell>
          <cell r="D2213">
            <v>0</v>
          </cell>
        </row>
        <row r="2214">
          <cell r="A2214">
            <v>0</v>
          </cell>
          <cell r="C2214">
            <v>0</v>
          </cell>
          <cell r="D2214">
            <v>0</v>
          </cell>
        </row>
        <row r="2215">
          <cell r="A2215">
            <v>0</v>
          </cell>
          <cell r="C2215">
            <v>0</v>
          </cell>
          <cell r="D2215">
            <v>0</v>
          </cell>
        </row>
        <row r="2216">
          <cell r="A2216">
            <v>0</v>
          </cell>
          <cell r="C2216">
            <v>0</v>
          </cell>
          <cell r="D2216">
            <v>0</v>
          </cell>
        </row>
        <row r="2217">
          <cell r="A2217">
            <v>0</v>
          </cell>
          <cell r="C2217">
            <v>0</v>
          </cell>
          <cell r="D2217">
            <v>0</v>
          </cell>
        </row>
        <row r="2218">
          <cell r="A2218">
            <v>0</v>
          </cell>
          <cell r="C2218">
            <v>0</v>
          </cell>
          <cell r="D2218">
            <v>0</v>
          </cell>
        </row>
        <row r="2219">
          <cell r="A2219">
            <v>0</v>
          </cell>
          <cell r="C2219">
            <v>0</v>
          </cell>
          <cell r="D2219">
            <v>0</v>
          </cell>
        </row>
        <row r="2220">
          <cell r="A2220">
            <v>0</v>
          </cell>
          <cell r="C2220">
            <v>0</v>
          </cell>
          <cell r="D2220">
            <v>0</v>
          </cell>
        </row>
        <row r="2221">
          <cell r="A2221">
            <v>0</v>
          </cell>
          <cell r="C2221">
            <v>0</v>
          </cell>
          <cell r="D2221">
            <v>0</v>
          </cell>
        </row>
        <row r="2222">
          <cell r="A2222">
            <v>0</v>
          </cell>
          <cell r="C2222">
            <v>0</v>
          </cell>
          <cell r="D2222">
            <v>0</v>
          </cell>
        </row>
        <row r="2223">
          <cell r="A2223">
            <v>0</v>
          </cell>
          <cell r="C2223">
            <v>0</v>
          </cell>
          <cell r="D2223">
            <v>0</v>
          </cell>
        </row>
        <row r="2224">
          <cell r="A2224">
            <v>0</v>
          </cell>
          <cell r="C2224">
            <v>0</v>
          </cell>
          <cell r="D2224">
            <v>0</v>
          </cell>
        </row>
        <row r="2225">
          <cell r="A2225">
            <v>0</v>
          </cell>
          <cell r="C2225">
            <v>0</v>
          </cell>
          <cell r="D2225">
            <v>0</v>
          </cell>
        </row>
        <row r="2226">
          <cell r="A2226">
            <v>0</v>
          </cell>
          <cell r="C2226">
            <v>0</v>
          </cell>
          <cell r="D2226">
            <v>0</v>
          </cell>
        </row>
        <row r="2227">
          <cell r="A2227">
            <v>0</v>
          </cell>
          <cell r="C2227">
            <v>0</v>
          </cell>
          <cell r="D2227">
            <v>0</v>
          </cell>
        </row>
        <row r="2228">
          <cell r="A2228">
            <v>0</v>
          </cell>
          <cell r="C2228">
            <v>0</v>
          </cell>
          <cell r="D2228">
            <v>0</v>
          </cell>
        </row>
        <row r="2229">
          <cell r="A2229">
            <v>0</v>
          </cell>
          <cell r="C2229">
            <v>0</v>
          </cell>
          <cell r="D2229">
            <v>0</v>
          </cell>
        </row>
        <row r="2230">
          <cell r="A2230">
            <v>0</v>
          </cell>
          <cell r="C2230">
            <v>0</v>
          </cell>
          <cell r="D2230">
            <v>0</v>
          </cell>
        </row>
        <row r="2231">
          <cell r="A2231">
            <v>0</v>
          </cell>
          <cell r="C2231">
            <v>0</v>
          </cell>
          <cell r="D2231">
            <v>0</v>
          </cell>
        </row>
        <row r="2232">
          <cell r="A2232">
            <v>0</v>
          </cell>
          <cell r="C2232">
            <v>0</v>
          </cell>
          <cell r="D2232">
            <v>0</v>
          </cell>
        </row>
        <row r="2233">
          <cell r="A2233">
            <v>0</v>
          </cell>
          <cell r="C2233">
            <v>0</v>
          </cell>
          <cell r="D2233">
            <v>0</v>
          </cell>
        </row>
        <row r="2234">
          <cell r="A2234">
            <v>0</v>
          </cell>
          <cell r="C2234">
            <v>0</v>
          </cell>
          <cell r="D2234">
            <v>0</v>
          </cell>
        </row>
        <row r="2235">
          <cell r="A2235">
            <v>0</v>
          </cell>
          <cell r="C2235">
            <v>0</v>
          </cell>
          <cell r="D2235">
            <v>0</v>
          </cell>
        </row>
        <row r="2236">
          <cell r="A2236">
            <v>0</v>
          </cell>
          <cell r="C2236">
            <v>0</v>
          </cell>
          <cell r="D2236">
            <v>0</v>
          </cell>
        </row>
        <row r="2237">
          <cell r="A2237">
            <v>0</v>
          </cell>
          <cell r="C2237">
            <v>0</v>
          </cell>
          <cell r="D2237">
            <v>0</v>
          </cell>
        </row>
        <row r="2238">
          <cell r="A2238">
            <v>0</v>
          </cell>
          <cell r="C2238">
            <v>0</v>
          </cell>
          <cell r="D2238">
            <v>0</v>
          </cell>
        </row>
        <row r="2239">
          <cell r="A2239">
            <v>0</v>
          </cell>
          <cell r="C2239">
            <v>0</v>
          </cell>
          <cell r="D2239">
            <v>0</v>
          </cell>
        </row>
        <row r="2240">
          <cell r="A2240">
            <v>0</v>
          </cell>
          <cell r="C2240">
            <v>0</v>
          </cell>
          <cell r="D2240">
            <v>0</v>
          </cell>
        </row>
        <row r="2241">
          <cell r="A2241">
            <v>0</v>
          </cell>
          <cell r="C2241">
            <v>0</v>
          </cell>
          <cell r="D2241">
            <v>0</v>
          </cell>
        </row>
        <row r="2242">
          <cell r="A2242">
            <v>0</v>
          </cell>
          <cell r="C2242">
            <v>0</v>
          </cell>
          <cell r="D2242">
            <v>0</v>
          </cell>
        </row>
        <row r="2243">
          <cell r="A2243">
            <v>0</v>
          </cell>
          <cell r="C2243">
            <v>0</v>
          </cell>
          <cell r="D2243">
            <v>0</v>
          </cell>
        </row>
        <row r="2244">
          <cell r="A2244">
            <v>0</v>
          </cell>
          <cell r="C2244">
            <v>0</v>
          </cell>
          <cell r="D2244">
            <v>0</v>
          </cell>
        </row>
        <row r="2245">
          <cell r="A2245">
            <v>0</v>
          </cell>
          <cell r="C2245">
            <v>0</v>
          </cell>
          <cell r="D2245">
            <v>0</v>
          </cell>
        </row>
        <row r="2246">
          <cell r="A2246">
            <v>0</v>
          </cell>
          <cell r="C2246">
            <v>0</v>
          </cell>
          <cell r="D2246">
            <v>0</v>
          </cell>
        </row>
        <row r="2247">
          <cell r="A2247">
            <v>0</v>
          </cell>
          <cell r="C2247">
            <v>0</v>
          </cell>
          <cell r="D2247">
            <v>0</v>
          </cell>
        </row>
        <row r="2248">
          <cell r="A2248">
            <v>0</v>
          </cell>
          <cell r="C2248">
            <v>0</v>
          </cell>
          <cell r="D2248">
            <v>0</v>
          </cell>
        </row>
        <row r="2249">
          <cell r="A2249">
            <v>0</v>
          </cell>
          <cell r="C2249">
            <v>0</v>
          </cell>
          <cell r="D2249">
            <v>0</v>
          </cell>
        </row>
        <row r="2250">
          <cell r="A2250">
            <v>0</v>
          </cell>
          <cell r="C2250">
            <v>0</v>
          </cell>
          <cell r="D2250">
            <v>0</v>
          </cell>
        </row>
        <row r="2251">
          <cell r="A2251">
            <v>0</v>
          </cell>
          <cell r="C2251">
            <v>0</v>
          </cell>
          <cell r="D2251">
            <v>0</v>
          </cell>
        </row>
        <row r="2252">
          <cell r="A2252">
            <v>0</v>
          </cell>
          <cell r="C2252">
            <v>0</v>
          </cell>
          <cell r="D2252">
            <v>0</v>
          </cell>
        </row>
        <row r="2253">
          <cell r="A2253">
            <v>0</v>
          </cell>
          <cell r="C2253">
            <v>0</v>
          </cell>
          <cell r="D2253">
            <v>0</v>
          </cell>
        </row>
        <row r="2254">
          <cell r="A2254">
            <v>0</v>
          </cell>
          <cell r="C2254">
            <v>0</v>
          </cell>
          <cell r="D2254">
            <v>0</v>
          </cell>
        </row>
        <row r="2255">
          <cell r="A2255">
            <v>0</v>
          </cell>
          <cell r="C2255">
            <v>0</v>
          </cell>
          <cell r="D2255">
            <v>0</v>
          </cell>
        </row>
        <row r="2256">
          <cell r="A2256">
            <v>0</v>
          </cell>
          <cell r="C2256">
            <v>0</v>
          </cell>
          <cell r="D2256">
            <v>0</v>
          </cell>
        </row>
        <row r="2257">
          <cell r="A2257">
            <v>0</v>
          </cell>
          <cell r="C2257">
            <v>0</v>
          </cell>
          <cell r="D2257">
            <v>0</v>
          </cell>
        </row>
        <row r="2258">
          <cell r="A2258">
            <v>0</v>
          </cell>
          <cell r="C2258">
            <v>0</v>
          </cell>
          <cell r="D2258">
            <v>0</v>
          </cell>
        </row>
        <row r="2259">
          <cell r="A2259">
            <v>0</v>
          </cell>
          <cell r="C2259">
            <v>0</v>
          </cell>
          <cell r="D2259">
            <v>0</v>
          </cell>
        </row>
        <row r="2260">
          <cell r="A2260">
            <v>0</v>
          </cell>
          <cell r="C2260">
            <v>0</v>
          </cell>
          <cell r="D2260">
            <v>0</v>
          </cell>
        </row>
        <row r="2261">
          <cell r="A2261">
            <v>0</v>
          </cell>
          <cell r="C2261">
            <v>0</v>
          </cell>
          <cell r="D2261">
            <v>0</v>
          </cell>
        </row>
        <row r="2262">
          <cell r="A2262">
            <v>0</v>
          </cell>
          <cell r="C2262">
            <v>0</v>
          </cell>
          <cell r="D2262">
            <v>0</v>
          </cell>
        </row>
        <row r="2263">
          <cell r="A2263">
            <v>0</v>
          </cell>
          <cell r="C2263">
            <v>0</v>
          </cell>
          <cell r="D2263">
            <v>0</v>
          </cell>
        </row>
        <row r="2264">
          <cell r="A2264">
            <v>0</v>
          </cell>
          <cell r="C2264">
            <v>0</v>
          </cell>
          <cell r="D2264">
            <v>0</v>
          </cell>
        </row>
        <row r="2265">
          <cell r="A2265">
            <v>0</v>
          </cell>
          <cell r="C2265">
            <v>0</v>
          </cell>
          <cell r="D2265">
            <v>0</v>
          </cell>
        </row>
        <row r="2266">
          <cell r="A2266">
            <v>0</v>
          </cell>
          <cell r="C2266">
            <v>0</v>
          </cell>
          <cell r="D2266">
            <v>0</v>
          </cell>
        </row>
        <row r="2267">
          <cell r="A2267">
            <v>0</v>
          </cell>
          <cell r="C2267">
            <v>0</v>
          </cell>
          <cell r="D2267">
            <v>0</v>
          </cell>
        </row>
        <row r="2268">
          <cell r="A2268">
            <v>0</v>
          </cell>
          <cell r="C2268">
            <v>0</v>
          </cell>
          <cell r="D2268">
            <v>0</v>
          </cell>
        </row>
        <row r="2269">
          <cell r="A2269">
            <v>0</v>
          </cell>
          <cell r="C2269">
            <v>0</v>
          </cell>
          <cell r="D2269">
            <v>0</v>
          </cell>
        </row>
        <row r="2270">
          <cell r="A2270">
            <v>0</v>
          </cell>
          <cell r="C2270">
            <v>0</v>
          </cell>
          <cell r="D2270">
            <v>0</v>
          </cell>
        </row>
        <row r="2271">
          <cell r="A2271">
            <v>0</v>
          </cell>
          <cell r="C2271">
            <v>0</v>
          </cell>
          <cell r="D2271">
            <v>0</v>
          </cell>
        </row>
        <row r="2272">
          <cell r="A2272">
            <v>0</v>
          </cell>
          <cell r="C2272">
            <v>0</v>
          </cell>
          <cell r="D2272">
            <v>0</v>
          </cell>
        </row>
        <row r="2273">
          <cell r="A2273">
            <v>0</v>
          </cell>
          <cell r="C2273">
            <v>0</v>
          </cell>
          <cell r="D2273">
            <v>0</v>
          </cell>
        </row>
        <row r="2274">
          <cell r="A2274">
            <v>0</v>
          </cell>
          <cell r="C2274">
            <v>0</v>
          </cell>
          <cell r="D2274">
            <v>0</v>
          </cell>
        </row>
        <row r="2275">
          <cell r="A2275">
            <v>0</v>
          </cell>
          <cell r="C2275">
            <v>0</v>
          </cell>
          <cell r="D2275">
            <v>0</v>
          </cell>
        </row>
        <row r="2276">
          <cell r="A2276">
            <v>0</v>
          </cell>
          <cell r="C2276">
            <v>0</v>
          </cell>
          <cell r="D2276">
            <v>0</v>
          </cell>
        </row>
        <row r="2277">
          <cell r="A2277">
            <v>0</v>
          </cell>
          <cell r="C2277">
            <v>0</v>
          </cell>
          <cell r="D2277">
            <v>0</v>
          </cell>
        </row>
        <row r="2278">
          <cell r="A2278">
            <v>0</v>
          </cell>
          <cell r="C2278">
            <v>0</v>
          </cell>
          <cell r="D2278">
            <v>0</v>
          </cell>
        </row>
        <row r="2279">
          <cell r="A2279">
            <v>0</v>
          </cell>
          <cell r="C2279">
            <v>0</v>
          </cell>
          <cell r="D2279">
            <v>0</v>
          </cell>
        </row>
        <row r="2280">
          <cell r="A2280">
            <v>0</v>
          </cell>
          <cell r="C2280">
            <v>0</v>
          </cell>
          <cell r="D2280">
            <v>0</v>
          </cell>
        </row>
        <row r="2281">
          <cell r="A2281">
            <v>0</v>
          </cell>
          <cell r="C2281">
            <v>0</v>
          </cell>
          <cell r="D2281">
            <v>0</v>
          </cell>
        </row>
        <row r="2282">
          <cell r="A2282">
            <v>0</v>
          </cell>
          <cell r="C2282">
            <v>0</v>
          </cell>
          <cell r="D2282">
            <v>0</v>
          </cell>
        </row>
        <row r="2283">
          <cell r="A2283">
            <v>0</v>
          </cell>
          <cell r="C2283">
            <v>0</v>
          </cell>
          <cell r="D2283">
            <v>0</v>
          </cell>
        </row>
        <row r="2284">
          <cell r="A2284">
            <v>0</v>
          </cell>
          <cell r="C2284">
            <v>0</v>
          </cell>
          <cell r="D2284">
            <v>0</v>
          </cell>
        </row>
        <row r="2285">
          <cell r="A2285">
            <v>0</v>
          </cell>
          <cell r="C2285">
            <v>0</v>
          </cell>
          <cell r="D2285">
            <v>0</v>
          </cell>
        </row>
        <row r="2286">
          <cell r="A2286">
            <v>0</v>
          </cell>
          <cell r="C2286">
            <v>0</v>
          </cell>
          <cell r="D2286">
            <v>0</v>
          </cell>
        </row>
        <row r="2287">
          <cell r="A2287">
            <v>0</v>
          </cell>
          <cell r="C2287">
            <v>0</v>
          </cell>
          <cell r="D2287">
            <v>0</v>
          </cell>
        </row>
        <row r="2288">
          <cell r="A2288">
            <v>0</v>
          </cell>
          <cell r="C2288">
            <v>0</v>
          </cell>
          <cell r="D2288">
            <v>0</v>
          </cell>
        </row>
        <row r="2289">
          <cell r="A2289">
            <v>0</v>
          </cell>
          <cell r="C2289">
            <v>0</v>
          </cell>
          <cell r="D2289">
            <v>0</v>
          </cell>
        </row>
        <row r="2290">
          <cell r="A2290">
            <v>0</v>
          </cell>
          <cell r="C2290">
            <v>0</v>
          </cell>
          <cell r="D2290">
            <v>0</v>
          </cell>
        </row>
        <row r="2291">
          <cell r="A2291">
            <v>0</v>
          </cell>
          <cell r="C2291">
            <v>0</v>
          </cell>
          <cell r="D2291">
            <v>0</v>
          </cell>
        </row>
        <row r="2292">
          <cell r="A2292">
            <v>0</v>
          </cell>
          <cell r="C2292">
            <v>0</v>
          </cell>
          <cell r="D2292">
            <v>0</v>
          </cell>
        </row>
        <row r="2293">
          <cell r="A2293">
            <v>0</v>
          </cell>
          <cell r="C2293">
            <v>0</v>
          </cell>
          <cell r="D2293">
            <v>0</v>
          </cell>
        </row>
        <row r="2294">
          <cell r="A2294">
            <v>0</v>
          </cell>
          <cell r="C2294">
            <v>0</v>
          </cell>
          <cell r="D2294">
            <v>0</v>
          </cell>
        </row>
        <row r="2295">
          <cell r="A2295">
            <v>0</v>
          </cell>
          <cell r="C2295">
            <v>0</v>
          </cell>
          <cell r="D2295">
            <v>0</v>
          </cell>
        </row>
        <row r="2296">
          <cell r="A2296">
            <v>0</v>
          </cell>
          <cell r="C2296">
            <v>0</v>
          </cell>
          <cell r="D2296">
            <v>0</v>
          </cell>
        </row>
        <row r="2297">
          <cell r="A2297">
            <v>0</v>
          </cell>
          <cell r="C2297">
            <v>0</v>
          </cell>
          <cell r="D2297">
            <v>0</v>
          </cell>
        </row>
        <row r="2298">
          <cell r="A2298">
            <v>0</v>
          </cell>
          <cell r="C2298">
            <v>0</v>
          </cell>
          <cell r="D2298">
            <v>0</v>
          </cell>
        </row>
        <row r="2299">
          <cell r="A2299">
            <v>0</v>
          </cell>
          <cell r="C2299">
            <v>0</v>
          </cell>
          <cell r="D2299">
            <v>0</v>
          </cell>
        </row>
        <row r="2300">
          <cell r="A2300">
            <v>0</v>
          </cell>
          <cell r="C2300">
            <v>0</v>
          </cell>
          <cell r="D2300">
            <v>0</v>
          </cell>
        </row>
        <row r="2301">
          <cell r="A2301">
            <v>0</v>
          </cell>
          <cell r="C2301">
            <v>0</v>
          </cell>
          <cell r="D2301">
            <v>0</v>
          </cell>
        </row>
        <row r="2302">
          <cell r="A2302">
            <v>0</v>
          </cell>
          <cell r="C2302">
            <v>0</v>
          </cell>
          <cell r="D2302">
            <v>0</v>
          </cell>
        </row>
        <row r="2303">
          <cell r="A2303">
            <v>0</v>
          </cell>
          <cell r="C2303">
            <v>0</v>
          </cell>
          <cell r="D2303">
            <v>0</v>
          </cell>
        </row>
        <row r="2304">
          <cell r="A2304">
            <v>0</v>
          </cell>
          <cell r="C2304">
            <v>0</v>
          </cell>
          <cell r="D2304">
            <v>0</v>
          </cell>
        </row>
        <row r="2305">
          <cell r="A2305">
            <v>0</v>
          </cell>
          <cell r="C2305">
            <v>0</v>
          </cell>
          <cell r="D2305">
            <v>0</v>
          </cell>
        </row>
        <row r="2306">
          <cell r="A2306">
            <v>0</v>
          </cell>
          <cell r="C2306">
            <v>0</v>
          </cell>
          <cell r="D2306">
            <v>0</v>
          </cell>
        </row>
        <row r="2307">
          <cell r="A2307">
            <v>0</v>
          </cell>
          <cell r="C2307">
            <v>0</v>
          </cell>
          <cell r="D2307">
            <v>0</v>
          </cell>
        </row>
        <row r="2308">
          <cell r="A2308">
            <v>0</v>
          </cell>
          <cell r="C2308">
            <v>0</v>
          </cell>
          <cell r="D2308">
            <v>0</v>
          </cell>
        </row>
        <row r="2309">
          <cell r="A2309">
            <v>0</v>
          </cell>
          <cell r="C2309">
            <v>0</v>
          </cell>
          <cell r="D2309">
            <v>0</v>
          </cell>
        </row>
        <row r="2310">
          <cell r="A2310">
            <v>0</v>
          </cell>
          <cell r="C2310">
            <v>0</v>
          </cell>
          <cell r="D2310">
            <v>0</v>
          </cell>
        </row>
        <row r="2311">
          <cell r="A2311">
            <v>0</v>
          </cell>
          <cell r="C2311">
            <v>0</v>
          </cell>
          <cell r="D2311">
            <v>0</v>
          </cell>
        </row>
        <row r="2312">
          <cell r="A2312">
            <v>0</v>
          </cell>
          <cell r="C2312">
            <v>0</v>
          </cell>
          <cell r="D2312">
            <v>0</v>
          </cell>
        </row>
        <row r="2313">
          <cell r="A2313">
            <v>0</v>
          </cell>
          <cell r="C2313">
            <v>0</v>
          </cell>
          <cell r="D2313">
            <v>0</v>
          </cell>
        </row>
        <row r="2314">
          <cell r="A2314">
            <v>0</v>
          </cell>
          <cell r="C2314">
            <v>0</v>
          </cell>
          <cell r="D2314">
            <v>0</v>
          </cell>
        </row>
        <row r="2315">
          <cell r="A2315">
            <v>0</v>
          </cell>
          <cell r="C2315">
            <v>0</v>
          </cell>
          <cell r="D2315">
            <v>0</v>
          </cell>
        </row>
        <row r="2316">
          <cell r="A2316">
            <v>0</v>
          </cell>
          <cell r="C2316">
            <v>0</v>
          </cell>
          <cell r="D2316">
            <v>0</v>
          </cell>
        </row>
        <row r="2317">
          <cell r="A2317">
            <v>0</v>
          </cell>
          <cell r="C2317">
            <v>0</v>
          </cell>
          <cell r="D2317">
            <v>0</v>
          </cell>
        </row>
        <row r="2318">
          <cell r="A2318">
            <v>0</v>
          </cell>
          <cell r="C2318">
            <v>0</v>
          </cell>
          <cell r="D2318">
            <v>0</v>
          </cell>
        </row>
        <row r="2319">
          <cell r="A2319">
            <v>0</v>
          </cell>
          <cell r="C2319">
            <v>0</v>
          </cell>
          <cell r="D2319">
            <v>0</v>
          </cell>
        </row>
        <row r="2320">
          <cell r="A2320">
            <v>0</v>
          </cell>
          <cell r="C2320">
            <v>0</v>
          </cell>
          <cell r="D2320">
            <v>0</v>
          </cell>
        </row>
        <row r="2321">
          <cell r="A2321">
            <v>0</v>
          </cell>
          <cell r="C2321">
            <v>0</v>
          </cell>
          <cell r="D2321">
            <v>0</v>
          </cell>
        </row>
        <row r="2322">
          <cell r="A2322">
            <v>0</v>
          </cell>
          <cell r="C2322">
            <v>0</v>
          </cell>
          <cell r="D2322">
            <v>0</v>
          </cell>
        </row>
        <row r="2323">
          <cell r="A2323">
            <v>0</v>
          </cell>
          <cell r="C2323">
            <v>0</v>
          </cell>
          <cell r="D2323">
            <v>0</v>
          </cell>
        </row>
        <row r="2324">
          <cell r="A2324">
            <v>0</v>
          </cell>
          <cell r="C2324">
            <v>0</v>
          </cell>
          <cell r="D2324">
            <v>0</v>
          </cell>
        </row>
        <row r="2325">
          <cell r="A2325">
            <v>0</v>
          </cell>
          <cell r="C2325">
            <v>0</v>
          </cell>
          <cell r="D2325">
            <v>0</v>
          </cell>
        </row>
        <row r="2326">
          <cell r="A2326">
            <v>0</v>
          </cell>
          <cell r="C2326">
            <v>0</v>
          </cell>
          <cell r="D2326">
            <v>0</v>
          </cell>
        </row>
        <row r="2327">
          <cell r="A2327">
            <v>0</v>
          </cell>
          <cell r="C2327">
            <v>0</v>
          </cell>
          <cell r="D2327">
            <v>0</v>
          </cell>
        </row>
        <row r="2328">
          <cell r="A2328">
            <v>0</v>
          </cell>
          <cell r="C2328">
            <v>0</v>
          </cell>
          <cell r="D2328">
            <v>0</v>
          </cell>
        </row>
        <row r="2329">
          <cell r="A2329">
            <v>0</v>
          </cell>
          <cell r="C2329">
            <v>0</v>
          </cell>
          <cell r="D2329">
            <v>0</v>
          </cell>
        </row>
        <row r="2330">
          <cell r="A2330">
            <v>0</v>
          </cell>
          <cell r="C2330">
            <v>0</v>
          </cell>
          <cell r="D2330">
            <v>0</v>
          </cell>
        </row>
        <row r="2331">
          <cell r="A2331">
            <v>0</v>
          </cell>
          <cell r="C2331">
            <v>0</v>
          </cell>
          <cell r="D2331">
            <v>0</v>
          </cell>
        </row>
        <row r="2332">
          <cell r="A2332">
            <v>0</v>
          </cell>
          <cell r="C2332">
            <v>0</v>
          </cell>
          <cell r="D2332">
            <v>0</v>
          </cell>
        </row>
        <row r="2333">
          <cell r="A2333">
            <v>0</v>
          </cell>
          <cell r="C2333">
            <v>0</v>
          </cell>
          <cell r="D2333">
            <v>0</v>
          </cell>
        </row>
        <row r="2334">
          <cell r="A2334">
            <v>0</v>
          </cell>
          <cell r="C2334">
            <v>0</v>
          </cell>
          <cell r="D2334">
            <v>0</v>
          </cell>
        </row>
        <row r="2335">
          <cell r="A2335">
            <v>0</v>
          </cell>
          <cell r="C2335">
            <v>0</v>
          </cell>
          <cell r="D2335">
            <v>0</v>
          </cell>
        </row>
        <row r="2336">
          <cell r="A2336">
            <v>0</v>
          </cell>
          <cell r="C2336">
            <v>0</v>
          </cell>
          <cell r="D2336">
            <v>0</v>
          </cell>
        </row>
        <row r="2337">
          <cell r="A2337">
            <v>0</v>
          </cell>
          <cell r="C2337">
            <v>0</v>
          </cell>
          <cell r="D2337">
            <v>0</v>
          </cell>
        </row>
        <row r="2338">
          <cell r="A2338">
            <v>0</v>
          </cell>
          <cell r="C2338">
            <v>0</v>
          </cell>
          <cell r="D2338">
            <v>0</v>
          </cell>
        </row>
        <row r="2339">
          <cell r="A2339">
            <v>0</v>
          </cell>
          <cell r="C2339">
            <v>0</v>
          </cell>
          <cell r="D2339">
            <v>0</v>
          </cell>
        </row>
        <row r="2340">
          <cell r="A2340">
            <v>0</v>
          </cell>
          <cell r="C2340">
            <v>0</v>
          </cell>
          <cell r="D2340">
            <v>0</v>
          </cell>
        </row>
        <row r="2341">
          <cell r="A2341">
            <v>0</v>
          </cell>
          <cell r="C2341">
            <v>0</v>
          </cell>
          <cell r="D2341">
            <v>0</v>
          </cell>
        </row>
        <row r="2342">
          <cell r="A2342">
            <v>0</v>
          </cell>
          <cell r="C2342">
            <v>0</v>
          </cell>
          <cell r="D2342">
            <v>0</v>
          </cell>
        </row>
        <row r="2343">
          <cell r="A2343">
            <v>0</v>
          </cell>
          <cell r="C2343">
            <v>0</v>
          </cell>
          <cell r="D2343">
            <v>0</v>
          </cell>
        </row>
        <row r="2344">
          <cell r="A2344">
            <v>0</v>
          </cell>
          <cell r="C2344">
            <v>0</v>
          </cell>
          <cell r="D2344">
            <v>0</v>
          </cell>
        </row>
        <row r="2345">
          <cell r="A2345">
            <v>0</v>
          </cell>
          <cell r="C2345">
            <v>0</v>
          </cell>
          <cell r="D2345">
            <v>0</v>
          </cell>
        </row>
        <row r="2346">
          <cell r="A2346">
            <v>0</v>
          </cell>
          <cell r="C2346">
            <v>0</v>
          </cell>
          <cell r="D2346">
            <v>0</v>
          </cell>
        </row>
        <row r="2347">
          <cell r="A2347">
            <v>0</v>
          </cell>
          <cell r="C2347">
            <v>0</v>
          </cell>
          <cell r="D2347">
            <v>0</v>
          </cell>
        </row>
        <row r="2348">
          <cell r="A2348">
            <v>0</v>
          </cell>
          <cell r="C2348">
            <v>0</v>
          </cell>
          <cell r="D2348">
            <v>0</v>
          </cell>
        </row>
        <row r="2349">
          <cell r="A2349">
            <v>0</v>
          </cell>
          <cell r="C2349">
            <v>0</v>
          </cell>
          <cell r="D2349">
            <v>0</v>
          </cell>
        </row>
        <row r="2350">
          <cell r="A2350">
            <v>0</v>
          </cell>
          <cell r="C2350">
            <v>0</v>
          </cell>
          <cell r="D2350">
            <v>0</v>
          </cell>
        </row>
        <row r="2351">
          <cell r="A2351">
            <v>0</v>
          </cell>
          <cell r="C2351">
            <v>0</v>
          </cell>
          <cell r="D2351">
            <v>0</v>
          </cell>
        </row>
        <row r="2352">
          <cell r="A2352">
            <v>0</v>
          </cell>
          <cell r="C2352">
            <v>0</v>
          </cell>
          <cell r="D2352">
            <v>0</v>
          </cell>
        </row>
        <row r="2353">
          <cell r="A2353">
            <v>0</v>
          </cell>
          <cell r="C2353">
            <v>0</v>
          </cell>
          <cell r="D2353">
            <v>0</v>
          </cell>
        </row>
        <row r="2354">
          <cell r="A2354">
            <v>0</v>
          </cell>
          <cell r="C2354">
            <v>0</v>
          </cell>
          <cell r="D2354">
            <v>0</v>
          </cell>
        </row>
        <row r="2355">
          <cell r="A2355">
            <v>0</v>
          </cell>
          <cell r="C2355">
            <v>0</v>
          </cell>
          <cell r="D2355">
            <v>0</v>
          </cell>
        </row>
        <row r="2356">
          <cell r="A2356">
            <v>0</v>
          </cell>
          <cell r="C2356">
            <v>0</v>
          </cell>
          <cell r="D2356">
            <v>0</v>
          </cell>
        </row>
        <row r="2357">
          <cell r="A2357">
            <v>0</v>
          </cell>
          <cell r="C2357">
            <v>0</v>
          </cell>
          <cell r="D2357">
            <v>0</v>
          </cell>
        </row>
        <row r="2358">
          <cell r="A2358">
            <v>0</v>
          </cell>
          <cell r="C2358">
            <v>0</v>
          </cell>
          <cell r="D2358">
            <v>0</v>
          </cell>
        </row>
        <row r="2359">
          <cell r="A2359">
            <v>0</v>
          </cell>
          <cell r="C2359">
            <v>0</v>
          </cell>
          <cell r="D2359">
            <v>0</v>
          </cell>
        </row>
        <row r="2360">
          <cell r="A2360">
            <v>0</v>
          </cell>
          <cell r="C2360">
            <v>0</v>
          </cell>
          <cell r="D2360">
            <v>0</v>
          </cell>
        </row>
        <row r="2361">
          <cell r="A2361">
            <v>0</v>
          </cell>
          <cell r="C2361">
            <v>0</v>
          </cell>
          <cell r="D2361">
            <v>0</v>
          </cell>
        </row>
        <row r="2362">
          <cell r="A2362">
            <v>0</v>
          </cell>
          <cell r="C2362">
            <v>0</v>
          </cell>
          <cell r="D2362">
            <v>0</v>
          </cell>
        </row>
        <row r="2363">
          <cell r="A2363">
            <v>0</v>
          </cell>
          <cell r="C2363">
            <v>0</v>
          </cell>
          <cell r="D2363">
            <v>0</v>
          </cell>
        </row>
        <row r="2364">
          <cell r="A2364">
            <v>0</v>
          </cell>
          <cell r="C2364">
            <v>0</v>
          </cell>
          <cell r="D2364">
            <v>0</v>
          </cell>
        </row>
        <row r="2365">
          <cell r="A2365">
            <v>0</v>
          </cell>
          <cell r="C2365">
            <v>0</v>
          </cell>
          <cell r="D2365">
            <v>0</v>
          </cell>
        </row>
        <row r="2366">
          <cell r="A2366">
            <v>0</v>
          </cell>
          <cell r="C2366">
            <v>0</v>
          </cell>
          <cell r="D2366">
            <v>0</v>
          </cell>
        </row>
        <row r="2367">
          <cell r="A2367">
            <v>0</v>
          </cell>
          <cell r="C2367">
            <v>0</v>
          </cell>
          <cell r="D2367">
            <v>0</v>
          </cell>
        </row>
        <row r="2368">
          <cell r="A2368">
            <v>0</v>
          </cell>
          <cell r="C2368">
            <v>0</v>
          </cell>
          <cell r="D2368">
            <v>0</v>
          </cell>
        </row>
        <row r="2369">
          <cell r="A2369">
            <v>0</v>
          </cell>
          <cell r="C2369">
            <v>0</v>
          </cell>
          <cell r="D2369">
            <v>0</v>
          </cell>
        </row>
        <row r="2370">
          <cell r="A2370">
            <v>0</v>
          </cell>
          <cell r="C2370">
            <v>0</v>
          </cell>
          <cell r="D2370">
            <v>0</v>
          </cell>
        </row>
        <row r="2371">
          <cell r="A2371">
            <v>0</v>
          </cell>
          <cell r="C2371">
            <v>0</v>
          </cell>
          <cell r="D2371">
            <v>0</v>
          </cell>
        </row>
        <row r="2372">
          <cell r="A2372">
            <v>0</v>
          </cell>
          <cell r="C2372">
            <v>0</v>
          </cell>
          <cell r="D2372">
            <v>0</v>
          </cell>
        </row>
        <row r="2373">
          <cell r="A2373">
            <v>0</v>
          </cell>
          <cell r="C2373">
            <v>0</v>
          </cell>
          <cell r="D2373">
            <v>0</v>
          </cell>
        </row>
        <row r="2374">
          <cell r="A2374">
            <v>0</v>
          </cell>
          <cell r="C2374">
            <v>0</v>
          </cell>
          <cell r="D2374">
            <v>0</v>
          </cell>
        </row>
        <row r="2375">
          <cell r="A2375">
            <v>0</v>
          </cell>
          <cell r="C2375">
            <v>0</v>
          </cell>
          <cell r="D2375">
            <v>0</v>
          </cell>
        </row>
        <row r="2376">
          <cell r="A2376">
            <v>0</v>
          </cell>
          <cell r="C2376">
            <v>0</v>
          </cell>
          <cell r="D2376">
            <v>0</v>
          </cell>
        </row>
        <row r="2377">
          <cell r="A2377">
            <v>0</v>
          </cell>
          <cell r="C2377">
            <v>0</v>
          </cell>
          <cell r="D2377">
            <v>0</v>
          </cell>
        </row>
        <row r="2378">
          <cell r="A2378">
            <v>0</v>
          </cell>
          <cell r="C2378">
            <v>0</v>
          </cell>
          <cell r="D2378">
            <v>0</v>
          </cell>
        </row>
        <row r="2379">
          <cell r="A2379">
            <v>0</v>
          </cell>
          <cell r="C2379">
            <v>0</v>
          </cell>
          <cell r="D2379">
            <v>0</v>
          </cell>
        </row>
        <row r="2380">
          <cell r="A2380">
            <v>0</v>
          </cell>
          <cell r="C2380">
            <v>0</v>
          </cell>
          <cell r="D2380">
            <v>0</v>
          </cell>
        </row>
        <row r="2381">
          <cell r="A2381">
            <v>0</v>
          </cell>
          <cell r="C2381">
            <v>0</v>
          </cell>
          <cell r="D2381">
            <v>0</v>
          </cell>
        </row>
        <row r="2382">
          <cell r="A2382">
            <v>0</v>
          </cell>
          <cell r="C2382">
            <v>0</v>
          </cell>
          <cell r="D2382">
            <v>0</v>
          </cell>
        </row>
        <row r="2383">
          <cell r="A2383">
            <v>0</v>
          </cell>
          <cell r="C2383">
            <v>0</v>
          </cell>
          <cell r="D2383">
            <v>0</v>
          </cell>
        </row>
        <row r="2384">
          <cell r="A2384">
            <v>0</v>
          </cell>
          <cell r="C2384">
            <v>0</v>
          </cell>
          <cell r="D2384">
            <v>0</v>
          </cell>
        </row>
        <row r="2385">
          <cell r="A2385">
            <v>0</v>
          </cell>
          <cell r="C2385">
            <v>0</v>
          </cell>
          <cell r="D2385">
            <v>0</v>
          </cell>
        </row>
        <row r="2386">
          <cell r="A2386">
            <v>0</v>
          </cell>
          <cell r="C2386">
            <v>0</v>
          </cell>
          <cell r="D2386">
            <v>0</v>
          </cell>
        </row>
        <row r="2387">
          <cell r="A2387">
            <v>0</v>
          </cell>
          <cell r="C2387">
            <v>0</v>
          </cell>
          <cell r="D2387">
            <v>0</v>
          </cell>
        </row>
        <row r="2388">
          <cell r="A2388">
            <v>0</v>
          </cell>
          <cell r="C2388">
            <v>0</v>
          </cell>
          <cell r="D2388">
            <v>0</v>
          </cell>
        </row>
        <row r="2389">
          <cell r="A2389">
            <v>0</v>
          </cell>
          <cell r="C2389">
            <v>0</v>
          </cell>
          <cell r="D2389">
            <v>0</v>
          </cell>
        </row>
        <row r="2390">
          <cell r="A2390">
            <v>0</v>
          </cell>
          <cell r="C2390">
            <v>0</v>
          </cell>
          <cell r="D2390">
            <v>0</v>
          </cell>
        </row>
        <row r="2391">
          <cell r="A2391">
            <v>0</v>
          </cell>
          <cell r="C2391">
            <v>0</v>
          </cell>
          <cell r="D2391">
            <v>0</v>
          </cell>
        </row>
        <row r="2392">
          <cell r="A2392">
            <v>0</v>
          </cell>
          <cell r="C2392">
            <v>0</v>
          </cell>
          <cell r="D2392">
            <v>0</v>
          </cell>
        </row>
        <row r="2393">
          <cell r="A2393">
            <v>0</v>
          </cell>
          <cell r="C2393">
            <v>0</v>
          </cell>
          <cell r="D2393">
            <v>0</v>
          </cell>
        </row>
        <row r="2394">
          <cell r="A2394">
            <v>0</v>
          </cell>
          <cell r="C2394">
            <v>0</v>
          </cell>
          <cell r="D2394">
            <v>0</v>
          </cell>
        </row>
        <row r="2395">
          <cell r="A2395">
            <v>0</v>
          </cell>
          <cell r="C2395">
            <v>0</v>
          </cell>
          <cell r="D2395">
            <v>0</v>
          </cell>
        </row>
        <row r="2396">
          <cell r="A2396">
            <v>0</v>
          </cell>
          <cell r="C2396">
            <v>0</v>
          </cell>
          <cell r="D2396">
            <v>0</v>
          </cell>
        </row>
        <row r="2397">
          <cell r="A2397">
            <v>0</v>
          </cell>
          <cell r="C2397">
            <v>0</v>
          </cell>
          <cell r="D2397">
            <v>0</v>
          </cell>
        </row>
        <row r="2398">
          <cell r="A2398">
            <v>0</v>
          </cell>
          <cell r="C2398">
            <v>0</v>
          </cell>
          <cell r="D2398">
            <v>0</v>
          </cell>
        </row>
        <row r="2399">
          <cell r="A2399">
            <v>0</v>
          </cell>
          <cell r="C2399">
            <v>0</v>
          </cell>
          <cell r="D2399">
            <v>0</v>
          </cell>
        </row>
        <row r="2400">
          <cell r="A2400">
            <v>0</v>
          </cell>
          <cell r="C2400">
            <v>0</v>
          </cell>
          <cell r="D2400">
            <v>0</v>
          </cell>
        </row>
        <row r="2401">
          <cell r="A2401">
            <v>0</v>
          </cell>
          <cell r="C2401">
            <v>0</v>
          </cell>
          <cell r="D2401">
            <v>0</v>
          </cell>
        </row>
        <row r="2402">
          <cell r="A2402">
            <v>0</v>
          </cell>
          <cell r="C2402">
            <v>0</v>
          </cell>
          <cell r="D2402">
            <v>0</v>
          </cell>
        </row>
        <row r="2403">
          <cell r="A2403">
            <v>0</v>
          </cell>
          <cell r="C2403">
            <v>0</v>
          </cell>
          <cell r="D2403">
            <v>0</v>
          </cell>
        </row>
        <row r="2404">
          <cell r="A2404">
            <v>0</v>
          </cell>
          <cell r="C2404">
            <v>0</v>
          </cell>
          <cell r="D2404">
            <v>0</v>
          </cell>
        </row>
        <row r="2405">
          <cell r="A2405">
            <v>0</v>
          </cell>
          <cell r="C2405">
            <v>0</v>
          </cell>
          <cell r="D2405">
            <v>0</v>
          </cell>
        </row>
        <row r="2406">
          <cell r="A2406">
            <v>0</v>
          </cell>
          <cell r="C2406">
            <v>0</v>
          </cell>
          <cell r="D2406">
            <v>0</v>
          </cell>
        </row>
        <row r="2407">
          <cell r="A2407">
            <v>0</v>
          </cell>
          <cell r="C2407">
            <v>0</v>
          </cell>
          <cell r="D2407">
            <v>0</v>
          </cell>
        </row>
        <row r="2408">
          <cell r="A2408">
            <v>0</v>
          </cell>
          <cell r="C2408">
            <v>0</v>
          </cell>
          <cell r="D2408">
            <v>0</v>
          </cell>
        </row>
        <row r="2409">
          <cell r="A2409">
            <v>0</v>
          </cell>
          <cell r="C2409">
            <v>0</v>
          </cell>
          <cell r="D2409">
            <v>0</v>
          </cell>
        </row>
        <row r="2410">
          <cell r="A2410">
            <v>0</v>
          </cell>
          <cell r="C2410">
            <v>0</v>
          </cell>
          <cell r="D2410">
            <v>0</v>
          </cell>
        </row>
        <row r="2411">
          <cell r="A2411">
            <v>0</v>
          </cell>
          <cell r="C2411">
            <v>0</v>
          </cell>
          <cell r="D2411">
            <v>0</v>
          </cell>
        </row>
        <row r="2412">
          <cell r="A2412">
            <v>0</v>
          </cell>
          <cell r="C2412">
            <v>0</v>
          </cell>
          <cell r="D2412">
            <v>0</v>
          </cell>
        </row>
        <row r="2413">
          <cell r="A2413">
            <v>0</v>
          </cell>
          <cell r="C2413">
            <v>0</v>
          </cell>
          <cell r="D2413">
            <v>0</v>
          </cell>
        </row>
        <row r="2414">
          <cell r="A2414">
            <v>0</v>
          </cell>
          <cell r="C2414">
            <v>0</v>
          </cell>
          <cell r="D2414">
            <v>0</v>
          </cell>
        </row>
        <row r="2415">
          <cell r="A2415">
            <v>0</v>
          </cell>
          <cell r="C2415">
            <v>0</v>
          </cell>
          <cell r="D2415">
            <v>0</v>
          </cell>
        </row>
        <row r="2416">
          <cell r="A2416">
            <v>0</v>
          </cell>
          <cell r="C2416">
            <v>0</v>
          </cell>
          <cell r="D2416">
            <v>0</v>
          </cell>
        </row>
        <row r="2417">
          <cell r="A2417">
            <v>0</v>
          </cell>
          <cell r="C2417">
            <v>0</v>
          </cell>
          <cell r="D2417">
            <v>0</v>
          </cell>
        </row>
        <row r="2418">
          <cell r="A2418">
            <v>0</v>
          </cell>
          <cell r="C2418">
            <v>0</v>
          </cell>
          <cell r="D2418">
            <v>0</v>
          </cell>
        </row>
        <row r="2419">
          <cell r="A2419">
            <v>0</v>
          </cell>
          <cell r="C2419">
            <v>0</v>
          </cell>
          <cell r="D2419">
            <v>0</v>
          </cell>
        </row>
        <row r="2420">
          <cell r="A2420">
            <v>0</v>
          </cell>
          <cell r="C2420">
            <v>0</v>
          </cell>
          <cell r="D2420">
            <v>0</v>
          </cell>
        </row>
        <row r="2421">
          <cell r="A2421">
            <v>0</v>
          </cell>
          <cell r="C2421">
            <v>0</v>
          </cell>
          <cell r="D2421">
            <v>0</v>
          </cell>
        </row>
        <row r="2422">
          <cell r="A2422">
            <v>0</v>
          </cell>
          <cell r="C2422">
            <v>0</v>
          </cell>
          <cell r="D2422">
            <v>0</v>
          </cell>
        </row>
        <row r="2423">
          <cell r="A2423">
            <v>0</v>
          </cell>
          <cell r="C2423">
            <v>0</v>
          </cell>
          <cell r="D2423">
            <v>0</v>
          </cell>
        </row>
        <row r="2424">
          <cell r="A2424">
            <v>0</v>
          </cell>
          <cell r="C2424">
            <v>0</v>
          </cell>
          <cell r="D2424">
            <v>0</v>
          </cell>
        </row>
        <row r="2425">
          <cell r="A2425">
            <v>0</v>
          </cell>
          <cell r="C2425">
            <v>0</v>
          </cell>
          <cell r="D2425">
            <v>0</v>
          </cell>
        </row>
        <row r="2426">
          <cell r="A2426">
            <v>0</v>
          </cell>
          <cell r="C2426">
            <v>0</v>
          </cell>
          <cell r="D2426">
            <v>0</v>
          </cell>
        </row>
        <row r="2427">
          <cell r="A2427">
            <v>0</v>
          </cell>
          <cell r="C2427">
            <v>0</v>
          </cell>
          <cell r="D2427">
            <v>0</v>
          </cell>
        </row>
        <row r="2428">
          <cell r="A2428">
            <v>0</v>
          </cell>
          <cell r="C2428">
            <v>0</v>
          </cell>
          <cell r="D2428">
            <v>0</v>
          </cell>
        </row>
        <row r="2429">
          <cell r="A2429">
            <v>0</v>
          </cell>
          <cell r="C2429">
            <v>0</v>
          </cell>
          <cell r="D2429">
            <v>0</v>
          </cell>
        </row>
        <row r="2430">
          <cell r="A2430">
            <v>0</v>
          </cell>
          <cell r="C2430">
            <v>0</v>
          </cell>
          <cell r="D2430">
            <v>0</v>
          </cell>
        </row>
        <row r="2431">
          <cell r="A2431">
            <v>0</v>
          </cell>
          <cell r="C2431">
            <v>0</v>
          </cell>
          <cell r="D2431">
            <v>0</v>
          </cell>
        </row>
        <row r="2432">
          <cell r="A2432">
            <v>0</v>
          </cell>
          <cell r="C2432">
            <v>0</v>
          </cell>
          <cell r="D2432">
            <v>0</v>
          </cell>
        </row>
        <row r="2433">
          <cell r="A2433">
            <v>0</v>
          </cell>
          <cell r="C2433">
            <v>0</v>
          </cell>
          <cell r="D2433">
            <v>0</v>
          </cell>
        </row>
        <row r="2434">
          <cell r="A2434">
            <v>0</v>
          </cell>
          <cell r="C2434">
            <v>0</v>
          </cell>
          <cell r="D2434">
            <v>0</v>
          </cell>
        </row>
        <row r="2435">
          <cell r="A2435">
            <v>0</v>
          </cell>
          <cell r="C2435">
            <v>0</v>
          </cell>
          <cell r="D2435">
            <v>0</v>
          </cell>
        </row>
        <row r="2436">
          <cell r="A2436">
            <v>0</v>
          </cell>
          <cell r="C2436">
            <v>0</v>
          </cell>
          <cell r="D2436">
            <v>0</v>
          </cell>
        </row>
        <row r="2437">
          <cell r="A2437">
            <v>0</v>
          </cell>
          <cell r="C2437">
            <v>0</v>
          </cell>
          <cell r="D2437">
            <v>0</v>
          </cell>
        </row>
        <row r="2438">
          <cell r="A2438">
            <v>0</v>
          </cell>
          <cell r="C2438">
            <v>0</v>
          </cell>
          <cell r="D2438">
            <v>0</v>
          </cell>
        </row>
        <row r="2439">
          <cell r="A2439">
            <v>0</v>
          </cell>
          <cell r="C2439">
            <v>0</v>
          </cell>
          <cell r="D2439">
            <v>0</v>
          </cell>
        </row>
        <row r="2440">
          <cell r="A2440">
            <v>0</v>
          </cell>
          <cell r="C2440">
            <v>0</v>
          </cell>
          <cell r="D2440">
            <v>0</v>
          </cell>
        </row>
        <row r="2441">
          <cell r="A2441">
            <v>0</v>
          </cell>
          <cell r="C2441">
            <v>0</v>
          </cell>
          <cell r="D2441">
            <v>0</v>
          </cell>
        </row>
        <row r="2442">
          <cell r="A2442">
            <v>0</v>
          </cell>
          <cell r="C2442">
            <v>0</v>
          </cell>
          <cell r="D2442">
            <v>0</v>
          </cell>
        </row>
        <row r="2443">
          <cell r="A2443">
            <v>0</v>
          </cell>
          <cell r="C2443">
            <v>0</v>
          </cell>
          <cell r="D2443">
            <v>0</v>
          </cell>
        </row>
        <row r="2444">
          <cell r="A2444">
            <v>0</v>
          </cell>
          <cell r="C2444">
            <v>0</v>
          </cell>
          <cell r="D2444">
            <v>0</v>
          </cell>
        </row>
        <row r="2445">
          <cell r="A2445">
            <v>0</v>
          </cell>
          <cell r="C2445">
            <v>0</v>
          </cell>
          <cell r="D2445">
            <v>0</v>
          </cell>
        </row>
        <row r="2446">
          <cell r="A2446">
            <v>0</v>
          </cell>
          <cell r="C2446">
            <v>0</v>
          </cell>
          <cell r="D2446">
            <v>0</v>
          </cell>
        </row>
        <row r="2447">
          <cell r="A2447">
            <v>0</v>
          </cell>
          <cell r="C2447">
            <v>0</v>
          </cell>
          <cell r="D2447">
            <v>0</v>
          </cell>
        </row>
        <row r="2448">
          <cell r="A2448">
            <v>0</v>
          </cell>
          <cell r="C2448">
            <v>0</v>
          </cell>
          <cell r="D2448">
            <v>0</v>
          </cell>
        </row>
        <row r="2449">
          <cell r="A2449">
            <v>0</v>
          </cell>
          <cell r="C2449">
            <v>0</v>
          </cell>
          <cell r="D2449">
            <v>0</v>
          </cell>
        </row>
        <row r="2450">
          <cell r="A2450">
            <v>0</v>
          </cell>
          <cell r="C2450">
            <v>0</v>
          </cell>
          <cell r="D2450">
            <v>0</v>
          </cell>
        </row>
        <row r="2451">
          <cell r="A2451">
            <v>0</v>
          </cell>
          <cell r="C2451">
            <v>0</v>
          </cell>
          <cell r="D2451">
            <v>0</v>
          </cell>
        </row>
        <row r="2452">
          <cell r="A2452">
            <v>0</v>
          </cell>
          <cell r="C2452">
            <v>0</v>
          </cell>
          <cell r="D2452">
            <v>0</v>
          </cell>
        </row>
        <row r="2453">
          <cell r="A2453">
            <v>0</v>
          </cell>
          <cell r="C2453">
            <v>0</v>
          </cell>
          <cell r="D2453">
            <v>0</v>
          </cell>
        </row>
        <row r="2454">
          <cell r="A2454">
            <v>0</v>
          </cell>
          <cell r="C2454">
            <v>0</v>
          </cell>
          <cell r="D2454">
            <v>0</v>
          </cell>
        </row>
        <row r="2455">
          <cell r="A2455">
            <v>0</v>
          </cell>
          <cell r="C2455">
            <v>0</v>
          </cell>
          <cell r="D2455">
            <v>0</v>
          </cell>
        </row>
        <row r="2456">
          <cell r="A2456">
            <v>0</v>
          </cell>
          <cell r="C2456">
            <v>0</v>
          </cell>
          <cell r="D2456">
            <v>0</v>
          </cell>
        </row>
        <row r="2457">
          <cell r="A2457">
            <v>0</v>
          </cell>
          <cell r="C2457">
            <v>0</v>
          </cell>
          <cell r="D2457">
            <v>0</v>
          </cell>
        </row>
        <row r="2458">
          <cell r="A2458">
            <v>0</v>
          </cell>
          <cell r="C2458">
            <v>0</v>
          </cell>
          <cell r="D2458">
            <v>0</v>
          </cell>
        </row>
        <row r="2459">
          <cell r="A2459">
            <v>0</v>
          </cell>
          <cell r="C2459">
            <v>0</v>
          </cell>
          <cell r="D2459">
            <v>0</v>
          </cell>
        </row>
        <row r="2460">
          <cell r="A2460">
            <v>0</v>
          </cell>
          <cell r="C2460">
            <v>0</v>
          </cell>
          <cell r="D2460">
            <v>0</v>
          </cell>
        </row>
        <row r="2461">
          <cell r="A2461">
            <v>0</v>
          </cell>
          <cell r="C2461">
            <v>0</v>
          </cell>
          <cell r="D2461">
            <v>0</v>
          </cell>
        </row>
        <row r="2462">
          <cell r="A2462">
            <v>0</v>
          </cell>
          <cell r="C2462">
            <v>0</v>
          </cell>
          <cell r="D2462">
            <v>0</v>
          </cell>
        </row>
        <row r="2463">
          <cell r="A2463">
            <v>0</v>
          </cell>
          <cell r="C2463">
            <v>0</v>
          </cell>
          <cell r="D2463">
            <v>0</v>
          </cell>
        </row>
        <row r="2464">
          <cell r="A2464">
            <v>0</v>
          </cell>
          <cell r="C2464">
            <v>0</v>
          </cell>
          <cell r="D2464">
            <v>0</v>
          </cell>
        </row>
        <row r="2465">
          <cell r="A2465">
            <v>0</v>
          </cell>
          <cell r="C2465">
            <v>0</v>
          </cell>
          <cell r="D2465">
            <v>0</v>
          </cell>
        </row>
        <row r="2466">
          <cell r="A2466">
            <v>0</v>
          </cell>
          <cell r="C2466">
            <v>0</v>
          </cell>
          <cell r="D2466">
            <v>0</v>
          </cell>
        </row>
        <row r="2467">
          <cell r="A2467">
            <v>0</v>
          </cell>
          <cell r="C2467">
            <v>0</v>
          </cell>
          <cell r="D2467">
            <v>0</v>
          </cell>
        </row>
        <row r="2468">
          <cell r="A2468">
            <v>0</v>
          </cell>
          <cell r="C2468">
            <v>0</v>
          </cell>
          <cell r="D2468">
            <v>0</v>
          </cell>
        </row>
        <row r="2469">
          <cell r="A2469">
            <v>0</v>
          </cell>
          <cell r="C2469">
            <v>0</v>
          </cell>
          <cell r="D2469">
            <v>0</v>
          </cell>
        </row>
        <row r="2470">
          <cell r="A2470">
            <v>0</v>
          </cell>
          <cell r="C2470">
            <v>0</v>
          </cell>
          <cell r="D2470">
            <v>0</v>
          </cell>
        </row>
        <row r="2471">
          <cell r="A2471">
            <v>0</v>
          </cell>
          <cell r="C2471">
            <v>0</v>
          </cell>
          <cell r="D2471">
            <v>0</v>
          </cell>
        </row>
        <row r="2472">
          <cell r="A2472">
            <v>0</v>
          </cell>
          <cell r="C2472">
            <v>0</v>
          </cell>
          <cell r="D2472">
            <v>0</v>
          </cell>
        </row>
        <row r="2473">
          <cell r="A2473">
            <v>0</v>
          </cell>
          <cell r="C2473">
            <v>0</v>
          </cell>
          <cell r="D2473">
            <v>0</v>
          </cell>
        </row>
        <row r="2474">
          <cell r="A2474">
            <v>0</v>
          </cell>
          <cell r="C2474">
            <v>0</v>
          </cell>
          <cell r="D2474">
            <v>0</v>
          </cell>
        </row>
        <row r="2475">
          <cell r="A2475">
            <v>0</v>
          </cell>
          <cell r="C2475">
            <v>0</v>
          </cell>
          <cell r="D2475">
            <v>0</v>
          </cell>
        </row>
        <row r="2476">
          <cell r="A2476">
            <v>0</v>
          </cell>
          <cell r="C2476">
            <v>0</v>
          </cell>
          <cell r="D2476">
            <v>0</v>
          </cell>
        </row>
        <row r="2477">
          <cell r="A2477">
            <v>0</v>
          </cell>
          <cell r="C2477">
            <v>0</v>
          </cell>
          <cell r="D2477">
            <v>0</v>
          </cell>
        </row>
        <row r="2478">
          <cell r="A2478">
            <v>0</v>
          </cell>
          <cell r="C2478">
            <v>0</v>
          </cell>
          <cell r="D2478">
            <v>0</v>
          </cell>
        </row>
        <row r="2479">
          <cell r="A2479">
            <v>0</v>
          </cell>
          <cell r="C2479">
            <v>0</v>
          </cell>
          <cell r="D2479">
            <v>0</v>
          </cell>
        </row>
        <row r="2480">
          <cell r="A2480">
            <v>0</v>
          </cell>
          <cell r="C2480">
            <v>0</v>
          </cell>
          <cell r="D2480">
            <v>0</v>
          </cell>
        </row>
        <row r="2481">
          <cell r="A2481">
            <v>0</v>
          </cell>
          <cell r="C2481">
            <v>0</v>
          </cell>
          <cell r="D2481">
            <v>0</v>
          </cell>
        </row>
        <row r="2482">
          <cell r="A2482">
            <v>0</v>
          </cell>
          <cell r="C2482">
            <v>0</v>
          </cell>
          <cell r="D2482">
            <v>0</v>
          </cell>
        </row>
        <row r="2483">
          <cell r="A2483">
            <v>0</v>
          </cell>
          <cell r="C2483">
            <v>0</v>
          </cell>
          <cell r="D2483">
            <v>0</v>
          </cell>
        </row>
        <row r="2484">
          <cell r="A2484">
            <v>0</v>
          </cell>
          <cell r="C2484">
            <v>0</v>
          </cell>
          <cell r="D2484">
            <v>0</v>
          </cell>
        </row>
        <row r="2485">
          <cell r="A2485">
            <v>0</v>
          </cell>
          <cell r="C2485">
            <v>0</v>
          </cell>
          <cell r="D2485">
            <v>0</v>
          </cell>
        </row>
        <row r="2486">
          <cell r="A2486">
            <v>0</v>
          </cell>
          <cell r="C2486">
            <v>0</v>
          </cell>
          <cell r="D2486">
            <v>0</v>
          </cell>
        </row>
        <row r="2487">
          <cell r="A2487">
            <v>0</v>
          </cell>
          <cell r="C2487">
            <v>0</v>
          </cell>
          <cell r="D2487">
            <v>0</v>
          </cell>
        </row>
        <row r="2488">
          <cell r="A2488">
            <v>0</v>
          </cell>
          <cell r="C2488">
            <v>0</v>
          </cell>
          <cell r="D2488">
            <v>0</v>
          </cell>
        </row>
        <row r="2489">
          <cell r="A2489">
            <v>0</v>
          </cell>
          <cell r="C2489">
            <v>0</v>
          </cell>
          <cell r="D2489">
            <v>0</v>
          </cell>
        </row>
        <row r="2490">
          <cell r="A2490">
            <v>0</v>
          </cell>
          <cell r="C2490">
            <v>0</v>
          </cell>
          <cell r="D2490">
            <v>0</v>
          </cell>
        </row>
        <row r="2491">
          <cell r="A2491">
            <v>0</v>
          </cell>
          <cell r="C2491">
            <v>0</v>
          </cell>
          <cell r="D2491">
            <v>0</v>
          </cell>
        </row>
        <row r="2492">
          <cell r="A2492">
            <v>0</v>
          </cell>
          <cell r="C2492">
            <v>0</v>
          </cell>
          <cell r="D2492">
            <v>0</v>
          </cell>
        </row>
        <row r="2493">
          <cell r="A2493">
            <v>0</v>
          </cell>
          <cell r="C2493">
            <v>0</v>
          </cell>
          <cell r="D2493">
            <v>0</v>
          </cell>
        </row>
        <row r="2494">
          <cell r="A2494">
            <v>0</v>
          </cell>
          <cell r="C2494">
            <v>0</v>
          </cell>
          <cell r="D2494">
            <v>0</v>
          </cell>
        </row>
        <row r="2495">
          <cell r="A2495">
            <v>0</v>
          </cell>
          <cell r="C2495">
            <v>0</v>
          </cell>
          <cell r="D2495">
            <v>0</v>
          </cell>
        </row>
        <row r="2496">
          <cell r="A2496">
            <v>0</v>
          </cell>
          <cell r="C2496">
            <v>0</v>
          </cell>
          <cell r="D2496">
            <v>0</v>
          </cell>
        </row>
        <row r="2497">
          <cell r="A2497">
            <v>0</v>
          </cell>
          <cell r="C2497">
            <v>0</v>
          </cell>
          <cell r="D2497">
            <v>0</v>
          </cell>
        </row>
        <row r="2498">
          <cell r="A2498">
            <v>0</v>
          </cell>
          <cell r="C2498">
            <v>0</v>
          </cell>
          <cell r="D2498">
            <v>0</v>
          </cell>
        </row>
        <row r="2499">
          <cell r="A2499">
            <v>0</v>
          </cell>
          <cell r="C2499">
            <v>0</v>
          </cell>
          <cell r="D2499">
            <v>0</v>
          </cell>
        </row>
        <row r="2500">
          <cell r="A2500">
            <v>0</v>
          </cell>
          <cell r="C2500">
            <v>0</v>
          </cell>
          <cell r="D2500">
            <v>0</v>
          </cell>
        </row>
        <row r="2501">
          <cell r="A2501">
            <v>0</v>
          </cell>
          <cell r="C2501">
            <v>0</v>
          </cell>
          <cell r="D2501">
            <v>0</v>
          </cell>
        </row>
        <row r="2502">
          <cell r="A2502">
            <v>0</v>
          </cell>
          <cell r="C2502">
            <v>0</v>
          </cell>
          <cell r="D2502">
            <v>0</v>
          </cell>
        </row>
        <row r="2503">
          <cell r="A2503">
            <v>0</v>
          </cell>
          <cell r="C2503">
            <v>0</v>
          </cell>
          <cell r="D2503">
            <v>0</v>
          </cell>
        </row>
        <row r="2504">
          <cell r="A2504">
            <v>0</v>
          </cell>
          <cell r="C2504">
            <v>0</v>
          </cell>
          <cell r="D2504">
            <v>0</v>
          </cell>
        </row>
        <row r="2505">
          <cell r="A2505">
            <v>0</v>
          </cell>
          <cell r="C2505">
            <v>0</v>
          </cell>
          <cell r="D2505">
            <v>0</v>
          </cell>
        </row>
        <row r="2506">
          <cell r="A2506">
            <v>0</v>
          </cell>
          <cell r="C2506">
            <v>0</v>
          </cell>
          <cell r="D2506">
            <v>0</v>
          </cell>
        </row>
        <row r="2507">
          <cell r="A2507">
            <v>0</v>
          </cell>
          <cell r="C2507">
            <v>0</v>
          </cell>
          <cell r="D2507">
            <v>0</v>
          </cell>
        </row>
        <row r="2508">
          <cell r="A2508">
            <v>0</v>
          </cell>
          <cell r="C2508">
            <v>0</v>
          </cell>
          <cell r="D2508">
            <v>0</v>
          </cell>
        </row>
        <row r="2509">
          <cell r="A2509">
            <v>0</v>
          </cell>
          <cell r="C2509">
            <v>0</v>
          </cell>
          <cell r="D2509">
            <v>0</v>
          </cell>
        </row>
        <row r="2510">
          <cell r="A2510">
            <v>0</v>
          </cell>
          <cell r="C2510">
            <v>0</v>
          </cell>
          <cell r="D2510">
            <v>0</v>
          </cell>
        </row>
        <row r="2511">
          <cell r="A2511">
            <v>0</v>
          </cell>
          <cell r="C2511">
            <v>0</v>
          </cell>
          <cell r="D2511">
            <v>0</v>
          </cell>
        </row>
        <row r="2512">
          <cell r="A2512">
            <v>0</v>
          </cell>
          <cell r="C2512">
            <v>0</v>
          </cell>
          <cell r="D2512">
            <v>0</v>
          </cell>
        </row>
        <row r="2513">
          <cell r="A2513">
            <v>0</v>
          </cell>
          <cell r="C2513">
            <v>0</v>
          </cell>
          <cell r="D2513">
            <v>0</v>
          </cell>
        </row>
        <row r="2514">
          <cell r="A2514">
            <v>0</v>
          </cell>
          <cell r="C2514">
            <v>0</v>
          </cell>
          <cell r="D2514">
            <v>0</v>
          </cell>
        </row>
        <row r="2515">
          <cell r="A2515">
            <v>0</v>
          </cell>
          <cell r="C2515">
            <v>0</v>
          </cell>
          <cell r="D2515">
            <v>0</v>
          </cell>
        </row>
        <row r="2516">
          <cell r="A2516">
            <v>0</v>
          </cell>
          <cell r="C2516">
            <v>0</v>
          </cell>
          <cell r="D2516">
            <v>0</v>
          </cell>
        </row>
        <row r="2517">
          <cell r="A2517">
            <v>0</v>
          </cell>
          <cell r="C2517">
            <v>0</v>
          </cell>
          <cell r="D2517">
            <v>0</v>
          </cell>
        </row>
        <row r="2518">
          <cell r="A2518">
            <v>0</v>
          </cell>
          <cell r="C2518">
            <v>0</v>
          </cell>
          <cell r="D2518">
            <v>0</v>
          </cell>
        </row>
        <row r="2519">
          <cell r="A2519">
            <v>0</v>
          </cell>
          <cell r="C2519">
            <v>0</v>
          </cell>
          <cell r="D2519">
            <v>0</v>
          </cell>
        </row>
        <row r="2520">
          <cell r="A2520">
            <v>0</v>
          </cell>
          <cell r="C2520">
            <v>0</v>
          </cell>
          <cell r="D2520">
            <v>0</v>
          </cell>
        </row>
        <row r="2521">
          <cell r="A2521">
            <v>0</v>
          </cell>
          <cell r="C2521">
            <v>0</v>
          </cell>
          <cell r="D2521">
            <v>0</v>
          </cell>
        </row>
        <row r="2522">
          <cell r="A2522">
            <v>0</v>
          </cell>
          <cell r="C2522">
            <v>0</v>
          </cell>
          <cell r="D2522">
            <v>0</v>
          </cell>
        </row>
        <row r="2523">
          <cell r="A2523">
            <v>0</v>
          </cell>
          <cell r="C2523">
            <v>0</v>
          </cell>
          <cell r="D2523">
            <v>0</v>
          </cell>
        </row>
        <row r="2524">
          <cell r="A2524">
            <v>0</v>
          </cell>
          <cell r="C2524">
            <v>0</v>
          </cell>
          <cell r="D2524">
            <v>0</v>
          </cell>
        </row>
        <row r="2525">
          <cell r="A2525">
            <v>0</v>
          </cell>
          <cell r="C2525">
            <v>0</v>
          </cell>
          <cell r="D2525">
            <v>0</v>
          </cell>
        </row>
        <row r="2526">
          <cell r="A2526">
            <v>0</v>
          </cell>
          <cell r="C2526">
            <v>0</v>
          </cell>
          <cell r="D2526">
            <v>0</v>
          </cell>
        </row>
        <row r="2527">
          <cell r="A2527">
            <v>0</v>
          </cell>
          <cell r="C2527">
            <v>0</v>
          </cell>
          <cell r="D2527">
            <v>0</v>
          </cell>
        </row>
        <row r="2528">
          <cell r="A2528">
            <v>0</v>
          </cell>
          <cell r="C2528">
            <v>0</v>
          </cell>
          <cell r="D2528">
            <v>0</v>
          </cell>
        </row>
        <row r="2529">
          <cell r="A2529">
            <v>0</v>
          </cell>
          <cell r="C2529">
            <v>0</v>
          </cell>
          <cell r="D2529">
            <v>0</v>
          </cell>
        </row>
        <row r="2530">
          <cell r="A2530">
            <v>0</v>
          </cell>
          <cell r="C2530">
            <v>0</v>
          </cell>
          <cell r="D2530">
            <v>0</v>
          </cell>
        </row>
        <row r="2531">
          <cell r="A2531">
            <v>0</v>
          </cell>
          <cell r="C2531">
            <v>0</v>
          </cell>
          <cell r="D2531">
            <v>0</v>
          </cell>
        </row>
        <row r="2532">
          <cell r="A2532">
            <v>0</v>
          </cell>
          <cell r="C2532">
            <v>0</v>
          </cell>
          <cell r="D2532">
            <v>0</v>
          </cell>
        </row>
        <row r="2533">
          <cell r="A2533">
            <v>0</v>
          </cell>
          <cell r="C2533">
            <v>0</v>
          </cell>
          <cell r="D2533">
            <v>0</v>
          </cell>
        </row>
        <row r="2534">
          <cell r="A2534">
            <v>0</v>
          </cell>
          <cell r="C2534">
            <v>0</v>
          </cell>
          <cell r="D2534">
            <v>0</v>
          </cell>
        </row>
        <row r="2535">
          <cell r="A2535">
            <v>0</v>
          </cell>
          <cell r="C2535">
            <v>0</v>
          </cell>
          <cell r="D2535">
            <v>0</v>
          </cell>
        </row>
        <row r="2536">
          <cell r="A2536">
            <v>0</v>
          </cell>
          <cell r="C2536">
            <v>0</v>
          </cell>
          <cell r="D2536">
            <v>0</v>
          </cell>
        </row>
        <row r="2537">
          <cell r="A2537">
            <v>0</v>
          </cell>
          <cell r="C2537">
            <v>0</v>
          </cell>
          <cell r="D2537">
            <v>0</v>
          </cell>
        </row>
        <row r="2538">
          <cell r="A2538">
            <v>0</v>
          </cell>
          <cell r="C2538">
            <v>0</v>
          </cell>
          <cell r="D2538">
            <v>0</v>
          </cell>
        </row>
        <row r="2539">
          <cell r="A2539">
            <v>0</v>
          </cell>
          <cell r="C2539">
            <v>0</v>
          </cell>
          <cell r="D2539">
            <v>0</v>
          </cell>
        </row>
        <row r="2540">
          <cell r="A2540">
            <v>0</v>
          </cell>
          <cell r="C2540">
            <v>0</v>
          </cell>
          <cell r="D2540">
            <v>0</v>
          </cell>
        </row>
        <row r="2541">
          <cell r="A2541">
            <v>0</v>
          </cell>
          <cell r="C2541">
            <v>0</v>
          </cell>
          <cell r="D2541">
            <v>0</v>
          </cell>
        </row>
        <row r="2542">
          <cell r="A2542">
            <v>0</v>
          </cell>
          <cell r="C2542">
            <v>0</v>
          </cell>
          <cell r="D2542">
            <v>0</v>
          </cell>
        </row>
        <row r="2543">
          <cell r="A2543">
            <v>0</v>
          </cell>
          <cell r="C2543">
            <v>0</v>
          </cell>
          <cell r="D2543">
            <v>0</v>
          </cell>
        </row>
        <row r="2544">
          <cell r="A2544">
            <v>0</v>
          </cell>
          <cell r="C2544">
            <v>0</v>
          </cell>
          <cell r="D2544">
            <v>0</v>
          </cell>
        </row>
        <row r="2545">
          <cell r="A2545">
            <v>0</v>
          </cell>
          <cell r="C2545">
            <v>0</v>
          </cell>
          <cell r="D2545">
            <v>0</v>
          </cell>
        </row>
        <row r="2546">
          <cell r="A2546">
            <v>0</v>
          </cell>
          <cell r="C2546">
            <v>0</v>
          </cell>
          <cell r="D2546">
            <v>0</v>
          </cell>
        </row>
        <row r="2547">
          <cell r="A2547">
            <v>0</v>
          </cell>
          <cell r="C2547">
            <v>0</v>
          </cell>
          <cell r="D2547">
            <v>0</v>
          </cell>
        </row>
        <row r="2548">
          <cell r="A2548">
            <v>0</v>
          </cell>
          <cell r="C2548">
            <v>0</v>
          </cell>
          <cell r="D2548">
            <v>0</v>
          </cell>
        </row>
        <row r="2549">
          <cell r="A2549">
            <v>0</v>
          </cell>
          <cell r="C2549">
            <v>0</v>
          </cell>
          <cell r="D2549">
            <v>0</v>
          </cell>
        </row>
        <row r="2550">
          <cell r="A2550">
            <v>0</v>
          </cell>
          <cell r="C2550">
            <v>0</v>
          </cell>
          <cell r="D2550">
            <v>0</v>
          </cell>
        </row>
        <row r="2551">
          <cell r="A2551">
            <v>0</v>
          </cell>
          <cell r="C2551">
            <v>0</v>
          </cell>
          <cell r="D2551">
            <v>0</v>
          </cell>
        </row>
        <row r="2552">
          <cell r="A2552">
            <v>0</v>
          </cell>
          <cell r="C2552">
            <v>0</v>
          </cell>
          <cell r="D2552">
            <v>0</v>
          </cell>
        </row>
        <row r="2553">
          <cell r="A2553">
            <v>0</v>
          </cell>
          <cell r="C2553">
            <v>0</v>
          </cell>
          <cell r="D2553">
            <v>0</v>
          </cell>
        </row>
        <row r="2554">
          <cell r="A2554">
            <v>0</v>
          </cell>
          <cell r="C2554">
            <v>0</v>
          </cell>
          <cell r="D2554">
            <v>0</v>
          </cell>
        </row>
        <row r="2555">
          <cell r="A2555">
            <v>0</v>
          </cell>
          <cell r="C2555">
            <v>0</v>
          </cell>
          <cell r="D2555">
            <v>0</v>
          </cell>
        </row>
        <row r="2556">
          <cell r="A2556">
            <v>0</v>
          </cell>
          <cell r="C2556">
            <v>0</v>
          </cell>
          <cell r="D2556">
            <v>0</v>
          </cell>
        </row>
        <row r="2557">
          <cell r="A2557">
            <v>0</v>
          </cell>
          <cell r="C2557">
            <v>0</v>
          </cell>
          <cell r="D2557">
            <v>0</v>
          </cell>
        </row>
        <row r="2558">
          <cell r="A2558">
            <v>0</v>
          </cell>
          <cell r="C2558">
            <v>0</v>
          </cell>
          <cell r="D2558">
            <v>0</v>
          </cell>
        </row>
        <row r="2559">
          <cell r="A2559">
            <v>0</v>
          </cell>
          <cell r="C2559">
            <v>0</v>
          </cell>
          <cell r="D2559">
            <v>0</v>
          </cell>
        </row>
        <row r="2560">
          <cell r="A2560">
            <v>0</v>
          </cell>
          <cell r="C2560">
            <v>0</v>
          </cell>
          <cell r="D2560">
            <v>0</v>
          </cell>
        </row>
        <row r="2561">
          <cell r="A2561">
            <v>0</v>
          </cell>
          <cell r="C2561">
            <v>0</v>
          </cell>
          <cell r="D2561">
            <v>0</v>
          </cell>
        </row>
        <row r="2562">
          <cell r="A2562">
            <v>0</v>
          </cell>
          <cell r="C2562">
            <v>0</v>
          </cell>
          <cell r="D2562">
            <v>0</v>
          </cell>
        </row>
        <row r="2563">
          <cell r="A2563">
            <v>0</v>
          </cell>
          <cell r="C2563">
            <v>0</v>
          </cell>
          <cell r="D2563">
            <v>0</v>
          </cell>
        </row>
        <row r="2564">
          <cell r="A2564">
            <v>0</v>
          </cell>
          <cell r="C2564">
            <v>0</v>
          </cell>
          <cell r="D2564">
            <v>0</v>
          </cell>
        </row>
        <row r="2565">
          <cell r="A2565">
            <v>0</v>
          </cell>
          <cell r="C2565">
            <v>0</v>
          </cell>
          <cell r="D2565">
            <v>0</v>
          </cell>
        </row>
        <row r="2566">
          <cell r="A2566">
            <v>0</v>
          </cell>
          <cell r="C2566">
            <v>0</v>
          </cell>
          <cell r="D2566">
            <v>0</v>
          </cell>
        </row>
        <row r="2567">
          <cell r="A2567">
            <v>0</v>
          </cell>
          <cell r="C2567">
            <v>0</v>
          </cell>
          <cell r="D2567">
            <v>0</v>
          </cell>
        </row>
        <row r="2568">
          <cell r="A2568">
            <v>0</v>
          </cell>
          <cell r="C2568">
            <v>0</v>
          </cell>
          <cell r="D2568">
            <v>0</v>
          </cell>
        </row>
        <row r="2569">
          <cell r="A2569">
            <v>0</v>
          </cell>
          <cell r="C2569">
            <v>0</v>
          </cell>
          <cell r="D2569">
            <v>0</v>
          </cell>
        </row>
        <row r="2570">
          <cell r="A2570">
            <v>0</v>
          </cell>
          <cell r="C2570">
            <v>0</v>
          </cell>
          <cell r="D2570">
            <v>0</v>
          </cell>
        </row>
        <row r="2571">
          <cell r="A2571">
            <v>0</v>
          </cell>
          <cell r="C2571">
            <v>0</v>
          </cell>
          <cell r="D2571">
            <v>0</v>
          </cell>
        </row>
        <row r="2572">
          <cell r="A2572">
            <v>0</v>
          </cell>
          <cell r="C2572">
            <v>0</v>
          </cell>
          <cell r="D2572">
            <v>0</v>
          </cell>
        </row>
        <row r="2573">
          <cell r="A2573">
            <v>0</v>
          </cell>
          <cell r="C2573">
            <v>0</v>
          </cell>
          <cell r="D2573">
            <v>0</v>
          </cell>
        </row>
        <row r="2574">
          <cell r="A2574">
            <v>0</v>
          </cell>
          <cell r="C2574">
            <v>0</v>
          </cell>
          <cell r="D2574">
            <v>0</v>
          </cell>
        </row>
        <row r="2575">
          <cell r="A2575">
            <v>0</v>
          </cell>
          <cell r="C2575">
            <v>0</v>
          </cell>
          <cell r="D2575">
            <v>0</v>
          </cell>
        </row>
        <row r="2576">
          <cell r="A2576">
            <v>0</v>
          </cell>
          <cell r="C2576">
            <v>0</v>
          </cell>
          <cell r="D2576">
            <v>0</v>
          </cell>
        </row>
        <row r="2577">
          <cell r="A2577">
            <v>0</v>
          </cell>
          <cell r="C2577">
            <v>0</v>
          </cell>
          <cell r="D2577">
            <v>0</v>
          </cell>
        </row>
        <row r="2578">
          <cell r="A2578">
            <v>0</v>
          </cell>
          <cell r="C2578">
            <v>0</v>
          </cell>
          <cell r="D2578">
            <v>0</v>
          </cell>
        </row>
        <row r="2579">
          <cell r="A2579">
            <v>0</v>
          </cell>
          <cell r="C2579">
            <v>0</v>
          </cell>
          <cell r="D2579">
            <v>0</v>
          </cell>
        </row>
        <row r="2580">
          <cell r="A2580">
            <v>0</v>
          </cell>
          <cell r="C2580">
            <v>0</v>
          </cell>
          <cell r="D2580">
            <v>0</v>
          </cell>
        </row>
        <row r="2581">
          <cell r="A2581">
            <v>0</v>
          </cell>
          <cell r="C2581">
            <v>0</v>
          </cell>
          <cell r="D2581">
            <v>0</v>
          </cell>
        </row>
        <row r="2582">
          <cell r="A2582">
            <v>0</v>
          </cell>
          <cell r="C2582">
            <v>0</v>
          </cell>
          <cell r="D2582">
            <v>0</v>
          </cell>
        </row>
        <row r="2583">
          <cell r="A2583">
            <v>0</v>
          </cell>
          <cell r="C2583">
            <v>0</v>
          </cell>
          <cell r="D2583">
            <v>0</v>
          </cell>
        </row>
        <row r="2584">
          <cell r="A2584">
            <v>0</v>
          </cell>
          <cell r="C2584">
            <v>0</v>
          </cell>
          <cell r="D2584">
            <v>0</v>
          </cell>
        </row>
        <row r="2585">
          <cell r="A2585">
            <v>0</v>
          </cell>
          <cell r="C2585">
            <v>0</v>
          </cell>
          <cell r="D2585">
            <v>0</v>
          </cell>
        </row>
        <row r="2586">
          <cell r="A2586">
            <v>0</v>
          </cell>
          <cell r="C2586">
            <v>0</v>
          </cell>
          <cell r="D2586">
            <v>0</v>
          </cell>
        </row>
        <row r="2587">
          <cell r="A2587">
            <v>0</v>
          </cell>
          <cell r="C2587">
            <v>0</v>
          </cell>
          <cell r="D2587">
            <v>0</v>
          </cell>
        </row>
        <row r="2588">
          <cell r="A2588">
            <v>0</v>
          </cell>
          <cell r="C2588">
            <v>0</v>
          </cell>
          <cell r="D2588">
            <v>0</v>
          </cell>
        </row>
        <row r="2589">
          <cell r="A2589">
            <v>0</v>
          </cell>
          <cell r="C2589">
            <v>0</v>
          </cell>
          <cell r="D2589">
            <v>0</v>
          </cell>
        </row>
        <row r="2590">
          <cell r="A2590">
            <v>0</v>
          </cell>
          <cell r="C2590">
            <v>0</v>
          </cell>
          <cell r="D2590">
            <v>0</v>
          </cell>
        </row>
        <row r="2591">
          <cell r="A2591">
            <v>0</v>
          </cell>
          <cell r="C2591">
            <v>0</v>
          </cell>
          <cell r="D2591">
            <v>0</v>
          </cell>
        </row>
        <row r="2592">
          <cell r="A2592">
            <v>0</v>
          </cell>
          <cell r="C2592">
            <v>0</v>
          </cell>
          <cell r="D2592">
            <v>0</v>
          </cell>
        </row>
        <row r="2593">
          <cell r="A2593">
            <v>0</v>
          </cell>
          <cell r="C2593">
            <v>0</v>
          </cell>
          <cell r="D2593">
            <v>0</v>
          </cell>
        </row>
        <row r="2594">
          <cell r="A2594">
            <v>0</v>
          </cell>
          <cell r="C2594">
            <v>0</v>
          </cell>
          <cell r="D2594">
            <v>0</v>
          </cell>
        </row>
        <row r="2595">
          <cell r="A2595">
            <v>0</v>
          </cell>
          <cell r="C2595">
            <v>0</v>
          </cell>
          <cell r="D2595">
            <v>0</v>
          </cell>
        </row>
        <row r="2596">
          <cell r="A2596">
            <v>0</v>
          </cell>
          <cell r="C2596">
            <v>0</v>
          </cell>
          <cell r="D2596">
            <v>0</v>
          </cell>
        </row>
        <row r="2597">
          <cell r="A2597">
            <v>0</v>
          </cell>
          <cell r="C2597">
            <v>0</v>
          </cell>
          <cell r="D2597">
            <v>0</v>
          </cell>
        </row>
        <row r="2598">
          <cell r="A2598">
            <v>0</v>
          </cell>
          <cell r="C2598">
            <v>0</v>
          </cell>
          <cell r="D2598">
            <v>0</v>
          </cell>
        </row>
        <row r="2599">
          <cell r="A2599">
            <v>0</v>
          </cell>
          <cell r="C2599">
            <v>0</v>
          </cell>
          <cell r="D2599">
            <v>0</v>
          </cell>
        </row>
        <row r="2600">
          <cell r="A2600">
            <v>0</v>
          </cell>
          <cell r="C2600">
            <v>0</v>
          </cell>
          <cell r="D2600">
            <v>0</v>
          </cell>
        </row>
        <row r="2601">
          <cell r="A2601">
            <v>0</v>
          </cell>
          <cell r="C2601">
            <v>0</v>
          </cell>
          <cell r="D2601">
            <v>0</v>
          </cell>
        </row>
        <row r="2602">
          <cell r="A2602">
            <v>0</v>
          </cell>
          <cell r="C2602">
            <v>0</v>
          </cell>
          <cell r="D2602">
            <v>0</v>
          </cell>
        </row>
        <row r="2603">
          <cell r="A2603">
            <v>0</v>
          </cell>
          <cell r="C2603">
            <v>0</v>
          </cell>
          <cell r="D2603">
            <v>0</v>
          </cell>
        </row>
        <row r="2604">
          <cell r="A2604">
            <v>0</v>
          </cell>
          <cell r="C2604">
            <v>0</v>
          </cell>
          <cell r="D2604">
            <v>0</v>
          </cell>
        </row>
        <row r="2605">
          <cell r="A2605">
            <v>0</v>
          </cell>
          <cell r="C2605">
            <v>0</v>
          </cell>
          <cell r="D2605">
            <v>0</v>
          </cell>
        </row>
        <row r="2606">
          <cell r="A2606">
            <v>0</v>
          </cell>
          <cell r="C2606">
            <v>0</v>
          </cell>
          <cell r="D2606">
            <v>0</v>
          </cell>
        </row>
        <row r="2607">
          <cell r="A2607">
            <v>0</v>
          </cell>
          <cell r="C2607">
            <v>0</v>
          </cell>
          <cell r="D2607">
            <v>0</v>
          </cell>
        </row>
        <row r="2608">
          <cell r="A2608">
            <v>0</v>
          </cell>
          <cell r="C2608">
            <v>0</v>
          </cell>
          <cell r="D2608">
            <v>0</v>
          </cell>
        </row>
        <row r="2609">
          <cell r="A2609">
            <v>0</v>
          </cell>
          <cell r="C2609">
            <v>0</v>
          </cell>
          <cell r="D2609">
            <v>0</v>
          </cell>
        </row>
        <row r="2610">
          <cell r="A2610">
            <v>0</v>
          </cell>
          <cell r="C2610">
            <v>0</v>
          </cell>
          <cell r="D2610">
            <v>0</v>
          </cell>
        </row>
        <row r="2611">
          <cell r="A2611">
            <v>0</v>
          </cell>
          <cell r="C2611">
            <v>0</v>
          </cell>
          <cell r="D2611">
            <v>0</v>
          </cell>
        </row>
        <row r="2612">
          <cell r="A2612">
            <v>0</v>
          </cell>
          <cell r="C2612">
            <v>0</v>
          </cell>
          <cell r="D2612">
            <v>0</v>
          </cell>
        </row>
        <row r="2613">
          <cell r="A2613">
            <v>0</v>
          </cell>
          <cell r="C2613">
            <v>0</v>
          </cell>
          <cell r="D2613">
            <v>0</v>
          </cell>
        </row>
        <row r="2614">
          <cell r="A2614">
            <v>0</v>
          </cell>
          <cell r="C2614">
            <v>0</v>
          </cell>
          <cell r="D2614">
            <v>0</v>
          </cell>
        </row>
        <row r="2615">
          <cell r="A2615">
            <v>0</v>
          </cell>
          <cell r="C2615">
            <v>0</v>
          </cell>
          <cell r="D2615">
            <v>0</v>
          </cell>
        </row>
        <row r="2616">
          <cell r="A2616">
            <v>0</v>
          </cell>
          <cell r="C2616">
            <v>0</v>
          </cell>
          <cell r="D2616">
            <v>0</v>
          </cell>
        </row>
        <row r="2617">
          <cell r="A2617">
            <v>0</v>
          </cell>
          <cell r="C2617">
            <v>0</v>
          </cell>
          <cell r="D2617">
            <v>0</v>
          </cell>
        </row>
        <row r="2618">
          <cell r="A2618">
            <v>0</v>
          </cell>
          <cell r="C2618">
            <v>0</v>
          </cell>
          <cell r="D2618">
            <v>0</v>
          </cell>
        </row>
        <row r="2619">
          <cell r="A2619">
            <v>0</v>
          </cell>
          <cell r="C2619">
            <v>0</v>
          </cell>
          <cell r="D2619">
            <v>0</v>
          </cell>
        </row>
        <row r="2620">
          <cell r="A2620">
            <v>0</v>
          </cell>
          <cell r="C2620">
            <v>0</v>
          </cell>
          <cell r="D2620">
            <v>0</v>
          </cell>
        </row>
        <row r="2621">
          <cell r="A2621">
            <v>0</v>
          </cell>
          <cell r="C2621">
            <v>0</v>
          </cell>
          <cell r="D2621">
            <v>0</v>
          </cell>
        </row>
        <row r="2622">
          <cell r="A2622">
            <v>0</v>
          </cell>
          <cell r="C2622">
            <v>0</v>
          </cell>
          <cell r="D2622">
            <v>0</v>
          </cell>
        </row>
        <row r="2623">
          <cell r="A2623">
            <v>0</v>
          </cell>
          <cell r="C2623">
            <v>0</v>
          </cell>
          <cell r="D2623">
            <v>0</v>
          </cell>
        </row>
        <row r="2624">
          <cell r="A2624">
            <v>0</v>
          </cell>
          <cell r="C2624">
            <v>0</v>
          </cell>
          <cell r="D2624">
            <v>0</v>
          </cell>
        </row>
        <row r="2625">
          <cell r="A2625">
            <v>0</v>
          </cell>
          <cell r="C2625">
            <v>0</v>
          </cell>
          <cell r="D2625">
            <v>0</v>
          </cell>
        </row>
        <row r="2626">
          <cell r="A2626">
            <v>0</v>
          </cell>
          <cell r="C2626">
            <v>0</v>
          </cell>
          <cell r="D2626">
            <v>0</v>
          </cell>
        </row>
        <row r="2627">
          <cell r="A2627">
            <v>0</v>
          </cell>
          <cell r="C2627">
            <v>0</v>
          </cell>
          <cell r="D2627">
            <v>0</v>
          </cell>
        </row>
        <row r="2628">
          <cell r="A2628">
            <v>0</v>
          </cell>
          <cell r="C2628">
            <v>0</v>
          </cell>
          <cell r="D2628">
            <v>0</v>
          </cell>
        </row>
        <row r="2629">
          <cell r="A2629">
            <v>0</v>
          </cell>
          <cell r="C2629">
            <v>0</v>
          </cell>
          <cell r="D2629">
            <v>0</v>
          </cell>
        </row>
        <row r="2630">
          <cell r="A2630">
            <v>0</v>
          </cell>
          <cell r="C2630">
            <v>0</v>
          </cell>
          <cell r="D2630">
            <v>0</v>
          </cell>
        </row>
        <row r="2631">
          <cell r="A2631">
            <v>0</v>
          </cell>
          <cell r="C2631">
            <v>0</v>
          </cell>
          <cell r="D2631">
            <v>0</v>
          </cell>
        </row>
        <row r="2632">
          <cell r="A2632">
            <v>0</v>
          </cell>
          <cell r="C2632">
            <v>0</v>
          </cell>
          <cell r="D2632">
            <v>0</v>
          </cell>
        </row>
        <row r="2633">
          <cell r="A2633">
            <v>0</v>
          </cell>
          <cell r="C2633">
            <v>0</v>
          </cell>
          <cell r="D2633">
            <v>0</v>
          </cell>
        </row>
        <row r="2634">
          <cell r="A2634">
            <v>0</v>
          </cell>
          <cell r="B2634">
            <v>0</v>
          </cell>
          <cell r="C2634">
            <v>0</v>
          </cell>
          <cell r="D2634">
            <v>0</v>
          </cell>
        </row>
        <row r="2635">
          <cell r="A2635">
            <v>0</v>
          </cell>
          <cell r="C2635">
            <v>0</v>
          </cell>
          <cell r="D2635">
            <v>0</v>
          </cell>
        </row>
        <row r="2636">
          <cell r="A2636">
            <v>0</v>
          </cell>
          <cell r="C2636">
            <v>0</v>
          </cell>
          <cell r="D2636">
            <v>0</v>
          </cell>
        </row>
        <row r="2637">
          <cell r="A2637">
            <v>0</v>
          </cell>
          <cell r="B2637">
            <v>0</v>
          </cell>
          <cell r="C2637">
            <v>0</v>
          </cell>
          <cell r="D2637">
            <v>0</v>
          </cell>
        </row>
        <row r="2638">
          <cell r="A2638">
            <v>0</v>
          </cell>
          <cell r="C2638">
            <v>0</v>
          </cell>
          <cell r="D2638">
            <v>0</v>
          </cell>
        </row>
        <row r="2639">
          <cell r="A2639">
            <v>0</v>
          </cell>
          <cell r="C2639">
            <v>0</v>
          </cell>
          <cell r="D2639">
            <v>0</v>
          </cell>
        </row>
        <row r="2640">
          <cell r="A2640">
            <v>0</v>
          </cell>
          <cell r="B2640">
            <v>0</v>
          </cell>
          <cell r="C2640">
            <v>0</v>
          </cell>
          <cell r="D2640">
            <v>0</v>
          </cell>
        </row>
        <row r="2641">
          <cell r="A2641">
            <v>0</v>
          </cell>
          <cell r="C2641">
            <v>0</v>
          </cell>
          <cell r="D2641">
            <v>0</v>
          </cell>
        </row>
        <row r="2642">
          <cell r="A2642">
            <v>0</v>
          </cell>
          <cell r="C2642">
            <v>0</v>
          </cell>
          <cell r="D2642">
            <v>0</v>
          </cell>
        </row>
        <row r="2643">
          <cell r="A2643">
            <v>0</v>
          </cell>
          <cell r="C2643">
            <v>0</v>
          </cell>
          <cell r="D2643">
            <v>0</v>
          </cell>
        </row>
        <row r="2644">
          <cell r="A2644">
            <v>0</v>
          </cell>
          <cell r="B2644">
            <v>0</v>
          </cell>
          <cell r="C2644">
            <v>0</v>
          </cell>
          <cell r="D2644">
            <v>0</v>
          </cell>
        </row>
        <row r="2645">
          <cell r="A2645">
            <v>0</v>
          </cell>
          <cell r="C2645">
            <v>0</v>
          </cell>
          <cell r="D2645">
            <v>0</v>
          </cell>
        </row>
        <row r="2646">
          <cell r="A2646">
            <v>0</v>
          </cell>
          <cell r="C2646">
            <v>0</v>
          </cell>
          <cell r="D2646">
            <v>0</v>
          </cell>
        </row>
        <row r="2647">
          <cell r="A2647">
            <v>0</v>
          </cell>
          <cell r="C2647">
            <v>0</v>
          </cell>
          <cell r="D2647">
            <v>0</v>
          </cell>
        </row>
        <row r="2648">
          <cell r="A2648">
            <v>0</v>
          </cell>
          <cell r="C2648">
            <v>0</v>
          </cell>
          <cell r="D2648">
            <v>0</v>
          </cell>
        </row>
        <row r="2649">
          <cell r="A2649">
            <v>0</v>
          </cell>
          <cell r="C2649">
            <v>0</v>
          </cell>
          <cell r="D2649">
            <v>0</v>
          </cell>
        </row>
        <row r="2650">
          <cell r="A2650">
            <v>0</v>
          </cell>
          <cell r="C2650">
            <v>0</v>
          </cell>
          <cell r="D2650">
            <v>0</v>
          </cell>
        </row>
        <row r="2651">
          <cell r="A2651">
            <v>0</v>
          </cell>
          <cell r="C2651">
            <v>0</v>
          </cell>
          <cell r="D2651">
            <v>0</v>
          </cell>
        </row>
        <row r="2652">
          <cell r="A2652">
            <v>0</v>
          </cell>
          <cell r="C2652">
            <v>0</v>
          </cell>
          <cell r="D2652">
            <v>0</v>
          </cell>
        </row>
        <row r="2653">
          <cell r="A2653">
            <v>0</v>
          </cell>
          <cell r="C2653">
            <v>0</v>
          </cell>
          <cell r="D2653">
            <v>0</v>
          </cell>
        </row>
        <row r="2654">
          <cell r="A2654">
            <v>0</v>
          </cell>
          <cell r="C2654">
            <v>0</v>
          </cell>
          <cell r="D2654">
            <v>0</v>
          </cell>
        </row>
        <row r="2655">
          <cell r="A2655">
            <v>0</v>
          </cell>
          <cell r="C2655">
            <v>0</v>
          </cell>
          <cell r="D2655">
            <v>0</v>
          </cell>
        </row>
        <row r="2656">
          <cell r="A2656">
            <v>0</v>
          </cell>
          <cell r="C2656">
            <v>0</v>
          </cell>
          <cell r="D2656">
            <v>0</v>
          </cell>
        </row>
        <row r="2657">
          <cell r="A2657">
            <v>0</v>
          </cell>
          <cell r="C2657">
            <v>0</v>
          </cell>
          <cell r="D2657">
            <v>0</v>
          </cell>
        </row>
        <row r="2658">
          <cell r="A2658">
            <v>0</v>
          </cell>
          <cell r="C2658">
            <v>0</v>
          </cell>
          <cell r="D2658">
            <v>0</v>
          </cell>
        </row>
        <row r="2659">
          <cell r="A2659">
            <v>0</v>
          </cell>
          <cell r="C2659">
            <v>0</v>
          </cell>
          <cell r="D2659">
            <v>0</v>
          </cell>
        </row>
        <row r="2660">
          <cell r="A2660">
            <v>0</v>
          </cell>
          <cell r="B2660">
            <v>0</v>
          </cell>
          <cell r="C2660">
            <v>0</v>
          </cell>
          <cell r="D2660">
            <v>0</v>
          </cell>
        </row>
        <row r="2661">
          <cell r="A2661">
            <v>0</v>
          </cell>
          <cell r="B2661">
            <v>0</v>
          </cell>
          <cell r="C2661">
            <v>0</v>
          </cell>
          <cell r="D2661">
            <v>0</v>
          </cell>
        </row>
        <row r="2662">
          <cell r="A2662">
            <v>0</v>
          </cell>
          <cell r="B2662">
            <v>0</v>
          </cell>
          <cell r="C2662">
            <v>0</v>
          </cell>
          <cell r="D2662">
            <v>0</v>
          </cell>
        </row>
        <row r="2663">
          <cell r="A2663">
            <v>0</v>
          </cell>
          <cell r="B2663">
            <v>0</v>
          </cell>
          <cell r="C2663">
            <v>0</v>
          </cell>
          <cell r="D2663">
            <v>0</v>
          </cell>
        </row>
        <row r="2664">
          <cell r="A2664">
            <v>0</v>
          </cell>
          <cell r="B2664">
            <v>0</v>
          </cell>
          <cell r="C2664">
            <v>0</v>
          </cell>
          <cell r="D2664">
            <v>0</v>
          </cell>
        </row>
        <row r="2665">
          <cell r="A2665">
            <v>0</v>
          </cell>
          <cell r="C2665">
            <v>0</v>
          </cell>
          <cell r="D2665">
            <v>0</v>
          </cell>
        </row>
        <row r="2666">
          <cell r="A2666">
            <v>0</v>
          </cell>
          <cell r="B2666">
            <v>0</v>
          </cell>
          <cell r="C2666">
            <v>0</v>
          </cell>
          <cell r="D2666">
            <v>0</v>
          </cell>
        </row>
        <row r="2667">
          <cell r="A2667">
            <v>0</v>
          </cell>
          <cell r="C2667">
            <v>0</v>
          </cell>
          <cell r="D2667">
            <v>0</v>
          </cell>
        </row>
        <row r="2668">
          <cell r="A2668">
            <v>0</v>
          </cell>
          <cell r="C2668">
            <v>0</v>
          </cell>
          <cell r="D2668">
            <v>0</v>
          </cell>
        </row>
        <row r="2669">
          <cell r="A2669">
            <v>0</v>
          </cell>
          <cell r="C2669">
            <v>0</v>
          </cell>
          <cell r="D2669">
            <v>0</v>
          </cell>
        </row>
        <row r="2670">
          <cell r="A2670">
            <v>0</v>
          </cell>
          <cell r="B2670">
            <v>0</v>
          </cell>
          <cell r="C2670">
            <v>0</v>
          </cell>
          <cell r="D2670">
            <v>0</v>
          </cell>
        </row>
        <row r="2671">
          <cell r="A2671">
            <v>0</v>
          </cell>
          <cell r="C2671">
            <v>0</v>
          </cell>
          <cell r="D2671">
            <v>0</v>
          </cell>
        </row>
        <row r="2672">
          <cell r="A2672">
            <v>0</v>
          </cell>
          <cell r="C2672">
            <v>0</v>
          </cell>
          <cell r="D2672">
            <v>0</v>
          </cell>
        </row>
        <row r="2673">
          <cell r="A2673">
            <v>0</v>
          </cell>
          <cell r="C2673">
            <v>0</v>
          </cell>
          <cell r="D2673">
            <v>0</v>
          </cell>
        </row>
        <row r="2674">
          <cell r="A2674">
            <v>0</v>
          </cell>
          <cell r="C2674">
            <v>0</v>
          </cell>
          <cell r="D2674">
            <v>0</v>
          </cell>
        </row>
        <row r="2675">
          <cell r="A2675">
            <v>0</v>
          </cell>
          <cell r="C2675">
            <v>0</v>
          </cell>
          <cell r="D2675">
            <v>0</v>
          </cell>
        </row>
        <row r="2676">
          <cell r="A2676">
            <v>0</v>
          </cell>
          <cell r="C2676">
            <v>0</v>
          </cell>
          <cell r="D2676">
            <v>0</v>
          </cell>
        </row>
        <row r="2677">
          <cell r="A2677">
            <v>0</v>
          </cell>
          <cell r="C2677">
            <v>0</v>
          </cell>
          <cell r="D2677">
            <v>0</v>
          </cell>
        </row>
        <row r="2678">
          <cell r="A2678">
            <v>0</v>
          </cell>
          <cell r="C2678">
            <v>0</v>
          </cell>
          <cell r="D2678">
            <v>0</v>
          </cell>
        </row>
        <row r="2679">
          <cell r="A2679">
            <v>0</v>
          </cell>
          <cell r="C2679">
            <v>0</v>
          </cell>
          <cell r="D2679">
            <v>0</v>
          </cell>
        </row>
        <row r="2680">
          <cell r="A2680">
            <v>0</v>
          </cell>
          <cell r="C2680">
            <v>0</v>
          </cell>
          <cell r="D2680">
            <v>0</v>
          </cell>
        </row>
        <row r="2681">
          <cell r="A2681">
            <v>0</v>
          </cell>
          <cell r="C2681">
            <v>0</v>
          </cell>
          <cell r="D2681">
            <v>0</v>
          </cell>
        </row>
        <row r="2682">
          <cell r="A2682">
            <v>0</v>
          </cell>
          <cell r="C2682">
            <v>0</v>
          </cell>
          <cell r="D2682">
            <v>0</v>
          </cell>
        </row>
        <row r="2683">
          <cell r="A2683">
            <v>0</v>
          </cell>
          <cell r="C2683">
            <v>0</v>
          </cell>
          <cell r="D2683">
            <v>0</v>
          </cell>
        </row>
        <row r="2684">
          <cell r="A2684">
            <v>0</v>
          </cell>
          <cell r="C2684">
            <v>0</v>
          </cell>
          <cell r="D2684">
            <v>0</v>
          </cell>
        </row>
        <row r="2685">
          <cell r="A2685">
            <v>0</v>
          </cell>
          <cell r="C2685">
            <v>0</v>
          </cell>
          <cell r="D2685">
            <v>0</v>
          </cell>
        </row>
        <row r="2686">
          <cell r="A2686">
            <v>0</v>
          </cell>
          <cell r="C2686">
            <v>0</v>
          </cell>
          <cell r="D2686">
            <v>0</v>
          </cell>
        </row>
        <row r="2687">
          <cell r="A2687">
            <v>0</v>
          </cell>
          <cell r="B2687">
            <v>0</v>
          </cell>
          <cell r="C2687">
            <v>0</v>
          </cell>
          <cell r="D2687">
            <v>0</v>
          </cell>
        </row>
        <row r="2688">
          <cell r="A2688">
            <v>0</v>
          </cell>
          <cell r="B2688">
            <v>0</v>
          </cell>
          <cell r="C2688">
            <v>0</v>
          </cell>
          <cell r="D2688">
            <v>0</v>
          </cell>
        </row>
        <row r="2689">
          <cell r="A2689">
            <v>0</v>
          </cell>
          <cell r="B2689">
            <v>0</v>
          </cell>
          <cell r="C2689">
            <v>0</v>
          </cell>
          <cell r="D2689">
            <v>0</v>
          </cell>
        </row>
        <row r="2690">
          <cell r="A2690">
            <v>0</v>
          </cell>
          <cell r="B2690">
            <v>0</v>
          </cell>
          <cell r="C2690">
            <v>0</v>
          </cell>
          <cell r="D2690">
            <v>0</v>
          </cell>
        </row>
        <row r="2691">
          <cell r="A2691">
            <v>0</v>
          </cell>
          <cell r="C2691">
            <v>0</v>
          </cell>
          <cell r="D2691">
            <v>0</v>
          </cell>
        </row>
        <row r="2692">
          <cell r="A2692">
            <v>0</v>
          </cell>
          <cell r="C2692">
            <v>0</v>
          </cell>
          <cell r="D2692">
            <v>0</v>
          </cell>
        </row>
        <row r="2693">
          <cell r="A2693">
            <v>0</v>
          </cell>
          <cell r="C2693">
            <v>0</v>
          </cell>
          <cell r="D2693">
            <v>0</v>
          </cell>
        </row>
        <row r="2694">
          <cell r="A2694">
            <v>0</v>
          </cell>
          <cell r="C2694">
            <v>0</v>
          </cell>
          <cell r="D2694">
            <v>0</v>
          </cell>
        </row>
        <row r="2695">
          <cell r="A2695">
            <v>0</v>
          </cell>
          <cell r="C2695">
            <v>0</v>
          </cell>
          <cell r="D2695">
            <v>0</v>
          </cell>
        </row>
        <row r="2696">
          <cell r="A2696">
            <v>0</v>
          </cell>
          <cell r="C2696">
            <v>0</v>
          </cell>
          <cell r="D2696">
            <v>0</v>
          </cell>
        </row>
        <row r="2697">
          <cell r="A2697">
            <v>0</v>
          </cell>
          <cell r="C2697">
            <v>0</v>
          </cell>
          <cell r="D2697">
            <v>0</v>
          </cell>
        </row>
        <row r="2698">
          <cell r="A2698">
            <v>0</v>
          </cell>
          <cell r="C2698">
            <v>0</v>
          </cell>
          <cell r="D2698">
            <v>0</v>
          </cell>
        </row>
        <row r="2699">
          <cell r="A2699">
            <v>0</v>
          </cell>
          <cell r="C2699">
            <v>0</v>
          </cell>
          <cell r="D2699">
            <v>0</v>
          </cell>
        </row>
        <row r="2700">
          <cell r="A2700">
            <v>0</v>
          </cell>
          <cell r="C2700">
            <v>0</v>
          </cell>
          <cell r="D2700">
            <v>0</v>
          </cell>
        </row>
        <row r="2701">
          <cell r="A2701">
            <v>0</v>
          </cell>
          <cell r="C2701">
            <v>0</v>
          </cell>
          <cell r="D2701">
            <v>0</v>
          </cell>
        </row>
        <row r="2702">
          <cell r="A2702">
            <v>0</v>
          </cell>
          <cell r="C2702">
            <v>0</v>
          </cell>
          <cell r="D2702">
            <v>0</v>
          </cell>
        </row>
        <row r="2703">
          <cell r="A2703">
            <v>0</v>
          </cell>
          <cell r="C2703">
            <v>0</v>
          </cell>
          <cell r="D2703">
            <v>0</v>
          </cell>
        </row>
        <row r="2704">
          <cell r="A2704">
            <v>0</v>
          </cell>
          <cell r="C2704">
            <v>0</v>
          </cell>
          <cell r="D2704">
            <v>0</v>
          </cell>
        </row>
        <row r="2705">
          <cell r="A2705">
            <v>0</v>
          </cell>
          <cell r="C2705">
            <v>0</v>
          </cell>
          <cell r="D2705">
            <v>0</v>
          </cell>
        </row>
        <row r="2706">
          <cell r="A2706">
            <v>0</v>
          </cell>
          <cell r="C2706">
            <v>0</v>
          </cell>
          <cell r="D2706">
            <v>0</v>
          </cell>
        </row>
        <row r="2707">
          <cell r="A2707">
            <v>0</v>
          </cell>
          <cell r="C2707">
            <v>0</v>
          </cell>
          <cell r="D2707">
            <v>0</v>
          </cell>
        </row>
        <row r="2708">
          <cell r="A2708">
            <v>0</v>
          </cell>
          <cell r="C2708">
            <v>0</v>
          </cell>
          <cell r="D2708">
            <v>0</v>
          </cell>
        </row>
        <row r="2709">
          <cell r="A2709">
            <v>0</v>
          </cell>
          <cell r="C2709">
            <v>0</v>
          </cell>
          <cell r="D2709">
            <v>0</v>
          </cell>
        </row>
        <row r="2710">
          <cell r="A2710">
            <v>0</v>
          </cell>
          <cell r="C2710">
            <v>0</v>
          </cell>
          <cell r="D2710">
            <v>0</v>
          </cell>
        </row>
        <row r="2711">
          <cell r="A2711">
            <v>0</v>
          </cell>
          <cell r="C2711">
            <v>0</v>
          </cell>
          <cell r="D2711">
            <v>0</v>
          </cell>
        </row>
        <row r="2712">
          <cell r="A2712">
            <v>0</v>
          </cell>
          <cell r="C2712">
            <v>0</v>
          </cell>
          <cell r="D2712">
            <v>0</v>
          </cell>
        </row>
        <row r="2713">
          <cell r="A2713">
            <v>0</v>
          </cell>
          <cell r="C2713">
            <v>0</v>
          </cell>
          <cell r="D2713">
            <v>0</v>
          </cell>
        </row>
        <row r="2714">
          <cell r="A2714">
            <v>0</v>
          </cell>
          <cell r="C2714">
            <v>0</v>
          </cell>
          <cell r="D2714">
            <v>0</v>
          </cell>
        </row>
        <row r="2715">
          <cell r="A2715">
            <v>0</v>
          </cell>
          <cell r="C2715">
            <v>0</v>
          </cell>
          <cell r="D2715">
            <v>0</v>
          </cell>
        </row>
        <row r="2716">
          <cell r="A2716">
            <v>0</v>
          </cell>
          <cell r="C2716">
            <v>0</v>
          </cell>
          <cell r="D2716">
            <v>0</v>
          </cell>
        </row>
        <row r="2717">
          <cell r="A2717">
            <v>0</v>
          </cell>
          <cell r="C2717">
            <v>0</v>
          </cell>
          <cell r="D2717">
            <v>0</v>
          </cell>
        </row>
        <row r="2718">
          <cell r="A2718">
            <v>0</v>
          </cell>
          <cell r="C2718">
            <v>0</v>
          </cell>
          <cell r="D2718">
            <v>0</v>
          </cell>
        </row>
        <row r="2719">
          <cell r="A2719">
            <v>0</v>
          </cell>
          <cell r="C2719">
            <v>0</v>
          </cell>
          <cell r="D2719">
            <v>0</v>
          </cell>
        </row>
        <row r="2720">
          <cell r="A2720">
            <v>0</v>
          </cell>
          <cell r="C2720">
            <v>0</v>
          </cell>
          <cell r="D2720">
            <v>0</v>
          </cell>
        </row>
        <row r="2721">
          <cell r="A2721">
            <v>0</v>
          </cell>
          <cell r="C2721">
            <v>0</v>
          </cell>
          <cell r="D2721">
            <v>0</v>
          </cell>
        </row>
        <row r="2722">
          <cell r="A2722">
            <v>0</v>
          </cell>
          <cell r="C2722">
            <v>0</v>
          </cell>
          <cell r="D2722">
            <v>0</v>
          </cell>
        </row>
        <row r="2723">
          <cell r="A2723">
            <v>0</v>
          </cell>
          <cell r="C2723">
            <v>0</v>
          </cell>
          <cell r="D2723">
            <v>0</v>
          </cell>
        </row>
        <row r="2724">
          <cell r="A2724">
            <v>0</v>
          </cell>
          <cell r="C2724">
            <v>0</v>
          </cell>
          <cell r="D2724">
            <v>0</v>
          </cell>
        </row>
        <row r="2725">
          <cell r="A2725">
            <v>0</v>
          </cell>
          <cell r="C2725">
            <v>0</v>
          </cell>
          <cell r="D2725">
            <v>0</v>
          </cell>
        </row>
        <row r="2726">
          <cell r="A2726">
            <v>0</v>
          </cell>
          <cell r="C2726">
            <v>0</v>
          </cell>
          <cell r="D2726">
            <v>0</v>
          </cell>
        </row>
        <row r="2727">
          <cell r="A2727">
            <v>0</v>
          </cell>
          <cell r="C2727">
            <v>0</v>
          </cell>
          <cell r="D2727">
            <v>0</v>
          </cell>
        </row>
        <row r="2728">
          <cell r="A2728">
            <v>0</v>
          </cell>
          <cell r="C2728">
            <v>0</v>
          </cell>
          <cell r="D2728">
            <v>0</v>
          </cell>
        </row>
        <row r="2729">
          <cell r="A2729">
            <v>0</v>
          </cell>
          <cell r="C2729">
            <v>0</v>
          </cell>
          <cell r="D2729">
            <v>0</v>
          </cell>
        </row>
        <row r="2730">
          <cell r="A2730">
            <v>0</v>
          </cell>
          <cell r="C2730">
            <v>0</v>
          </cell>
          <cell r="D2730">
            <v>0</v>
          </cell>
        </row>
        <row r="2731">
          <cell r="A2731">
            <v>0</v>
          </cell>
          <cell r="C2731">
            <v>0</v>
          </cell>
          <cell r="D2731">
            <v>0</v>
          </cell>
        </row>
        <row r="2732">
          <cell r="A2732">
            <v>0</v>
          </cell>
          <cell r="C2732">
            <v>0</v>
          </cell>
          <cell r="D2732">
            <v>0</v>
          </cell>
        </row>
        <row r="2733">
          <cell r="A2733">
            <v>0</v>
          </cell>
          <cell r="C2733">
            <v>0</v>
          </cell>
          <cell r="D2733">
            <v>0</v>
          </cell>
        </row>
        <row r="2734">
          <cell r="A2734">
            <v>0</v>
          </cell>
          <cell r="C2734">
            <v>0</v>
          </cell>
          <cell r="D2734">
            <v>0</v>
          </cell>
        </row>
        <row r="2735">
          <cell r="A2735">
            <v>0</v>
          </cell>
          <cell r="C2735">
            <v>0</v>
          </cell>
          <cell r="D2735">
            <v>0</v>
          </cell>
        </row>
        <row r="2736">
          <cell r="A2736">
            <v>0</v>
          </cell>
          <cell r="C2736">
            <v>0</v>
          </cell>
          <cell r="D2736">
            <v>0</v>
          </cell>
        </row>
        <row r="2737">
          <cell r="A2737">
            <v>0</v>
          </cell>
          <cell r="C2737">
            <v>0</v>
          </cell>
          <cell r="D2737">
            <v>0</v>
          </cell>
        </row>
        <row r="2738">
          <cell r="A2738">
            <v>0</v>
          </cell>
          <cell r="C2738">
            <v>0</v>
          </cell>
          <cell r="D2738">
            <v>0</v>
          </cell>
        </row>
        <row r="2739">
          <cell r="A2739">
            <v>0</v>
          </cell>
          <cell r="C2739">
            <v>0</v>
          </cell>
          <cell r="D2739">
            <v>0</v>
          </cell>
        </row>
        <row r="2740">
          <cell r="A2740">
            <v>0</v>
          </cell>
          <cell r="C2740">
            <v>0</v>
          </cell>
          <cell r="D2740">
            <v>0</v>
          </cell>
        </row>
        <row r="2741">
          <cell r="A2741">
            <v>0</v>
          </cell>
          <cell r="C2741">
            <v>0</v>
          </cell>
          <cell r="D2741">
            <v>0</v>
          </cell>
        </row>
        <row r="2742">
          <cell r="A2742">
            <v>0</v>
          </cell>
          <cell r="C2742">
            <v>0</v>
          </cell>
          <cell r="D2742">
            <v>0</v>
          </cell>
        </row>
        <row r="2743">
          <cell r="A2743">
            <v>0</v>
          </cell>
          <cell r="C2743">
            <v>0</v>
          </cell>
          <cell r="D2743">
            <v>0</v>
          </cell>
        </row>
        <row r="2744">
          <cell r="A2744">
            <v>0</v>
          </cell>
          <cell r="C2744">
            <v>0</v>
          </cell>
          <cell r="D2744">
            <v>0</v>
          </cell>
        </row>
        <row r="2745">
          <cell r="A2745">
            <v>0</v>
          </cell>
          <cell r="C2745">
            <v>0</v>
          </cell>
          <cell r="D2745">
            <v>0</v>
          </cell>
        </row>
        <row r="2746">
          <cell r="A2746">
            <v>0</v>
          </cell>
          <cell r="C2746">
            <v>0</v>
          </cell>
          <cell r="D2746">
            <v>0</v>
          </cell>
        </row>
        <row r="2747">
          <cell r="A2747">
            <v>0</v>
          </cell>
          <cell r="C2747">
            <v>0</v>
          </cell>
          <cell r="D2747">
            <v>0</v>
          </cell>
        </row>
        <row r="2748">
          <cell r="A2748">
            <v>0</v>
          </cell>
          <cell r="C2748">
            <v>0</v>
          </cell>
          <cell r="D2748">
            <v>0</v>
          </cell>
        </row>
        <row r="2749">
          <cell r="A2749">
            <v>0</v>
          </cell>
          <cell r="C2749">
            <v>0</v>
          </cell>
          <cell r="D2749">
            <v>0</v>
          </cell>
        </row>
        <row r="2750">
          <cell r="A2750">
            <v>0</v>
          </cell>
          <cell r="C2750">
            <v>0</v>
          </cell>
          <cell r="D2750">
            <v>0</v>
          </cell>
        </row>
        <row r="2751">
          <cell r="A2751">
            <v>0</v>
          </cell>
          <cell r="C2751">
            <v>0</v>
          </cell>
          <cell r="D2751">
            <v>0</v>
          </cell>
        </row>
        <row r="2752">
          <cell r="A2752">
            <v>0</v>
          </cell>
          <cell r="C2752">
            <v>0</v>
          </cell>
          <cell r="D2752">
            <v>0</v>
          </cell>
        </row>
        <row r="2753">
          <cell r="A2753">
            <v>0</v>
          </cell>
          <cell r="C2753">
            <v>0</v>
          </cell>
          <cell r="D2753">
            <v>0</v>
          </cell>
        </row>
        <row r="2754">
          <cell r="A2754">
            <v>0</v>
          </cell>
          <cell r="C2754">
            <v>0</v>
          </cell>
          <cell r="D2754">
            <v>0</v>
          </cell>
        </row>
        <row r="2755">
          <cell r="A2755">
            <v>0</v>
          </cell>
          <cell r="C2755">
            <v>0</v>
          </cell>
          <cell r="D2755">
            <v>0</v>
          </cell>
        </row>
        <row r="2756">
          <cell r="A2756">
            <v>0</v>
          </cell>
          <cell r="C2756">
            <v>0</v>
          </cell>
          <cell r="D2756">
            <v>0</v>
          </cell>
        </row>
        <row r="2757">
          <cell r="A2757">
            <v>0</v>
          </cell>
          <cell r="C2757">
            <v>0</v>
          </cell>
          <cell r="D2757">
            <v>0</v>
          </cell>
        </row>
        <row r="2758">
          <cell r="A2758">
            <v>0</v>
          </cell>
          <cell r="C2758">
            <v>0</v>
          </cell>
          <cell r="D2758">
            <v>0</v>
          </cell>
        </row>
        <row r="2759">
          <cell r="A2759">
            <v>0</v>
          </cell>
          <cell r="C2759">
            <v>0</v>
          </cell>
          <cell r="D2759">
            <v>0</v>
          </cell>
        </row>
        <row r="2760">
          <cell r="A2760">
            <v>0</v>
          </cell>
          <cell r="C2760">
            <v>0</v>
          </cell>
          <cell r="D2760">
            <v>0</v>
          </cell>
        </row>
        <row r="2761">
          <cell r="A2761">
            <v>0</v>
          </cell>
          <cell r="C2761">
            <v>0</v>
          </cell>
          <cell r="D2761">
            <v>0</v>
          </cell>
        </row>
        <row r="2762">
          <cell r="A2762">
            <v>0</v>
          </cell>
          <cell r="C2762">
            <v>0</v>
          </cell>
          <cell r="D2762">
            <v>0</v>
          </cell>
        </row>
        <row r="2763">
          <cell r="A2763">
            <v>0</v>
          </cell>
          <cell r="C2763">
            <v>0</v>
          </cell>
          <cell r="D2763">
            <v>0</v>
          </cell>
        </row>
        <row r="2764">
          <cell r="A2764">
            <v>0</v>
          </cell>
          <cell r="C2764">
            <v>0</v>
          </cell>
          <cell r="D2764">
            <v>0</v>
          </cell>
        </row>
        <row r="2765">
          <cell r="A2765">
            <v>0</v>
          </cell>
          <cell r="C2765">
            <v>0</v>
          </cell>
          <cell r="D2765">
            <v>0</v>
          </cell>
        </row>
        <row r="2766">
          <cell r="A2766">
            <v>0</v>
          </cell>
          <cell r="C2766">
            <v>0</v>
          </cell>
          <cell r="D2766">
            <v>0</v>
          </cell>
        </row>
        <row r="2767">
          <cell r="A2767">
            <v>0</v>
          </cell>
          <cell r="C2767">
            <v>0</v>
          </cell>
          <cell r="D2767">
            <v>0</v>
          </cell>
        </row>
        <row r="2768">
          <cell r="A2768">
            <v>0</v>
          </cell>
          <cell r="C2768">
            <v>0</v>
          </cell>
          <cell r="D2768">
            <v>0</v>
          </cell>
        </row>
        <row r="2769">
          <cell r="A2769">
            <v>0</v>
          </cell>
          <cell r="C2769">
            <v>0</v>
          </cell>
          <cell r="D2769">
            <v>0</v>
          </cell>
        </row>
        <row r="2770">
          <cell r="A2770">
            <v>0</v>
          </cell>
          <cell r="C2770">
            <v>0</v>
          </cell>
          <cell r="D2770">
            <v>0</v>
          </cell>
        </row>
        <row r="2771">
          <cell r="A2771">
            <v>0</v>
          </cell>
          <cell r="C2771">
            <v>0</v>
          </cell>
          <cell r="D2771">
            <v>0</v>
          </cell>
        </row>
        <row r="2772">
          <cell r="A2772">
            <v>0</v>
          </cell>
          <cell r="C2772">
            <v>0</v>
          </cell>
          <cell r="D2772">
            <v>0</v>
          </cell>
        </row>
        <row r="2773">
          <cell r="A2773">
            <v>0</v>
          </cell>
          <cell r="C2773">
            <v>0</v>
          </cell>
          <cell r="D2773">
            <v>0</v>
          </cell>
        </row>
        <row r="2774">
          <cell r="A2774">
            <v>0</v>
          </cell>
          <cell r="C2774">
            <v>0</v>
          </cell>
          <cell r="D2774">
            <v>0</v>
          </cell>
        </row>
        <row r="2775">
          <cell r="A2775">
            <v>0</v>
          </cell>
          <cell r="C2775">
            <v>0</v>
          </cell>
          <cell r="D2775">
            <v>0</v>
          </cell>
        </row>
        <row r="2776">
          <cell r="A2776">
            <v>0</v>
          </cell>
          <cell r="C2776">
            <v>0</v>
          </cell>
          <cell r="D2776">
            <v>0</v>
          </cell>
        </row>
        <row r="2777">
          <cell r="A2777">
            <v>0</v>
          </cell>
          <cell r="C2777">
            <v>0</v>
          </cell>
          <cell r="D2777">
            <v>0</v>
          </cell>
        </row>
        <row r="2778">
          <cell r="A2778">
            <v>0</v>
          </cell>
          <cell r="C2778">
            <v>0</v>
          </cell>
          <cell r="D2778">
            <v>0</v>
          </cell>
        </row>
        <row r="2779">
          <cell r="A2779">
            <v>0</v>
          </cell>
          <cell r="C2779">
            <v>0</v>
          </cell>
          <cell r="D2779">
            <v>0</v>
          </cell>
        </row>
        <row r="2780">
          <cell r="A2780">
            <v>0</v>
          </cell>
          <cell r="C2780">
            <v>0</v>
          </cell>
          <cell r="D2780">
            <v>0</v>
          </cell>
        </row>
        <row r="2781">
          <cell r="A2781">
            <v>0</v>
          </cell>
          <cell r="C2781">
            <v>0</v>
          </cell>
          <cell r="D2781">
            <v>0</v>
          </cell>
        </row>
        <row r="2782">
          <cell r="A2782">
            <v>0</v>
          </cell>
          <cell r="C2782">
            <v>0</v>
          </cell>
          <cell r="D2782">
            <v>0</v>
          </cell>
        </row>
        <row r="2783">
          <cell r="A2783">
            <v>0</v>
          </cell>
          <cell r="C2783">
            <v>0</v>
          </cell>
          <cell r="D2783">
            <v>0</v>
          </cell>
        </row>
        <row r="2784">
          <cell r="A2784">
            <v>0</v>
          </cell>
          <cell r="C2784">
            <v>0</v>
          </cell>
          <cell r="D2784">
            <v>0</v>
          </cell>
        </row>
        <row r="2785">
          <cell r="A2785">
            <v>0</v>
          </cell>
          <cell r="C2785">
            <v>0</v>
          </cell>
          <cell r="D2785">
            <v>0</v>
          </cell>
        </row>
        <row r="2786">
          <cell r="A2786">
            <v>0</v>
          </cell>
          <cell r="C2786">
            <v>0</v>
          </cell>
          <cell r="D2786">
            <v>0</v>
          </cell>
        </row>
        <row r="2787">
          <cell r="A2787">
            <v>0</v>
          </cell>
          <cell r="C2787">
            <v>0</v>
          </cell>
          <cell r="D2787">
            <v>0</v>
          </cell>
        </row>
        <row r="2788">
          <cell r="A2788">
            <v>0</v>
          </cell>
          <cell r="C2788">
            <v>0</v>
          </cell>
          <cell r="D2788">
            <v>0</v>
          </cell>
        </row>
        <row r="2789">
          <cell r="A2789">
            <v>0</v>
          </cell>
          <cell r="C2789">
            <v>0</v>
          </cell>
          <cell r="D2789">
            <v>0</v>
          </cell>
        </row>
        <row r="2790">
          <cell r="A2790">
            <v>0</v>
          </cell>
          <cell r="C2790">
            <v>0</v>
          </cell>
          <cell r="D2790">
            <v>0</v>
          </cell>
        </row>
        <row r="2791">
          <cell r="A2791">
            <v>0</v>
          </cell>
          <cell r="C2791">
            <v>0</v>
          </cell>
          <cell r="D2791">
            <v>0</v>
          </cell>
        </row>
        <row r="2792">
          <cell r="A2792">
            <v>0</v>
          </cell>
          <cell r="C2792">
            <v>0</v>
          </cell>
          <cell r="D2792">
            <v>0</v>
          </cell>
        </row>
        <row r="2793">
          <cell r="A2793">
            <v>0</v>
          </cell>
          <cell r="C2793">
            <v>0</v>
          </cell>
          <cell r="D2793">
            <v>0</v>
          </cell>
        </row>
        <row r="2794">
          <cell r="A2794">
            <v>0</v>
          </cell>
          <cell r="C2794">
            <v>0</v>
          </cell>
          <cell r="D2794">
            <v>0</v>
          </cell>
        </row>
        <row r="2795">
          <cell r="A2795">
            <v>0</v>
          </cell>
          <cell r="C2795">
            <v>0</v>
          </cell>
          <cell r="D2795">
            <v>0</v>
          </cell>
        </row>
        <row r="2796">
          <cell r="A2796">
            <v>0</v>
          </cell>
          <cell r="C2796">
            <v>0</v>
          </cell>
          <cell r="D2796">
            <v>0</v>
          </cell>
        </row>
        <row r="2797">
          <cell r="A2797">
            <v>0</v>
          </cell>
          <cell r="C2797">
            <v>0</v>
          </cell>
          <cell r="D2797">
            <v>0</v>
          </cell>
        </row>
        <row r="2798">
          <cell r="A2798">
            <v>0</v>
          </cell>
          <cell r="C2798">
            <v>0</v>
          </cell>
          <cell r="D2798">
            <v>0</v>
          </cell>
        </row>
        <row r="2799">
          <cell r="A2799">
            <v>0</v>
          </cell>
          <cell r="C2799">
            <v>0</v>
          </cell>
          <cell r="D2799">
            <v>0</v>
          </cell>
        </row>
        <row r="2800">
          <cell r="A2800">
            <v>0</v>
          </cell>
          <cell r="C2800">
            <v>0</v>
          </cell>
          <cell r="D2800">
            <v>0</v>
          </cell>
        </row>
        <row r="2801">
          <cell r="A2801">
            <v>0</v>
          </cell>
          <cell r="C2801">
            <v>0</v>
          </cell>
          <cell r="D2801">
            <v>0</v>
          </cell>
        </row>
        <row r="2802">
          <cell r="A2802">
            <v>0</v>
          </cell>
          <cell r="C2802">
            <v>0</v>
          </cell>
          <cell r="D2802">
            <v>0</v>
          </cell>
        </row>
        <row r="2803">
          <cell r="A2803">
            <v>0</v>
          </cell>
          <cell r="C2803">
            <v>0</v>
          </cell>
          <cell r="D2803">
            <v>0</v>
          </cell>
        </row>
        <row r="2804">
          <cell r="A2804">
            <v>0</v>
          </cell>
          <cell r="C2804">
            <v>0</v>
          </cell>
          <cell r="D2804">
            <v>0</v>
          </cell>
        </row>
        <row r="2805">
          <cell r="A2805">
            <v>0</v>
          </cell>
          <cell r="C2805">
            <v>0</v>
          </cell>
          <cell r="D2805">
            <v>0</v>
          </cell>
        </row>
        <row r="2806">
          <cell r="A2806">
            <v>0</v>
          </cell>
          <cell r="C2806">
            <v>0</v>
          </cell>
          <cell r="D2806">
            <v>0</v>
          </cell>
        </row>
        <row r="2807">
          <cell r="A2807">
            <v>0</v>
          </cell>
          <cell r="C2807">
            <v>0</v>
          </cell>
          <cell r="D2807">
            <v>0</v>
          </cell>
        </row>
        <row r="2808">
          <cell r="A2808">
            <v>0</v>
          </cell>
          <cell r="C2808">
            <v>0</v>
          </cell>
          <cell r="D2808">
            <v>0</v>
          </cell>
        </row>
        <row r="2809">
          <cell r="A2809">
            <v>0</v>
          </cell>
          <cell r="C2809">
            <v>0</v>
          </cell>
          <cell r="D2809">
            <v>0</v>
          </cell>
        </row>
        <row r="2810">
          <cell r="A2810">
            <v>0</v>
          </cell>
          <cell r="C2810">
            <v>0</v>
          </cell>
          <cell r="D2810">
            <v>0</v>
          </cell>
        </row>
        <row r="2811">
          <cell r="A2811">
            <v>0</v>
          </cell>
          <cell r="C2811">
            <v>0</v>
          </cell>
          <cell r="D2811">
            <v>0</v>
          </cell>
        </row>
        <row r="2812">
          <cell r="A2812">
            <v>0</v>
          </cell>
          <cell r="C2812">
            <v>0</v>
          </cell>
          <cell r="D2812">
            <v>0</v>
          </cell>
        </row>
        <row r="2813">
          <cell r="A2813">
            <v>0</v>
          </cell>
          <cell r="C2813">
            <v>0</v>
          </cell>
          <cell r="D2813">
            <v>0</v>
          </cell>
        </row>
        <row r="2814">
          <cell r="A2814">
            <v>0</v>
          </cell>
          <cell r="C2814">
            <v>0</v>
          </cell>
          <cell r="D2814">
            <v>0</v>
          </cell>
        </row>
        <row r="2815">
          <cell r="A2815">
            <v>0</v>
          </cell>
          <cell r="C2815">
            <v>0</v>
          </cell>
          <cell r="D2815">
            <v>0</v>
          </cell>
        </row>
        <row r="2816">
          <cell r="A2816">
            <v>0</v>
          </cell>
          <cell r="C2816">
            <v>0</v>
          </cell>
          <cell r="D2816">
            <v>0</v>
          </cell>
        </row>
        <row r="2817">
          <cell r="A2817">
            <v>0</v>
          </cell>
          <cell r="C2817">
            <v>0</v>
          </cell>
          <cell r="D2817">
            <v>0</v>
          </cell>
        </row>
        <row r="2818">
          <cell r="A2818">
            <v>0</v>
          </cell>
          <cell r="C2818">
            <v>0</v>
          </cell>
          <cell r="D2818">
            <v>0</v>
          </cell>
        </row>
        <row r="2819">
          <cell r="A2819">
            <v>0</v>
          </cell>
          <cell r="C2819">
            <v>0</v>
          </cell>
          <cell r="D2819">
            <v>0</v>
          </cell>
        </row>
        <row r="2820">
          <cell r="A2820">
            <v>0</v>
          </cell>
          <cell r="C2820">
            <v>0</v>
          </cell>
          <cell r="D2820">
            <v>0</v>
          </cell>
        </row>
        <row r="2821">
          <cell r="A2821">
            <v>0</v>
          </cell>
          <cell r="C2821">
            <v>0</v>
          </cell>
          <cell r="D2821">
            <v>0</v>
          </cell>
        </row>
        <row r="2822">
          <cell r="A2822">
            <v>0</v>
          </cell>
          <cell r="C2822">
            <v>0</v>
          </cell>
          <cell r="D2822">
            <v>0</v>
          </cell>
        </row>
        <row r="2823">
          <cell r="A2823">
            <v>0</v>
          </cell>
          <cell r="C2823">
            <v>0</v>
          </cell>
          <cell r="D2823">
            <v>0</v>
          </cell>
        </row>
        <row r="2824">
          <cell r="A2824">
            <v>0</v>
          </cell>
          <cell r="C2824">
            <v>0</v>
          </cell>
          <cell r="D2824">
            <v>0</v>
          </cell>
        </row>
        <row r="2825">
          <cell r="A2825">
            <v>0</v>
          </cell>
          <cell r="C2825">
            <v>0</v>
          </cell>
          <cell r="D2825">
            <v>0</v>
          </cell>
        </row>
        <row r="2826">
          <cell r="A2826">
            <v>0</v>
          </cell>
          <cell r="C2826">
            <v>0</v>
          </cell>
          <cell r="D2826">
            <v>0</v>
          </cell>
        </row>
        <row r="2827">
          <cell r="A2827">
            <v>0</v>
          </cell>
          <cell r="C2827">
            <v>0</v>
          </cell>
          <cell r="D2827">
            <v>0</v>
          </cell>
        </row>
        <row r="2828">
          <cell r="A2828">
            <v>0</v>
          </cell>
          <cell r="C2828">
            <v>0</v>
          </cell>
          <cell r="D2828">
            <v>0</v>
          </cell>
        </row>
        <row r="2829">
          <cell r="A2829">
            <v>0</v>
          </cell>
          <cell r="C2829">
            <v>0</v>
          </cell>
          <cell r="D2829">
            <v>0</v>
          </cell>
        </row>
        <row r="2830">
          <cell r="A2830">
            <v>0</v>
          </cell>
          <cell r="C2830">
            <v>0</v>
          </cell>
          <cell r="D2830">
            <v>0</v>
          </cell>
        </row>
        <row r="2831">
          <cell r="A2831">
            <v>0</v>
          </cell>
          <cell r="C2831">
            <v>0</v>
          </cell>
          <cell r="D2831">
            <v>0</v>
          </cell>
        </row>
        <row r="2832">
          <cell r="A2832">
            <v>0</v>
          </cell>
          <cell r="C2832">
            <v>0</v>
          </cell>
          <cell r="D2832">
            <v>0</v>
          </cell>
        </row>
        <row r="2833">
          <cell r="A2833">
            <v>0</v>
          </cell>
          <cell r="C2833">
            <v>0</v>
          </cell>
          <cell r="D2833">
            <v>0</v>
          </cell>
        </row>
        <row r="2834">
          <cell r="A2834">
            <v>0</v>
          </cell>
          <cell r="C2834">
            <v>0</v>
          </cell>
          <cell r="D2834">
            <v>0</v>
          </cell>
        </row>
        <row r="2835">
          <cell r="A2835">
            <v>0</v>
          </cell>
          <cell r="C2835">
            <v>0</v>
          </cell>
          <cell r="D2835">
            <v>0</v>
          </cell>
        </row>
        <row r="2836">
          <cell r="A2836">
            <v>0</v>
          </cell>
          <cell r="C2836">
            <v>0</v>
          </cell>
          <cell r="D2836">
            <v>0</v>
          </cell>
        </row>
        <row r="2837">
          <cell r="A2837">
            <v>0</v>
          </cell>
          <cell r="C2837">
            <v>0</v>
          </cell>
          <cell r="D2837">
            <v>0</v>
          </cell>
        </row>
        <row r="2838">
          <cell r="A2838">
            <v>0</v>
          </cell>
          <cell r="C2838">
            <v>0</v>
          </cell>
          <cell r="D2838">
            <v>0</v>
          </cell>
        </row>
        <row r="2839">
          <cell r="A2839">
            <v>0</v>
          </cell>
          <cell r="C2839">
            <v>0</v>
          </cell>
          <cell r="D2839">
            <v>0</v>
          </cell>
        </row>
        <row r="2840">
          <cell r="A2840">
            <v>0</v>
          </cell>
          <cell r="C2840">
            <v>0</v>
          </cell>
          <cell r="D2840">
            <v>0</v>
          </cell>
        </row>
        <row r="2841">
          <cell r="A2841">
            <v>0</v>
          </cell>
          <cell r="C2841">
            <v>0</v>
          </cell>
          <cell r="D2841">
            <v>0</v>
          </cell>
        </row>
        <row r="2842">
          <cell r="A2842">
            <v>0</v>
          </cell>
          <cell r="C2842">
            <v>0</v>
          </cell>
          <cell r="D2842">
            <v>0</v>
          </cell>
        </row>
        <row r="2843">
          <cell r="A2843">
            <v>0</v>
          </cell>
          <cell r="C2843">
            <v>0</v>
          </cell>
          <cell r="D2843">
            <v>0</v>
          </cell>
        </row>
        <row r="2844">
          <cell r="A2844">
            <v>0</v>
          </cell>
          <cell r="C2844">
            <v>0</v>
          </cell>
          <cell r="D2844">
            <v>0</v>
          </cell>
        </row>
        <row r="2845">
          <cell r="A2845">
            <v>0</v>
          </cell>
          <cell r="C2845">
            <v>0</v>
          </cell>
          <cell r="D2845">
            <v>0</v>
          </cell>
        </row>
        <row r="2846">
          <cell r="A2846">
            <v>0</v>
          </cell>
          <cell r="C2846">
            <v>0</v>
          </cell>
          <cell r="D2846">
            <v>0</v>
          </cell>
        </row>
        <row r="2847">
          <cell r="A2847">
            <v>0</v>
          </cell>
          <cell r="C2847">
            <v>0</v>
          </cell>
          <cell r="D2847">
            <v>0</v>
          </cell>
        </row>
        <row r="2848">
          <cell r="A2848">
            <v>0</v>
          </cell>
          <cell r="C2848">
            <v>0</v>
          </cell>
          <cell r="D2848">
            <v>0</v>
          </cell>
        </row>
        <row r="2849">
          <cell r="A2849">
            <v>0</v>
          </cell>
          <cell r="C2849">
            <v>0</v>
          </cell>
          <cell r="D2849">
            <v>0</v>
          </cell>
        </row>
        <row r="2850">
          <cell r="A2850">
            <v>0</v>
          </cell>
          <cell r="C2850">
            <v>0</v>
          </cell>
          <cell r="D2850">
            <v>0</v>
          </cell>
        </row>
        <row r="2851">
          <cell r="A2851">
            <v>0</v>
          </cell>
          <cell r="C2851">
            <v>0</v>
          </cell>
          <cell r="D2851">
            <v>0</v>
          </cell>
        </row>
        <row r="2852">
          <cell r="A2852">
            <v>0</v>
          </cell>
          <cell r="C2852">
            <v>0</v>
          </cell>
          <cell r="D2852">
            <v>0</v>
          </cell>
        </row>
        <row r="2853">
          <cell r="A2853">
            <v>0</v>
          </cell>
          <cell r="C2853">
            <v>0</v>
          </cell>
          <cell r="D2853">
            <v>0</v>
          </cell>
        </row>
        <row r="2854">
          <cell r="A2854">
            <v>0</v>
          </cell>
          <cell r="C2854">
            <v>0</v>
          </cell>
          <cell r="D2854">
            <v>0</v>
          </cell>
        </row>
        <row r="2855">
          <cell r="A2855">
            <v>0</v>
          </cell>
          <cell r="C2855">
            <v>0</v>
          </cell>
          <cell r="D2855">
            <v>0</v>
          </cell>
        </row>
        <row r="2856">
          <cell r="A2856">
            <v>0</v>
          </cell>
          <cell r="C2856">
            <v>0</v>
          </cell>
          <cell r="D2856">
            <v>0</v>
          </cell>
        </row>
        <row r="2857">
          <cell r="A2857">
            <v>0</v>
          </cell>
          <cell r="C2857">
            <v>0</v>
          </cell>
          <cell r="D2857">
            <v>0</v>
          </cell>
        </row>
        <row r="2858">
          <cell r="A2858">
            <v>0</v>
          </cell>
          <cell r="C2858">
            <v>0</v>
          </cell>
          <cell r="D2858">
            <v>0</v>
          </cell>
        </row>
        <row r="2859">
          <cell r="A2859">
            <v>0</v>
          </cell>
          <cell r="C2859">
            <v>0</v>
          </cell>
          <cell r="D2859">
            <v>0</v>
          </cell>
        </row>
        <row r="2860">
          <cell r="A2860">
            <v>0</v>
          </cell>
          <cell r="C2860">
            <v>0</v>
          </cell>
          <cell r="D2860">
            <v>0</v>
          </cell>
        </row>
        <row r="2861">
          <cell r="A2861">
            <v>0</v>
          </cell>
          <cell r="C2861">
            <v>0</v>
          </cell>
          <cell r="D2861">
            <v>0</v>
          </cell>
        </row>
        <row r="2862">
          <cell r="A2862">
            <v>0</v>
          </cell>
          <cell r="C2862">
            <v>0</v>
          </cell>
          <cell r="D2862">
            <v>0</v>
          </cell>
        </row>
        <row r="2863">
          <cell r="A2863">
            <v>0</v>
          </cell>
          <cell r="C2863">
            <v>0</v>
          </cell>
          <cell r="D2863">
            <v>0</v>
          </cell>
        </row>
        <row r="2864">
          <cell r="A2864">
            <v>0</v>
          </cell>
          <cell r="C2864">
            <v>0</v>
          </cell>
          <cell r="D2864">
            <v>0</v>
          </cell>
        </row>
        <row r="2865">
          <cell r="A2865">
            <v>0</v>
          </cell>
          <cell r="C2865">
            <v>0</v>
          </cell>
          <cell r="D2865">
            <v>0</v>
          </cell>
        </row>
        <row r="2866">
          <cell r="A2866">
            <v>0</v>
          </cell>
          <cell r="C2866">
            <v>0</v>
          </cell>
          <cell r="D2866">
            <v>0</v>
          </cell>
        </row>
        <row r="2867">
          <cell r="A2867">
            <v>0</v>
          </cell>
          <cell r="C2867">
            <v>0</v>
          </cell>
          <cell r="D2867">
            <v>0</v>
          </cell>
        </row>
        <row r="2868">
          <cell r="A2868">
            <v>0</v>
          </cell>
          <cell r="C2868">
            <v>0</v>
          </cell>
          <cell r="D2868">
            <v>0</v>
          </cell>
        </row>
        <row r="2869">
          <cell r="A2869">
            <v>0</v>
          </cell>
          <cell r="C2869">
            <v>0</v>
          </cell>
          <cell r="D2869">
            <v>0</v>
          </cell>
        </row>
        <row r="2870">
          <cell r="A2870">
            <v>0</v>
          </cell>
          <cell r="C2870">
            <v>0</v>
          </cell>
          <cell r="D2870">
            <v>0</v>
          </cell>
        </row>
        <row r="2871">
          <cell r="A2871">
            <v>0</v>
          </cell>
          <cell r="C2871">
            <v>0</v>
          </cell>
          <cell r="D2871">
            <v>0</v>
          </cell>
        </row>
        <row r="2872">
          <cell r="A2872">
            <v>0</v>
          </cell>
          <cell r="C2872">
            <v>0</v>
          </cell>
          <cell r="D2872">
            <v>0</v>
          </cell>
        </row>
        <row r="2873">
          <cell r="A2873">
            <v>0</v>
          </cell>
          <cell r="C2873">
            <v>0</v>
          </cell>
          <cell r="D2873">
            <v>0</v>
          </cell>
        </row>
        <row r="2874">
          <cell r="A2874">
            <v>0</v>
          </cell>
          <cell r="C2874">
            <v>0</v>
          </cell>
          <cell r="D2874">
            <v>0</v>
          </cell>
        </row>
        <row r="2875">
          <cell r="A2875">
            <v>0</v>
          </cell>
          <cell r="C2875">
            <v>0</v>
          </cell>
          <cell r="D2875">
            <v>0</v>
          </cell>
        </row>
        <row r="2876">
          <cell r="A2876">
            <v>0</v>
          </cell>
          <cell r="C2876">
            <v>0</v>
          </cell>
          <cell r="D2876">
            <v>0</v>
          </cell>
        </row>
        <row r="2877">
          <cell r="A2877">
            <v>0</v>
          </cell>
          <cell r="C2877">
            <v>0</v>
          </cell>
          <cell r="D2877">
            <v>0</v>
          </cell>
        </row>
        <row r="2878">
          <cell r="A2878">
            <v>0</v>
          </cell>
          <cell r="C2878">
            <v>0</v>
          </cell>
          <cell r="D2878">
            <v>0</v>
          </cell>
        </row>
        <row r="2879">
          <cell r="A2879">
            <v>0</v>
          </cell>
          <cell r="C2879">
            <v>0</v>
          </cell>
          <cell r="D2879">
            <v>0</v>
          </cell>
        </row>
        <row r="2880">
          <cell r="A2880">
            <v>0</v>
          </cell>
          <cell r="C2880">
            <v>0</v>
          </cell>
          <cell r="D2880">
            <v>0</v>
          </cell>
        </row>
        <row r="2881">
          <cell r="A2881">
            <v>0</v>
          </cell>
          <cell r="C2881">
            <v>0</v>
          </cell>
          <cell r="D2881">
            <v>0</v>
          </cell>
        </row>
        <row r="2882">
          <cell r="A2882">
            <v>0</v>
          </cell>
          <cell r="C2882">
            <v>0</v>
          </cell>
          <cell r="D2882">
            <v>0</v>
          </cell>
        </row>
        <row r="2883">
          <cell r="A2883">
            <v>0</v>
          </cell>
          <cell r="C2883">
            <v>0</v>
          </cell>
          <cell r="D2883">
            <v>0</v>
          </cell>
        </row>
        <row r="2884">
          <cell r="A2884">
            <v>0</v>
          </cell>
          <cell r="C2884">
            <v>0</v>
          </cell>
          <cell r="D2884">
            <v>0</v>
          </cell>
        </row>
        <row r="2885">
          <cell r="A2885">
            <v>0</v>
          </cell>
          <cell r="C2885">
            <v>0</v>
          </cell>
          <cell r="D2885">
            <v>0</v>
          </cell>
        </row>
        <row r="2886">
          <cell r="A2886">
            <v>0</v>
          </cell>
          <cell r="C2886">
            <v>0</v>
          </cell>
          <cell r="D2886">
            <v>0</v>
          </cell>
        </row>
        <row r="2887">
          <cell r="A2887">
            <v>0</v>
          </cell>
          <cell r="C2887">
            <v>0</v>
          </cell>
          <cell r="D2887">
            <v>0</v>
          </cell>
        </row>
        <row r="2888">
          <cell r="A2888">
            <v>0</v>
          </cell>
          <cell r="C2888">
            <v>0</v>
          </cell>
          <cell r="D2888">
            <v>0</v>
          </cell>
        </row>
        <row r="2889">
          <cell r="A2889">
            <v>0</v>
          </cell>
          <cell r="C2889">
            <v>0</v>
          </cell>
          <cell r="D2889">
            <v>0</v>
          </cell>
        </row>
        <row r="2890">
          <cell r="A2890">
            <v>0</v>
          </cell>
          <cell r="C2890">
            <v>0</v>
          </cell>
          <cell r="D2890">
            <v>0</v>
          </cell>
        </row>
        <row r="2891">
          <cell r="A2891">
            <v>0</v>
          </cell>
          <cell r="C2891">
            <v>0</v>
          </cell>
          <cell r="D2891">
            <v>0</v>
          </cell>
        </row>
        <row r="2892">
          <cell r="A2892">
            <v>0</v>
          </cell>
          <cell r="C2892">
            <v>0</v>
          </cell>
          <cell r="D2892">
            <v>0</v>
          </cell>
        </row>
        <row r="2893">
          <cell r="A2893">
            <v>0</v>
          </cell>
          <cell r="C2893">
            <v>0</v>
          </cell>
          <cell r="D2893">
            <v>0</v>
          </cell>
        </row>
        <row r="2894">
          <cell r="A2894">
            <v>0</v>
          </cell>
          <cell r="C2894">
            <v>0</v>
          </cell>
          <cell r="D2894">
            <v>0</v>
          </cell>
        </row>
        <row r="2895">
          <cell r="A2895">
            <v>0</v>
          </cell>
          <cell r="C2895">
            <v>0</v>
          </cell>
          <cell r="D2895">
            <v>0</v>
          </cell>
        </row>
        <row r="2896">
          <cell r="A2896">
            <v>0</v>
          </cell>
          <cell r="C2896">
            <v>0</v>
          </cell>
          <cell r="D2896">
            <v>0</v>
          </cell>
        </row>
        <row r="2897">
          <cell r="A2897">
            <v>0</v>
          </cell>
          <cell r="C2897">
            <v>0</v>
          </cell>
          <cell r="D2897">
            <v>0</v>
          </cell>
        </row>
        <row r="2898">
          <cell r="A2898">
            <v>0</v>
          </cell>
          <cell r="C2898">
            <v>0</v>
          </cell>
          <cell r="D2898">
            <v>0</v>
          </cell>
        </row>
        <row r="2899">
          <cell r="A2899">
            <v>0</v>
          </cell>
          <cell r="C2899">
            <v>0</v>
          </cell>
          <cell r="D2899">
            <v>0</v>
          </cell>
        </row>
        <row r="2900">
          <cell r="A2900">
            <v>0</v>
          </cell>
          <cell r="C2900">
            <v>0</v>
          </cell>
          <cell r="D2900">
            <v>0</v>
          </cell>
        </row>
        <row r="2901">
          <cell r="A2901">
            <v>0</v>
          </cell>
          <cell r="C2901">
            <v>0</v>
          </cell>
          <cell r="D2901">
            <v>0</v>
          </cell>
        </row>
        <row r="2902">
          <cell r="A2902">
            <v>0</v>
          </cell>
          <cell r="C2902">
            <v>0</v>
          </cell>
          <cell r="D2902">
            <v>0</v>
          </cell>
        </row>
        <row r="2903">
          <cell r="A2903">
            <v>0</v>
          </cell>
          <cell r="C2903">
            <v>0</v>
          </cell>
          <cell r="D2903">
            <v>0</v>
          </cell>
        </row>
        <row r="2904">
          <cell r="A2904">
            <v>0</v>
          </cell>
          <cell r="C2904">
            <v>0</v>
          </cell>
          <cell r="D2904">
            <v>0</v>
          </cell>
        </row>
        <row r="2905">
          <cell r="A2905">
            <v>0</v>
          </cell>
          <cell r="C2905">
            <v>0</v>
          </cell>
          <cell r="D2905">
            <v>0</v>
          </cell>
        </row>
        <row r="2906">
          <cell r="A2906">
            <v>0</v>
          </cell>
          <cell r="C2906">
            <v>0</v>
          </cell>
          <cell r="D2906">
            <v>0</v>
          </cell>
        </row>
        <row r="2907">
          <cell r="A2907">
            <v>0</v>
          </cell>
          <cell r="C2907">
            <v>0</v>
          </cell>
          <cell r="D2907">
            <v>0</v>
          </cell>
        </row>
        <row r="2908">
          <cell r="A2908">
            <v>0</v>
          </cell>
          <cell r="C2908">
            <v>0</v>
          </cell>
          <cell r="D2908">
            <v>0</v>
          </cell>
        </row>
        <row r="2909">
          <cell r="A2909">
            <v>0</v>
          </cell>
          <cell r="C2909">
            <v>0</v>
          </cell>
          <cell r="D2909">
            <v>0</v>
          </cell>
        </row>
        <row r="2910">
          <cell r="A2910">
            <v>0</v>
          </cell>
          <cell r="C2910">
            <v>0</v>
          </cell>
          <cell r="D2910">
            <v>0</v>
          </cell>
        </row>
        <row r="2911">
          <cell r="A2911">
            <v>0</v>
          </cell>
          <cell r="C2911">
            <v>0</v>
          </cell>
          <cell r="D2911">
            <v>0</v>
          </cell>
        </row>
        <row r="2912">
          <cell r="A2912">
            <v>0</v>
          </cell>
          <cell r="C2912">
            <v>0</v>
          </cell>
          <cell r="D2912">
            <v>0</v>
          </cell>
        </row>
        <row r="2913">
          <cell r="A2913">
            <v>0</v>
          </cell>
          <cell r="C2913">
            <v>0</v>
          </cell>
          <cell r="D2913">
            <v>0</v>
          </cell>
        </row>
        <row r="2914">
          <cell r="A2914">
            <v>0</v>
          </cell>
          <cell r="C2914">
            <v>0</v>
          </cell>
          <cell r="D2914">
            <v>0</v>
          </cell>
        </row>
        <row r="2915">
          <cell r="A2915">
            <v>0</v>
          </cell>
          <cell r="C2915">
            <v>0</v>
          </cell>
          <cell r="D2915">
            <v>0</v>
          </cell>
        </row>
        <row r="2916">
          <cell r="A2916">
            <v>0</v>
          </cell>
          <cell r="C2916">
            <v>0</v>
          </cell>
          <cell r="D2916">
            <v>0</v>
          </cell>
        </row>
        <row r="2917">
          <cell r="A2917">
            <v>0</v>
          </cell>
          <cell r="C2917">
            <v>0</v>
          </cell>
          <cell r="D2917">
            <v>0</v>
          </cell>
        </row>
        <row r="2918">
          <cell r="A2918">
            <v>0</v>
          </cell>
          <cell r="C2918">
            <v>0</v>
          </cell>
          <cell r="D2918">
            <v>0</v>
          </cell>
        </row>
        <row r="2919">
          <cell r="A2919">
            <v>0</v>
          </cell>
          <cell r="C2919">
            <v>0</v>
          </cell>
          <cell r="D2919">
            <v>0</v>
          </cell>
        </row>
        <row r="2920">
          <cell r="A2920">
            <v>0</v>
          </cell>
          <cell r="C2920">
            <v>0</v>
          </cell>
          <cell r="D2920">
            <v>0</v>
          </cell>
        </row>
        <row r="2921">
          <cell r="A2921">
            <v>0</v>
          </cell>
          <cell r="C2921">
            <v>0</v>
          </cell>
          <cell r="D2921">
            <v>0</v>
          </cell>
        </row>
        <row r="2922">
          <cell r="A2922">
            <v>0</v>
          </cell>
          <cell r="C2922">
            <v>0</v>
          </cell>
          <cell r="D2922">
            <v>0</v>
          </cell>
        </row>
        <row r="2923">
          <cell r="A2923">
            <v>0</v>
          </cell>
          <cell r="C2923">
            <v>0</v>
          </cell>
          <cell r="D2923">
            <v>0</v>
          </cell>
        </row>
        <row r="2924">
          <cell r="A2924">
            <v>0</v>
          </cell>
          <cell r="C2924">
            <v>0</v>
          </cell>
          <cell r="D2924">
            <v>0</v>
          </cell>
        </row>
        <row r="2925">
          <cell r="A2925">
            <v>0</v>
          </cell>
          <cell r="C2925">
            <v>0</v>
          </cell>
          <cell r="D2925">
            <v>0</v>
          </cell>
        </row>
        <row r="2926">
          <cell r="A2926">
            <v>0</v>
          </cell>
          <cell r="C2926">
            <v>0</v>
          </cell>
          <cell r="D2926">
            <v>0</v>
          </cell>
        </row>
        <row r="2927">
          <cell r="A2927">
            <v>0</v>
          </cell>
          <cell r="C2927">
            <v>0</v>
          </cell>
          <cell r="D2927">
            <v>0</v>
          </cell>
        </row>
        <row r="2928">
          <cell r="A2928">
            <v>0</v>
          </cell>
          <cell r="C2928">
            <v>0</v>
          </cell>
          <cell r="D2928">
            <v>0</v>
          </cell>
        </row>
        <row r="2929">
          <cell r="A2929">
            <v>0</v>
          </cell>
          <cell r="C2929">
            <v>0</v>
          </cell>
          <cell r="D2929">
            <v>0</v>
          </cell>
        </row>
        <row r="2930">
          <cell r="A2930">
            <v>0</v>
          </cell>
          <cell r="C2930">
            <v>0</v>
          </cell>
          <cell r="D2930">
            <v>0</v>
          </cell>
        </row>
        <row r="2931">
          <cell r="A2931">
            <v>0</v>
          </cell>
          <cell r="C2931">
            <v>0</v>
          </cell>
          <cell r="D2931">
            <v>0</v>
          </cell>
        </row>
        <row r="2932">
          <cell r="A2932">
            <v>0</v>
          </cell>
          <cell r="C2932">
            <v>0</v>
          </cell>
          <cell r="D2932">
            <v>0</v>
          </cell>
        </row>
        <row r="2933">
          <cell r="A2933">
            <v>0</v>
          </cell>
          <cell r="C2933">
            <v>0</v>
          </cell>
          <cell r="D2933">
            <v>0</v>
          </cell>
        </row>
        <row r="2934">
          <cell r="A2934">
            <v>0</v>
          </cell>
          <cell r="C2934">
            <v>0</v>
          </cell>
          <cell r="D2934">
            <v>0</v>
          </cell>
        </row>
        <row r="2935">
          <cell r="A2935">
            <v>0</v>
          </cell>
          <cell r="C2935">
            <v>0</v>
          </cell>
          <cell r="D2935">
            <v>0</v>
          </cell>
        </row>
        <row r="2936">
          <cell r="A2936">
            <v>0</v>
          </cell>
          <cell r="C2936">
            <v>0</v>
          </cell>
          <cell r="D2936">
            <v>0</v>
          </cell>
        </row>
        <row r="2937">
          <cell r="A2937">
            <v>0</v>
          </cell>
          <cell r="C2937">
            <v>0</v>
          </cell>
          <cell r="D2937">
            <v>0</v>
          </cell>
        </row>
        <row r="2938">
          <cell r="A2938">
            <v>0</v>
          </cell>
          <cell r="C2938">
            <v>0</v>
          </cell>
          <cell r="D2938">
            <v>0</v>
          </cell>
        </row>
        <row r="2939">
          <cell r="A2939">
            <v>0</v>
          </cell>
          <cell r="C2939">
            <v>0</v>
          </cell>
          <cell r="D2939">
            <v>0</v>
          </cell>
        </row>
        <row r="2940">
          <cell r="A2940">
            <v>0</v>
          </cell>
          <cell r="C2940">
            <v>0</v>
          </cell>
          <cell r="D2940">
            <v>0</v>
          </cell>
        </row>
        <row r="2941">
          <cell r="A2941">
            <v>0</v>
          </cell>
          <cell r="C2941">
            <v>0</v>
          </cell>
          <cell r="D2941">
            <v>0</v>
          </cell>
        </row>
        <row r="2942">
          <cell r="A2942">
            <v>0</v>
          </cell>
          <cell r="C2942">
            <v>0</v>
          </cell>
          <cell r="D2942">
            <v>0</v>
          </cell>
        </row>
        <row r="2943">
          <cell r="A2943">
            <v>0</v>
          </cell>
          <cell r="C2943">
            <v>0</v>
          </cell>
          <cell r="D2943">
            <v>0</v>
          </cell>
        </row>
        <row r="2944">
          <cell r="A2944">
            <v>0</v>
          </cell>
          <cell r="C2944">
            <v>0</v>
          </cell>
          <cell r="D2944">
            <v>0</v>
          </cell>
        </row>
        <row r="2945">
          <cell r="A2945">
            <v>0</v>
          </cell>
          <cell r="C2945">
            <v>0</v>
          </cell>
          <cell r="D2945">
            <v>0</v>
          </cell>
        </row>
        <row r="2946">
          <cell r="A2946">
            <v>0</v>
          </cell>
          <cell r="C2946">
            <v>0</v>
          </cell>
          <cell r="D2946">
            <v>0</v>
          </cell>
        </row>
        <row r="2947">
          <cell r="A2947">
            <v>0</v>
          </cell>
          <cell r="C2947">
            <v>0</v>
          </cell>
          <cell r="D2947">
            <v>0</v>
          </cell>
        </row>
        <row r="2948">
          <cell r="A2948">
            <v>0</v>
          </cell>
          <cell r="C2948">
            <v>0</v>
          </cell>
          <cell r="D2948">
            <v>0</v>
          </cell>
        </row>
        <row r="2949">
          <cell r="A2949">
            <v>0</v>
          </cell>
          <cell r="C2949">
            <v>0</v>
          </cell>
          <cell r="D2949">
            <v>0</v>
          </cell>
        </row>
        <row r="2950">
          <cell r="A2950">
            <v>0</v>
          </cell>
          <cell r="C2950">
            <v>0</v>
          </cell>
          <cell r="D2950">
            <v>0</v>
          </cell>
        </row>
        <row r="2951">
          <cell r="A2951">
            <v>0</v>
          </cell>
          <cell r="C2951">
            <v>0</v>
          </cell>
          <cell r="D2951">
            <v>0</v>
          </cell>
        </row>
        <row r="2952">
          <cell r="A2952">
            <v>0</v>
          </cell>
          <cell r="C2952">
            <v>0</v>
          </cell>
          <cell r="D2952">
            <v>0</v>
          </cell>
        </row>
        <row r="2953">
          <cell r="A2953">
            <v>0</v>
          </cell>
          <cell r="C2953">
            <v>0</v>
          </cell>
          <cell r="D2953">
            <v>0</v>
          </cell>
        </row>
        <row r="2954">
          <cell r="A2954">
            <v>0</v>
          </cell>
          <cell r="C2954">
            <v>0</v>
          </cell>
          <cell r="D2954">
            <v>0</v>
          </cell>
        </row>
        <row r="2955">
          <cell r="A2955">
            <v>0</v>
          </cell>
          <cell r="C2955">
            <v>0</v>
          </cell>
          <cell r="D2955">
            <v>0</v>
          </cell>
        </row>
        <row r="2956">
          <cell r="A2956">
            <v>0</v>
          </cell>
          <cell r="C2956">
            <v>0</v>
          </cell>
          <cell r="D2956">
            <v>0</v>
          </cell>
        </row>
        <row r="2957">
          <cell r="A2957">
            <v>0</v>
          </cell>
          <cell r="C2957">
            <v>0</v>
          </cell>
          <cell r="D2957">
            <v>0</v>
          </cell>
        </row>
        <row r="2958">
          <cell r="A2958">
            <v>0</v>
          </cell>
          <cell r="C2958">
            <v>0</v>
          </cell>
          <cell r="D2958">
            <v>0</v>
          </cell>
        </row>
        <row r="2959">
          <cell r="A2959">
            <v>0</v>
          </cell>
          <cell r="C2959">
            <v>0</v>
          </cell>
          <cell r="D2959">
            <v>0</v>
          </cell>
        </row>
        <row r="2960">
          <cell r="A2960">
            <v>0</v>
          </cell>
          <cell r="C2960">
            <v>0</v>
          </cell>
          <cell r="D2960">
            <v>0</v>
          </cell>
        </row>
        <row r="2961">
          <cell r="A2961">
            <v>0</v>
          </cell>
          <cell r="C2961">
            <v>0</v>
          </cell>
          <cell r="D2961">
            <v>0</v>
          </cell>
        </row>
        <row r="2962">
          <cell r="A2962">
            <v>0</v>
          </cell>
          <cell r="C2962">
            <v>0</v>
          </cell>
          <cell r="D2962">
            <v>0</v>
          </cell>
        </row>
        <row r="2963">
          <cell r="A2963">
            <v>0</v>
          </cell>
          <cell r="C2963">
            <v>0</v>
          </cell>
          <cell r="D2963">
            <v>0</v>
          </cell>
        </row>
        <row r="2964">
          <cell r="A2964">
            <v>0</v>
          </cell>
          <cell r="C2964">
            <v>0</v>
          </cell>
          <cell r="D2964">
            <v>0</v>
          </cell>
        </row>
        <row r="2965">
          <cell r="A2965">
            <v>0</v>
          </cell>
          <cell r="C2965">
            <v>0</v>
          </cell>
          <cell r="D2965">
            <v>0</v>
          </cell>
        </row>
        <row r="2966">
          <cell r="A2966">
            <v>0</v>
          </cell>
          <cell r="C2966">
            <v>0</v>
          </cell>
          <cell r="D2966">
            <v>0</v>
          </cell>
        </row>
        <row r="2967">
          <cell r="A2967">
            <v>0</v>
          </cell>
          <cell r="C2967">
            <v>0</v>
          </cell>
          <cell r="D2967">
            <v>0</v>
          </cell>
        </row>
        <row r="2968">
          <cell r="A2968">
            <v>0</v>
          </cell>
          <cell r="C2968">
            <v>0</v>
          </cell>
          <cell r="D2968">
            <v>0</v>
          </cell>
        </row>
        <row r="2969">
          <cell r="A2969">
            <v>0</v>
          </cell>
          <cell r="C2969">
            <v>0</v>
          </cell>
          <cell r="D2969">
            <v>0</v>
          </cell>
        </row>
        <row r="2970">
          <cell r="A2970">
            <v>0</v>
          </cell>
          <cell r="C2970">
            <v>0</v>
          </cell>
          <cell r="D2970">
            <v>0</v>
          </cell>
        </row>
        <row r="2971">
          <cell r="A2971">
            <v>0</v>
          </cell>
          <cell r="C2971">
            <v>0</v>
          </cell>
          <cell r="D2971">
            <v>0</v>
          </cell>
        </row>
        <row r="2972">
          <cell r="A2972">
            <v>0</v>
          </cell>
          <cell r="C2972">
            <v>0</v>
          </cell>
          <cell r="D2972">
            <v>0</v>
          </cell>
        </row>
        <row r="2973">
          <cell r="A2973">
            <v>0</v>
          </cell>
          <cell r="C2973">
            <v>0</v>
          </cell>
          <cell r="D2973">
            <v>0</v>
          </cell>
        </row>
        <row r="2974">
          <cell r="A2974">
            <v>0</v>
          </cell>
          <cell r="C2974">
            <v>0</v>
          </cell>
          <cell r="D2974">
            <v>0</v>
          </cell>
        </row>
        <row r="2975">
          <cell r="A2975">
            <v>0</v>
          </cell>
          <cell r="C2975">
            <v>0</v>
          </cell>
          <cell r="D2975">
            <v>0</v>
          </cell>
        </row>
        <row r="2976">
          <cell r="A2976">
            <v>0</v>
          </cell>
          <cell r="C2976">
            <v>0</v>
          </cell>
          <cell r="D2976">
            <v>0</v>
          </cell>
        </row>
        <row r="2977">
          <cell r="A2977">
            <v>0</v>
          </cell>
          <cell r="C2977">
            <v>0</v>
          </cell>
          <cell r="D2977">
            <v>0</v>
          </cell>
        </row>
        <row r="2978">
          <cell r="A2978">
            <v>0</v>
          </cell>
          <cell r="C2978">
            <v>0</v>
          </cell>
          <cell r="D2978">
            <v>0</v>
          </cell>
        </row>
        <row r="2979">
          <cell r="A2979">
            <v>0</v>
          </cell>
          <cell r="C2979">
            <v>0</v>
          </cell>
          <cell r="D2979">
            <v>0</v>
          </cell>
        </row>
        <row r="2980">
          <cell r="A2980">
            <v>0</v>
          </cell>
          <cell r="C2980">
            <v>0</v>
          </cell>
          <cell r="D2980">
            <v>0</v>
          </cell>
        </row>
        <row r="2981">
          <cell r="A2981">
            <v>0</v>
          </cell>
          <cell r="C2981">
            <v>0</v>
          </cell>
          <cell r="D2981">
            <v>0</v>
          </cell>
        </row>
        <row r="2982">
          <cell r="A2982">
            <v>0</v>
          </cell>
          <cell r="C2982">
            <v>0</v>
          </cell>
          <cell r="D2982">
            <v>0</v>
          </cell>
        </row>
        <row r="2983">
          <cell r="A2983">
            <v>0</v>
          </cell>
          <cell r="C2983">
            <v>0</v>
          </cell>
          <cell r="D2983">
            <v>0</v>
          </cell>
        </row>
        <row r="2984">
          <cell r="A2984">
            <v>0</v>
          </cell>
          <cell r="C2984">
            <v>0</v>
          </cell>
          <cell r="D2984">
            <v>0</v>
          </cell>
        </row>
        <row r="2985">
          <cell r="A2985">
            <v>0</v>
          </cell>
          <cell r="C2985">
            <v>0</v>
          </cell>
          <cell r="D2985">
            <v>0</v>
          </cell>
        </row>
        <row r="2986">
          <cell r="A2986">
            <v>0</v>
          </cell>
          <cell r="C2986">
            <v>0</v>
          </cell>
          <cell r="D2986">
            <v>0</v>
          </cell>
        </row>
        <row r="2987">
          <cell r="A2987">
            <v>0</v>
          </cell>
          <cell r="C2987">
            <v>0</v>
          </cell>
          <cell r="D2987">
            <v>0</v>
          </cell>
        </row>
        <row r="2988">
          <cell r="A2988">
            <v>0</v>
          </cell>
          <cell r="C2988">
            <v>0</v>
          </cell>
          <cell r="D2988">
            <v>0</v>
          </cell>
        </row>
        <row r="2989">
          <cell r="A2989">
            <v>0</v>
          </cell>
          <cell r="C2989">
            <v>0</v>
          </cell>
          <cell r="D2989">
            <v>0</v>
          </cell>
        </row>
        <row r="2990">
          <cell r="A2990">
            <v>0</v>
          </cell>
          <cell r="C2990">
            <v>0</v>
          </cell>
          <cell r="D2990">
            <v>0</v>
          </cell>
        </row>
        <row r="2991">
          <cell r="A2991">
            <v>0</v>
          </cell>
          <cell r="C2991">
            <v>0</v>
          </cell>
          <cell r="D2991">
            <v>0</v>
          </cell>
        </row>
        <row r="2992">
          <cell r="A2992">
            <v>0</v>
          </cell>
          <cell r="C2992">
            <v>0</v>
          </cell>
          <cell r="D2992">
            <v>0</v>
          </cell>
        </row>
        <row r="2993">
          <cell r="A2993">
            <v>0</v>
          </cell>
          <cell r="C2993">
            <v>0</v>
          </cell>
          <cell r="D2993">
            <v>0</v>
          </cell>
        </row>
        <row r="2994">
          <cell r="A2994">
            <v>0</v>
          </cell>
          <cell r="C2994">
            <v>0</v>
          </cell>
          <cell r="D2994">
            <v>0</v>
          </cell>
        </row>
        <row r="2995">
          <cell r="A2995">
            <v>0</v>
          </cell>
          <cell r="C2995">
            <v>0</v>
          </cell>
          <cell r="D2995">
            <v>0</v>
          </cell>
        </row>
        <row r="2996">
          <cell r="A2996">
            <v>0</v>
          </cell>
          <cell r="C2996">
            <v>0</v>
          </cell>
          <cell r="D2996">
            <v>0</v>
          </cell>
        </row>
        <row r="2997">
          <cell r="A2997">
            <v>0</v>
          </cell>
          <cell r="C2997">
            <v>0</v>
          </cell>
          <cell r="D2997">
            <v>0</v>
          </cell>
        </row>
        <row r="2998">
          <cell r="A2998">
            <v>0</v>
          </cell>
          <cell r="C2998">
            <v>0</v>
          </cell>
          <cell r="D2998">
            <v>0</v>
          </cell>
        </row>
        <row r="2999">
          <cell r="A2999">
            <v>0</v>
          </cell>
          <cell r="C2999">
            <v>0</v>
          </cell>
          <cell r="D2999">
            <v>0</v>
          </cell>
        </row>
        <row r="3000">
          <cell r="A3000">
            <v>0</v>
          </cell>
          <cell r="C3000">
            <v>0</v>
          </cell>
          <cell r="D3000">
            <v>0</v>
          </cell>
        </row>
        <row r="3001">
          <cell r="A3001">
            <v>0</v>
          </cell>
          <cell r="C3001">
            <v>0</v>
          </cell>
          <cell r="D3001">
            <v>0</v>
          </cell>
        </row>
        <row r="3002">
          <cell r="A3002">
            <v>0</v>
          </cell>
          <cell r="C3002">
            <v>0</v>
          </cell>
          <cell r="D3002">
            <v>0</v>
          </cell>
        </row>
        <row r="3003">
          <cell r="A3003">
            <v>0</v>
          </cell>
          <cell r="C3003">
            <v>0</v>
          </cell>
          <cell r="D3003">
            <v>0</v>
          </cell>
        </row>
        <row r="3004">
          <cell r="A3004">
            <v>0</v>
          </cell>
          <cell r="C3004">
            <v>0</v>
          </cell>
          <cell r="D3004">
            <v>0</v>
          </cell>
        </row>
        <row r="3005">
          <cell r="A3005">
            <v>0</v>
          </cell>
          <cell r="C3005">
            <v>0</v>
          </cell>
          <cell r="D3005">
            <v>0</v>
          </cell>
        </row>
        <row r="3006">
          <cell r="A3006">
            <v>0</v>
          </cell>
          <cell r="C3006">
            <v>0</v>
          </cell>
          <cell r="D3006">
            <v>0</v>
          </cell>
        </row>
        <row r="3007">
          <cell r="A3007">
            <v>0</v>
          </cell>
          <cell r="C3007">
            <v>0</v>
          </cell>
          <cell r="D3007">
            <v>0</v>
          </cell>
        </row>
        <row r="3008">
          <cell r="A3008">
            <v>0</v>
          </cell>
          <cell r="C3008">
            <v>0</v>
          </cell>
          <cell r="D3008">
            <v>0</v>
          </cell>
        </row>
        <row r="3009">
          <cell r="A3009">
            <v>0</v>
          </cell>
          <cell r="C3009">
            <v>0</v>
          </cell>
          <cell r="D3009">
            <v>0</v>
          </cell>
        </row>
        <row r="3010">
          <cell r="A3010">
            <v>0</v>
          </cell>
          <cell r="C3010">
            <v>0</v>
          </cell>
          <cell r="D3010">
            <v>0</v>
          </cell>
        </row>
        <row r="3011">
          <cell r="A3011">
            <v>0</v>
          </cell>
          <cell r="C3011">
            <v>0</v>
          </cell>
          <cell r="D3011">
            <v>0</v>
          </cell>
        </row>
        <row r="3012">
          <cell r="A3012">
            <v>0</v>
          </cell>
          <cell r="C3012">
            <v>0</v>
          </cell>
          <cell r="D3012">
            <v>0</v>
          </cell>
        </row>
        <row r="3013">
          <cell r="A3013">
            <v>0</v>
          </cell>
          <cell r="C3013">
            <v>0</v>
          </cell>
          <cell r="D3013">
            <v>0</v>
          </cell>
        </row>
        <row r="3014">
          <cell r="A3014">
            <v>0</v>
          </cell>
          <cell r="C3014">
            <v>0</v>
          </cell>
          <cell r="D3014">
            <v>0</v>
          </cell>
        </row>
        <row r="3015">
          <cell r="A3015">
            <v>0</v>
          </cell>
          <cell r="C3015">
            <v>0</v>
          </cell>
          <cell r="D3015">
            <v>0</v>
          </cell>
        </row>
        <row r="3016">
          <cell r="A3016">
            <v>0</v>
          </cell>
          <cell r="C3016">
            <v>0</v>
          </cell>
          <cell r="D3016">
            <v>0</v>
          </cell>
        </row>
        <row r="3017">
          <cell r="A3017">
            <v>0</v>
          </cell>
          <cell r="C3017">
            <v>0</v>
          </cell>
          <cell r="D3017">
            <v>0</v>
          </cell>
        </row>
        <row r="3018">
          <cell r="A3018">
            <v>0</v>
          </cell>
          <cell r="C3018">
            <v>0</v>
          </cell>
          <cell r="D3018">
            <v>0</v>
          </cell>
        </row>
        <row r="3019">
          <cell r="A3019">
            <v>0</v>
          </cell>
          <cell r="C3019">
            <v>0</v>
          </cell>
          <cell r="D3019">
            <v>0</v>
          </cell>
        </row>
        <row r="3020">
          <cell r="A3020">
            <v>0</v>
          </cell>
          <cell r="C3020">
            <v>0</v>
          </cell>
          <cell r="D3020">
            <v>0</v>
          </cell>
        </row>
        <row r="3021">
          <cell r="A3021">
            <v>0</v>
          </cell>
          <cell r="C3021">
            <v>0</v>
          </cell>
          <cell r="D3021">
            <v>0</v>
          </cell>
        </row>
        <row r="3022">
          <cell r="A3022">
            <v>0</v>
          </cell>
          <cell r="C3022">
            <v>0</v>
          </cell>
          <cell r="D3022">
            <v>0</v>
          </cell>
        </row>
        <row r="3023">
          <cell r="A3023">
            <v>0</v>
          </cell>
          <cell r="C3023">
            <v>0</v>
          </cell>
          <cell r="D3023">
            <v>0</v>
          </cell>
        </row>
        <row r="3024">
          <cell r="A3024">
            <v>0</v>
          </cell>
          <cell r="C3024">
            <v>0</v>
          </cell>
          <cell r="D3024">
            <v>0</v>
          </cell>
        </row>
        <row r="3025">
          <cell r="A3025">
            <v>0</v>
          </cell>
          <cell r="C3025">
            <v>0</v>
          </cell>
          <cell r="D3025">
            <v>0</v>
          </cell>
        </row>
        <row r="3026">
          <cell r="A3026">
            <v>0</v>
          </cell>
          <cell r="C3026">
            <v>0</v>
          </cell>
          <cell r="D3026">
            <v>0</v>
          </cell>
        </row>
        <row r="3027">
          <cell r="A3027">
            <v>0</v>
          </cell>
          <cell r="C3027">
            <v>0</v>
          </cell>
          <cell r="D3027">
            <v>0</v>
          </cell>
        </row>
        <row r="3028">
          <cell r="A3028">
            <v>0</v>
          </cell>
          <cell r="C3028">
            <v>0</v>
          </cell>
          <cell r="D3028">
            <v>0</v>
          </cell>
        </row>
        <row r="3029">
          <cell r="A3029">
            <v>0</v>
          </cell>
          <cell r="C3029">
            <v>0</v>
          </cell>
          <cell r="D3029">
            <v>0</v>
          </cell>
        </row>
        <row r="3030">
          <cell r="A3030">
            <v>0</v>
          </cell>
          <cell r="C3030">
            <v>0</v>
          </cell>
          <cell r="D3030">
            <v>0</v>
          </cell>
        </row>
        <row r="3031">
          <cell r="A3031">
            <v>0</v>
          </cell>
          <cell r="C3031">
            <v>0</v>
          </cell>
          <cell r="D3031">
            <v>0</v>
          </cell>
        </row>
        <row r="3032">
          <cell r="A3032">
            <v>0</v>
          </cell>
          <cell r="C3032">
            <v>0</v>
          </cell>
          <cell r="D3032">
            <v>0</v>
          </cell>
        </row>
        <row r="3033">
          <cell r="A3033">
            <v>0</v>
          </cell>
          <cell r="C3033">
            <v>0</v>
          </cell>
          <cell r="D3033">
            <v>0</v>
          </cell>
        </row>
        <row r="3034">
          <cell r="A3034">
            <v>0</v>
          </cell>
          <cell r="C3034">
            <v>0</v>
          </cell>
          <cell r="D3034">
            <v>0</v>
          </cell>
        </row>
        <row r="3035">
          <cell r="A3035">
            <v>0</v>
          </cell>
          <cell r="C3035">
            <v>0</v>
          </cell>
          <cell r="D3035">
            <v>0</v>
          </cell>
        </row>
        <row r="3036">
          <cell r="A3036">
            <v>0</v>
          </cell>
          <cell r="C3036">
            <v>0</v>
          </cell>
          <cell r="D3036">
            <v>0</v>
          </cell>
        </row>
        <row r="3037">
          <cell r="A3037">
            <v>0</v>
          </cell>
          <cell r="C3037">
            <v>0</v>
          </cell>
          <cell r="D3037">
            <v>0</v>
          </cell>
        </row>
        <row r="3038">
          <cell r="A3038">
            <v>0</v>
          </cell>
          <cell r="C3038">
            <v>0</v>
          </cell>
          <cell r="D3038">
            <v>0</v>
          </cell>
        </row>
        <row r="3039">
          <cell r="A3039">
            <v>0</v>
          </cell>
          <cell r="C3039">
            <v>0</v>
          </cell>
          <cell r="D3039">
            <v>0</v>
          </cell>
        </row>
        <row r="3040">
          <cell r="A3040">
            <v>0</v>
          </cell>
          <cell r="C3040">
            <v>0</v>
          </cell>
          <cell r="D3040">
            <v>0</v>
          </cell>
        </row>
        <row r="3041">
          <cell r="A3041">
            <v>0</v>
          </cell>
          <cell r="C3041">
            <v>0</v>
          </cell>
          <cell r="D3041">
            <v>0</v>
          </cell>
        </row>
        <row r="3042">
          <cell r="A3042">
            <v>0</v>
          </cell>
          <cell r="C3042">
            <v>0</v>
          </cell>
          <cell r="D3042">
            <v>0</v>
          </cell>
        </row>
        <row r="3043">
          <cell r="A3043">
            <v>0</v>
          </cell>
          <cell r="C3043">
            <v>0</v>
          </cell>
          <cell r="D3043">
            <v>0</v>
          </cell>
        </row>
        <row r="3044">
          <cell r="A3044">
            <v>0</v>
          </cell>
          <cell r="C3044">
            <v>0</v>
          </cell>
          <cell r="D3044">
            <v>0</v>
          </cell>
        </row>
        <row r="3045">
          <cell r="A3045">
            <v>0</v>
          </cell>
          <cell r="C3045">
            <v>0</v>
          </cell>
          <cell r="D3045">
            <v>0</v>
          </cell>
        </row>
        <row r="3046">
          <cell r="A3046">
            <v>0</v>
          </cell>
          <cell r="C3046">
            <v>0</v>
          </cell>
          <cell r="D3046">
            <v>0</v>
          </cell>
        </row>
        <row r="3047">
          <cell r="A3047">
            <v>0</v>
          </cell>
          <cell r="C3047">
            <v>0</v>
          </cell>
          <cell r="D3047">
            <v>0</v>
          </cell>
        </row>
        <row r="3048">
          <cell r="A3048">
            <v>0</v>
          </cell>
          <cell r="C3048">
            <v>0</v>
          </cell>
          <cell r="D3048">
            <v>0</v>
          </cell>
        </row>
        <row r="3049">
          <cell r="A3049">
            <v>0</v>
          </cell>
          <cell r="C3049">
            <v>0</v>
          </cell>
          <cell r="D3049">
            <v>0</v>
          </cell>
        </row>
        <row r="3050">
          <cell r="A3050">
            <v>0</v>
          </cell>
          <cell r="C3050">
            <v>0</v>
          </cell>
          <cell r="D3050">
            <v>0</v>
          </cell>
        </row>
        <row r="3051">
          <cell r="A3051">
            <v>0</v>
          </cell>
          <cell r="C3051">
            <v>0</v>
          </cell>
          <cell r="D3051">
            <v>0</v>
          </cell>
        </row>
        <row r="3052">
          <cell r="A3052">
            <v>0</v>
          </cell>
          <cell r="C3052">
            <v>0</v>
          </cell>
          <cell r="D3052">
            <v>0</v>
          </cell>
        </row>
        <row r="3053">
          <cell r="A3053">
            <v>0</v>
          </cell>
          <cell r="C3053">
            <v>0</v>
          </cell>
          <cell r="D3053">
            <v>0</v>
          </cell>
        </row>
        <row r="3054">
          <cell r="A3054">
            <v>0</v>
          </cell>
          <cell r="C3054">
            <v>0</v>
          </cell>
          <cell r="D3054">
            <v>0</v>
          </cell>
        </row>
        <row r="3055">
          <cell r="A3055">
            <v>0</v>
          </cell>
          <cell r="C3055">
            <v>0</v>
          </cell>
          <cell r="D3055">
            <v>0</v>
          </cell>
        </row>
        <row r="3056">
          <cell r="A3056">
            <v>0</v>
          </cell>
          <cell r="C3056">
            <v>0</v>
          </cell>
          <cell r="D3056">
            <v>0</v>
          </cell>
        </row>
        <row r="3057">
          <cell r="A3057">
            <v>0</v>
          </cell>
          <cell r="C3057">
            <v>0</v>
          </cell>
          <cell r="D3057">
            <v>0</v>
          </cell>
        </row>
        <row r="3058">
          <cell r="A3058">
            <v>0</v>
          </cell>
          <cell r="C3058">
            <v>0</v>
          </cell>
          <cell r="D3058">
            <v>0</v>
          </cell>
        </row>
        <row r="3059">
          <cell r="A3059">
            <v>0</v>
          </cell>
          <cell r="C3059">
            <v>0</v>
          </cell>
          <cell r="D3059">
            <v>0</v>
          </cell>
        </row>
        <row r="3060">
          <cell r="A3060">
            <v>0</v>
          </cell>
          <cell r="C3060">
            <v>0</v>
          </cell>
          <cell r="D3060">
            <v>0</v>
          </cell>
        </row>
        <row r="3061">
          <cell r="A3061">
            <v>0</v>
          </cell>
          <cell r="C3061">
            <v>0</v>
          </cell>
          <cell r="D3061">
            <v>0</v>
          </cell>
        </row>
        <row r="3062">
          <cell r="A3062">
            <v>0</v>
          </cell>
          <cell r="C3062">
            <v>0</v>
          </cell>
          <cell r="D3062">
            <v>0</v>
          </cell>
        </row>
        <row r="3063">
          <cell r="A3063">
            <v>0</v>
          </cell>
          <cell r="C3063">
            <v>0</v>
          </cell>
          <cell r="D3063">
            <v>0</v>
          </cell>
        </row>
        <row r="3064">
          <cell r="A3064">
            <v>0</v>
          </cell>
          <cell r="C3064">
            <v>0</v>
          </cell>
          <cell r="D3064">
            <v>0</v>
          </cell>
        </row>
        <row r="3065">
          <cell r="A3065">
            <v>0</v>
          </cell>
          <cell r="C3065">
            <v>0</v>
          </cell>
          <cell r="D3065">
            <v>0</v>
          </cell>
        </row>
        <row r="3066">
          <cell r="A3066">
            <v>0</v>
          </cell>
          <cell r="C3066">
            <v>0</v>
          </cell>
          <cell r="D3066">
            <v>0</v>
          </cell>
        </row>
        <row r="3067">
          <cell r="A3067">
            <v>0</v>
          </cell>
          <cell r="C3067">
            <v>0</v>
          </cell>
          <cell r="D3067">
            <v>0</v>
          </cell>
        </row>
        <row r="3068">
          <cell r="A3068">
            <v>0</v>
          </cell>
          <cell r="C3068">
            <v>0</v>
          </cell>
          <cell r="D3068">
            <v>0</v>
          </cell>
        </row>
        <row r="3069">
          <cell r="A3069">
            <v>0</v>
          </cell>
          <cell r="C3069">
            <v>0</v>
          </cell>
          <cell r="D3069">
            <v>0</v>
          </cell>
        </row>
        <row r="3070">
          <cell r="A3070">
            <v>0</v>
          </cell>
          <cell r="C3070">
            <v>0</v>
          </cell>
          <cell r="D3070">
            <v>0</v>
          </cell>
        </row>
        <row r="3071">
          <cell r="A3071">
            <v>0</v>
          </cell>
          <cell r="C3071">
            <v>0</v>
          </cell>
          <cell r="D3071">
            <v>0</v>
          </cell>
        </row>
        <row r="3072">
          <cell r="A3072">
            <v>0</v>
          </cell>
          <cell r="C3072">
            <v>0</v>
          </cell>
          <cell r="D3072">
            <v>0</v>
          </cell>
        </row>
        <row r="3073">
          <cell r="A3073">
            <v>0</v>
          </cell>
          <cell r="C3073">
            <v>0</v>
          </cell>
          <cell r="D3073">
            <v>0</v>
          </cell>
        </row>
        <row r="3074">
          <cell r="A3074">
            <v>0</v>
          </cell>
          <cell r="C3074">
            <v>0</v>
          </cell>
          <cell r="D3074">
            <v>0</v>
          </cell>
        </row>
        <row r="3075">
          <cell r="A3075">
            <v>0</v>
          </cell>
          <cell r="C3075">
            <v>0</v>
          </cell>
          <cell r="D3075">
            <v>0</v>
          </cell>
        </row>
        <row r="3076">
          <cell r="A3076">
            <v>0</v>
          </cell>
          <cell r="C3076">
            <v>0</v>
          </cell>
          <cell r="D3076">
            <v>0</v>
          </cell>
        </row>
        <row r="3077">
          <cell r="A3077">
            <v>0</v>
          </cell>
          <cell r="C3077">
            <v>0</v>
          </cell>
          <cell r="D3077">
            <v>0</v>
          </cell>
        </row>
        <row r="3078">
          <cell r="A3078">
            <v>0</v>
          </cell>
          <cell r="C3078">
            <v>0</v>
          </cell>
          <cell r="D3078">
            <v>0</v>
          </cell>
        </row>
        <row r="3079">
          <cell r="A3079">
            <v>0</v>
          </cell>
          <cell r="C3079">
            <v>0</v>
          </cell>
          <cell r="D3079">
            <v>0</v>
          </cell>
        </row>
        <row r="3080">
          <cell r="A3080">
            <v>0</v>
          </cell>
          <cell r="C3080">
            <v>0</v>
          </cell>
          <cell r="D3080">
            <v>0</v>
          </cell>
        </row>
        <row r="3081">
          <cell r="A3081">
            <v>0</v>
          </cell>
          <cell r="C3081">
            <v>0</v>
          </cell>
          <cell r="D3081">
            <v>0</v>
          </cell>
        </row>
        <row r="3082">
          <cell r="A3082">
            <v>0</v>
          </cell>
          <cell r="C3082">
            <v>0</v>
          </cell>
          <cell r="D3082">
            <v>0</v>
          </cell>
        </row>
        <row r="3083">
          <cell r="A3083">
            <v>0</v>
          </cell>
          <cell r="C3083">
            <v>0</v>
          </cell>
          <cell r="D3083">
            <v>0</v>
          </cell>
        </row>
        <row r="3084">
          <cell r="A3084">
            <v>0</v>
          </cell>
          <cell r="C3084">
            <v>0</v>
          </cell>
          <cell r="D3084">
            <v>0</v>
          </cell>
        </row>
        <row r="3085">
          <cell r="A3085">
            <v>0</v>
          </cell>
          <cell r="C3085">
            <v>0</v>
          </cell>
          <cell r="D3085">
            <v>0</v>
          </cell>
        </row>
        <row r="3086">
          <cell r="A3086">
            <v>0</v>
          </cell>
          <cell r="C3086">
            <v>0</v>
          </cell>
          <cell r="D3086">
            <v>0</v>
          </cell>
        </row>
        <row r="3087">
          <cell r="A3087">
            <v>0</v>
          </cell>
          <cell r="C3087">
            <v>0</v>
          </cell>
          <cell r="D3087">
            <v>0</v>
          </cell>
        </row>
        <row r="3088">
          <cell r="A3088">
            <v>0</v>
          </cell>
          <cell r="C3088">
            <v>0</v>
          </cell>
          <cell r="D3088">
            <v>0</v>
          </cell>
        </row>
        <row r="3089">
          <cell r="A3089">
            <v>0</v>
          </cell>
          <cell r="C3089">
            <v>0</v>
          </cell>
          <cell r="D3089">
            <v>0</v>
          </cell>
        </row>
        <row r="3090">
          <cell r="A3090">
            <v>0</v>
          </cell>
          <cell r="C3090">
            <v>0</v>
          </cell>
          <cell r="D3090">
            <v>0</v>
          </cell>
        </row>
        <row r="3091">
          <cell r="A3091">
            <v>0</v>
          </cell>
          <cell r="C3091">
            <v>0</v>
          </cell>
          <cell r="D3091">
            <v>0</v>
          </cell>
        </row>
        <row r="3092">
          <cell r="A3092">
            <v>0</v>
          </cell>
          <cell r="C3092">
            <v>0</v>
          </cell>
          <cell r="D3092">
            <v>0</v>
          </cell>
        </row>
        <row r="3093">
          <cell r="A3093">
            <v>0</v>
          </cell>
          <cell r="C3093">
            <v>0</v>
          </cell>
          <cell r="D3093">
            <v>0</v>
          </cell>
        </row>
        <row r="3094">
          <cell r="A3094">
            <v>0</v>
          </cell>
          <cell r="C3094">
            <v>0</v>
          </cell>
          <cell r="D3094">
            <v>0</v>
          </cell>
        </row>
        <row r="3095">
          <cell r="A3095">
            <v>0</v>
          </cell>
          <cell r="C3095">
            <v>0</v>
          </cell>
          <cell r="D3095">
            <v>0</v>
          </cell>
        </row>
        <row r="3096">
          <cell r="A3096">
            <v>0</v>
          </cell>
          <cell r="C3096">
            <v>0</v>
          </cell>
          <cell r="D3096">
            <v>0</v>
          </cell>
        </row>
        <row r="3097">
          <cell r="A3097">
            <v>0</v>
          </cell>
          <cell r="C3097">
            <v>0</v>
          </cell>
          <cell r="D3097">
            <v>0</v>
          </cell>
        </row>
        <row r="3098">
          <cell r="A3098">
            <v>0</v>
          </cell>
          <cell r="C3098">
            <v>0</v>
          </cell>
          <cell r="D3098">
            <v>0</v>
          </cell>
        </row>
        <row r="3099">
          <cell r="A3099">
            <v>0</v>
          </cell>
          <cell r="C3099">
            <v>0</v>
          </cell>
          <cell r="D3099">
            <v>0</v>
          </cell>
        </row>
        <row r="3100">
          <cell r="A3100">
            <v>0</v>
          </cell>
          <cell r="C3100">
            <v>0</v>
          </cell>
          <cell r="D3100">
            <v>0</v>
          </cell>
        </row>
        <row r="3101">
          <cell r="A3101">
            <v>0</v>
          </cell>
          <cell r="C3101">
            <v>0</v>
          </cell>
          <cell r="D3101">
            <v>0</v>
          </cell>
        </row>
        <row r="3102">
          <cell r="A3102">
            <v>0</v>
          </cell>
          <cell r="C3102">
            <v>0</v>
          </cell>
          <cell r="D3102">
            <v>0</v>
          </cell>
        </row>
        <row r="3103">
          <cell r="A3103">
            <v>0</v>
          </cell>
          <cell r="C3103">
            <v>0</v>
          </cell>
          <cell r="D3103">
            <v>0</v>
          </cell>
        </row>
        <row r="3104">
          <cell r="A3104">
            <v>0</v>
          </cell>
          <cell r="C3104">
            <v>0</v>
          </cell>
          <cell r="D3104">
            <v>0</v>
          </cell>
        </row>
        <row r="3105">
          <cell r="A3105">
            <v>0</v>
          </cell>
          <cell r="C3105">
            <v>0</v>
          </cell>
          <cell r="D3105">
            <v>0</v>
          </cell>
        </row>
        <row r="3106">
          <cell r="A3106">
            <v>0</v>
          </cell>
          <cell r="C3106">
            <v>0</v>
          </cell>
          <cell r="D3106">
            <v>0</v>
          </cell>
        </row>
        <row r="3107">
          <cell r="A3107">
            <v>0</v>
          </cell>
          <cell r="C3107">
            <v>0</v>
          </cell>
          <cell r="D3107">
            <v>0</v>
          </cell>
        </row>
        <row r="3108">
          <cell r="A3108">
            <v>0</v>
          </cell>
          <cell r="C3108">
            <v>0</v>
          </cell>
          <cell r="D3108">
            <v>0</v>
          </cell>
        </row>
        <row r="3109">
          <cell r="A3109">
            <v>0</v>
          </cell>
          <cell r="C3109">
            <v>0</v>
          </cell>
          <cell r="D3109">
            <v>0</v>
          </cell>
        </row>
        <row r="3110">
          <cell r="A3110">
            <v>0</v>
          </cell>
          <cell r="C3110">
            <v>0</v>
          </cell>
          <cell r="D3110">
            <v>0</v>
          </cell>
        </row>
        <row r="3111">
          <cell r="A3111">
            <v>0</v>
          </cell>
          <cell r="C3111">
            <v>0</v>
          </cell>
          <cell r="D3111">
            <v>0</v>
          </cell>
        </row>
        <row r="3112">
          <cell r="A3112">
            <v>0</v>
          </cell>
          <cell r="C3112">
            <v>0</v>
          </cell>
          <cell r="D3112">
            <v>0</v>
          </cell>
        </row>
        <row r="3113">
          <cell r="A3113">
            <v>0</v>
          </cell>
          <cell r="C3113">
            <v>0</v>
          </cell>
          <cell r="D3113">
            <v>0</v>
          </cell>
        </row>
        <row r="3114">
          <cell r="A3114">
            <v>0</v>
          </cell>
          <cell r="C3114">
            <v>0</v>
          </cell>
          <cell r="D3114">
            <v>0</v>
          </cell>
        </row>
        <row r="3115">
          <cell r="A3115">
            <v>0</v>
          </cell>
          <cell r="C3115">
            <v>0</v>
          </cell>
          <cell r="D3115">
            <v>0</v>
          </cell>
        </row>
        <row r="3116">
          <cell r="A3116">
            <v>0</v>
          </cell>
          <cell r="C3116">
            <v>0</v>
          </cell>
          <cell r="D3116">
            <v>0</v>
          </cell>
        </row>
        <row r="3117">
          <cell r="A3117">
            <v>0</v>
          </cell>
          <cell r="C3117">
            <v>0</v>
          </cell>
          <cell r="D3117">
            <v>0</v>
          </cell>
        </row>
        <row r="3118">
          <cell r="A3118">
            <v>0</v>
          </cell>
          <cell r="C3118">
            <v>0</v>
          </cell>
          <cell r="D3118">
            <v>0</v>
          </cell>
        </row>
        <row r="3119">
          <cell r="A3119">
            <v>0</v>
          </cell>
          <cell r="C3119">
            <v>0</v>
          </cell>
          <cell r="D3119">
            <v>0</v>
          </cell>
        </row>
        <row r="3120">
          <cell r="A3120">
            <v>0</v>
          </cell>
          <cell r="C3120">
            <v>0</v>
          </cell>
          <cell r="D3120">
            <v>0</v>
          </cell>
        </row>
        <row r="3121">
          <cell r="A3121">
            <v>0</v>
          </cell>
          <cell r="C3121">
            <v>0</v>
          </cell>
          <cell r="D3121">
            <v>0</v>
          </cell>
        </row>
        <row r="3122">
          <cell r="A3122">
            <v>0</v>
          </cell>
          <cell r="C3122">
            <v>0</v>
          </cell>
          <cell r="D3122">
            <v>0</v>
          </cell>
        </row>
        <row r="3123">
          <cell r="A3123">
            <v>0</v>
          </cell>
          <cell r="C3123">
            <v>0</v>
          </cell>
          <cell r="D3123">
            <v>0</v>
          </cell>
        </row>
        <row r="3124">
          <cell r="A3124">
            <v>0</v>
          </cell>
          <cell r="C3124">
            <v>0</v>
          </cell>
          <cell r="D3124">
            <v>0</v>
          </cell>
        </row>
        <row r="3125">
          <cell r="A3125">
            <v>0</v>
          </cell>
          <cell r="C3125">
            <v>0</v>
          </cell>
          <cell r="D3125">
            <v>0</v>
          </cell>
        </row>
        <row r="3126">
          <cell r="A3126">
            <v>0</v>
          </cell>
          <cell r="C3126">
            <v>0</v>
          </cell>
          <cell r="D3126">
            <v>0</v>
          </cell>
        </row>
        <row r="3127">
          <cell r="A3127">
            <v>0</v>
          </cell>
          <cell r="C3127">
            <v>0</v>
          </cell>
          <cell r="D3127">
            <v>0</v>
          </cell>
        </row>
        <row r="3128">
          <cell r="A3128">
            <v>0</v>
          </cell>
          <cell r="C3128">
            <v>0</v>
          </cell>
          <cell r="D3128">
            <v>0</v>
          </cell>
        </row>
        <row r="3129">
          <cell r="A3129">
            <v>0</v>
          </cell>
          <cell r="C3129">
            <v>0</v>
          </cell>
          <cell r="D3129">
            <v>0</v>
          </cell>
        </row>
        <row r="3130">
          <cell r="A3130">
            <v>0</v>
          </cell>
          <cell r="C3130">
            <v>0</v>
          </cell>
          <cell r="D3130">
            <v>0</v>
          </cell>
        </row>
        <row r="3131">
          <cell r="A3131">
            <v>0</v>
          </cell>
          <cell r="C3131">
            <v>0</v>
          </cell>
          <cell r="D3131">
            <v>0</v>
          </cell>
        </row>
      </sheetData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Codes"/>
      <sheetName val="Control"/>
      <sheetName val="B_L_Issuance"/>
      <sheetName val="External_FX_Bonds_Net"/>
      <sheetName val="Financials"/>
      <sheetName val="ExternalBondsLoans"/>
      <sheetName val="ExternalBonds"/>
      <sheetName val="FXBonds"/>
      <sheetName val="AllBonds"/>
      <sheetName val="AllLoans"/>
      <sheetName val="Bdetail"/>
      <sheetName val="B_extDetail"/>
      <sheetName val="Ldetail"/>
      <sheetName val="Bonds"/>
      <sheetName val="Loans"/>
    </sheetNames>
    <sheetDataSet>
      <sheetData sheetId="0" refreshError="1"/>
      <sheetData sheetId="1" refreshError="1">
        <row r="5">
          <cell r="B5" t="str">
            <v>Argentina</v>
          </cell>
        </row>
        <row r="6">
          <cell r="B6" t="str">
            <v>Brazil</v>
          </cell>
        </row>
        <row r="7">
          <cell r="B7" t="str">
            <v>Chile</v>
          </cell>
        </row>
        <row r="8">
          <cell r="B8" t="str">
            <v>Colombia</v>
          </cell>
        </row>
        <row r="9">
          <cell r="B9" t="str">
            <v>Ecuador</v>
          </cell>
        </row>
        <row r="10">
          <cell r="B10" t="str">
            <v>Mexico</v>
          </cell>
        </row>
        <row r="11">
          <cell r="B11" t="str">
            <v>Peru</v>
          </cell>
        </row>
        <row r="12">
          <cell r="B12" t="str">
            <v>Venezuela</v>
          </cell>
        </row>
        <row r="13">
          <cell r="B13" t="str">
            <v>Nigeria</v>
          </cell>
        </row>
        <row r="14">
          <cell r="B14" t="str">
            <v>Egypt</v>
          </cell>
        </row>
        <row r="15">
          <cell r="B15" t="str">
            <v>Morocco</v>
          </cell>
        </row>
        <row r="16">
          <cell r="B16" t="str">
            <v>South Africa</v>
          </cell>
        </row>
        <row r="17">
          <cell r="B17" t="str">
            <v>Lebanon</v>
          </cell>
        </row>
        <row r="18">
          <cell r="B18" t="str">
            <v>Saudi Arabia</v>
          </cell>
        </row>
        <row r="19">
          <cell r="B19" t="str">
            <v>UAE</v>
          </cell>
        </row>
        <row r="20">
          <cell r="B20" t="str">
            <v>Bulgaria</v>
          </cell>
        </row>
        <row r="21">
          <cell r="B21" t="str">
            <v>Czech Republic</v>
          </cell>
        </row>
        <row r="22">
          <cell r="B22" t="str">
            <v>Hungary</v>
          </cell>
        </row>
        <row r="23">
          <cell r="B23" t="str">
            <v>Poland</v>
          </cell>
        </row>
        <row r="24">
          <cell r="B24" t="str">
            <v>Romania</v>
          </cell>
        </row>
        <row r="25">
          <cell r="B25" t="str">
            <v>Russian Federation</v>
          </cell>
        </row>
        <row r="26">
          <cell r="B26" t="str">
            <v>Turkey</v>
          </cell>
        </row>
        <row r="27">
          <cell r="B27" t="str">
            <v>Ukraine</v>
          </cell>
        </row>
        <row r="28">
          <cell r="B28" t="str">
            <v>China</v>
          </cell>
        </row>
        <row r="29">
          <cell r="B29" t="str">
            <v>India</v>
          </cell>
        </row>
        <row r="30">
          <cell r="B30" t="str">
            <v>Indonesia</v>
          </cell>
        </row>
        <row r="31">
          <cell r="B31" t="str">
            <v>South Korea</v>
          </cell>
        </row>
        <row r="32">
          <cell r="B32" t="str">
            <v>Malaysia</v>
          </cell>
        </row>
        <row r="33">
          <cell r="B33" t="str">
            <v>Philippines</v>
          </cell>
        </row>
        <row r="34">
          <cell r="B34" t="str">
            <v>Thailand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99">
          <cell r="W99">
            <v>39110</v>
          </cell>
          <cell r="X99">
            <v>39141</v>
          </cell>
          <cell r="Y99">
            <v>39169</v>
          </cell>
          <cell r="Z99">
            <v>39200</v>
          </cell>
          <cell r="AA99">
            <v>39230</v>
          </cell>
          <cell r="AB99">
            <v>39261</v>
          </cell>
          <cell r="AC99">
            <v>39291</v>
          </cell>
          <cell r="AD99">
            <v>39322</v>
          </cell>
          <cell r="AE99">
            <v>39353</v>
          </cell>
          <cell r="AF99">
            <v>39383</v>
          </cell>
          <cell r="AG99">
            <v>39414</v>
          </cell>
          <cell r="AH99">
            <v>39444</v>
          </cell>
          <cell r="AI99">
            <v>39475</v>
          </cell>
          <cell r="AJ99">
            <v>39506</v>
          </cell>
          <cell r="AK99">
            <v>39535</v>
          </cell>
          <cell r="AL99">
            <v>39566</v>
          </cell>
          <cell r="AM99">
            <v>39596</v>
          </cell>
          <cell r="AN99">
            <v>39627</v>
          </cell>
          <cell r="AO99">
            <v>39657</v>
          </cell>
          <cell r="AP99">
            <v>39688</v>
          </cell>
          <cell r="AQ99">
            <v>39719</v>
          </cell>
          <cell r="AR99">
            <v>39749</v>
          </cell>
          <cell r="AS99">
            <v>39780</v>
          </cell>
          <cell r="AT99">
            <v>39810</v>
          </cell>
          <cell r="AU99">
            <v>39841</v>
          </cell>
          <cell r="AV99">
            <v>39872</v>
          </cell>
          <cell r="AW99">
            <v>39900</v>
          </cell>
          <cell r="AX99">
            <v>39931</v>
          </cell>
          <cell r="AY99">
            <v>39961</v>
          </cell>
          <cell r="AZ99">
            <v>39992</v>
          </cell>
          <cell r="BA99">
            <v>40022</v>
          </cell>
          <cell r="BB99">
            <v>40053</v>
          </cell>
          <cell r="BC99">
            <v>40084</v>
          </cell>
          <cell r="BD99">
            <v>40114</v>
          </cell>
          <cell r="BE99">
            <v>40145</v>
          </cell>
          <cell r="BF99">
            <v>40175</v>
          </cell>
          <cell r="BG99">
            <v>40206</v>
          </cell>
          <cell r="BH99">
            <v>40237</v>
          </cell>
          <cell r="BI99">
            <v>40265</v>
          </cell>
          <cell r="BJ99">
            <v>40296</v>
          </cell>
          <cell r="BK99">
            <v>40326</v>
          </cell>
          <cell r="BL99">
            <v>40357</v>
          </cell>
          <cell r="BM99">
            <v>40387</v>
          </cell>
          <cell r="BN99">
            <v>40418</v>
          </cell>
          <cell r="BO99">
            <v>40449</v>
          </cell>
          <cell r="BP99">
            <v>40479</v>
          </cell>
          <cell r="BQ99">
            <v>40510</v>
          </cell>
          <cell r="BR99">
            <v>40540</v>
          </cell>
          <cell r="BS99">
            <v>40571</v>
          </cell>
          <cell r="BT99">
            <v>40602</v>
          </cell>
          <cell r="BU99">
            <v>40630</v>
          </cell>
          <cell r="BV99">
            <v>40661</v>
          </cell>
          <cell r="BW99">
            <v>40691</v>
          </cell>
        </row>
      </sheetData>
      <sheetData sheetId="11" refreshError="1">
        <row r="99">
          <cell r="W99">
            <v>39110</v>
          </cell>
          <cell r="X99">
            <v>39141</v>
          </cell>
          <cell r="Y99">
            <v>39169</v>
          </cell>
          <cell r="Z99">
            <v>39200</v>
          </cell>
          <cell r="AA99">
            <v>39230</v>
          </cell>
          <cell r="AB99">
            <v>39261</v>
          </cell>
          <cell r="AC99">
            <v>39291</v>
          </cell>
          <cell r="AD99">
            <v>39322</v>
          </cell>
          <cell r="AE99">
            <v>39353</v>
          </cell>
          <cell r="AF99">
            <v>39383</v>
          </cell>
          <cell r="AG99">
            <v>39414</v>
          </cell>
          <cell r="AH99">
            <v>39444</v>
          </cell>
          <cell r="AI99">
            <v>39475</v>
          </cell>
          <cell r="AJ99">
            <v>39506</v>
          </cell>
          <cell r="AK99">
            <v>39535</v>
          </cell>
          <cell r="AL99">
            <v>39566</v>
          </cell>
          <cell r="AM99">
            <v>39596</v>
          </cell>
          <cell r="AN99">
            <v>39627</v>
          </cell>
          <cell r="AO99">
            <v>39657</v>
          </cell>
          <cell r="AP99">
            <v>39688</v>
          </cell>
          <cell r="AQ99">
            <v>39719</v>
          </cell>
          <cell r="AR99">
            <v>39749</v>
          </cell>
          <cell r="AS99">
            <v>39780</v>
          </cell>
          <cell r="AT99">
            <v>39810</v>
          </cell>
          <cell r="AU99">
            <v>39841</v>
          </cell>
          <cell r="AV99">
            <v>39872</v>
          </cell>
          <cell r="AW99">
            <v>39900</v>
          </cell>
          <cell r="AX99">
            <v>39931</v>
          </cell>
          <cell r="AY99">
            <v>39961</v>
          </cell>
          <cell r="AZ99">
            <v>39992</v>
          </cell>
          <cell r="BA99">
            <v>40022</v>
          </cell>
          <cell r="BB99">
            <v>40053</v>
          </cell>
          <cell r="BC99">
            <v>40084</v>
          </cell>
          <cell r="BD99">
            <v>40114</v>
          </cell>
          <cell r="BE99">
            <v>40145</v>
          </cell>
          <cell r="BF99">
            <v>40175</v>
          </cell>
          <cell r="BG99">
            <v>40206</v>
          </cell>
          <cell r="BH99">
            <v>40237</v>
          </cell>
          <cell r="BI99">
            <v>40265</v>
          </cell>
          <cell r="BJ99">
            <v>40296</v>
          </cell>
          <cell r="BK99">
            <v>40326</v>
          </cell>
          <cell r="BL99">
            <v>40357</v>
          </cell>
          <cell r="BM99">
            <v>40387</v>
          </cell>
          <cell r="BN99">
            <v>40418</v>
          </cell>
          <cell r="BO99">
            <v>40449</v>
          </cell>
          <cell r="BP99">
            <v>40479</v>
          </cell>
          <cell r="BQ99">
            <v>40510</v>
          </cell>
          <cell r="BR99">
            <v>40540</v>
          </cell>
          <cell r="BS99">
            <v>40571</v>
          </cell>
          <cell r="BT99">
            <v>40602</v>
          </cell>
          <cell r="BU99">
            <v>40630</v>
          </cell>
          <cell r="BV99">
            <v>40661</v>
          </cell>
          <cell r="BW99">
            <v>40691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1"/>
      <sheetName val="P1"/>
      <sheetName val="G2"/>
      <sheetName val="P2"/>
      <sheetName val="G3"/>
      <sheetName val="P3"/>
      <sheetName val="G4"/>
      <sheetName val="P4"/>
      <sheetName val="G5"/>
      <sheetName val="P5"/>
      <sheetName val="G6"/>
      <sheetName val="P6"/>
      <sheetName val="G7"/>
      <sheetName val="P7"/>
      <sheetName val="G8"/>
      <sheetName val="P8"/>
      <sheetName val="G9"/>
      <sheetName val="P9"/>
      <sheetName val="G10"/>
      <sheetName val="P10"/>
      <sheetName val="G11_1"/>
      <sheetName val="P11_1"/>
      <sheetName val="G11_2"/>
      <sheetName val="P11_2"/>
      <sheetName val="G12 (2)"/>
      <sheetName val="G12"/>
      <sheetName val="P12"/>
      <sheetName val="G13"/>
      <sheetName val="P13"/>
      <sheetName val="G14"/>
      <sheetName val="P14"/>
      <sheetName val="P15"/>
      <sheetName val="G16"/>
      <sheetName val="P16"/>
      <sheetName val="G17"/>
      <sheetName val="P17"/>
      <sheetName val="G18"/>
      <sheetName val="P18"/>
      <sheetName val="G19"/>
      <sheetName val="G20"/>
      <sheetName val="P19_20"/>
      <sheetName val="G21"/>
      <sheetName val="G22"/>
      <sheetName val="P21_22"/>
      <sheetName val="G23"/>
      <sheetName val="G23_2"/>
      <sheetName val="P23"/>
      <sheetName val="G24"/>
      <sheetName val="P24"/>
      <sheetName val="G25"/>
      <sheetName val="P25"/>
      <sheetName val="G26"/>
      <sheetName val="P26"/>
      <sheetName val="G27"/>
      <sheetName val="P27"/>
      <sheetName val="G28"/>
      <sheetName val="P28"/>
      <sheetName val="G29"/>
      <sheetName val="P29"/>
      <sheetName val="G30"/>
      <sheetName val="P30"/>
      <sheetName val="Tab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érios de Seleção"/>
      <sheetName val="IFs Consolidadas"/>
      <sheetName val="IFs não Consolidadas"/>
      <sheetName val="Indicadores"/>
      <sheetName val="Variáveis e Indicadores"/>
      <sheetName val="Balancete Ajustado"/>
      <sheetName val="DRE Ajustada"/>
      <sheetName val="DRE de Publicação"/>
      <sheetName val="Balancete Contábil"/>
      <sheetName val="Análise Gráfica"/>
      <sheetName val="Cosif_Completo"/>
      <sheetName val="Dados_Gr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>
            <v>0</v>
          </cell>
          <cell r="C2">
            <v>0</v>
          </cell>
          <cell r="D2">
            <v>0</v>
          </cell>
        </row>
        <row r="3">
          <cell r="A3">
            <v>0</v>
          </cell>
          <cell r="C3">
            <v>0</v>
          </cell>
          <cell r="D3">
            <v>0</v>
          </cell>
        </row>
        <row r="4">
          <cell r="A4">
            <v>0</v>
          </cell>
          <cell r="C4">
            <v>0</v>
          </cell>
          <cell r="D4">
            <v>0</v>
          </cell>
        </row>
        <row r="5">
          <cell r="A5">
            <v>0</v>
          </cell>
          <cell r="C5">
            <v>0</v>
          </cell>
          <cell r="D5">
            <v>0</v>
          </cell>
        </row>
        <row r="6">
          <cell r="A6">
            <v>0</v>
          </cell>
          <cell r="C6">
            <v>0</v>
          </cell>
          <cell r="D6">
            <v>0</v>
          </cell>
        </row>
        <row r="7">
          <cell r="A7">
            <v>0</v>
          </cell>
          <cell r="C7">
            <v>0</v>
          </cell>
          <cell r="D7">
            <v>0</v>
          </cell>
        </row>
        <row r="8">
          <cell r="A8">
            <v>0</v>
          </cell>
          <cell r="C8">
            <v>0</v>
          </cell>
          <cell r="D8">
            <v>0</v>
          </cell>
        </row>
        <row r="9">
          <cell r="A9">
            <v>0</v>
          </cell>
          <cell r="C9">
            <v>0</v>
          </cell>
          <cell r="D9">
            <v>0</v>
          </cell>
        </row>
        <row r="10">
          <cell r="A10">
            <v>0</v>
          </cell>
          <cell r="C10">
            <v>0</v>
          </cell>
          <cell r="D10">
            <v>0</v>
          </cell>
        </row>
        <row r="11">
          <cell r="A11">
            <v>0</v>
          </cell>
          <cell r="C11">
            <v>0</v>
          </cell>
          <cell r="D11">
            <v>0</v>
          </cell>
        </row>
        <row r="12">
          <cell r="A12">
            <v>0</v>
          </cell>
          <cell r="C12">
            <v>0</v>
          </cell>
          <cell r="D12">
            <v>0</v>
          </cell>
        </row>
        <row r="13">
          <cell r="A13">
            <v>0</v>
          </cell>
          <cell r="C13">
            <v>0</v>
          </cell>
          <cell r="D13">
            <v>0</v>
          </cell>
        </row>
        <row r="14">
          <cell r="A14">
            <v>0</v>
          </cell>
          <cell r="C14">
            <v>0</v>
          </cell>
          <cell r="D14">
            <v>0</v>
          </cell>
        </row>
        <row r="15">
          <cell r="A15">
            <v>0</v>
          </cell>
          <cell r="C15">
            <v>0</v>
          </cell>
          <cell r="D15">
            <v>0</v>
          </cell>
        </row>
        <row r="16">
          <cell r="A16">
            <v>0</v>
          </cell>
          <cell r="C16">
            <v>0</v>
          </cell>
          <cell r="D16">
            <v>0</v>
          </cell>
        </row>
        <row r="17">
          <cell r="A17">
            <v>0</v>
          </cell>
          <cell r="C17">
            <v>0</v>
          </cell>
          <cell r="D17">
            <v>0</v>
          </cell>
        </row>
        <row r="18">
          <cell r="A18">
            <v>0</v>
          </cell>
          <cell r="C18">
            <v>0</v>
          </cell>
          <cell r="D18">
            <v>0</v>
          </cell>
        </row>
        <row r="19">
          <cell r="A19">
            <v>0</v>
          </cell>
          <cell r="C19">
            <v>0</v>
          </cell>
          <cell r="D19">
            <v>0</v>
          </cell>
        </row>
        <row r="20">
          <cell r="A20">
            <v>0</v>
          </cell>
          <cell r="C20">
            <v>0</v>
          </cell>
          <cell r="D20">
            <v>0</v>
          </cell>
        </row>
        <row r="21">
          <cell r="A21">
            <v>0</v>
          </cell>
          <cell r="C21">
            <v>0</v>
          </cell>
          <cell r="D21">
            <v>0</v>
          </cell>
        </row>
        <row r="22">
          <cell r="A22">
            <v>0</v>
          </cell>
          <cell r="C22">
            <v>0</v>
          </cell>
          <cell r="D22">
            <v>0</v>
          </cell>
        </row>
        <row r="23">
          <cell r="A23">
            <v>0</v>
          </cell>
          <cell r="C23">
            <v>0</v>
          </cell>
          <cell r="D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</row>
        <row r="25">
          <cell r="A25">
            <v>0</v>
          </cell>
          <cell r="C25">
            <v>0</v>
          </cell>
          <cell r="D25">
            <v>0</v>
          </cell>
        </row>
        <row r="26">
          <cell r="A26">
            <v>0</v>
          </cell>
          <cell r="C26">
            <v>0</v>
          </cell>
          <cell r="D26">
            <v>0</v>
          </cell>
        </row>
        <row r="27">
          <cell r="A27">
            <v>0</v>
          </cell>
          <cell r="C27">
            <v>0</v>
          </cell>
          <cell r="D27">
            <v>0</v>
          </cell>
        </row>
        <row r="28">
          <cell r="A28">
            <v>0</v>
          </cell>
          <cell r="C28">
            <v>0</v>
          </cell>
          <cell r="D28">
            <v>0</v>
          </cell>
        </row>
        <row r="29">
          <cell r="A29">
            <v>0</v>
          </cell>
          <cell r="C29">
            <v>0</v>
          </cell>
          <cell r="D29">
            <v>0</v>
          </cell>
        </row>
        <row r="30">
          <cell r="A30">
            <v>0</v>
          </cell>
          <cell r="C30">
            <v>0</v>
          </cell>
          <cell r="D30">
            <v>0</v>
          </cell>
        </row>
        <row r="31">
          <cell r="A31">
            <v>0</v>
          </cell>
          <cell r="C31">
            <v>0</v>
          </cell>
          <cell r="D31">
            <v>0</v>
          </cell>
        </row>
        <row r="32">
          <cell r="A32">
            <v>0</v>
          </cell>
          <cell r="C32">
            <v>0</v>
          </cell>
          <cell r="D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</row>
        <row r="46">
          <cell r="A46">
            <v>0</v>
          </cell>
          <cell r="C46">
            <v>0</v>
          </cell>
          <cell r="D46">
            <v>0</v>
          </cell>
        </row>
        <row r="47">
          <cell r="A47">
            <v>0</v>
          </cell>
          <cell r="C47">
            <v>0</v>
          </cell>
          <cell r="D47">
            <v>0</v>
          </cell>
        </row>
        <row r="48">
          <cell r="A48">
            <v>0</v>
          </cell>
          <cell r="C48">
            <v>0</v>
          </cell>
          <cell r="D48">
            <v>0</v>
          </cell>
        </row>
        <row r="49">
          <cell r="A49">
            <v>0</v>
          </cell>
          <cell r="C49">
            <v>0</v>
          </cell>
          <cell r="D49">
            <v>0</v>
          </cell>
        </row>
        <row r="50">
          <cell r="A50">
            <v>0</v>
          </cell>
          <cell r="C50">
            <v>0</v>
          </cell>
          <cell r="D50">
            <v>0</v>
          </cell>
        </row>
        <row r="51">
          <cell r="A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C52">
            <v>0</v>
          </cell>
          <cell r="D52">
            <v>0</v>
          </cell>
        </row>
        <row r="53">
          <cell r="A53">
            <v>0</v>
          </cell>
          <cell r="C53">
            <v>0</v>
          </cell>
          <cell r="D53">
            <v>0</v>
          </cell>
        </row>
        <row r="54">
          <cell r="A54">
            <v>0</v>
          </cell>
          <cell r="C54">
            <v>0</v>
          </cell>
          <cell r="D54">
            <v>0</v>
          </cell>
        </row>
        <row r="55">
          <cell r="A55">
            <v>0</v>
          </cell>
          <cell r="C55">
            <v>0</v>
          </cell>
          <cell r="D55">
            <v>0</v>
          </cell>
        </row>
        <row r="56">
          <cell r="A56">
            <v>0</v>
          </cell>
          <cell r="C56">
            <v>0</v>
          </cell>
          <cell r="D56">
            <v>0</v>
          </cell>
        </row>
        <row r="57">
          <cell r="A57">
            <v>0</v>
          </cell>
          <cell r="C57">
            <v>0</v>
          </cell>
          <cell r="D57">
            <v>0</v>
          </cell>
        </row>
        <row r="58">
          <cell r="A58">
            <v>0</v>
          </cell>
          <cell r="C58">
            <v>0</v>
          </cell>
          <cell r="D58">
            <v>0</v>
          </cell>
        </row>
        <row r="59">
          <cell r="A59">
            <v>0</v>
          </cell>
          <cell r="C59">
            <v>0</v>
          </cell>
          <cell r="D59">
            <v>0</v>
          </cell>
        </row>
        <row r="60">
          <cell r="A60">
            <v>0</v>
          </cell>
          <cell r="C60">
            <v>0</v>
          </cell>
          <cell r="D60">
            <v>0</v>
          </cell>
        </row>
        <row r="61">
          <cell r="A61">
            <v>0</v>
          </cell>
          <cell r="C61">
            <v>0</v>
          </cell>
          <cell r="D61">
            <v>0</v>
          </cell>
        </row>
        <row r="62">
          <cell r="A62">
            <v>0</v>
          </cell>
          <cell r="C62">
            <v>0</v>
          </cell>
          <cell r="D62">
            <v>0</v>
          </cell>
        </row>
        <row r="63">
          <cell r="A63">
            <v>0</v>
          </cell>
          <cell r="C63">
            <v>0</v>
          </cell>
          <cell r="D63">
            <v>0</v>
          </cell>
        </row>
        <row r="64">
          <cell r="A64">
            <v>0</v>
          </cell>
          <cell r="C64">
            <v>0</v>
          </cell>
          <cell r="D64">
            <v>0</v>
          </cell>
        </row>
        <row r="65">
          <cell r="A65">
            <v>0</v>
          </cell>
          <cell r="C65">
            <v>0</v>
          </cell>
          <cell r="D65">
            <v>0</v>
          </cell>
        </row>
        <row r="66">
          <cell r="A66">
            <v>0</v>
          </cell>
          <cell r="C66">
            <v>0</v>
          </cell>
          <cell r="D66">
            <v>0</v>
          </cell>
        </row>
        <row r="67">
          <cell r="A67">
            <v>0</v>
          </cell>
          <cell r="C67">
            <v>0</v>
          </cell>
          <cell r="D67">
            <v>0</v>
          </cell>
        </row>
        <row r="68">
          <cell r="A68">
            <v>0</v>
          </cell>
          <cell r="C68">
            <v>0</v>
          </cell>
          <cell r="D68">
            <v>0</v>
          </cell>
        </row>
        <row r="69">
          <cell r="A69">
            <v>0</v>
          </cell>
          <cell r="C69">
            <v>0</v>
          </cell>
          <cell r="D69">
            <v>0</v>
          </cell>
        </row>
        <row r="70">
          <cell r="A70">
            <v>0</v>
          </cell>
          <cell r="C70">
            <v>0</v>
          </cell>
          <cell r="D70">
            <v>0</v>
          </cell>
        </row>
        <row r="71">
          <cell r="A71">
            <v>0</v>
          </cell>
          <cell r="C71">
            <v>0</v>
          </cell>
          <cell r="D71">
            <v>0</v>
          </cell>
        </row>
        <row r="72">
          <cell r="A72">
            <v>0</v>
          </cell>
          <cell r="C72">
            <v>0</v>
          </cell>
          <cell r="D72">
            <v>0</v>
          </cell>
        </row>
        <row r="73">
          <cell r="A73">
            <v>0</v>
          </cell>
          <cell r="C73">
            <v>0</v>
          </cell>
          <cell r="D73">
            <v>0</v>
          </cell>
        </row>
        <row r="74">
          <cell r="A74">
            <v>0</v>
          </cell>
          <cell r="C74">
            <v>0</v>
          </cell>
          <cell r="D74">
            <v>0</v>
          </cell>
        </row>
        <row r="75">
          <cell r="A75">
            <v>0</v>
          </cell>
          <cell r="C75">
            <v>0</v>
          </cell>
          <cell r="D75">
            <v>0</v>
          </cell>
        </row>
        <row r="76">
          <cell r="A76">
            <v>0</v>
          </cell>
          <cell r="C76">
            <v>0</v>
          </cell>
          <cell r="D76">
            <v>0</v>
          </cell>
        </row>
        <row r="77">
          <cell r="A77">
            <v>0</v>
          </cell>
          <cell r="C77">
            <v>0</v>
          </cell>
          <cell r="D77">
            <v>0</v>
          </cell>
        </row>
        <row r="78">
          <cell r="A78">
            <v>0</v>
          </cell>
          <cell r="C78">
            <v>0</v>
          </cell>
          <cell r="D78">
            <v>0</v>
          </cell>
        </row>
        <row r="79">
          <cell r="A79">
            <v>0</v>
          </cell>
          <cell r="C79">
            <v>0</v>
          </cell>
          <cell r="D79">
            <v>0</v>
          </cell>
        </row>
        <row r="80">
          <cell r="A80">
            <v>0</v>
          </cell>
          <cell r="C80">
            <v>0</v>
          </cell>
          <cell r="D80">
            <v>0</v>
          </cell>
        </row>
        <row r="81">
          <cell r="A81">
            <v>0</v>
          </cell>
          <cell r="C81">
            <v>0</v>
          </cell>
          <cell r="D81">
            <v>0</v>
          </cell>
        </row>
        <row r="82">
          <cell r="A82">
            <v>0</v>
          </cell>
          <cell r="C82">
            <v>0</v>
          </cell>
          <cell r="D82">
            <v>0</v>
          </cell>
        </row>
        <row r="83">
          <cell r="A83">
            <v>0</v>
          </cell>
          <cell r="C83">
            <v>0</v>
          </cell>
          <cell r="D83">
            <v>0</v>
          </cell>
        </row>
        <row r="84">
          <cell r="A84">
            <v>0</v>
          </cell>
          <cell r="C84">
            <v>0</v>
          </cell>
          <cell r="D84">
            <v>0</v>
          </cell>
        </row>
        <row r="85">
          <cell r="A85">
            <v>0</v>
          </cell>
          <cell r="C85">
            <v>0</v>
          </cell>
          <cell r="D85">
            <v>0</v>
          </cell>
        </row>
        <row r="86">
          <cell r="A86">
            <v>0</v>
          </cell>
          <cell r="C86">
            <v>0</v>
          </cell>
          <cell r="D86">
            <v>0</v>
          </cell>
        </row>
        <row r="87">
          <cell r="A87">
            <v>0</v>
          </cell>
          <cell r="C87">
            <v>0</v>
          </cell>
          <cell r="D87">
            <v>0</v>
          </cell>
        </row>
        <row r="88">
          <cell r="A88">
            <v>0</v>
          </cell>
          <cell r="C88">
            <v>0</v>
          </cell>
          <cell r="D88">
            <v>0</v>
          </cell>
        </row>
        <row r="89">
          <cell r="A89">
            <v>0</v>
          </cell>
          <cell r="C89">
            <v>0</v>
          </cell>
          <cell r="D89">
            <v>0</v>
          </cell>
        </row>
        <row r="90">
          <cell r="A90">
            <v>0</v>
          </cell>
          <cell r="C90">
            <v>0</v>
          </cell>
          <cell r="D90">
            <v>0</v>
          </cell>
        </row>
        <row r="91">
          <cell r="A91">
            <v>0</v>
          </cell>
          <cell r="C91">
            <v>0</v>
          </cell>
          <cell r="D91">
            <v>0</v>
          </cell>
        </row>
        <row r="92">
          <cell r="A92">
            <v>0</v>
          </cell>
          <cell r="C92">
            <v>0</v>
          </cell>
          <cell r="D92">
            <v>0</v>
          </cell>
        </row>
        <row r="93">
          <cell r="A93">
            <v>0</v>
          </cell>
          <cell r="C93">
            <v>0</v>
          </cell>
          <cell r="D93">
            <v>0</v>
          </cell>
        </row>
        <row r="94">
          <cell r="A94">
            <v>0</v>
          </cell>
          <cell r="C94">
            <v>0</v>
          </cell>
          <cell r="D94">
            <v>0</v>
          </cell>
        </row>
        <row r="95">
          <cell r="A95">
            <v>0</v>
          </cell>
          <cell r="C95">
            <v>0</v>
          </cell>
          <cell r="D95">
            <v>0</v>
          </cell>
        </row>
        <row r="96">
          <cell r="A96">
            <v>0</v>
          </cell>
          <cell r="C96">
            <v>0</v>
          </cell>
          <cell r="D96">
            <v>0</v>
          </cell>
        </row>
        <row r="97">
          <cell r="A97">
            <v>0</v>
          </cell>
          <cell r="C97">
            <v>0</v>
          </cell>
          <cell r="D97">
            <v>0</v>
          </cell>
        </row>
        <row r="98">
          <cell r="A98">
            <v>0</v>
          </cell>
          <cell r="C98">
            <v>0</v>
          </cell>
          <cell r="D98">
            <v>0</v>
          </cell>
        </row>
        <row r="99">
          <cell r="A99">
            <v>0</v>
          </cell>
          <cell r="C99">
            <v>0</v>
          </cell>
          <cell r="D99">
            <v>0</v>
          </cell>
        </row>
        <row r="100">
          <cell r="A100">
            <v>0</v>
          </cell>
          <cell r="C100">
            <v>0</v>
          </cell>
          <cell r="D100">
            <v>0</v>
          </cell>
        </row>
        <row r="101">
          <cell r="A101">
            <v>0</v>
          </cell>
          <cell r="C101">
            <v>0</v>
          </cell>
          <cell r="D101">
            <v>0</v>
          </cell>
        </row>
        <row r="102">
          <cell r="A102">
            <v>0</v>
          </cell>
          <cell r="C102">
            <v>0</v>
          </cell>
          <cell r="D102">
            <v>0</v>
          </cell>
        </row>
        <row r="103">
          <cell r="A103">
            <v>0</v>
          </cell>
          <cell r="C103">
            <v>0</v>
          </cell>
          <cell r="D103">
            <v>0</v>
          </cell>
        </row>
        <row r="104">
          <cell r="A104">
            <v>0</v>
          </cell>
          <cell r="C104">
            <v>0</v>
          </cell>
          <cell r="D104">
            <v>0</v>
          </cell>
        </row>
        <row r="105">
          <cell r="A105">
            <v>0</v>
          </cell>
          <cell r="C105">
            <v>0</v>
          </cell>
          <cell r="D105">
            <v>0</v>
          </cell>
        </row>
        <row r="106">
          <cell r="A106">
            <v>0</v>
          </cell>
          <cell r="C106">
            <v>0</v>
          </cell>
          <cell r="D106">
            <v>0</v>
          </cell>
        </row>
        <row r="107">
          <cell r="A107">
            <v>0</v>
          </cell>
          <cell r="C107">
            <v>0</v>
          </cell>
          <cell r="D107">
            <v>0</v>
          </cell>
        </row>
        <row r="108">
          <cell r="A108">
            <v>0</v>
          </cell>
          <cell r="C108">
            <v>0</v>
          </cell>
          <cell r="D108">
            <v>0</v>
          </cell>
        </row>
        <row r="109">
          <cell r="A109">
            <v>0</v>
          </cell>
          <cell r="C109">
            <v>0</v>
          </cell>
          <cell r="D109">
            <v>0</v>
          </cell>
        </row>
        <row r="110">
          <cell r="A110">
            <v>0</v>
          </cell>
          <cell r="C110">
            <v>0</v>
          </cell>
          <cell r="D110">
            <v>0</v>
          </cell>
        </row>
        <row r="111">
          <cell r="A111">
            <v>0</v>
          </cell>
          <cell r="C111">
            <v>0</v>
          </cell>
          <cell r="D111">
            <v>0</v>
          </cell>
        </row>
        <row r="112">
          <cell r="A112">
            <v>0</v>
          </cell>
          <cell r="C112">
            <v>0</v>
          </cell>
          <cell r="D112">
            <v>0</v>
          </cell>
        </row>
        <row r="113">
          <cell r="A113">
            <v>0</v>
          </cell>
          <cell r="C113">
            <v>0</v>
          </cell>
          <cell r="D113">
            <v>0</v>
          </cell>
        </row>
        <row r="114">
          <cell r="A114">
            <v>0</v>
          </cell>
          <cell r="C114">
            <v>0</v>
          </cell>
          <cell r="D114">
            <v>0</v>
          </cell>
        </row>
        <row r="115">
          <cell r="A115">
            <v>0</v>
          </cell>
          <cell r="C115">
            <v>0</v>
          </cell>
          <cell r="D115">
            <v>0</v>
          </cell>
        </row>
        <row r="116">
          <cell r="A116">
            <v>0</v>
          </cell>
          <cell r="C116">
            <v>0</v>
          </cell>
          <cell r="D116">
            <v>0</v>
          </cell>
        </row>
        <row r="117">
          <cell r="A117">
            <v>0</v>
          </cell>
          <cell r="C117">
            <v>0</v>
          </cell>
          <cell r="D117">
            <v>0</v>
          </cell>
        </row>
        <row r="118">
          <cell r="A118">
            <v>0</v>
          </cell>
          <cell r="C118">
            <v>0</v>
          </cell>
          <cell r="D118">
            <v>0</v>
          </cell>
        </row>
        <row r="119">
          <cell r="A119">
            <v>0</v>
          </cell>
          <cell r="C119">
            <v>0</v>
          </cell>
          <cell r="D119">
            <v>0</v>
          </cell>
        </row>
        <row r="120">
          <cell r="A120">
            <v>0</v>
          </cell>
          <cell r="C120">
            <v>0</v>
          </cell>
          <cell r="D120">
            <v>0</v>
          </cell>
        </row>
        <row r="121">
          <cell r="A121">
            <v>0</v>
          </cell>
          <cell r="C121">
            <v>0</v>
          </cell>
          <cell r="D121">
            <v>0</v>
          </cell>
        </row>
        <row r="122">
          <cell r="A122">
            <v>0</v>
          </cell>
          <cell r="C122">
            <v>0</v>
          </cell>
          <cell r="D122">
            <v>0</v>
          </cell>
        </row>
        <row r="123">
          <cell r="A123">
            <v>0</v>
          </cell>
          <cell r="C123">
            <v>0</v>
          </cell>
          <cell r="D123">
            <v>0</v>
          </cell>
        </row>
        <row r="124">
          <cell r="A124">
            <v>0</v>
          </cell>
          <cell r="C124">
            <v>0</v>
          </cell>
          <cell r="D124">
            <v>0</v>
          </cell>
        </row>
        <row r="125">
          <cell r="A125">
            <v>0</v>
          </cell>
          <cell r="C125">
            <v>0</v>
          </cell>
          <cell r="D125">
            <v>0</v>
          </cell>
        </row>
        <row r="126">
          <cell r="A126">
            <v>0</v>
          </cell>
          <cell r="C126">
            <v>0</v>
          </cell>
          <cell r="D126">
            <v>0</v>
          </cell>
        </row>
        <row r="127">
          <cell r="A127">
            <v>0</v>
          </cell>
          <cell r="C127">
            <v>0</v>
          </cell>
          <cell r="D127">
            <v>0</v>
          </cell>
        </row>
        <row r="128">
          <cell r="A128">
            <v>0</v>
          </cell>
          <cell r="C128">
            <v>0</v>
          </cell>
          <cell r="D128">
            <v>0</v>
          </cell>
        </row>
        <row r="129">
          <cell r="A129">
            <v>0</v>
          </cell>
          <cell r="C129">
            <v>0</v>
          </cell>
          <cell r="D129">
            <v>0</v>
          </cell>
        </row>
        <row r="130">
          <cell r="A130">
            <v>0</v>
          </cell>
          <cell r="C130">
            <v>0</v>
          </cell>
          <cell r="D130">
            <v>0</v>
          </cell>
        </row>
        <row r="131">
          <cell r="A131">
            <v>0</v>
          </cell>
          <cell r="C131">
            <v>0</v>
          </cell>
          <cell r="D131">
            <v>0</v>
          </cell>
        </row>
        <row r="132">
          <cell r="A132">
            <v>0</v>
          </cell>
          <cell r="C132">
            <v>0</v>
          </cell>
          <cell r="D132">
            <v>0</v>
          </cell>
        </row>
        <row r="133">
          <cell r="A133">
            <v>0</v>
          </cell>
          <cell r="C133">
            <v>0</v>
          </cell>
          <cell r="D133">
            <v>0</v>
          </cell>
        </row>
        <row r="134">
          <cell r="A134">
            <v>0</v>
          </cell>
          <cell r="C134">
            <v>0</v>
          </cell>
          <cell r="D134">
            <v>0</v>
          </cell>
        </row>
        <row r="135">
          <cell r="A135">
            <v>0</v>
          </cell>
          <cell r="C135">
            <v>0</v>
          </cell>
          <cell r="D135">
            <v>0</v>
          </cell>
        </row>
        <row r="136">
          <cell r="A136">
            <v>0</v>
          </cell>
          <cell r="C136">
            <v>0</v>
          </cell>
          <cell r="D136">
            <v>0</v>
          </cell>
        </row>
        <row r="137">
          <cell r="A137">
            <v>0</v>
          </cell>
          <cell r="C137">
            <v>0</v>
          </cell>
          <cell r="D137">
            <v>0</v>
          </cell>
        </row>
        <row r="138">
          <cell r="A138">
            <v>0</v>
          </cell>
          <cell r="C138">
            <v>0</v>
          </cell>
          <cell r="D138">
            <v>0</v>
          </cell>
        </row>
        <row r="139">
          <cell r="A139">
            <v>0</v>
          </cell>
          <cell r="C139">
            <v>0</v>
          </cell>
          <cell r="D139">
            <v>0</v>
          </cell>
        </row>
        <row r="140">
          <cell r="A140">
            <v>0</v>
          </cell>
          <cell r="C140">
            <v>0</v>
          </cell>
          <cell r="D140">
            <v>0</v>
          </cell>
        </row>
        <row r="141">
          <cell r="A141">
            <v>0</v>
          </cell>
          <cell r="C141">
            <v>0</v>
          </cell>
          <cell r="D141">
            <v>0</v>
          </cell>
        </row>
        <row r="142">
          <cell r="A142">
            <v>0</v>
          </cell>
          <cell r="C142">
            <v>0</v>
          </cell>
          <cell r="D142">
            <v>0</v>
          </cell>
        </row>
        <row r="143">
          <cell r="A143">
            <v>0</v>
          </cell>
          <cell r="C143">
            <v>0</v>
          </cell>
          <cell r="D143">
            <v>0</v>
          </cell>
        </row>
        <row r="144">
          <cell r="A144">
            <v>0</v>
          </cell>
          <cell r="C144">
            <v>0</v>
          </cell>
          <cell r="D144">
            <v>0</v>
          </cell>
        </row>
        <row r="145">
          <cell r="A145">
            <v>0</v>
          </cell>
          <cell r="C145">
            <v>0</v>
          </cell>
          <cell r="D145">
            <v>0</v>
          </cell>
        </row>
        <row r="146">
          <cell r="A146">
            <v>0</v>
          </cell>
          <cell r="C146">
            <v>0</v>
          </cell>
          <cell r="D146">
            <v>0</v>
          </cell>
        </row>
        <row r="147">
          <cell r="A147">
            <v>0</v>
          </cell>
          <cell r="C147">
            <v>0</v>
          </cell>
          <cell r="D147">
            <v>0</v>
          </cell>
        </row>
        <row r="148">
          <cell r="A148">
            <v>0</v>
          </cell>
          <cell r="C148">
            <v>0</v>
          </cell>
          <cell r="D148">
            <v>0</v>
          </cell>
        </row>
        <row r="149">
          <cell r="A149">
            <v>0</v>
          </cell>
          <cell r="C149">
            <v>0</v>
          </cell>
          <cell r="D149">
            <v>0</v>
          </cell>
        </row>
        <row r="150">
          <cell r="A150">
            <v>0</v>
          </cell>
          <cell r="C150">
            <v>0</v>
          </cell>
          <cell r="D150">
            <v>0</v>
          </cell>
        </row>
        <row r="151">
          <cell r="A151">
            <v>0</v>
          </cell>
          <cell r="C151">
            <v>0</v>
          </cell>
          <cell r="D151">
            <v>0</v>
          </cell>
        </row>
        <row r="152">
          <cell r="A152">
            <v>0</v>
          </cell>
          <cell r="C152">
            <v>0</v>
          </cell>
          <cell r="D152">
            <v>0</v>
          </cell>
        </row>
        <row r="153">
          <cell r="A153">
            <v>0</v>
          </cell>
          <cell r="C153">
            <v>0</v>
          </cell>
          <cell r="D153">
            <v>0</v>
          </cell>
        </row>
        <row r="154">
          <cell r="A154">
            <v>0</v>
          </cell>
          <cell r="C154">
            <v>0</v>
          </cell>
          <cell r="D154">
            <v>0</v>
          </cell>
        </row>
        <row r="155">
          <cell r="A155">
            <v>0</v>
          </cell>
          <cell r="C155">
            <v>0</v>
          </cell>
          <cell r="D155">
            <v>0</v>
          </cell>
        </row>
        <row r="156">
          <cell r="A156">
            <v>0</v>
          </cell>
          <cell r="C156">
            <v>0</v>
          </cell>
          <cell r="D156">
            <v>0</v>
          </cell>
        </row>
        <row r="157">
          <cell r="A157">
            <v>0</v>
          </cell>
          <cell r="C157">
            <v>0</v>
          </cell>
          <cell r="D157">
            <v>0</v>
          </cell>
        </row>
        <row r="158">
          <cell r="A158">
            <v>0</v>
          </cell>
          <cell r="C158">
            <v>0</v>
          </cell>
          <cell r="D158">
            <v>0</v>
          </cell>
        </row>
        <row r="159">
          <cell r="A159">
            <v>0</v>
          </cell>
          <cell r="C159">
            <v>0</v>
          </cell>
          <cell r="D159">
            <v>0</v>
          </cell>
        </row>
        <row r="160">
          <cell r="A160">
            <v>0</v>
          </cell>
          <cell r="C160">
            <v>0</v>
          </cell>
          <cell r="D160">
            <v>0</v>
          </cell>
        </row>
        <row r="161">
          <cell r="A161">
            <v>0</v>
          </cell>
          <cell r="C161">
            <v>0</v>
          </cell>
          <cell r="D161">
            <v>0</v>
          </cell>
        </row>
        <row r="162">
          <cell r="A162">
            <v>0</v>
          </cell>
          <cell r="C162">
            <v>0</v>
          </cell>
          <cell r="D162">
            <v>0</v>
          </cell>
        </row>
        <row r="163">
          <cell r="A163">
            <v>0</v>
          </cell>
          <cell r="C163">
            <v>0</v>
          </cell>
          <cell r="D163">
            <v>0</v>
          </cell>
        </row>
        <row r="164">
          <cell r="A164">
            <v>0</v>
          </cell>
          <cell r="C164">
            <v>0</v>
          </cell>
          <cell r="D164">
            <v>0</v>
          </cell>
        </row>
        <row r="165">
          <cell r="A165">
            <v>0</v>
          </cell>
          <cell r="C165">
            <v>0</v>
          </cell>
          <cell r="D165">
            <v>0</v>
          </cell>
        </row>
        <row r="166">
          <cell r="A166">
            <v>0</v>
          </cell>
          <cell r="C166">
            <v>0</v>
          </cell>
          <cell r="D166">
            <v>0</v>
          </cell>
        </row>
        <row r="167">
          <cell r="A167">
            <v>0</v>
          </cell>
          <cell r="C167">
            <v>0</v>
          </cell>
          <cell r="D167">
            <v>0</v>
          </cell>
        </row>
        <row r="168">
          <cell r="A168">
            <v>0</v>
          </cell>
          <cell r="C168">
            <v>0</v>
          </cell>
          <cell r="D168">
            <v>0</v>
          </cell>
        </row>
        <row r="169">
          <cell r="A169">
            <v>0</v>
          </cell>
          <cell r="C169">
            <v>0</v>
          </cell>
          <cell r="D169">
            <v>0</v>
          </cell>
        </row>
        <row r="170">
          <cell r="A170">
            <v>0</v>
          </cell>
          <cell r="C170">
            <v>0</v>
          </cell>
          <cell r="D170">
            <v>0</v>
          </cell>
        </row>
        <row r="171">
          <cell r="A171">
            <v>0</v>
          </cell>
          <cell r="C171">
            <v>0</v>
          </cell>
          <cell r="D171">
            <v>0</v>
          </cell>
        </row>
        <row r="172">
          <cell r="A172">
            <v>0</v>
          </cell>
          <cell r="C172">
            <v>0</v>
          </cell>
          <cell r="D172">
            <v>0</v>
          </cell>
        </row>
        <row r="173">
          <cell r="A173">
            <v>0</v>
          </cell>
          <cell r="C173">
            <v>0</v>
          </cell>
          <cell r="D173">
            <v>0</v>
          </cell>
        </row>
        <row r="174">
          <cell r="A174">
            <v>0</v>
          </cell>
          <cell r="C174">
            <v>0</v>
          </cell>
          <cell r="D174">
            <v>0</v>
          </cell>
        </row>
        <row r="175">
          <cell r="A175">
            <v>0</v>
          </cell>
          <cell r="C175">
            <v>0</v>
          </cell>
          <cell r="D175">
            <v>0</v>
          </cell>
        </row>
        <row r="176">
          <cell r="A176">
            <v>0</v>
          </cell>
          <cell r="C176">
            <v>0</v>
          </cell>
          <cell r="D176">
            <v>0</v>
          </cell>
        </row>
        <row r="177">
          <cell r="A177">
            <v>0</v>
          </cell>
          <cell r="C177">
            <v>0</v>
          </cell>
          <cell r="D177">
            <v>0</v>
          </cell>
        </row>
        <row r="178">
          <cell r="A178">
            <v>0</v>
          </cell>
          <cell r="C178">
            <v>0</v>
          </cell>
          <cell r="D178">
            <v>0</v>
          </cell>
        </row>
        <row r="179">
          <cell r="A179">
            <v>0</v>
          </cell>
          <cell r="C179">
            <v>0</v>
          </cell>
          <cell r="D179">
            <v>0</v>
          </cell>
        </row>
        <row r="180">
          <cell r="A180">
            <v>0</v>
          </cell>
          <cell r="C180">
            <v>0</v>
          </cell>
          <cell r="D180">
            <v>0</v>
          </cell>
        </row>
        <row r="181">
          <cell r="A181">
            <v>0</v>
          </cell>
          <cell r="C181">
            <v>0</v>
          </cell>
          <cell r="D181">
            <v>0</v>
          </cell>
        </row>
        <row r="182">
          <cell r="A182">
            <v>0</v>
          </cell>
          <cell r="C182">
            <v>0</v>
          </cell>
          <cell r="D182">
            <v>0</v>
          </cell>
        </row>
        <row r="183">
          <cell r="A183">
            <v>0</v>
          </cell>
          <cell r="C183">
            <v>0</v>
          </cell>
          <cell r="D183">
            <v>0</v>
          </cell>
        </row>
        <row r="184">
          <cell r="A184">
            <v>0</v>
          </cell>
          <cell r="C184">
            <v>0</v>
          </cell>
          <cell r="D184">
            <v>0</v>
          </cell>
        </row>
        <row r="185">
          <cell r="A185">
            <v>0</v>
          </cell>
          <cell r="C185">
            <v>0</v>
          </cell>
          <cell r="D185">
            <v>0</v>
          </cell>
        </row>
        <row r="186">
          <cell r="A186">
            <v>0</v>
          </cell>
          <cell r="C186">
            <v>0</v>
          </cell>
          <cell r="D186">
            <v>0</v>
          </cell>
        </row>
        <row r="187">
          <cell r="A187">
            <v>0</v>
          </cell>
          <cell r="C187">
            <v>0</v>
          </cell>
          <cell r="D187">
            <v>0</v>
          </cell>
        </row>
        <row r="188">
          <cell r="A188">
            <v>0</v>
          </cell>
          <cell r="C188">
            <v>0</v>
          </cell>
          <cell r="D188">
            <v>0</v>
          </cell>
        </row>
        <row r="189">
          <cell r="A189">
            <v>0</v>
          </cell>
          <cell r="C189">
            <v>0</v>
          </cell>
          <cell r="D189">
            <v>0</v>
          </cell>
        </row>
        <row r="190">
          <cell r="A190">
            <v>0</v>
          </cell>
          <cell r="C190">
            <v>0</v>
          </cell>
          <cell r="D190">
            <v>0</v>
          </cell>
        </row>
        <row r="191">
          <cell r="A191">
            <v>0</v>
          </cell>
          <cell r="C191">
            <v>0</v>
          </cell>
          <cell r="D191">
            <v>0</v>
          </cell>
        </row>
        <row r="192">
          <cell r="A192">
            <v>0</v>
          </cell>
          <cell r="C192">
            <v>0</v>
          </cell>
          <cell r="D192">
            <v>0</v>
          </cell>
        </row>
        <row r="193">
          <cell r="A193">
            <v>0</v>
          </cell>
          <cell r="C193">
            <v>0</v>
          </cell>
          <cell r="D193">
            <v>0</v>
          </cell>
        </row>
        <row r="194">
          <cell r="A194">
            <v>0</v>
          </cell>
          <cell r="C194">
            <v>0</v>
          </cell>
          <cell r="D194">
            <v>0</v>
          </cell>
        </row>
        <row r="195">
          <cell r="A195">
            <v>0</v>
          </cell>
          <cell r="C195">
            <v>0</v>
          </cell>
          <cell r="D195">
            <v>0</v>
          </cell>
        </row>
        <row r="196">
          <cell r="A196">
            <v>0</v>
          </cell>
          <cell r="C196">
            <v>0</v>
          </cell>
          <cell r="D196">
            <v>0</v>
          </cell>
        </row>
        <row r="197">
          <cell r="A197">
            <v>0</v>
          </cell>
          <cell r="C197">
            <v>0</v>
          </cell>
          <cell r="D197">
            <v>0</v>
          </cell>
        </row>
        <row r="198">
          <cell r="A198">
            <v>0</v>
          </cell>
          <cell r="C198">
            <v>0</v>
          </cell>
          <cell r="D198">
            <v>0</v>
          </cell>
        </row>
        <row r="199">
          <cell r="A199">
            <v>0</v>
          </cell>
          <cell r="C199">
            <v>0</v>
          </cell>
          <cell r="D199">
            <v>0</v>
          </cell>
        </row>
        <row r="200">
          <cell r="A200">
            <v>0</v>
          </cell>
          <cell r="C200">
            <v>0</v>
          </cell>
          <cell r="D200">
            <v>0</v>
          </cell>
        </row>
        <row r="201">
          <cell r="A201">
            <v>0</v>
          </cell>
          <cell r="C201">
            <v>0</v>
          </cell>
          <cell r="D201">
            <v>0</v>
          </cell>
        </row>
        <row r="202">
          <cell r="A202">
            <v>0</v>
          </cell>
          <cell r="C202">
            <v>0</v>
          </cell>
          <cell r="D202">
            <v>0</v>
          </cell>
        </row>
        <row r="203">
          <cell r="A203">
            <v>0</v>
          </cell>
          <cell r="C203">
            <v>0</v>
          </cell>
          <cell r="D203">
            <v>0</v>
          </cell>
        </row>
        <row r="204">
          <cell r="A204">
            <v>0</v>
          </cell>
          <cell r="C204">
            <v>0</v>
          </cell>
          <cell r="D204">
            <v>0</v>
          </cell>
        </row>
        <row r="205">
          <cell r="A205">
            <v>0</v>
          </cell>
          <cell r="C205">
            <v>0</v>
          </cell>
          <cell r="D205">
            <v>0</v>
          </cell>
        </row>
        <row r="206">
          <cell r="A206">
            <v>0</v>
          </cell>
          <cell r="C206">
            <v>0</v>
          </cell>
          <cell r="D206">
            <v>0</v>
          </cell>
        </row>
        <row r="207">
          <cell r="A207">
            <v>0</v>
          </cell>
          <cell r="C207">
            <v>0</v>
          </cell>
          <cell r="D207">
            <v>0</v>
          </cell>
        </row>
        <row r="208">
          <cell r="A208">
            <v>0</v>
          </cell>
          <cell r="C208">
            <v>0</v>
          </cell>
          <cell r="D208">
            <v>0</v>
          </cell>
        </row>
        <row r="209">
          <cell r="A209">
            <v>0</v>
          </cell>
          <cell r="C209">
            <v>0</v>
          </cell>
          <cell r="D209">
            <v>0</v>
          </cell>
        </row>
        <row r="210">
          <cell r="A210">
            <v>0</v>
          </cell>
          <cell r="C210">
            <v>0</v>
          </cell>
          <cell r="D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</row>
        <row r="212">
          <cell r="A212">
            <v>0</v>
          </cell>
          <cell r="C212">
            <v>0</v>
          </cell>
          <cell r="D212">
            <v>0</v>
          </cell>
        </row>
        <row r="213">
          <cell r="A213">
            <v>0</v>
          </cell>
          <cell r="C213">
            <v>0</v>
          </cell>
          <cell r="D213">
            <v>0</v>
          </cell>
        </row>
        <row r="214">
          <cell r="A214">
            <v>0</v>
          </cell>
          <cell r="C214">
            <v>0</v>
          </cell>
          <cell r="D214">
            <v>0</v>
          </cell>
        </row>
        <row r="215">
          <cell r="A215">
            <v>0</v>
          </cell>
          <cell r="C215">
            <v>0</v>
          </cell>
          <cell r="D215">
            <v>0</v>
          </cell>
        </row>
        <row r="216">
          <cell r="A216">
            <v>0</v>
          </cell>
          <cell r="C216">
            <v>0</v>
          </cell>
          <cell r="D216">
            <v>0</v>
          </cell>
        </row>
        <row r="217">
          <cell r="A217">
            <v>0</v>
          </cell>
          <cell r="C217">
            <v>0</v>
          </cell>
          <cell r="D217">
            <v>0</v>
          </cell>
        </row>
        <row r="218">
          <cell r="A218">
            <v>0</v>
          </cell>
          <cell r="C218">
            <v>0</v>
          </cell>
          <cell r="D218">
            <v>0</v>
          </cell>
        </row>
        <row r="219">
          <cell r="A219">
            <v>0</v>
          </cell>
          <cell r="C219">
            <v>0</v>
          </cell>
          <cell r="D219">
            <v>0</v>
          </cell>
        </row>
        <row r="220">
          <cell r="A220">
            <v>0</v>
          </cell>
          <cell r="C220">
            <v>0</v>
          </cell>
          <cell r="D220">
            <v>0</v>
          </cell>
        </row>
        <row r="221">
          <cell r="A221">
            <v>0</v>
          </cell>
          <cell r="C221">
            <v>0</v>
          </cell>
          <cell r="D221">
            <v>0</v>
          </cell>
        </row>
        <row r="222">
          <cell r="A222">
            <v>0</v>
          </cell>
          <cell r="C222">
            <v>0</v>
          </cell>
          <cell r="D222">
            <v>0</v>
          </cell>
        </row>
        <row r="223">
          <cell r="A223">
            <v>0</v>
          </cell>
          <cell r="C223">
            <v>0</v>
          </cell>
          <cell r="D223">
            <v>0</v>
          </cell>
        </row>
        <row r="224">
          <cell r="A224">
            <v>0</v>
          </cell>
          <cell r="C224">
            <v>0</v>
          </cell>
          <cell r="D224">
            <v>0</v>
          </cell>
        </row>
        <row r="225">
          <cell r="A225">
            <v>0</v>
          </cell>
          <cell r="C225">
            <v>0</v>
          </cell>
          <cell r="D225">
            <v>0</v>
          </cell>
        </row>
        <row r="226">
          <cell r="A226">
            <v>0</v>
          </cell>
          <cell r="C226">
            <v>0</v>
          </cell>
          <cell r="D226">
            <v>0</v>
          </cell>
        </row>
        <row r="227">
          <cell r="A227">
            <v>0</v>
          </cell>
          <cell r="C227">
            <v>0</v>
          </cell>
          <cell r="D227">
            <v>0</v>
          </cell>
        </row>
        <row r="228">
          <cell r="A228">
            <v>0</v>
          </cell>
          <cell r="C228">
            <v>0</v>
          </cell>
          <cell r="D228">
            <v>0</v>
          </cell>
        </row>
        <row r="229">
          <cell r="A229">
            <v>0</v>
          </cell>
          <cell r="C229">
            <v>0</v>
          </cell>
          <cell r="D229">
            <v>0</v>
          </cell>
        </row>
        <row r="230">
          <cell r="A230">
            <v>0</v>
          </cell>
          <cell r="C230">
            <v>0</v>
          </cell>
          <cell r="D230">
            <v>0</v>
          </cell>
        </row>
        <row r="231">
          <cell r="A231">
            <v>0</v>
          </cell>
          <cell r="C231">
            <v>0</v>
          </cell>
          <cell r="D231">
            <v>0</v>
          </cell>
        </row>
        <row r="232">
          <cell r="A232">
            <v>0</v>
          </cell>
          <cell r="C232">
            <v>0</v>
          </cell>
          <cell r="D232">
            <v>0</v>
          </cell>
        </row>
        <row r="233">
          <cell r="A233">
            <v>0</v>
          </cell>
          <cell r="C233">
            <v>0</v>
          </cell>
          <cell r="D233">
            <v>0</v>
          </cell>
        </row>
        <row r="234">
          <cell r="A234">
            <v>0</v>
          </cell>
          <cell r="C234">
            <v>0</v>
          </cell>
          <cell r="D234">
            <v>0</v>
          </cell>
        </row>
        <row r="235">
          <cell r="A235">
            <v>0</v>
          </cell>
          <cell r="C235">
            <v>0</v>
          </cell>
          <cell r="D235">
            <v>0</v>
          </cell>
        </row>
        <row r="236">
          <cell r="A236">
            <v>0</v>
          </cell>
          <cell r="C236">
            <v>0</v>
          </cell>
          <cell r="D236">
            <v>0</v>
          </cell>
        </row>
        <row r="237">
          <cell r="A237">
            <v>0</v>
          </cell>
          <cell r="C237">
            <v>0</v>
          </cell>
          <cell r="D237">
            <v>0</v>
          </cell>
        </row>
        <row r="238">
          <cell r="A238">
            <v>0</v>
          </cell>
          <cell r="C238">
            <v>0</v>
          </cell>
          <cell r="D238">
            <v>0</v>
          </cell>
        </row>
        <row r="239">
          <cell r="A239">
            <v>0</v>
          </cell>
          <cell r="C239">
            <v>0</v>
          </cell>
          <cell r="D239">
            <v>0</v>
          </cell>
        </row>
        <row r="240">
          <cell r="A240">
            <v>0</v>
          </cell>
          <cell r="C240">
            <v>0</v>
          </cell>
          <cell r="D240">
            <v>0</v>
          </cell>
        </row>
        <row r="241">
          <cell r="A241">
            <v>0</v>
          </cell>
          <cell r="C241">
            <v>0</v>
          </cell>
          <cell r="D241">
            <v>0</v>
          </cell>
        </row>
        <row r="242">
          <cell r="A242">
            <v>0</v>
          </cell>
          <cell r="C242">
            <v>0</v>
          </cell>
          <cell r="D242">
            <v>0</v>
          </cell>
        </row>
        <row r="243">
          <cell r="A243">
            <v>0</v>
          </cell>
          <cell r="C243">
            <v>0</v>
          </cell>
          <cell r="D243">
            <v>0</v>
          </cell>
        </row>
        <row r="244">
          <cell r="A244">
            <v>0</v>
          </cell>
          <cell r="C244">
            <v>0</v>
          </cell>
          <cell r="D244">
            <v>0</v>
          </cell>
        </row>
        <row r="245">
          <cell r="A245">
            <v>0</v>
          </cell>
          <cell r="C245">
            <v>0</v>
          </cell>
          <cell r="D245">
            <v>0</v>
          </cell>
        </row>
        <row r="246">
          <cell r="A246">
            <v>0</v>
          </cell>
          <cell r="C246">
            <v>0</v>
          </cell>
          <cell r="D246">
            <v>0</v>
          </cell>
        </row>
        <row r="247">
          <cell r="A247">
            <v>0</v>
          </cell>
          <cell r="C247">
            <v>0</v>
          </cell>
          <cell r="D247">
            <v>0</v>
          </cell>
        </row>
        <row r="248">
          <cell r="A248">
            <v>0</v>
          </cell>
          <cell r="C248">
            <v>0</v>
          </cell>
          <cell r="D248">
            <v>0</v>
          </cell>
        </row>
        <row r="249">
          <cell r="A249">
            <v>0</v>
          </cell>
          <cell r="C249">
            <v>0</v>
          </cell>
          <cell r="D249">
            <v>0</v>
          </cell>
        </row>
        <row r="250">
          <cell r="A250">
            <v>0</v>
          </cell>
          <cell r="C250">
            <v>0</v>
          </cell>
          <cell r="D250">
            <v>0</v>
          </cell>
        </row>
        <row r="251">
          <cell r="A251">
            <v>0</v>
          </cell>
          <cell r="C251">
            <v>0</v>
          </cell>
          <cell r="D251">
            <v>0</v>
          </cell>
        </row>
        <row r="252">
          <cell r="A252">
            <v>0</v>
          </cell>
          <cell r="C252">
            <v>0</v>
          </cell>
          <cell r="D252">
            <v>0</v>
          </cell>
        </row>
        <row r="253">
          <cell r="A253">
            <v>0</v>
          </cell>
          <cell r="C253">
            <v>0</v>
          </cell>
          <cell r="D253">
            <v>0</v>
          </cell>
        </row>
        <row r="254">
          <cell r="A254">
            <v>0</v>
          </cell>
          <cell r="C254">
            <v>0</v>
          </cell>
          <cell r="D254">
            <v>0</v>
          </cell>
        </row>
        <row r="255">
          <cell r="A255">
            <v>0</v>
          </cell>
          <cell r="C255">
            <v>0</v>
          </cell>
          <cell r="D255">
            <v>0</v>
          </cell>
        </row>
        <row r="256">
          <cell r="A256">
            <v>0</v>
          </cell>
          <cell r="C256">
            <v>0</v>
          </cell>
          <cell r="D256">
            <v>0</v>
          </cell>
        </row>
        <row r="257">
          <cell r="A257">
            <v>0</v>
          </cell>
          <cell r="C257">
            <v>0</v>
          </cell>
          <cell r="D257">
            <v>0</v>
          </cell>
        </row>
        <row r="258">
          <cell r="A258">
            <v>0</v>
          </cell>
          <cell r="C258">
            <v>0</v>
          </cell>
          <cell r="D258">
            <v>0</v>
          </cell>
        </row>
        <row r="259">
          <cell r="A259">
            <v>0</v>
          </cell>
          <cell r="C259">
            <v>0</v>
          </cell>
          <cell r="D259">
            <v>0</v>
          </cell>
        </row>
        <row r="260">
          <cell r="A260">
            <v>0</v>
          </cell>
          <cell r="C260">
            <v>0</v>
          </cell>
          <cell r="D260">
            <v>0</v>
          </cell>
        </row>
        <row r="261">
          <cell r="A261">
            <v>0</v>
          </cell>
          <cell r="C261">
            <v>0</v>
          </cell>
          <cell r="D261">
            <v>0</v>
          </cell>
        </row>
        <row r="262">
          <cell r="A262">
            <v>0</v>
          </cell>
          <cell r="C262">
            <v>0</v>
          </cell>
          <cell r="D262">
            <v>0</v>
          </cell>
        </row>
        <row r="263">
          <cell r="A263">
            <v>0</v>
          </cell>
          <cell r="C263">
            <v>0</v>
          </cell>
          <cell r="D263">
            <v>0</v>
          </cell>
        </row>
        <row r="264">
          <cell r="A264">
            <v>0</v>
          </cell>
          <cell r="C264">
            <v>0</v>
          </cell>
          <cell r="D264">
            <v>0</v>
          </cell>
        </row>
        <row r="265">
          <cell r="A265">
            <v>0</v>
          </cell>
          <cell r="C265">
            <v>0</v>
          </cell>
          <cell r="D265">
            <v>0</v>
          </cell>
        </row>
        <row r="266">
          <cell r="A266">
            <v>0</v>
          </cell>
          <cell r="C266">
            <v>0</v>
          </cell>
          <cell r="D266">
            <v>0</v>
          </cell>
        </row>
        <row r="267">
          <cell r="A267">
            <v>0</v>
          </cell>
          <cell r="C267">
            <v>0</v>
          </cell>
          <cell r="D267">
            <v>0</v>
          </cell>
        </row>
        <row r="268">
          <cell r="A268">
            <v>0</v>
          </cell>
          <cell r="C268">
            <v>0</v>
          </cell>
          <cell r="D268">
            <v>0</v>
          </cell>
        </row>
        <row r="269">
          <cell r="A269">
            <v>0</v>
          </cell>
          <cell r="C269">
            <v>0</v>
          </cell>
          <cell r="D269">
            <v>0</v>
          </cell>
        </row>
        <row r="270">
          <cell r="A270">
            <v>0</v>
          </cell>
          <cell r="C270">
            <v>0</v>
          </cell>
          <cell r="D270">
            <v>0</v>
          </cell>
        </row>
        <row r="271">
          <cell r="A271">
            <v>0</v>
          </cell>
          <cell r="C271">
            <v>0</v>
          </cell>
          <cell r="D271">
            <v>0</v>
          </cell>
        </row>
        <row r="272">
          <cell r="A272">
            <v>0</v>
          </cell>
          <cell r="C272">
            <v>0</v>
          </cell>
          <cell r="D272">
            <v>0</v>
          </cell>
        </row>
        <row r="273">
          <cell r="A273">
            <v>0</v>
          </cell>
          <cell r="C273">
            <v>0</v>
          </cell>
          <cell r="D273">
            <v>0</v>
          </cell>
        </row>
        <row r="274">
          <cell r="A274">
            <v>0</v>
          </cell>
          <cell r="C274">
            <v>0</v>
          </cell>
          <cell r="D274">
            <v>0</v>
          </cell>
        </row>
        <row r="275">
          <cell r="A275">
            <v>0</v>
          </cell>
          <cell r="C275">
            <v>0</v>
          </cell>
          <cell r="D275">
            <v>0</v>
          </cell>
        </row>
        <row r="276">
          <cell r="A276">
            <v>0</v>
          </cell>
          <cell r="C276">
            <v>0</v>
          </cell>
          <cell r="D276">
            <v>0</v>
          </cell>
        </row>
        <row r="277">
          <cell r="A277">
            <v>0</v>
          </cell>
          <cell r="C277">
            <v>0</v>
          </cell>
          <cell r="D277">
            <v>0</v>
          </cell>
        </row>
        <row r="278">
          <cell r="A278">
            <v>0</v>
          </cell>
          <cell r="C278">
            <v>0</v>
          </cell>
          <cell r="D278">
            <v>0</v>
          </cell>
        </row>
        <row r="279">
          <cell r="A279">
            <v>0</v>
          </cell>
          <cell r="C279">
            <v>0</v>
          </cell>
          <cell r="D279">
            <v>0</v>
          </cell>
        </row>
        <row r="280">
          <cell r="A280">
            <v>0</v>
          </cell>
          <cell r="C280">
            <v>0</v>
          </cell>
          <cell r="D280">
            <v>0</v>
          </cell>
        </row>
        <row r="281">
          <cell r="A281">
            <v>0</v>
          </cell>
          <cell r="C281">
            <v>0</v>
          </cell>
          <cell r="D281">
            <v>0</v>
          </cell>
        </row>
        <row r="282">
          <cell r="A282">
            <v>0</v>
          </cell>
          <cell r="C282">
            <v>0</v>
          </cell>
          <cell r="D282">
            <v>0</v>
          </cell>
        </row>
        <row r="283">
          <cell r="A283">
            <v>0</v>
          </cell>
          <cell r="C283">
            <v>0</v>
          </cell>
          <cell r="D283">
            <v>0</v>
          </cell>
        </row>
        <row r="284">
          <cell r="A284">
            <v>0</v>
          </cell>
          <cell r="C284">
            <v>0</v>
          </cell>
          <cell r="D284">
            <v>0</v>
          </cell>
        </row>
        <row r="285">
          <cell r="A285">
            <v>0</v>
          </cell>
          <cell r="C285">
            <v>0</v>
          </cell>
          <cell r="D285">
            <v>0</v>
          </cell>
        </row>
        <row r="286">
          <cell r="A286">
            <v>0</v>
          </cell>
          <cell r="C286">
            <v>0</v>
          </cell>
          <cell r="D286">
            <v>0</v>
          </cell>
        </row>
        <row r="287">
          <cell r="A287">
            <v>0</v>
          </cell>
          <cell r="C287">
            <v>0</v>
          </cell>
          <cell r="D287">
            <v>0</v>
          </cell>
        </row>
        <row r="288">
          <cell r="A288">
            <v>0</v>
          </cell>
          <cell r="C288">
            <v>0</v>
          </cell>
          <cell r="D288">
            <v>0</v>
          </cell>
        </row>
        <row r="289">
          <cell r="A289">
            <v>0</v>
          </cell>
          <cell r="C289">
            <v>0</v>
          </cell>
          <cell r="D289">
            <v>0</v>
          </cell>
        </row>
        <row r="290">
          <cell r="A290">
            <v>0</v>
          </cell>
          <cell r="C290">
            <v>0</v>
          </cell>
          <cell r="D290">
            <v>0</v>
          </cell>
        </row>
        <row r="291">
          <cell r="A291">
            <v>0</v>
          </cell>
          <cell r="C291">
            <v>0</v>
          </cell>
          <cell r="D291">
            <v>0</v>
          </cell>
        </row>
        <row r="292">
          <cell r="A292">
            <v>0</v>
          </cell>
          <cell r="C292">
            <v>0</v>
          </cell>
          <cell r="D292">
            <v>0</v>
          </cell>
        </row>
        <row r="293">
          <cell r="A293">
            <v>0</v>
          </cell>
          <cell r="C293">
            <v>0</v>
          </cell>
          <cell r="D293">
            <v>0</v>
          </cell>
        </row>
        <row r="294">
          <cell r="A294">
            <v>0</v>
          </cell>
          <cell r="C294">
            <v>0</v>
          </cell>
          <cell r="D294">
            <v>0</v>
          </cell>
        </row>
        <row r="295">
          <cell r="A295">
            <v>0</v>
          </cell>
          <cell r="C295">
            <v>0</v>
          </cell>
          <cell r="D295">
            <v>0</v>
          </cell>
        </row>
        <row r="296">
          <cell r="A296">
            <v>0</v>
          </cell>
          <cell r="C296">
            <v>0</v>
          </cell>
          <cell r="D296">
            <v>0</v>
          </cell>
        </row>
        <row r="297">
          <cell r="A297">
            <v>0</v>
          </cell>
          <cell r="C297">
            <v>0</v>
          </cell>
          <cell r="D297">
            <v>0</v>
          </cell>
        </row>
        <row r="298">
          <cell r="A298">
            <v>0</v>
          </cell>
          <cell r="C298">
            <v>0</v>
          </cell>
          <cell r="D298">
            <v>0</v>
          </cell>
        </row>
        <row r="299">
          <cell r="A299">
            <v>0</v>
          </cell>
          <cell r="C299">
            <v>0</v>
          </cell>
          <cell r="D299">
            <v>0</v>
          </cell>
        </row>
        <row r="300">
          <cell r="A300">
            <v>0</v>
          </cell>
          <cell r="C300">
            <v>0</v>
          </cell>
          <cell r="D300">
            <v>0</v>
          </cell>
        </row>
        <row r="301">
          <cell r="A301">
            <v>0</v>
          </cell>
          <cell r="C301">
            <v>0</v>
          </cell>
          <cell r="D301">
            <v>0</v>
          </cell>
        </row>
        <row r="302">
          <cell r="A302">
            <v>0</v>
          </cell>
          <cell r="C302">
            <v>0</v>
          </cell>
          <cell r="D302">
            <v>0</v>
          </cell>
        </row>
        <row r="303">
          <cell r="A303">
            <v>0</v>
          </cell>
          <cell r="C303">
            <v>0</v>
          </cell>
          <cell r="D303">
            <v>0</v>
          </cell>
        </row>
        <row r="304">
          <cell r="A304">
            <v>0</v>
          </cell>
          <cell r="C304">
            <v>0</v>
          </cell>
          <cell r="D304">
            <v>0</v>
          </cell>
        </row>
        <row r="305">
          <cell r="A305">
            <v>0</v>
          </cell>
          <cell r="C305">
            <v>0</v>
          </cell>
          <cell r="D305">
            <v>0</v>
          </cell>
        </row>
        <row r="306">
          <cell r="A306">
            <v>0</v>
          </cell>
          <cell r="C306">
            <v>0</v>
          </cell>
          <cell r="D306">
            <v>0</v>
          </cell>
        </row>
        <row r="307">
          <cell r="A307">
            <v>0</v>
          </cell>
          <cell r="C307">
            <v>0</v>
          </cell>
          <cell r="D307">
            <v>0</v>
          </cell>
        </row>
        <row r="308">
          <cell r="A308">
            <v>0</v>
          </cell>
          <cell r="C308">
            <v>0</v>
          </cell>
          <cell r="D308">
            <v>0</v>
          </cell>
        </row>
        <row r="309">
          <cell r="A309">
            <v>0</v>
          </cell>
          <cell r="C309">
            <v>0</v>
          </cell>
          <cell r="D309">
            <v>0</v>
          </cell>
        </row>
        <row r="310">
          <cell r="A310">
            <v>0</v>
          </cell>
          <cell r="C310">
            <v>0</v>
          </cell>
          <cell r="D310">
            <v>0</v>
          </cell>
        </row>
        <row r="311">
          <cell r="A311">
            <v>0</v>
          </cell>
          <cell r="C311">
            <v>0</v>
          </cell>
          <cell r="D311">
            <v>0</v>
          </cell>
        </row>
        <row r="312">
          <cell r="A312">
            <v>0</v>
          </cell>
          <cell r="C312">
            <v>0</v>
          </cell>
          <cell r="D312">
            <v>0</v>
          </cell>
        </row>
        <row r="313">
          <cell r="A313">
            <v>0</v>
          </cell>
          <cell r="C313">
            <v>0</v>
          </cell>
          <cell r="D313">
            <v>0</v>
          </cell>
        </row>
        <row r="314">
          <cell r="A314">
            <v>0</v>
          </cell>
          <cell r="C314">
            <v>0</v>
          </cell>
          <cell r="D314">
            <v>0</v>
          </cell>
        </row>
        <row r="315">
          <cell r="A315">
            <v>0</v>
          </cell>
          <cell r="C315">
            <v>0</v>
          </cell>
          <cell r="D315">
            <v>0</v>
          </cell>
        </row>
        <row r="316">
          <cell r="A316">
            <v>0</v>
          </cell>
          <cell r="C316">
            <v>0</v>
          </cell>
          <cell r="D316">
            <v>0</v>
          </cell>
        </row>
        <row r="317">
          <cell r="A317">
            <v>0</v>
          </cell>
          <cell r="C317">
            <v>0</v>
          </cell>
          <cell r="D317">
            <v>0</v>
          </cell>
        </row>
        <row r="318">
          <cell r="A318">
            <v>0</v>
          </cell>
          <cell r="C318">
            <v>0</v>
          </cell>
          <cell r="D318">
            <v>0</v>
          </cell>
        </row>
        <row r="319">
          <cell r="A319">
            <v>0</v>
          </cell>
          <cell r="C319">
            <v>0</v>
          </cell>
          <cell r="D319">
            <v>0</v>
          </cell>
        </row>
        <row r="320">
          <cell r="A320">
            <v>0</v>
          </cell>
          <cell r="C320">
            <v>0</v>
          </cell>
          <cell r="D320">
            <v>0</v>
          </cell>
        </row>
        <row r="321">
          <cell r="A321">
            <v>0</v>
          </cell>
          <cell r="C321">
            <v>0</v>
          </cell>
          <cell r="D321">
            <v>0</v>
          </cell>
        </row>
        <row r="322">
          <cell r="A322">
            <v>0</v>
          </cell>
          <cell r="C322">
            <v>0</v>
          </cell>
          <cell r="D322">
            <v>0</v>
          </cell>
        </row>
        <row r="323">
          <cell r="A323">
            <v>0</v>
          </cell>
          <cell r="C323">
            <v>0</v>
          </cell>
          <cell r="D323">
            <v>0</v>
          </cell>
        </row>
        <row r="324">
          <cell r="A324">
            <v>0</v>
          </cell>
          <cell r="C324">
            <v>0</v>
          </cell>
          <cell r="D324">
            <v>0</v>
          </cell>
        </row>
        <row r="325">
          <cell r="A325">
            <v>0</v>
          </cell>
          <cell r="C325">
            <v>0</v>
          </cell>
          <cell r="D325">
            <v>0</v>
          </cell>
        </row>
        <row r="326">
          <cell r="A326">
            <v>0</v>
          </cell>
          <cell r="C326">
            <v>0</v>
          </cell>
          <cell r="D326">
            <v>0</v>
          </cell>
        </row>
        <row r="327">
          <cell r="A327">
            <v>0</v>
          </cell>
          <cell r="C327">
            <v>0</v>
          </cell>
          <cell r="D327">
            <v>0</v>
          </cell>
        </row>
        <row r="328">
          <cell r="A328">
            <v>0</v>
          </cell>
          <cell r="C328">
            <v>0</v>
          </cell>
          <cell r="D328">
            <v>0</v>
          </cell>
        </row>
        <row r="329">
          <cell r="A329">
            <v>0</v>
          </cell>
          <cell r="C329">
            <v>0</v>
          </cell>
          <cell r="D329">
            <v>0</v>
          </cell>
        </row>
        <row r="330">
          <cell r="A330">
            <v>0</v>
          </cell>
          <cell r="C330">
            <v>0</v>
          </cell>
          <cell r="D330">
            <v>0</v>
          </cell>
        </row>
        <row r="331">
          <cell r="A331">
            <v>0</v>
          </cell>
          <cell r="C331">
            <v>0</v>
          </cell>
          <cell r="D331">
            <v>0</v>
          </cell>
        </row>
        <row r="332">
          <cell r="A332">
            <v>0</v>
          </cell>
          <cell r="C332">
            <v>0</v>
          </cell>
          <cell r="D332">
            <v>0</v>
          </cell>
        </row>
        <row r="333">
          <cell r="A333">
            <v>0</v>
          </cell>
          <cell r="C333">
            <v>0</v>
          </cell>
          <cell r="D333">
            <v>0</v>
          </cell>
        </row>
        <row r="334">
          <cell r="A334">
            <v>0</v>
          </cell>
          <cell r="C334">
            <v>0</v>
          </cell>
          <cell r="D334">
            <v>0</v>
          </cell>
        </row>
        <row r="335">
          <cell r="A335">
            <v>0</v>
          </cell>
          <cell r="C335">
            <v>0</v>
          </cell>
          <cell r="D335">
            <v>0</v>
          </cell>
        </row>
        <row r="336">
          <cell r="A336">
            <v>0</v>
          </cell>
          <cell r="C336">
            <v>0</v>
          </cell>
          <cell r="D336">
            <v>0</v>
          </cell>
        </row>
        <row r="337">
          <cell r="A337">
            <v>0</v>
          </cell>
          <cell r="C337">
            <v>0</v>
          </cell>
          <cell r="D337">
            <v>0</v>
          </cell>
        </row>
        <row r="338">
          <cell r="A338">
            <v>0</v>
          </cell>
          <cell r="C338">
            <v>0</v>
          </cell>
          <cell r="D338">
            <v>0</v>
          </cell>
        </row>
        <row r="339">
          <cell r="A339">
            <v>0</v>
          </cell>
          <cell r="C339">
            <v>0</v>
          </cell>
          <cell r="D339">
            <v>0</v>
          </cell>
        </row>
        <row r="340">
          <cell r="A340">
            <v>0</v>
          </cell>
          <cell r="C340">
            <v>0</v>
          </cell>
          <cell r="D340">
            <v>0</v>
          </cell>
        </row>
        <row r="341">
          <cell r="A341">
            <v>0</v>
          </cell>
          <cell r="C341">
            <v>0</v>
          </cell>
          <cell r="D341">
            <v>0</v>
          </cell>
        </row>
        <row r="342">
          <cell r="A342">
            <v>0</v>
          </cell>
          <cell r="C342">
            <v>0</v>
          </cell>
          <cell r="D342">
            <v>0</v>
          </cell>
        </row>
        <row r="343">
          <cell r="A343">
            <v>0</v>
          </cell>
          <cell r="C343">
            <v>0</v>
          </cell>
          <cell r="D343">
            <v>0</v>
          </cell>
        </row>
        <row r="344">
          <cell r="A344">
            <v>0</v>
          </cell>
          <cell r="C344">
            <v>0</v>
          </cell>
          <cell r="D344">
            <v>0</v>
          </cell>
        </row>
        <row r="345">
          <cell r="A345">
            <v>0</v>
          </cell>
          <cell r="C345">
            <v>0</v>
          </cell>
          <cell r="D345">
            <v>0</v>
          </cell>
        </row>
        <row r="346">
          <cell r="A346">
            <v>0</v>
          </cell>
          <cell r="C346">
            <v>0</v>
          </cell>
          <cell r="D346">
            <v>0</v>
          </cell>
        </row>
        <row r="347">
          <cell r="A347">
            <v>0</v>
          </cell>
          <cell r="C347">
            <v>0</v>
          </cell>
          <cell r="D347">
            <v>0</v>
          </cell>
        </row>
        <row r="348">
          <cell r="A348">
            <v>0</v>
          </cell>
          <cell r="C348">
            <v>0</v>
          </cell>
          <cell r="D348">
            <v>0</v>
          </cell>
        </row>
        <row r="349">
          <cell r="A349">
            <v>0</v>
          </cell>
          <cell r="C349">
            <v>0</v>
          </cell>
          <cell r="D349">
            <v>0</v>
          </cell>
        </row>
        <row r="350">
          <cell r="A350">
            <v>0</v>
          </cell>
          <cell r="C350">
            <v>0</v>
          </cell>
          <cell r="D350">
            <v>0</v>
          </cell>
        </row>
        <row r="351">
          <cell r="A351">
            <v>0</v>
          </cell>
          <cell r="C351">
            <v>0</v>
          </cell>
          <cell r="D351">
            <v>0</v>
          </cell>
        </row>
        <row r="352">
          <cell r="A352">
            <v>0</v>
          </cell>
          <cell r="C352">
            <v>0</v>
          </cell>
          <cell r="D352">
            <v>0</v>
          </cell>
        </row>
        <row r="353">
          <cell r="A353">
            <v>0</v>
          </cell>
          <cell r="C353">
            <v>0</v>
          </cell>
          <cell r="D353">
            <v>0</v>
          </cell>
        </row>
        <row r="354">
          <cell r="A354">
            <v>0</v>
          </cell>
          <cell r="C354">
            <v>0</v>
          </cell>
          <cell r="D354">
            <v>0</v>
          </cell>
        </row>
        <row r="355">
          <cell r="A355">
            <v>0</v>
          </cell>
          <cell r="C355">
            <v>0</v>
          </cell>
          <cell r="D355">
            <v>0</v>
          </cell>
        </row>
        <row r="356">
          <cell r="A356">
            <v>0</v>
          </cell>
          <cell r="C356">
            <v>0</v>
          </cell>
          <cell r="D356">
            <v>0</v>
          </cell>
        </row>
        <row r="357">
          <cell r="A357">
            <v>0</v>
          </cell>
          <cell r="C357">
            <v>0</v>
          </cell>
          <cell r="D357">
            <v>0</v>
          </cell>
        </row>
        <row r="358">
          <cell r="A358">
            <v>0</v>
          </cell>
          <cell r="C358">
            <v>0</v>
          </cell>
          <cell r="D358">
            <v>0</v>
          </cell>
        </row>
        <row r="359">
          <cell r="A359">
            <v>0</v>
          </cell>
          <cell r="C359">
            <v>0</v>
          </cell>
          <cell r="D359">
            <v>0</v>
          </cell>
        </row>
        <row r="360">
          <cell r="A360">
            <v>0</v>
          </cell>
          <cell r="C360">
            <v>0</v>
          </cell>
          <cell r="D360">
            <v>0</v>
          </cell>
        </row>
        <row r="361">
          <cell r="A361">
            <v>0</v>
          </cell>
          <cell r="C361">
            <v>0</v>
          </cell>
          <cell r="D361">
            <v>0</v>
          </cell>
        </row>
        <row r="362">
          <cell r="A362">
            <v>0</v>
          </cell>
          <cell r="C362">
            <v>0</v>
          </cell>
          <cell r="D362">
            <v>0</v>
          </cell>
        </row>
        <row r="363">
          <cell r="A363">
            <v>0</v>
          </cell>
          <cell r="C363">
            <v>0</v>
          </cell>
          <cell r="D363">
            <v>0</v>
          </cell>
        </row>
        <row r="364">
          <cell r="A364">
            <v>0</v>
          </cell>
          <cell r="C364">
            <v>0</v>
          </cell>
          <cell r="D364">
            <v>0</v>
          </cell>
        </row>
        <row r="365">
          <cell r="A365">
            <v>0</v>
          </cell>
          <cell r="C365">
            <v>0</v>
          </cell>
          <cell r="D365">
            <v>0</v>
          </cell>
        </row>
        <row r="366">
          <cell r="A366">
            <v>0</v>
          </cell>
          <cell r="C366">
            <v>0</v>
          </cell>
          <cell r="D366">
            <v>0</v>
          </cell>
        </row>
        <row r="367">
          <cell r="A367">
            <v>0</v>
          </cell>
          <cell r="C367">
            <v>0</v>
          </cell>
          <cell r="D367">
            <v>0</v>
          </cell>
        </row>
        <row r="368">
          <cell r="A368">
            <v>0</v>
          </cell>
          <cell r="C368">
            <v>0</v>
          </cell>
          <cell r="D368">
            <v>0</v>
          </cell>
        </row>
        <row r="369">
          <cell r="A369">
            <v>0</v>
          </cell>
          <cell r="C369">
            <v>0</v>
          </cell>
          <cell r="D369">
            <v>0</v>
          </cell>
        </row>
        <row r="370">
          <cell r="A370">
            <v>0</v>
          </cell>
          <cell r="C370">
            <v>0</v>
          </cell>
          <cell r="D370">
            <v>0</v>
          </cell>
        </row>
        <row r="371">
          <cell r="A371">
            <v>0</v>
          </cell>
          <cell r="C371">
            <v>0</v>
          </cell>
          <cell r="D371">
            <v>0</v>
          </cell>
        </row>
        <row r="372">
          <cell r="A372">
            <v>0</v>
          </cell>
          <cell r="C372">
            <v>0</v>
          </cell>
          <cell r="D372">
            <v>0</v>
          </cell>
        </row>
        <row r="373">
          <cell r="A373">
            <v>0</v>
          </cell>
          <cell r="C373">
            <v>0</v>
          </cell>
          <cell r="D373">
            <v>0</v>
          </cell>
        </row>
        <row r="374">
          <cell r="A374">
            <v>0</v>
          </cell>
          <cell r="C374">
            <v>0</v>
          </cell>
          <cell r="D374">
            <v>0</v>
          </cell>
        </row>
        <row r="375">
          <cell r="A375">
            <v>0</v>
          </cell>
          <cell r="C375">
            <v>0</v>
          </cell>
          <cell r="D375">
            <v>0</v>
          </cell>
        </row>
        <row r="376">
          <cell r="A376">
            <v>0</v>
          </cell>
          <cell r="C376">
            <v>0</v>
          </cell>
          <cell r="D376">
            <v>0</v>
          </cell>
        </row>
        <row r="377">
          <cell r="A377">
            <v>0</v>
          </cell>
          <cell r="C377">
            <v>0</v>
          </cell>
          <cell r="D377">
            <v>0</v>
          </cell>
        </row>
        <row r="378">
          <cell r="A378">
            <v>0</v>
          </cell>
          <cell r="C378">
            <v>0</v>
          </cell>
          <cell r="D378">
            <v>0</v>
          </cell>
        </row>
        <row r="379">
          <cell r="A379">
            <v>0</v>
          </cell>
          <cell r="C379">
            <v>0</v>
          </cell>
          <cell r="D379">
            <v>0</v>
          </cell>
        </row>
        <row r="380">
          <cell r="A380">
            <v>0</v>
          </cell>
          <cell r="C380">
            <v>0</v>
          </cell>
          <cell r="D380">
            <v>0</v>
          </cell>
        </row>
        <row r="381">
          <cell r="A381">
            <v>0</v>
          </cell>
          <cell r="C381">
            <v>0</v>
          </cell>
          <cell r="D381">
            <v>0</v>
          </cell>
        </row>
        <row r="382">
          <cell r="A382">
            <v>0</v>
          </cell>
          <cell r="C382">
            <v>0</v>
          </cell>
          <cell r="D382">
            <v>0</v>
          </cell>
        </row>
        <row r="383">
          <cell r="A383">
            <v>0</v>
          </cell>
          <cell r="C383">
            <v>0</v>
          </cell>
          <cell r="D383">
            <v>0</v>
          </cell>
        </row>
        <row r="384">
          <cell r="A384">
            <v>0</v>
          </cell>
          <cell r="C384">
            <v>0</v>
          </cell>
          <cell r="D384">
            <v>0</v>
          </cell>
        </row>
        <row r="385">
          <cell r="A385">
            <v>0</v>
          </cell>
          <cell r="C385">
            <v>0</v>
          </cell>
          <cell r="D385">
            <v>0</v>
          </cell>
        </row>
        <row r="386">
          <cell r="A386">
            <v>0</v>
          </cell>
          <cell r="C386">
            <v>0</v>
          </cell>
          <cell r="D386">
            <v>0</v>
          </cell>
        </row>
        <row r="387">
          <cell r="A387">
            <v>0</v>
          </cell>
          <cell r="C387">
            <v>0</v>
          </cell>
          <cell r="D387">
            <v>0</v>
          </cell>
        </row>
        <row r="388">
          <cell r="A388">
            <v>0</v>
          </cell>
          <cell r="C388">
            <v>0</v>
          </cell>
          <cell r="D388">
            <v>0</v>
          </cell>
        </row>
        <row r="389">
          <cell r="A389">
            <v>0</v>
          </cell>
          <cell r="C389">
            <v>0</v>
          </cell>
          <cell r="D389">
            <v>0</v>
          </cell>
        </row>
        <row r="390">
          <cell r="A390">
            <v>0</v>
          </cell>
          <cell r="C390">
            <v>0</v>
          </cell>
          <cell r="D390">
            <v>0</v>
          </cell>
        </row>
        <row r="391">
          <cell r="A391">
            <v>0</v>
          </cell>
          <cell r="C391">
            <v>0</v>
          </cell>
          <cell r="D391">
            <v>0</v>
          </cell>
        </row>
        <row r="392">
          <cell r="A392">
            <v>0</v>
          </cell>
          <cell r="C392">
            <v>0</v>
          </cell>
          <cell r="D392">
            <v>0</v>
          </cell>
        </row>
        <row r="393">
          <cell r="A393">
            <v>0</v>
          </cell>
          <cell r="C393">
            <v>0</v>
          </cell>
          <cell r="D393">
            <v>0</v>
          </cell>
        </row>
        <row r="394">
          <cell r="A394">
            <v>0</v>
          </cell>
          <cell r="C394">
            <v>0</v>
          </cell>
          <cell r="D394">
            <v>0</v>
          </cell>
        </row>
        <row r="395">
          <cell r="A395">
            <v>0</v>
          </cell>
          <cell r="C395">
            <v>0</v>
          </cell>
          <cell r="D395">
            <v>0</v>
          </cell>
        </row>
        <row r="396">
          <cell r="A396">
            <v>0</v>
          </cell>
          <cell r="C396">
            <v>0</v>
          </cell>
          <cell r="D396">
            <v>0</v>
          </cell>
        </row>
        <row r="397">
          <cell r="A397">
            <v>0</v>
          </cell>
          <cell r="C397">
            <v>0</v>
          </cell>
          <cell r="D397">
            <v>0</v>
          </cell>
        </row>
        <row r="398">
          <cell r="A398">
            <v>0</v>
          </cell>
          <cell r="C398">
            <v>0</v>
          </cell>
          <cell r="D398">
            <v>0</v>
          </cell>
        </row>
        <row r="399">
          <cell r="A399">
            <v>0</v>
          </cell>
          <cell r="C399">
            <v>0</v>
          </cell>
          <cell r="D399">
            <v>0</v>
          </cell>
        </row>
        <row r="400">
          <cell r="A400">
            <v>0</v>
          </cell>
          <cell r="C400">
            <v>0</v>
          </cell>
          <cell r="D400">
            <v>0</v>
          </cell>
        </row>
        <row r="401">
          <cell r="A401">
            <v>0</v>
          </cell>
          <cell r="C401">
            <v>0</v>
          </cell>
          <cell r="D401">
            <v>0</v>
          </cell>
        </row>
        <row r="402">
          <cell r="A402">
            <v>0</v>
          </cell>
          <cell r="C402">
            <v>0</v>
          </cell>
          <cell r="D402">
            <v>0</v>
          </cell>
        </row>
        <row r="403">
          <cell r="A403">
            <v>0</v>
          </cell>
          <cell r="C403">
            <v>0</v>
          </cell>
          <cell r="D403">
            <v>0</v>
          </cell>
        </row>
        <row r="404">
          <cell r="A404">
            <v>0</v>
          </cell>
          <cell r="C404">
            <v>0</v>
          </cell>
          <cell r="D404">
            <v>0</v>
          </cell>
        </row>
        <row r="405">
          <cell r="A405">
            <v>0</v>
          </cell>
          <cell r="C405">
            <v>0</v>
          </cell>
          <cell r="D405">
            <v>0</v>
          </cell>
        </row>
        <row r="406">
          <cell r="A406">
            <v>0</v>
          </cell>
          <cell r="C406">
            <v>0</v>
          </cell>
          <cell r="D406">
            <v>0</v>
          </cell>
        </row>
        <row r="407">
          <cell r="A407">
            <v>0</v>
          </cell>
          <cell r="C407">
            <v>0</v>
          </cell>
          <cell r="D407">
            <v>0</v>
          </cell>
        </row>
        <row r="408">
          <cell r="A408">
            <v>0</v>
          </cell>
          <cell r="C408">
            <v>0</v>
          </cell>
          <cell r="D408">
            <v>0</v>
          </cell>
        </row>
        <row r="409">
          <cell r="A409">
            <v>0</v>
          </cell>
          <cell r="C409">
            <v>0</v>
          </cell>
          <cell r="D409">
            <v>0</v>
          </cell>
        </row>
        <row r="410">
          <cell r="A410">
            <v>0</v>
          </cell>
          <cell r="C410">
            <v>0</v>
          </cell>
          <cell r="D410">
            <v>0</v>
          </cell>
        </row>
        <row r="411">
          <cell r="A411">
            <v>0</v>
          </cell>
          <cell r="C411">
            <v>0</v>
          </cell>
          <cell r="D411">
            <v>0</v>
          </cell>
        </row>
        <row r="412">
          <cell r="A412">
            <v>0</v>
          </cell>
          <cell r="C412">
            <v>0</v>
          </cell>
          <cell r="D412">
            <v>0</v>
          </cell>
        </row>
        <row r="413">
          <cell r="A413">
            <v>0</v>
          </cell>
          <cell r="C413">
            <v>0</v>
          </cell>
          <cell r="D413">
            <v>0</v>
          </cell>
        </row>
        <row r="414">
          <cell r="A414">
            <v>0</v>
          </cell>
          <cell r="C414">
            <v>0</v>
          </cell>
          <cell r="D414">
            <v>0</v>
          </cell>
        </row>
        <row r="415">
          <cell r="A415">
            <v>0</v>
          </cell>
          <cell r="C415">
            <v>0</v>
          </cell>
          <cell r="D415">
            <v>0</v>
          </cell>
        </row>
        <row r="416">
          <cell r="A416">
            <v>0</v>
          </cell>
          <cell r="C416">
            <v>0</v>
          </cell>
          <cell r="D416">
            <v>0</v>
          </cell>
        </row>
        <row r="417">
          <cell r="A417">
            <v>0</v>
          </cell>
          <cell r="C417">
            <v>0</v>
          </cell>
          <cell r="D417">
            <v>0</v>
          </cell>
        </row>
        <row r="418">
          <cell r="A418">
            <v>0</v>
          </cell>
          <cell r="C418">
            <v>0</v>
          </cell>
          <cell r="D418">
            <v>0</v>
          </cell>
        </row>
        <row r="419">
          <cell r="A419">
            <v>0</v>
          </cell>
          <cell r="C419">
            <v>0</v>
          </cell>
          <cell r="D419">
            <v>0</v>
          </cell>
        </row>
        <row r="420">
          <cell r="A420">
            <v>0</v>
          </cell>
          <cell r="C420">
            <v>0</v>
          </cell>
          <cell r="D420">
            <v>0</v>
          </cell>
        </row>
        <row r="421">
          <cell r="A421">
            <v>0</v>
          </cell>
          <cell r="C421">
            <v>0</v>
          </cell>
          <cell r="D421">
            <v>0</v>
          </cell>
        </row>
        <row r="422">
          <cell r="A422">
            <v>0</v>
          </cell>
          <cell r="C422">
            <v>0</v>
          </cell>
          <cell r="D422">
            <v>0</v>
          </cell>
        </row>
        <row r="423">
          <cell r="A423">
            <v>0</v>
          </cell>
          <cell r="C423">
            <v>0</v>
          </cell>
          <cell r="D423">
            <v>0</v>
          </cell>
        </row>
        <row r="424">
          <cell r="A424">
            <v>0</v>
          </cell>
          <cell r="C424">
            <v>0</v>
          </cell>
          <cell r="D424">
            <v>0</v>
          </cell>
        </row>
        <row r="425">
          <cell r="A425">
            <v>0</v>
          </cell>
          <cell r="C425">
            <v>0</v>
          </cell>
          <cell r="D425">
            <v>0</v>
          </cell>
        </row>
        <row r="426">
          <cell r="A426">
            <v>0</v>
          </cell>
          <cell r="C426">
            <v>0</v>
          </cell>
          <cell r="D426">
            <v>0</v>
          </cell>
        </row>
        <row r="427">
          <cell r="A427">
            <v>0</v>
          </cell>
          <cell r="C427">
            <v>0</v>
          </cell>
          <cell r="D427">
            <v>0</v>
          </cell>
        </row>
        <row r="428">
          <cell r="A428">
            <v>0</v>
          </cell>
          <cell r="C428">
            <v>0</v>
          </cell>
          <cell r="D428">
            <v>0</v>
          </cell>
        </row>
        <row r="429">
          <cell r="A429">
            <v>0</v>
          </cell>
          <cell r="C429">
            <v>0</v>
          </cell>
          <cell r="D429">
            <v>0</v>
          </cell>
        </row>
        <row r="430">
          <cell r="A430">
            <v>0</v>
          </cell>
          <cell r="C430">
            <v>0</v>
          </cell>
          <cell r="D430">
            <v>0</v>
          </cell>
        </row>
        <row r="431">
          <cell r="A431">
            <v>0</v>
          </cell>
          <cell r="C431">
            <v>0</v>
          </cell>
          <cell r="D431">
            <v>0</v>
          </cell>
        </row>
        <row r="432">
          <cell r="A432">
            <v>0</v>
          </cell>
          <cell r="C432">
            <v>0</v>
          </cell>
          <cell r="D432">
            <v>0</v>
          </cell>
        </row>
        <row r="433">
          <cell r="A433">
            <v>0</v>
          </cell>
          <cell r="C433">
            <v>0</v>
          </cell>
          <cell r="D433">
            <v>0</v>
          </cell>
        </row>
        <row r="434">
          <cell r="A434">
            <v>0</v>
          </cell>
          <cell r="C434">
            <v>0</v>
          </cell>
          <cell r="D434">
            <v>0</v>
          </cell>
        </row>
        <row r="435">
          <cell r="A435">
            <v>0</v>
          </cell>
          <cell r="C435">
            <v>0</v>
          </cell>
          <cell r="D435">
            <v>0</v>
          </cell>
        </row>
        <row r="436">
          <cell r="A436">
            <v>0</v>
          </cell>
          <cell r="C436">
            <v>0</v>
          </cell>
          <cell r="D436">
            <v>0</v>
          </cell>
        </row>
        <row r="437">
          <cell r="A437">
            <v>0</v>
          </cell>
          <cell r="C437">
            <v>0</v>
          </cell>
          <cell r="D437">
            <v>0</v>
          </cell>
        </row>
        <row r="438">
          <cell r="A438">
            <v>0</v>
          </cell>
          <cell r="C438">
            <v>0</v>
          </cell>
          <cell r="D438">
            <v>0</v>
          </cell>
        </row>
        <row r="439">
          <cell r="A439">
            <v>0</v>
          </cell>
          <cell r="C439">
            <v>0</v>
          </cell>
          <cell r="D439">
            <v>0</v>
          </cell>
        </row>
        <row r="440">
          <cell r="A440">
            <v>0</v>
          </cell>
          <cell r="C440">
            <v>0</v>
          </cell>
          <cell r="D440">
            <v>0</v>
          </cell>
        </row>
        <row r="441">
          <cell r="A441">
            <v>0</v>
          </cell>
          <cell r="C441">
            <v>0</v>
          </cell>
          <cell r="D441">
            <v>0</v>
          </cell>
        </row>
        <row r="442">
          <cell r="A442">
            <v>0</v>
          </cell>
          <cell r="C442">
            <v>0</v>
          </cell>
          <cell r="D442">
            <v>0</v>
          </cell>
        </row>
        <row r="443">
          <cell r="A443">
            <v>0</v>
          </cell>
          <cell r="C443">
            <v>0</v>
          </cell>
          <cell r="D443">
            <v>0</v>
          </cell>
        </row>
        <row r="444">
          <cell r="A444">
            <v>0</v>
          </cell>
          <cell r="C444">
            <v>0</v>
          </cell>
          <cell r="D444">
            <v>0</v>
          </cell>
        </row>
        <row r="445">
          <cell r="A445">
            <v>0</v>
          </cell>
          <cell r="C445">
            <v>0</v>
          </cell>
          <cell r="D445">
            <v>0</v>
          </cell>
        </row>
        <row r="446">
          <cell r="A446">
            <v>0</v>
          </cell>
          <cell r="C446">
            <v>0</v>
          </cell>
          <cell r="D446">
            <v>0</v>
          </cell>
        </row>
        <row r="447">
          <cell r="A447">
            <v>0</v>
          </cell>
          <cell r="C447">
            <v>0</v>
          </cell>
          <cell r="D447">
            <v>0</v>
          </cell>
        </row>
        <row r="448">
          <cell r="A448">
            <v>0</v>
          </cell>
          <cell r="C448">
            <v>0</v>
          </cell>
          <cell r="D448">
            <v>0</v>
          </cell>
        </row>
        <row r="449">
          <cell r="A449">
            <v>0</v>
          </cell>
          <cell r="C449">
            <v>0</v>
          </cell>
          <cell r="D449">
            <v>0</v>
          </cell>
        </row>
        <row r="450">
          <cell r="A450">
            <v>0</v>
          </cell>
          <cell r="C450">
            <v>0</v>
          </cell>
          <cell r="D450">
            <v>0</v>
          </cell>
        </row>
        <row r="451">
          <cell r="A451">
            <v>0</v>
          </cell>
          <cell r="C451">
            <v>0</v>
          </cell>
          <cell r="D451">
            <v>0</v>
          </cell>
        </row>
        <row r="452">
          <cell r="A452">
            <v>0</v>
          </cell>
          <cell r="C452">
            <v>0</v>
          </cell>
          <cell r="D452">
            <v>0</v>
          </cell>
        </row>
        <row r="453">
          <cell r="A453">
            <v>0</v>
          </cell>
          <cell r="C453">
            <v>0</v>
          </cell>
          <cell r="D453">
            <v>0</v>
          </cell>
        </row>
        <row r="454">
          <cell r="A454">
            <v>0</v>
          </cell>
          <cell r="C454">
            <v>0</v>
          </cell>
          <cell r="D454">
            <v>0</v>
          </cell>
        </row>
        <row r="455">
          <cell r="A455">
            <v>0</v>
          </cell>
          <cell r="C455">
            <v>0</v>
          </cell>
          <cell r="D455">
            <v>0</v>
          </cell>
        </row>
        <row r="456">
          <cell r="A456">
            <v>0</v>
          </cell>
          <cell r="C456">
            <v>0</v>
          </cell>
          <cell r="D456">
            <v>0</v>
          </cell>
        </row>
        <row r="457">
          <cell r="A457">
            <v>0</v>
          </cell>
          <cell r="C457">
            <v>0</v>
          </cell>
          <cell r="D457">
            <v>0</v>
          </cell>
        </row>
        <row r="458">
          <cell r="A458">
            <v>0</v>
          </cell>
          <cell r="C458">
            <v>0</v>
          </cell>
          <cell r="D458">
            <v>0</v>
          </cell>
        </row>
        <row r="459">
          <cell r="A459">
            <v>0</v>
          </cell>
          <cell r="C459">
            <v>0</v>
          </cell>
          <cell r="D459">
            <v>0</v>
          </cell>
        </row>
        <row r="460">
          <cell r="A460">
            <v>0</v>
          </cell>
          <cell r="C460">
            <v>0</v>
          </cell>
          <cell r="D460">
            <v>0</v>
          </cell>
        </row>
        <row r="461">
          <cell r="A461">
            <v>0</v>
          </cell>
          <cell r="C461">
            <v>0</v>
          </cell>
          <cell r="D461">
            <v>0</v>
          </cell>
        </row>
        <row r="462">
          <cell r="A462">
            <v>0</v>
          </cell>
          <cell r="C462">
            <v>0</v>
          </cell>
          <cell r="D462">
            <v>0</v>
          </cell>
        </row>
        <row r="463">
          <cell r="A463">
            <v>0</v>
          </cell>
          <cell r="C463">
            <v>0</v>
          </cell>
          <cell r="D463">
            <v>0</v>
          </cell>
        </row>
        <row r="464">
          <cell r="A464">
            <v>0</v>
          </cell>
          <cell r="C464">
            <v>0</v>
          </cell>
          <cell r="D464">
            <v>0</v>
          </cell>
        </row>
        <row r="465">
          <cell r="A465">
            <v>0</v>
          </cell>
          <cell r="C465">
            <v>0</v>
          </cell>
          <cell r="D465">
            <v>0</v>
          </cell>
        </row>
        <row r="466">
          <cell r="A466">
            <v>0</v>
          </cell>
          <cell r="C466">
            <v>0</v>
          </cell>
          <cell r="D466">
            <v>0</v>
          </cell>
        </row>
        <row r="467">
          <cell r="A467">
            <v>0</v>
          </cell>
          <cell r="C467">
            <v>0</v>
          </cell>
          <cell r="D467">
            <v>0</v>
          </cell>
        </row>
        <row r="468">
          <cell r="A468">
            <v>0</v>
          </cell>
          <cell r="C468">
            <v>0</v>
          </cell>
          <cell r="D468">
            <v>0</v>
          </cell>
        </row>
        <row r="469">
          <cell r="A469">
            <v>0</v>
          </cell>
          <cell r="C469">
            <v>0</v>
          </cell>
          <cell r="D469">
            <v>0</v>
          </cell>
        </row>
        <row r="470">
          <cell r="A470">
            <v>0</v>
          </cell>
          <cell r="C470">
            <v>0</v>
          </cell>
          <cell r="D470">
            <v>0</v>
          </cell>
        </row>
        <row r="471">
          <cell r="A471">
            <v>0</v>
          </cell>
          <cell r="C471">
            <v>0</v>
          </cell>
          <cell r="D471">
            <v>0</v>
          </cell>
        </row>
        <row r="472">
          <cell r="A472">
            <v>0</v>
          </cell>
          <cell r="C472">
            <v>0</v>
          </cell>
          <cell r="D472">
            <v>0</v>
          </cell>
        </row>
        <row r="473">
          <cell r="A473">
            <v>0</v>
          </cell>
          <cell r="C473">
            <v>0</v>
          </cell>
          <cell r="D473">
            <v>0</v>
          </cell>
        </row>
        <row r="474">
          <cell r="A474">
            <v>0</v>
          </cell>
          <cell r="C474">
            <v>0</v>
          </cell>
          <cell r="D474">
            <v>0</v>
          </cell>
        </row>
        <row r="475">
          <cell r="A475">
            <v>0</v>
          </cell>
          <cell r="C475">
            <v>0</v>
          </cell>
          <cell r="D475">
            <v>0</v>
          </cell>
        </row>
        <row r="476">
          <cell r="A476">
            <v>0</v>
          </cell>
          <cell r="C476">
            <v>0</v>
          </cell>
          <cell r="D476">
            <v>0</v>
          </cell>
        </row>
        <row r="477">
          <cell r="A477">
            <v>0</v>
          </cell>
          <cell r="C477">
            <v>0</v>
          </cell>
          <cell r="D477">
            <v>0</v>
          </cell>
        </row>
        <row r="478">
          <cell r="A478">
            <v>0</v>
          </cell>
          <cell r="C478">
            <v>0</v>
          </cell>
          <cell r="D478">
            <v>0</v>
          </cell>
        </row>
        <row r="479">
          <cell r="A479">
            <v>0</v>
          </cell>
          <cell r="C479">
            <v>0</v>
          </cell>
          <cell r="D479">
            <v>0</v>
          </cell>
        </row>
        <row r="480">
          <cell r="A480">
            <v>0</v>
          </cell>
          <cell r="C480">
            <v>0</v>
          </cell>
          <cell r="D480">
            <v>0</v>
          </cell>
        </row>
        <row r="481">
          <cell r="A481">
            <v>0</v>
          </cell>
          <cell r="C481">
            <v>0</v>
          </cell>
          <cell r="D481">
            <v>0</v>
          </cell>
        </row>
        <row r="482">
          <cell r="A482">
            <v>0</v>
          </cell>
          <cell r="C482">
            <v>0</v>
          </cell>
          <cell r="D482">
            <v>0</v>
          </cell>
        </row>
        <row r="483">
          <cell r="A483">
            <v>0</v>
          </cell>
          <cell r="C483">
            <v>0</v>
          </cell>
          <cell r="D483">
            <v>0</v>
          </cell>
        </row>
        <row r="484">
          <cell r="A484">
            <v>0</v>
          </cell>
          <cell r="C484">
            <v>0</v>
          </cell>
          <cell r="D484">
            <v>0</v>
          </cell>
        </row>
        <row r="485">
          <cell r="A485">
            <v>0</v>
          </cell>
          <cell r="C485">
            <v>0</v>
          </cell>
          <cell r="D485">
            <v>0</v>
          </cell>
        </row>
        <row r="486">
          <cell r="A486">
            <v>0</v>
          </cell>
          <cell r="C486">
            <v>0</v>
          </cell>
          <cell r="D486">
            <v>0</v>
          </cell>
        </row>
        <row r="487">
          <cell r="A487">
            <v>0</v>
          </cell>
          <cell r="C487">
            <v>0</v>
          </cell>
          <cell r="D487">
            <v>0</v>
          </cell>
        </row>
        <row r="488">
          <cell r="A488">
            <v>0</v>
          </cell>
          <cell r="C488">
            <v>0</v>
          </cell>
          <cell r="D488">
            <v>0</v>
          </cell>
        </row>
        <row r="489">
          <cell r="A489">
            <v>0</v>
          </cell>
          <cell r="C489">
            <v>0</v>
          </cell>
          <cell r="D489">
            <v>0</v>
          </cell>
        </row>
        <row r="490">
          <cell r="A490">
            <v>0</v>
          </cell>
          <cell r="C490">
            <v>0</v>
          </cell>
          <cell r="D490">
            <v>0</v>
          </cell>
        </row>
        <row r="491">
          <cell r="A491">
            <v>0</v>
          </cell>
          <cell r="C491">
            <v>0</v>
          </cell>
          <cell r="D491">
            <v>0</v>
          </cell>
        </row>
        <row r="492">
          <cell r="A492">
            <v>0</v>
          </cell>
          <cell r="C492">
            <v>0</v>
          </cell>
          <cell r="D492">
            <v>0</v>
          </cell>
        </row>
        <row r="493">
          <cell r="A493">
            <v>0</v>
          </cell>
          <cell r="C493">
            <v>0</v>
          </cell>
          <cell r="D493">
            <v>0</v>
          </cell>
        </row>
        <row r="494">
          <cell r="A494">
            <v>0</v>
          </cell>
          <cell r="C494">
            <v>0</v>
          </cell>
          <cell r="D494">
            <v>0</v>
          </cell>
        </row>
        <row r="495">
          <cell r="A495">
            <v>0</v>
          </cell>
          <cell r="C495">
            <v>0</v>
          </cell>
          <cell r="D495">
            <v>0</v>
          </cell>
        </row>
        <row r="496">
          <cell r="A496">
            <v>0</v>
          </cell>
          <cell r="C496">
            <v>0</v>
          </cell>
          <cell r="D496">
            <v>0</v>
          </cell>
        </row>
        <row r="497">
          <cell r="A497">
            <v>0</v>
          </cell>
          <cell r="C497">
            <v>0</v>
          </cell>
          <cell r="D497">
            <v>0</v>
          </cell>
        </row>
        <row r="498">
          <cell r="A498">
            <v>0</v>
          </cell>
          <cell r="C498">
            <v>0</v>
          </cell>
          <cell r="D498">
            <v>0</v>
          </cell>
        </row>
        <row r="499">
          <cell r="A499">
            <v>0</v>
          </cell>
          <cell r="C499">
            <v>0</v>
          </cell>
          <cell r="D499">
            <v>0</v>
          </cell>
        </row>
        <row r="500">
          <cell r="A500">
            <v>0</v>
          </cell>
          <cell r="C500">
            <v>0</v>
          </cell>
          <cell r="D500">
            <v>0</v>
          </cell>
        </row>
        <row r="501">
          <cell r="A501">
            <v>0</v>
          </cell>
          <cell r="C501">
            <v>0</v>
          </cell>
          <cell r="D501">
            <v>0</v>
          </cell>
        </row>
        <row r="502">
          <cell r="A502">
            <v>0</v>
          </cell>
          <cell r="C502">
            <v>0</v>
          </cell>
          <cell r="D502">
            <v>0</v>
          </cell>
        </row>
        <row r="503">
          <cell r="A503">
            <v>0</v>
          </cell>
          <cell r="C503">
            <v>0</v>
          </cell>
          <cell r="D503">
            <v>0</v>
          </cell>
        </row>
        <row r="504">
          <cell r="A504">
            <v>0</v>
          </cell>
          <cell r="C504">
            <v>0</v>
          </cell>
          <cell r="D504">
            <v>0</v>
          </cell>
        </row>
        <row r="505">
          <cell r="A505">
            <v>0</v>
          </cell>
          <cell r="C505">
            <v>0</v>
          </cell>
          <cell r="D505">
            <v>0</v>
          </cell>
        </row>
        <row r="506">
          <cell r="A506">
            <v>0</v>
          </cell>
          <cell r="C506">
            <v>0</v>
          </cell>
          <cell r="D506">
            <v>0</v>
          </cell>
        </row>
        <row r="507">
          <cell r="A507">
            <v>0</v>
          </cell>
          <cell r="C507">
            <v>0</v>
          </cell>
          <cell r="D507">
            <v>0</v>
          </cell>
        </row>
        <row r="508">
          <cell r="A508">
            <v>0</v>
          </cell>
          <cell r="C508">
            <v>0</v>
          </cell>
          <cell r="D508">
            <v>0</v>
          </cell>
        </row>
        <row r="509">
          <cell r="A509">
            <v>0</v>
          </cell>
          <cell r="C509">
            <v>0</v>
          </cell>
          <cell r="D509">
            <v>0</v>
          </cell>
        </row>
        <row r="510">
          <cell r="A510">
            <v>0</v>
          </cell>
          <cell r="C510">
            <v>0</v>
          </cell>
          <cell r="D510">
            <v>0</v>
          </cell>
        </row>
        <row r="511">
          <cell r="A511">
            <v>0</v>
          </cell>
          <cell r="C511">
            <v>0</v>
          </cell>
          <cell r="D511">
            <v>0</v>
          </cell>
        </row>
        <row r="512">
          <cell r="A512">
            <v>0</v>
          </cell>
          <cell r="C512">
            <v>0</v>
          </cell>
          <cell r="D512">
            <v>0</v>
          </cell>
        </row>
        <row r="513">
          <cell r="A513">
            <v>0</v>
          </cell>
          <cell r="C513">
            <v>0</v>
          </cell>
          <cell r="D513">
            <v>0</v>
          </cell>
        </row>
        <row r="514">
          <cell r="A514">
            <v>0</v>
          </cell>
          <cell r="C514">
            <v>0</v>
          </cell>
          <cell r="D514">
            <v>0</v>
          </cell>
        </row>
        <row r="515">
          <cell r="A515">
            <v>0</v>
          </cell>
          <cell r="C515">
            <v>0</v>
          </cell>
          <cell r="D515">
            <v>0</v>
          </cell>
        </row>
        <row r="516">
          <cell r="A516">
            <v>0</v>
          </cell>
          <cell r="C516">
            <v>0</v>
          </cell>
          <cell r="D516">
            <v>0</v>
          </cell>
        </row>
        <row r="517">
          <cell r="A517">
            <v>0</v>
          </cell>
          <cell r="C517">
            <v>0</v>
          </cell>
          <cell r="D517">
            <v>0</v>
          </cell>
        </row>
        <row r="518">
          <cell r="A518">
            <v>0</v>
          </cell>
          <cell r="C518">
            <v>0</v>
          </cell>
          <cell r="D518">
            <v>0</v>
          </cell>
        </row>
        <row r="519">
          <cell r="A519">
            <v>0</v>
          </cell>
          <cell r="C519">
            <v>0</v>
          </cell>
          <cell r="D519">
            <v>0</v>
          </cell>
        </row>
        <row r="520">
          <cell r="A520">
            <v>0</v>
          </cell>
          <cell r="C520">
            <v>0</v>
          </cell>
          <cell r="D520">
            <v>0</v>
          </cell>
        </row>
        <row r="521">
          <cell r="A521">
            <v>0</v>
          </cell>
          <cell r="C521">
            <v>0</v>
          </cell>
          <cell r="D521">
            <v>0</v>
          </cell>
        </row>
        <row r="522">
          <cell r="A522">
            <v>0</v>
          </cell>
          <cell r="C522">
            <v>0</v>
          </cell>
          <cell r="D522">
            <v>0</v>
          </cell>
        </row>
        <row r="523">
          <cell r="A523">
            <v>0</v>
          </cell>
          <cell r="C523">
            <v>0</v>
          </cell>
          <cell r="D523">
            <v>0</v>
          </cell>
        </row>
        <row r="524">
          <cell r="A524">
            <v>0</v>
          </cell>
          <cell r="C524">
            <v>0</v>
          </cell>
          <cell r="D524">
            <v>0</v>
          </cell>
        </row>
        <row r="525">
          <cell r="A525">
            <v>0</v>
          </cell>
          <cell r="C525">
            <v>0</v>
          </cell>
          <cell r="D525">
            <v>0</v>
          </cell>
        </row>
        <row r="526">
          <cell r="A526">
            <v>0</v>
          </cell>
          <cell r="C526">
            <v>0</v>
          </cell>
          <cell r="D526">
            <v>0</v>
          </cell>
        </row>
        <row r="527">
          <cell r="A527">
            <v>0</v>
          </cell>
          <cell r="C527">
            <v>0</v>
          </cell>
          <cell r="D527">
            <v>0</v>
          </cell>
        </row>
        <row r="528">
          <cell r="A528">
            <v>0</v>
          </cell>
          <cell r="C528">
            <v>0</v>
          </cell>
          <cell r="D528">
            <v>0</v>
          </cell>
        </row>
        <row r="529">
          <cell r="A529">
            <v>0</v>
          </cell>
          <cell r="C529">
            <v>0</v>
          </cell>
          <cell r="D529">
            <v>0</v>
          </cell>
        </row>
        <row r="530">
          <cell r="A530">
            <v>0</v>
          </cell>
          <cell r="C530">
            <v>0</v>
          </cell>
          <cell r="D530">
            <v>0</v>
          </cell>
        </row>
        <row r="531">
          <cell r="A531">
            <v>0</v>
          </cell>
          <cell r="C531">
            <v>0</v>
          </cell>
          <cell r="D531">
            <v>0</v>
          </cell>
        </row>
        <row r="532">
          <cell r="A532">
            <v>0</v>
          </cell>
          <cell r="C532">
            <v>0</v>
          </cell>
          <cell r="D532">
            <v>0</v>
          </cell>
        </row>
        <row r="533">
          <cell r="A533">
            <v>0</v>
          </cell>
          <cell r="C533">
            <v>0</v>
          </cell>
          <cell r="D533">
            <v>0</v>
          </cell>
        </row>
        <row r="534">
          <cell r="A534">
            <v>0</v>
          </cell>
          <cell r="C534">
            <v>0</v>
          </cell>
          <cell r="D534">
            <v>0</v>
          </cell>
        </row>
        <row r="535">
          <cell r="A535">
            <v>0</v>
          </cell>
          <cell r="C535">
            <v>0</v>
          </cell>
          <cell r="D535">
            <v>0</v>
          </cell>
        </row>
        <row r="536">
          <cell r="A536">
            <v>0</v>
          </cell>
          <cell r="C536">
            <v>0</v>
          </cell>
          <cell r="D536">
            <v>0</v>
          </cell>
        </row>
        <row r="537">
          <cell r="A537">
            <v>0</v>
          </cell>
          <cell r="C537">
            <v>0</v>
          </cell>
          <cell r="D537">
            <v>0</v>
          </cell>
        </row>
        <row r="538">
          <cell r="A538">
            <v>0</v>
          </cell>
          <cell r="C538">
            <v>0</v>
          </cell>
          <cell r="D538">
            <v>0</v>
          </cell>
        </row>
        <row r="539">
          <cell r="A539">
            <v>0</v>
          </cell>
          <cell r="C539">
            <v>0</v>
          </cell>
          <cell r="D539">
            <v>0</v>
          </cell>
        </row>
        <row r="540">
          <cell r="A540">
            <v>0</v>
          </cell>
          <cell r="C540">
            <v>0</v>
          </cell>
          <cell r="D540">
            <v>0</v>
          </cell>
        </row>
        <row r="541">
          <cell r="A541">
            <v>0</v>
          </cell>
          <cell r="C541">
            <v>0</v>
          </cell>
          <cell r="D541">
            <v>0</v>
          </cell>
        </row>
        <row r="542">
          <cell r="A542">
            <v>0</v>
          </cell>
          <cell r="C542">
            <v>0</v>
          </cell>
          <cell r="D542">
            <v>0</v>
          </cell>
        </row>
        <row r="543">
          <cell r="A543">
            <v>0</v>
          </cell>
          <cell r="C543">
            <v>0</v>
          </cell>
          <cell r="D543">
            <v>0</v>
          </cell>
        </row>
        <row r="544">
          <cell r="A544">
            <v>0</v>
          </cell>
          <cell r="C544">
            <v>0</v>
          </cell>
          <cell r="D544">
            <v>0</v>
          </cell>
        </row>
        <row r="545">
          <cell r="A545">
            <v>0</v>
          </cell>
          <cell r="C545">
            <v>0</v>
          </cell>
          <cell r="D545">
            <v>0</v>
          </cell>
        </row>
        <row r="546">
          <cell r="A546">
            <v>0</v>
          </cell>
          <cell r="C546">
            <v>0</v>
          </cell>
          <cell r="D546">
            <v>0</v>
          </cell>
        </row>
        <row r="547">
          <cell r="A547">
            <v>0</v>
          </cell>
          <cell r="C547">
            <v>0</v>
          </cell>
          <cell r="D547">
            <v>0</v>
          </cell>
        </row>
        <row r="548">
          <cell r="A548">
            <v>0</v>
          </cell>
          <cell r="C548">
            <v>0</v>
          </cell>
          <cell r="D548">
            <v>0</v>
          </cell>
        </row>
        <row r="549">
          <cell r="A549">
            <v>0</v>
          </cell>
          <cell r="C549">
            <v>0</v>
          </cell>
          <cell r="D549">
            <v>0</v>
          </cell>
        </row>
        <row r="550">
          <cell r="A550">
            <v>0</v>
          </cell>
          <cell r="C550">
            <v>0</v>
          </cell>
          <cell r="D550">
            <v>0</v>
          </cell>
        </row>
        <row r="551">
          <cell r="A551">
            <v>0</v>
          </cell>
          <cell r="C551">
            <v>0</v>
          </cell>
          <cell r="D551">
            <v>0</v>
          </cell>
        </row>
        <row r="552">
          <cell r="A552">
            <v>0</v>
          </cell>
          <cell r="C552">
            <v>0</v>
          </cell>
          <cell r="D552">
            <v>0</v>
          </cell>
        </row>
        <row r="553">
          <cell r="A553">
            <v>0</v>
          </cell>
          <cell r="C553">
            <v>0</v>
          </cell>
          <cell r="D553">
            <v>0</v>
          </cell>
        </row>
        <row r="554">
          <cell r="A554">
            <v>0</v>
          </cell>
          <cell r="C554">
            <v>0</v>
          </cell>
          <cell r="D554">
            <v>0</v>
          </cell>
        </row>
        <row r="555">
          <cell r="A555">
            <v>0</v>
          </cell>
          <cell r="C555">
            <v>0</v>
          </cell>
          <cell r="D555">
            <v>0</v>
          </cell>
        </row>
        <row r="556">
          <cell r="A556">
            <v>0</v>
          </cell>
          <cell r="C556">
            <v>0</v>
          </cell>
          <cell r="D556">
            <v>0</v>
          </cell>
        </row>
        <row r="557">
          <cell r="A557">
            <v>0</v>
          </cell>
          <cell r="C557">
            <v>0</v>
          </cell>
          <cell r="D557">
            <v>0</v>
          </cell>
        </row>
        <row r="558">
          <cell r="A558">
            <v>0</v>
          </cell>
          <cell r="C558">
            <v>0</v>
          </cell>
          <cell r="D558">
            <v>0</v>
          </cell>
        </row>
        <row r="559">
          <cell r="A559">
            <v>0</v>
          </cell>
          <cell r="C559">
            <v>0</v>
          </cell>
          <cell r="D559">
            <v>0</v>
          </cell>
        </row>
        <row r="560">
          <cell r="A560">
            <v>0</v>
          </cell>
          <cell r="C560">
            <v>0</v>
          </cell>
          <cell r="D560">
            <v>0</v>
          </cell>
        </row>
        <row r="561">
          <cell r="A561">
            <v>0</v>
          </cell>
          <cell r="C561">
            <v>0</v>
          </cell>
          <cell r="D561">
            <v>0</v>
          </cell>
        </row>
        <row r="562">
          <cell r="A562">
            <v>0</v>
          </cell>
          <cell r="C562">
            <v>0</v>
          </cell>
          <cell r="D562">
            <v>0</v>
          </cell>
        </row>
        <row r="563">
          <cell r="A563">
            <v>0</v>
          </cell>
          <cell r="C563">
            <v>0</v>
          </cell>
          <cell r="D563">
            <v>0</v>
          </cell>
        </row>
        <row r="564">
          <cell r="A564">
            <v>0</v>
          </cell>
          <cell r="C564">
            <v>0</v>
          </cell>
          <cell r="D564">
            <v>0</v>
          </cell>
        </row>
        <row r="565">
          <cell r="A565">
            <v>0</v>
          </cell>
          <cell r="C565">
            <v>0</v>
          </cell>
          <cell r="D565">
            <v>0</v>
          </cell>
        </row>
        <row r="566">
          <cell r="A566">
            <v>0</v>
          </cell>
          <cell r="C566">
            <v>0</v>
          </cell>
          <cell r="D566">
            <v>0</v>
          </cell>
        </row>
        <row r="567">
          <cell r="A567">
            <v>0</v>
          </cell>
          <cell r="C567">
            <v>0</v>
          </cell>
          <cell r="D567">
            <v>0</v>
          </cell>
        </row>
        <row r="568">
          <cell r="A568">
            <v>0</v>
          </cell>
          <cell r="C568">
            <v>0</v>
          </cell>
          <cell r="D568">
            <v>0</v>
          </cell>
        </row>
        <row r="569">
          <cell r="A569">
            <v>0</v>
          </cell>
          <cell r="C569">
            <v>0</v>
          </cell>
          <cell r="D569">
            <v>0</v>
          </cell>
        </row>
        <row r="570">
          <cell r="A570">
            <v>0</v>
          </cell>
          <cell r="C570">
            <v>0</v>
          </cell>
          <cell r="D570">
            <v>0</v>
          </cell>
        </row>
        <row r="571">
          <cell r="A571">
            <v>0</v>
          </cell>
          <cell r="C571">
            <v>0</v>
          </cell>
          <cell r="D571">
            <v>0</v>
          </cell>
        </row>
        <row r="572">
          <cell r="A572">
            <v>0</v>
          </cell>
          <cell r="C572">
            <v>0</v>
          </cell>
          <cell r="D572">
            <v>0</v>
          </cell>
        </row>
        <row r="573">
          <cell r="A573">
            <v>0</v>
          </cell>
          <cell r="C573">
            <v>0</v>
          </cell>
          <cell r="D573">
            <v>0</v>
          </cell>
        </row>
        <row r="574">
          <cell r="A574">
            <v>0</v>
          </cell>
          <cell r="C574">
            <v>0</v>
          </cell>
          <cell r="D574">
            <v>0</v>
          </cell>
        </row>
        <row r="575">
          <cell r="A575">
            <v>0</v>
          </cell>
          <cell r="C575">
            <v>0</v>
          </cell>
          <cell r="D575">
            <v>0</v>
          </cell>
        </row>
        <row r="576">
          <cell r="A576">
            <v>0</v>
          </cell>
          <cell r="C576">
            <v>0</v>
          </cell>
          <cell r="D576">
            <v>0</v>
          </cell>
        </row>
        <row r="577">
          <cell r="A577">
            <v>0</v>
          </cell>
          <cell r="C577">
            <v>0</v>
          </cell>
          <cell r="D577">
            <v>0</v>
          </cell>
        </row>
        <row r="578">
          <cell r="A578">
            <v>0</v>
          </cell>
          <cell r="C578">
            <v>0</v>
          </cell>
          <cell r="D578">
            <v>0</v>
          </cell>
        </row>
        <row r="579">
          <cell r="A579">
            <v>0</v>
          </cell>
          <cell r="C579">
            <v>0</v>
          </cell>
          <cell r="D579">
            <v>0</v>
          </cell>
        </row>
        <row r="580">
          <cell r="A580">
            <v>0</v>
          </cell>
          <cell r="C580">
            <v>0</v>
          </cell>
          <cell r="D580">
            <v>0</v>
          </cell>
        </row>
        <row r="581">
          <cell r="A581">
            <v>0</v>
          </cell>
          <cell r="C581">
            <v>0</v>
          </cell>
          <cell r="D581">
            <v>0</v>
          </cell>
        </row>
        <row r="582">
          <cell r="A582">
            <v>0</v>
          </cell>
          <cell r="C582">
            <v>0</v>
          </cell>
          <cell r="D582">
            <v>0</v>
          </cell>
        </row>
        <row r="583">
          <cell r="A583">
            <v>0</v>
          </cell>
          <cell r="C583">
            <v>0</v>
          </cell>
          <cell r="D583">
            <v>0</v>
          </cell>
        </row>
        <row r="584">
          <cell r="A584">
            <v>0</v>
          </cell>
          <cell r="C584">
            <v>0</v>
          </cell>
          <cell r="D584">
            <v>0</v>
          </cell>
        </row>
        <row r="585">
          <cell r="A585">
            <v>0</v>
          </cell>
          <cell r="C585">
            <v>0</v>
          </cell>
          <cell r="D585">
            <v>0</v>
          </cell>
        </row>
        <row r="586">
          <cell r="A586">
            <v>0</v>
          </cell>
          <cell r="C586">
            <v>0</v>
          </cell>
          <cell r="D586">
            <v>0</v>
          </cell>
        </row>
        <row r="587">
          <cell r="A587">
            <v>0</v>
          </cell>
          <cell r="C587">
            <v>0</v>
          </cell>
          <cell r="D587">
            <v>0</v>
          </cell>
        </row>
        <row r="588">
          <cell r="A588">
            <v>0</v>
          </cell>
          <cell r="C588">
            <v>0</v>
          </cell>
          <cell r="D588">
            <v>0</v>
          </cell>
        </row>
        <row r="589">
          <cell r="A589">
            <v>0</v>
          </cell>
          <cell r="C589">
            <v>0</v>
          </cell>
          <cell r="D589">
            <v>0</v>
          </cell>
        </row>
        <row r="590">
          <cell r="A590">
            <v>0</v>
          </cell>
          <cell r="C590">
            <v>0</v>
          </cell>
          <cell r="D590">
            <v>0</v>
          </cell>
        </row>
        <row r="591">
          <cell r="A591">
            <v>0</v>
          </cell>
          <cell r="C591">
            <v>0</v>
          </cell>
          <cell r="D591">
            <v>0</v>
          </cell>
        </row>
        <row r="592">
          <cell r="A592">
            <v>0</v>
          </cell>
          <cell r="C592">
            <v>0</v>
          </cell>
          <cell r="D592">
            <v>0</v>
          </cell>
        </row>
        <row r="593">
          <cell r="A593">
            <v>0</v>
          </cell>
          <cell r="C593">
            <v>0</v>
          </cell>
          <cell r="D593">
            <v>0</v>
          </cell>
        </row>
        <row r="594">
          <cell r="A594">
            <v>0</v>
          </cell>
          <cell r="C594">
            <v>0</v>
          </cell>
          <cell r="D594">
            <v>0</v>
          </cell>
        </row>
        <row r="595">
          <cell r="A595">
            <v>0</v>
          </cell>
          <cell r="C595">
            <v>0</v>
          </cell>
          <cell r="D595">
            <v>0</v>
          </cell>
        </row>
        <row r="596">
          <cell r="A596">
            <v>0</v>
          </cell>
          <cell r="C596">
            <v>0</v>
          </cell>
          <cell r="D596">
            <v>0</v>
          </cell>
        </row>
        <row r="597">
          <cell r="A597">
            <v>0</v>
          </cell>
          <cell r="C597">
            <v>0</v>
          </cell>
          <cell r="D597">
            <v>0</v>
          </cell>
        </row>
        <row r="598">
          <cell r="A598">
            <v>0</v>
          </cell>
          <cell r="C598">
            <v>0</v>
          </cell>
          <cell r="D598">
            <v>0</v>
          </cell>
        </row>
        <row r="599">
          <cell r="A599">
            <v>0</v>
          </cell>
          <cell r="C599">
            <v>0</v>
          </cell>
          <cell r="D599">
            <v>0</v>
          </cell>
        </row>
        <row r="600">
          <cell r="A600">
            <v>0</v>
          </cell>
          <cell r="C600">
            <v>0</v>
          </cell>
          <cell r="D600">
            <v>0</v>
          </cell>
        </row>
        <row r="601">
          <cell r="A601">
            <v>0</v>
          </cell>
          <cell r="C601">
            <v>0</v>
          </cell>
          <cell r="D601">
            <v>0</v>
          </cell>
        </row>
        <row r="602">
          <cell r="A602">
            <v>0</v>
          </cell>
          <cell r="C602">
            <v>0</v>
          </cell>
          <cell r="D602">
            <v>0</v>
          </cell>
        </row>
        <row r="603">
          <cell r="A603">
            <v>0</v>
          </cell>
          <cell r="C603">
            <v>0</v>
          </cell>
          <cell r="D603">
            <v>0</v>
          </cell>
        </row>
        <row r="604">
          <cell r="A604">
            <v>0</v>
          </cell>
          <cell r="C604">
            <v>0</v>
          </cell>
          <cell r="D604">
            <v>0</v>
          </cell>
        </row>
        <row r="605">
          <cell r="A605">
            <v>0</v>
          </cell>
          <cell r="C605">
            <v>0</v>
          </cell>
          <cell r="D605">
            <v>0</v>
          </cell>
        </row>
        <row r="606">
          <cell r="A606">
            <v>0</v>
          </cell>
          <cell r="C606">
            <v>0</v>
          </cell>
          <cell r="D606">
            <v>0</v>
          </cell>
        </row>
        <row r="607">
          <cell r="A607">
            <v>0</v>
          </cell>
          <cell r="C607">
            <v>0</v>
          </cell>
          <cell r="D607">
            <v>0</v>
          </cell>
        </row>
        <row r="608">
          <cell r="A608">
            <v>0</v>
          </cell>
          <cell r="C608">
            <v>0</v>
          </cell>
          <cell r="D608">
            <v>0</v>
          </cell>
        </row>
        <row r="609">
          <cell r="A609">
            <v>0</v>
          </cell>
          <cell r="C609">
            <v>0</v>
          </cell>
          <cell r="D609">
            <v>0</v>
          </cell>
        </row>
        <row r="610">
          <cell r="A610">
            <v>0</v>
          </cell>
          <cell r="C610">
            <v>0</v>
          </cell>
          <cell r="D610">
            <v>0</v>
          </cell>
        </row>
        <row r="611">
          <cell r="A611">
            <v>0</v>
          </cell>
          <cell r="C611">
            <v>0</v>
          </cell>
          <cell r="D611">
            <v>0</v>
          </cell>
        </row>
        <row r="612">
          <cell r="A612">
            <v>0</v>
          </cell>
          <cell r="C612">
            <v>0</v>
          </cell>
          <cell r="D612">
            <v>0</v>
          </cell>
        </row>
        <row r="613">
          <cell r="A613">
            <v>0</v>
          </cell>
          <cell r="C613">
            <v>0</v>
          </cell>
          <cell r="D613">
            <v>0</v>
          </cell>
        </row>
        <row r="614">
          <cell r="A614">
            <v>0</v>
          </cell>
          <cell r="C614">
            <v>0</v>
          </cell>
          <cell r="D614">
            <v>0</v>
          </cell>
        </row>
        <row r="615">
          <cell r="A615">
            <v>0</v>
          </cell>
          <cell r="C615">
            <v>0</v>
          </cell>
          <cell r="D615">
            <v>0</v>
          </cell>
        </row>
        <row r="616">
          <cell r="A616">
            <v>0</v>
          </cell>
          <cell r="C616">
            <v>0</v>
          </cell>
          <cell r="D616">
            <v>0</v>
          </cell>
        </row>
        <row r="617">
          <cell r="A617">
            <v>0</v>
          </cell>
          <cell r="C617">
            <v>0</v>
          </cell>
          <cell r="D617">
            <v>0</v>
          </cell>
        </row>
        <row r="618">
          <cell r="A618">
            <v>0</v>
          </cell>
          <cell r="C618">
            <v>0</v>
          </cell>
          <cell r="D618">
            <v>0</v>
          </cell>
        </row>
        <row r="619">
          <cell r="A619">
            <v>0</v>
          </cell>
          <cell r="C619">
            <v>0</v>
          </cell>
          <cell r="D619">
            <v>0</v>
          </cell>
        </row>
        <row r="620">
          <cell r="A620">
            <v>0</v>
          </cell>
          <cell r="C620">
            <v>0</v>
          </cell>
          <cell r="D620">
            <v>0</v>
          </cell>
        </row>
        <row r="621">
          <cell r="A621">
            <v>0</v>
          </cell>
          <cell r="C621">
            <v>0</v>
          </cell>
          <cell r="D621">
            <v>0</v>
          </cell>
        </row>
        <row r="622">
          <cell r="A622">
            <v>0</v>
          </cell>
          <cell r="C622">
            <v>0</v>
          </cell>
          <cell r="D622">
            <v>0</v>
          </cell>
        </row>
        <row r="623">
          <cell r="A623">
            <v>0</v>
          </cell>
          <cell r="C623">
            <v>0</v>
          </cell>
          <cell r="D623">
            <v>0</v>
          </cell>
        </row>
        <row r="624">
          <cell r="A624">
            <v>0</v>
          </cell>
          <cell r="C624">
            <v>0</v>
          </cell>
          <cell r="D624">
            <v>0</v>
          </cell>
        </row>
        <row r="625">
          <cell r="A625">
            <v>0</v>
          </cell>
          <cell r="C625">
            <v>0</v>
          </cell>
          <cell r="D625">
            <v>0</v>
          </cell>
        </row>
        <row r="626">
          <cell r="A626">
            <v>0</v>
          </cell>
          <cell r="C626">
            <v>0</v>
          </cell>
          <cell r="D626">
            <v>0</v>
          </cell>
        </row>
        <row r="627">
          <cell r="A627">
            <v>0</v>
          </cell>
          <cell r="C627">
            <v>0</v>
          </cell>
          <cell r="D627">
            <v>0</v>
          </cell>
        </row>
        <row r="628">
          <cell r="A628">
            <v>0</v>
          </cell>
          <cell r="C628">
            <v>0</v>
          </cell>
          <cell r="D628">
            <v>0</v>
          </cell>
        </row>
        <row r="629">
          <cell r="A629">
            <v>0</v>
          </cell>
          <cell r="C629">
            <v>0</v>
          </cell>
          <cell r="D629">
            <v>0</v>
          </cell>
        </row>
        <row r="630">
          <cell r="A630">
            <v>0</v>
          </cell>
          <cell r="C630">
            <v>0</v>
          </cell>
          <cell r="D630">
            <v>0</v>
          </cell>
        </row>
        <row r="631">
          <cell r="A631">
            <v>0</v>
          </cell>
          <cell r="C631">
            <v>0</v>
          </cell>
          <cell r="D631">
            <v>0</v>
          </cell>
        </row>
        <row r="632">
          <cell r="A632">
            <v>0</v>
          </cell>
          <cell r="C632">
            <v>0</v>
          </cell>
          <cell r="D632">
            <v>0</v>
          </cell>
        </row>
        <row r="633">
          <cell r="A633">
            <v>0</v>
          </cell>
          <cell r="C633">
            <v>0</v>
          </cell>
          <cell r="D633">
            <v>0</v>
          </cell>
        </row>
        <row r="634">
          <cell r="A634">
            <v>0</v>
          </cell>
          <cell r="C634">
            <v>0</v>
          </cell>
          <cell r="D634">
            <v>0</v>
          </cell>
        </row>
        <row r="635">
          <cell r="A635">
            <v>0</v>
          </cell>
          <cell r="C635">
            <v>0</v>
          </cell>
          <cell r="D635">
            <v>0</v>
          </cell>
        </row>
        <row r="636">
          <cell r="A636">
            <v>0</v>
          </cell>
          <cell r="C636">
            <v>0</v>
          </cell>
          <cell r="D636">
            <v>0</v>
          </cell>
        </row>
        <row r="637">
          <cell r="A637">
            <v>0</v>
          </cell>
          <cell r="C637">
            <v>0</v>
          </cell>
          <cell r="D637">
            <v>0</v>
          </cell>
        </row>
        <row r="638">
          <cell r="A638">
            <v>0</v>
          </cell>
          <cell r="C638">
            <v>0</v>
          </cell>
          <cell r="D638">
            <v>0</v>
          </cell>
        </row>
        <row r="639">
          <cell r="A639">
            <v>0</v>
          </cell>
          <cell r="C639">
            <v>0</v>
          </cell>
          <cell r="D639">
            <v>0</v>
          </cell>
        </row>
        <row r="640">
          <cell r="A640">
            <v>0</v>
          </cell>
          <cell r="C640">
            <v>0</v>
          </cell>
          <cell r="D640">
            <v>0</v>
          </cell>
        </row>
        <row r="641">
          <cell r="A641">
            <v>0</v>
          </cell>
          <cell r="C641">
            <v>0</v>
          </cell>
          <cell r="D641">
            <v>0</v>
          </cell>
        </row>
        <row r="642">
          <cell r="A642">
            <v>0</v>
          </cell>
          <cell r="C642">
            <v>0</v>
          </cell>
          <cell r="D642">
            <v>0</v>
          </cell>
        </row>
        <row r="643">
          <cell r="A643">
            <v>0</v>
          </cell>
          <cell r="C643">
            <v>0</v>
          </cell>
          <cell r="D643">
            <v>0</v>
          </cell>
        </row>
        <row r="644">
          <cell r="A644">
            <v>0</v>
          </cell>
          <cell r="C644">
            <v>0</v>
          </cell>
          <cell r="D644">
            <v>0</v>
          </cell>
        </row>
        <row r="645">
          <cell r="A645">
            <v>0</v>
          </cell>
          <cell r="C645">
            <v>0</v>
          </cell>
          <cell r="D645">
            <v>0</v>
          </cell>
        </row>
        <row r="646">
          <cell r="A646">
            <v>0</v>
          </cell>
          <cell r="C646">
            <v>0</v>
          </cell>
          <cell r="D646">
            <v>0</v>
          </cell>
        </row>
        <row r="647">
          <cell r="A647">
            <v>0</v>
          </cell>
          <cell r="C647">
            <v>0</v>
          </cell>
          <cell r="D647">
            <v>0</v>
          </cell>
        </row>
        <row r="648">
          <cell r="A648">
            <v>0</v>
          </cell>
          <cell r="C648">
            <v>0</v>
          </cell>
          <cell r="D648">
            <v>0</v>
          </cell>
        </row>
        <row r="649">
          <cell r="A649">
            <v>0</v>
          </cell>
          <cell r="C649">
            <v>0</v>
          </cell>
          <cell r="D649">
            <v>0</v>
          </cell>
        </row>
        <row r="650">
          <cell r="A650">
            <v>0</v>
          </cell>
          <cell r="C650">
            <v>0</v>
          </cell>
          <cell r="D650">
            <v>0</v>
          </cell>
        </row>
        <row r="651">
          <cell r="A651">
            <v>0</v>
          </cell>
          <cell r="C651">
            <v>0</v>
          </cell>
          <cell r="D651">
            <v>0</v>
          </cell>
        </row>
        <row r="652">
          <cell r="A652">
            <v>0</v>
          </cell>
          <cell r="C652">
            <v>0</v>
          </cell>
          <cell r="D652">
            <v>0</v>
          </cell>
        </row>
        <row r="653">
          <cell r="A653">
            <v>0</v>
          </cell>
          <cell r="C653">
            <v>0</v>
          </cell>
          <cell r="D653">
            <v>0</v>
          </cell>
        </row>
        <row r="654">
          <cell r="A654">
            <v>0</v>
          </cell>
          <cell r="C654">
            <v>0</v>
          </cell>
          <cell r="D654">
            <v>0</v>
          </cell>
        </row>
        <row r="655">
          <cell r="A655">
            <v>0</v>
          </cell>
          <cell r="C655">
            <v>0</v>
          </cell>
          <cell r="D655">
            <v>0</v>
          </cell>
        </row>
        <row r="656">
          <cell r="A656">
            <v>0</v>
          </cell>
          <cell r="C656">
            <v>0</v>
          </cell>
          <cell r="D656">
            <v>0</v>
          </cell>
        </row>
        <row r="657">
          <cell r="A657">
            <v>0</v>
          </cell>
          <cell r="C657">
            <v>0</v>
          </cell>
          <cell r="D657">
            <v>0</v>
          </cell>
        </row>
        <row r="658">
          <cell r="A658">
            <v>0</v>
          </cell>
          <cell r="C658">
            <v>0</v>
          </cell>
          <cell r="D658">
            <v>0</v>
          </cell>
        </row>
        <row r="659">
          <cell r="A659">
            <v>0</v>
          </cell>
          <cell r="C659">
            <v>0</v>
          </cell>
          <cell r="D659">
            <v>0</v>
          </cell>
        </row>
        <row r="660">
          <cell r="A660">
            <v>0</v>
          </cell>
          <cell r="C660">
            <v>0</v>
          </cell>
          <cell r="D660">
            <v>0</v>
          </cell>
        </row>
        <row r="661">
          <cell r="A661">
            <v>0</v>
          </cell>
          <cell r="C661">
            <v>0</v>
          </cell>
          <cell r="D661">
            <v>0</v>
          </cell>
        </row>
        <row r="662">
          <cell r="A662">
            <v>0</v>
          </cell>
          <cell r="C662">
            <v>0</v>
          </cell>
          <cell r="D662">
            <v>0</v>
          </cell>
        </row>
        <row r="663">
          <cell r="A663">
            <v>0</v>
          </cell>
          <cell r="C663">
            <v>0</v>
          </cell>
          <cell r="D663">
            <v>0</v>
          </cell>
        </row>
        <row r="664">
          <cell r="A664">
            <v>0</v>
          </cell>
          <cell r="C664">
            <v>0</v>
          </cell>
          <cell r="D664">
            <v>0</v>
          </cell>
        </row>
        <row r="665">
          <cell r="A665">
            <v>0</v>
          </cell>
          <cell r="C665">
            <v>0</v>
          </cell>
          <cell r="D665">
            <v>0</v>
          </cell>
        </row>
        <row r="666">
          <cell r="A666">
            <v>0</v>
          </cell>
          <cell r="C666">
            <v>0</v>
          </cell>
          <cell r="D666">
            <v>0</v>
          </cell>
        </row>
        <row r="667">
          <cell r="A667">
            <v>0</v>
          </cell>
          <cell r="C667">
            <v>0</v>
          </cell>
          <cell r="D667">
            <v>0</v>
          </cell>
        </row>
        <row r="668">
          <cell r="A668">
            <v>0</v>
          </cell>
          <cell r="C668">
            <v>0</v>
          </cell>
          <cell r="D668">
            <v>0</v>
          </cell>
        </row>
        <row r="669">
          <cell r="A669">
            <v>0</v>
          </cell>
          <cell r="C669">
            <v>0</v>
          </cell>
          <cell r="D669">
            <v>0</v>
          </cell>
        </row>
        <row r="670">
          <cell r="A670">
            <v>0</v>
          </cell>
          <cell r="C670">
            <v>0</v>
          </cell>
          <cell r="D670">
            <v>0</v>
          </cell>
        </row>
        <row r="671">
          <cell r="A671">
            <v>0</v>
          </cell>
          <cell r="C671">
            <v>0</v>
          </cell>
          <cell r="D671">
            <v>0</v>
          </cell>
        </row>
        <row r="672">
          <cell r="A672">
            <v>0</v>
          </cell>
          <cell r="C672">
            <v>0</v>
          </cell>
          <cell r="D672">
            <v>0</v>
          </cell>
        </row>
        <row r="673">
          <cell r="A673">
            <v>0</v>
          </cell>
          <cell r="C673">
            <v>0</v>
          </cell>
          <cell r="D673">
            <v>0</v>
          </cell>
        </row>
        <row r="674">
          <cell r="A674">
            <v>0</v>
          </cell>
          <cell r="C674">
            <v>0</v>
          </cell>
          <cell r="D674">
            <v>0</v>
          </cell>
        </row>
        <row r="675">
          <cell r="A675">
            <v>0</v>
          </cell>
          <cell r="C675">
            <v>0</v>
          </cell>
          <cell r="D675">
            <v>0</v>
          </cell>
        </row>
        <row r="676">
          <cell r="A676">
            <v>0</v>
          </cell>
          <cell r="C676">
            <v>0</v>
          </cell>
          <cell r="D676">
            <v>0</v>
          </cell>
        </row>
        <row r="677">
          <cell r="A677">
            <v>0</v>
          </cell>
          <cell r="C677">
            <v>0</v>
          </cell>
          <cell r="D677">
            <v>0</v>
          </cell>
        </row>
        <row r="678">
          <cell r="A678">
            <v>0</v>
          </cell>
          <cell r="C678">
            <v>0</v>
          </cell>
          <cell r="D678">
            <v>0</v>
          </cell>
        </row>
        <row r="679">
          <cell r="A679">
            <v>0</v>
          </cell>
          <cell r="C679">
            <v>0</v>
          </cell>
          <cell r="D679">
            <v>0</v>
          </cell>
        </row>
        <row r="680">
          <cell r="A680">
            <v>0</v>
          </cell>
          <cell r="C680">
            <v>0</v>
          </cell>
          <cell r="D680">
            <v>0</v>
          </cell>
        </row>
        <row r="681">
          <cell r="A681">
            <v>0</v>
          </cell>
          <cell r="C681">
            <v>0</v>
          </cell>
          <cell r="D681">
            <v>0</v>
          </cell>
        </row>
        <row r="682">
          <cell r="A682">
            <v>0</v>
          </cell>
          <cell r="C682">
            <v>0</v>
          </cell>
          <cell r="D682">
            <v>0</v>
          </cell>
        </row>
        <row r="683">
          <cell r="A683">
            <v>0</v>
          </cell>
          <cell r="C683">
            <v>0</v>
          </cell>
          <cell r="D683">
            <v>0</v>
          </cell>
        </row>
        <row r="684">
          <cell r="A684">
            <v>0</v>
          </cell>
          <cell r="C684">
            <v>0</v>
          </cell>
          <cell r="D684">
            <v>0</v>
          </cell>
        </row>
        <row r="685">
          <cell r="A685">
            <v>0</v>
          </cell>
          <cell r="C685">
            <v>0</v>
          </cell>
          <cell r="D685">
            <v>0</v>
          </cell>
        </row>
        <row r="686">
          <cell r="A686">
            <v>0</v>
          </cell>
          <cell r="C686">
            <v>0</v>
          </cell>
          <cell r="D686">
            <v>0</v>
          </cell>
        </row>
        <row r="687">
          <cell r="A687">
            <v>0</v>
          </cell>
          <cell r="C687">
            <v>0</v>
          </cell>
          <cell r="D687">
            <v>0</v>
          </cell>
        </row>
        <row r="688">
          <cell r="A688">
            <v>0</v>
          </cell>
          <cell r="C688">
            <v>0</v>
          </cell>
          <cell r="D688">
            <v>0</v>
          </cell>
        </row>
        <row r="689">
          <cell r="A689">
            <v>0</v>
          </cell>
          <cell r="C689">
            <v>0</v>
          </cell>
          <cell r="D689">
            <v>0</v>
          </cell>
        </row>
        <row r="690">
          <cell r="A690">
            <v>0</v>
          </cell>
          <cell r="C690">
            <v>0</v>
          </cell>
          <cell r="D690">
            <v>0</v>
          </cell>
        </row>
        <row r="691">
          <cell r="A691">
            <v>0</v>
          </cell>
          <cell r="C691">
            <v>0</v>
          </cell>
          <cell r="D691">
            <v>0</v>
          </cell>
        </row>
        <row r="692">
          <cell r="A692">
            <v>0</v>
          </cell>
          <cell r="C692">
            <v>0</v>
          </cell>
          <cell r="D692">
            <v>0</v>
          </cell>
        </row>
        <row r="693">
          <cell r="A693">
            <v>0</v>
          </cell>
          <cell r="C693">
            <v>0</v>
          </cell>
          <cell r="D693">
            <v>0</v>
          </cell>
        </row>
        <row r="694">
          <cell r="A694">
            <v>0</v>
          </cell>
          <cell r="C694">
            <v>0</v>
          </cell>
          <cell r="D694">
            <v>0</v>
          </cell>
        </row>
        <row r="695">
          <cell r="A695">
            <v>0</v>
          </cell>
          <cell r="C695">
            <v>0</v>
          </cell>
          <cell r="D695">
            <v>0</v>
          </cell>
        </row>
        <row r="696">
          <cell r="A696">
            <v>0</v>
          </cell>
          <cell r="C696">
            <v>0</v>
          </cell>
          <cell r="D696">
            <v>0</v>
          </cell>
        </row>
        <row r="697">
          <cell r="A697">
            <v>0</v>
          </cell>
          <cell r="C697">
            <v>0</v>
          </cell>
          <cell r="D697">
            <v>0</v>
          </cell>
        </row>
        <row r="698">
          <cell r="A698">
            <v>0</v>
          </cell>
          <cell r="C698">
            <v>0</v>
          </cell>
          <cell r="D698">
            <v>0</v>
          </cell>
        </row>
        <row r="699">
          <cell r="A699">
            <v>0</v>
          </cell>
          <cell r="C699">
            <v>0</v>
          </cell>
          <cell r="D699">
            <v>0</v>
          </cell>
        </row>
        <row r="700">
          <cell r="A700">
            <v>0</v>
          </cell>
          <cell r="C700">
            <v>0</v>
          </cell>
          <cell r="D700">
            <v>0</v>
          </cell>
        </row>
        <row r="701">
          <cell r="A701">
            <v>0</v>
          </cell>
          <cell r="C701">
            <v>0</v>
          </cell>
          <cell r="D701">
            <v>0</v>
          </cell>
        </row>
        <row r="702">
          <cell r="A702">
            <v>0</v>
          </cell>
          <cell r="C702">
            <v>0</v>
          </cell>
          <cell r="D702">
            <v>0</v>
          </cell>
        </row>
        <row r="703">
          <cell r="A703">
            <v>0</v>
          </cell>
          <cell r="C703">
            <v>0</v>
          </cell>
          <cell r="D703">
            <v>0</v>
          </cell>
        </row>
        <row r="704">
          <cell r="A704">
            <v>0</v>
          </cell>
          <cell r="C704">
            <v>0</v>
          </cell>
          <cell r="D704">
            <v>0</v>
          </cell>
        </row>
        <row r="705">
          <cell r="A705">
            <v>0</v>
          </cell>
          <cell r="C705">
            <v>0</v>
          </cell>
          <cell r="D705">
            <v>0</v>
          </cell>
        </row>
        <row r="706">
          <cell r="A706">
            <v>0</v>
          </cell>
          <cell r="C706">
            <v>0</v>
          </cell>
          <cell r="D706">
            <v>0</v>
          </cell>
        </row>
        <row r="707">
          <cell r="A707">
            <v>0</v>
          </cell>
          <cell r="C707">
            <v>0</v>
          </cell>
          <cell r="D707">
            <v>0</v>
          </cell>
        </row>
        <row r="708">
          <cell r="A708">
            <v>0</v>
          </cell>
          <cell r="C708">
            <v>0</v>
          </cell>
          <cell r="D708">
            <v>0</v>
          </cell>
        </row>
        <row r="709">
          <cell r="A709">
            <v>0</v>
          </cell>
          <cell r="C709">
            <v>0</v>
          </cell>
          <cell r="D709">
            <v>0</v>
          </cell>
        </row>
        <row r="710">
          <cell r="A710">
            <v>0</v>
          </cell>
          <cell r="C710">
            <v>0</v>
          </cell>
          <cell r="D710">
            <v>0</v>
          </cell>
        </row>
        <row r="711">
          <cell r="A711">
            <v>0</v>
          </cell>
          <cell r="C711">
            <v>0</v>
          </cell>
          <cell r="D711">
            <v>0</v>
          </cell>
        </row>
        <row r="712">
          <cell r="A712">
            <v>0</v>
          </cell>
          <cell r="C712">
            <v>0</v>
          </cell>
          <cell r="D712">
            <v>0</v>
          </cell>
        </row>
        <row r="713">
          <cell r="A713">
            <v>0</v>
          </cell>
          <cell r="C713">
            <v>0</v>
          </cell>
          <cell r="D713">
            <v>0</v>
          </cell>
        </row>
        <row r="714">
          <cell r="A714">
            <v>0</v>
          </cell>
          <cell r="C714">
            <v>0</v>
          </cell>
          <cell r="D714">
            <v>0</v>
          </cell>
        </row>
        <row r="715">
          <cell r="A715">
            <v>0</v>
          </cell>
          <cell r="C715">
            <v>0</v>
          </cell>
          <cell r="D715">
            <v>0</v>
          </cell>
        </row>
        <row r="716">
          <cell r="A716">
            <v>0</v>
          </cell>
          <cell r="C716">
            <v>0</v>
          </cell>
          <cell r="D716">
            <v>0</v>
          </cell>
        </row>
        <row r="717">
          <cell r="A717">
            <v>0</v>
          </cell>
          <cell r="C717">
            <v>0</v>
          </cell>
          <cell r="D717">
            <v>0</v>
          </cell>
        </row>
        <row r="718">
          <cell r="A718">
            <v>0</v>
          </cell>
          <cell r="C718">
            <v>0</v>
          </cell>
          <cell r="D718">
            <v>0</v>
          </cell>
        </row>
        <row r="719">
          <cell r="A719">
            <v>0</v>
          </cell>
          <cell r="C719">
            <v>0</v>
          </cell>
          <cell r="D719">
            <v>0</v>
          </cell>
        </row>
        <row r="720">
          <cell r="A720">
            <v>0</v>
          </cell>
          <cell r="C720">
            <v>0</v>
          </cell>
          <cell r="D720">
            <v>0</v>
          </cell>
        </row>
        <row r="721">
          <cell r="A721">
            <v>0</v>
          </cell>
          <cell r="C721">
            <v>0</v>
          </cell>
          <cell r="D721">
            <v>0</v>
          </cell>
        </row>
        <row r="722">
          <cell r="A722">
            <v>0</v>
          </cell>
          <cell r="C722">
            <v>0</v>
          </cell>
          <cell r="D722">
            <v>0</v>
          </cell>
        </row>
        <row r="723">
          <cell r="A723">
            <v>0</v>
          </cell>
          <cell r="C723">
            <v>0</v>
          </cell>
          <cell r="D723">
            <v>0</v>
          </cell>
        </row>
        <row r="724">
          <cell r="A724">
            <v>0</v>
          </cell>
          <cell r="C724">
            <v>0</v>
          </cell>
          <cell r="D724">
            <v>0</v>
          </cell>
        </row>
        <row r="725">
          <cell r="A725">
            <v>0</v>
          </cell>
          <cell r="C725">
            <v>0</v>
          </cell>
          <cell r="D725">
            <v>0</v>
          </cell>
        </row>
        <row r="726">
          <cell r="A726">
            <v>0</v>
          </cell>
          <cell r="C726">
            <v>0</v>
          </cell>
          <cell r="D726">
            <v>0</v>
          </cell>
        </row>
        <row r="727">
          <cell r="A727">
            <v>0</v>
          </cell>
          <cell r="C727">
            <v>0</v>
          </cell>
          <cell r="D727">
            <v>0</v>
          </cell>
        </row>
        <row r="728">
          <cell r="A728">
            <v>0</v>
          </cell>
          <cell r="C728">
            <v>0</v>
          </cell>
          <cell r="D728">
            <v>0</v>
          </cell>
        </row>
        <row r="729">
          <cell r="A729">
            <v>0</v>
          </cell>
          <cell r="C729">
            <v>0</v>
          </cell>
          <cell r="D729">
            <v>0</v>
          </cell>
        </row>
        <row r="730">
          <cell r="A730">
            <v>0</v>
          </cell>
          <cell r="C730">
            <v>0</v>
          </cell>
          <cell r="D730">
            <v>0</v>
          </cell>
        </row>
        <row r="731">
          <cell r="A731">
            <v>0</v>
          </cell>
          <cell r="C731">
            <v>0</v>
          </cell>
          <cell r="D731">
            <v>0</v>
          </cell>
        </row>
        <row r="732">
          <cell r="A732">
            <v>0</v>
          </cell>
          <cell r="C732">
            <v>0</v>
          </cell>
          <cell r="D732">
            <v>0</v>
          </cell>
        </row>
        <row r="733">
          <cell r="A733">
            <v>0</v>
          </cell>
          <cell r="C733">
            <v>0</v>
          </cell>
          <cell r="D733">
            <v>0</v>
          </cell>
        </row>
        <row r="734">
          <cell r="A734">
            <v>0</v>
          </cell>
          <cell r="C734">
            <v>0</v>
          </cell>
          <cell r="D734">
            <v>0</v>
          </cell>
        </row>
        <row r="735">
          <cell r="A735">
            <v>0</v>
          </cell>
          <cell r="C735">
            <v>0</v>
          </cell>
          <cell r="D735">
            <v>0</v>
          </cell>
        </row>
        <row r="736">
          <cell r="A736">
            <v>0</v>
          </cell>
          <cell r="C736">
            <v>0</v>
          </cell>
          <cell r="D736">
            <v>0</v>
          </cell>
        </row>
        <row r="737">
          <cell r="A737">
            <v>0</v>
          </cell>
          <cell r="C737">
            <v>0</v>
          </cell>
          <cell r="D737">
            <v>0</v>
          </cell>
        </row>
        <row r="738">
          <cell r="A738">
            <v>0</v>
          </cell>
          <cell r="C738">
            <v>0</v>
          </cell>
          <cell r="D738">
            <v>0</v>
          </cell>
        </row>
        <row r="739">
          <cell r="A739">
            <v>0</v>
          </cell>
          <cell r="C739">
            <v>0</v>
          </cell>
          <cell r="D739">
            <v>0</v>
          </cell>
        </row>
        <row r="740">
          <cell r="A740">
            <v>0</v>
          </cell>
          <cell r="C740">
            <v>0</v>
          </cell>
          <cell r="D740">
            <v>0</v>
          </cell>
        </row>
        <row r="741">
          <cell r="A741">
            <v>0</v>
          </cell>
          <cell r="C741">
            <v>0</v>
          </cell>
          <cell r="D741">
            <v>0</v>
          </cell>
        </row>
        <row r="742">
          <cell r="A742">
            <v>0</v>
          </cell>
          <cell r="C742">
            <v>0</v>
          </cell>
          <cell r="D742">
            <v>0</v>
          </cell>
        </row>
        <row r="743">
          <cell r="A743">
            <v>0</v>
          </cell>
          <cell r="C743">
            <v>0</v>
          </cell>
          <cell r="D743">
            <v>0</v>
          </cell>
        </row>
        <row r="744">
          <cell r="A744">
            <v>0</v>
          </cell>
          <cell r="C744">
            <v>0</v>
          </cell>
          <cell r="D744">
            <v>0</v>
          </cell>
        </row>
        <row r="745">
          <cell r="A745">
            <v>0</v>
          </cell>
          <cell r="C745">
            <v>0</v>
          </cell>
          <cell r="D745">
            <v>0</v>
          </cell>
        </row>
        <row r="746">
          <cell r="A746">
            <v>0</v>
          </cell>
          <cell r="C746">
            <v>0</v>
          </cell>
          <cell r="D746">
            <v>0</v>
          </cell>
        </row>
        <row r="747">
          <cell r="A747">
            <v>0</v>
          </cell>
          <cell r="C747">
            <v>0</v>
          </cell>
          <cell r="D747">
            <v>0</v>
          </cell>
        </row>
        <row r="748">
          <cell r="A748">
            <v>0</v>
          </cell>
          <cell r="C748">
            <v>0</v>
          </cell>
          <cell r="D748">
            <v>0</v>
          </cell>
        </row>
        <row r="749">
          <cell r="A749">
            <v>0</v>
          </cell>
          <cell r="C749">
            <v>0</v>
          </cell>
          <cell r="D749">
            <v>0</v>
          </cell>
        </row>
        <row r="750">
          <cell r="A750">
            <v>0</v>
          </cell>
          <cell r="C750">
            <v>0</v>
          </cell>
          <cell r="D750">
            <v>0</v>
          </cell>
        </row>
        <row r="751">
          <cell r="A751">
            <v>0</v>
          </cell>
          <cell r="C751">
            <v>0</v>
          </cell>
          <cell r="D751">
            <v>0</v>
          </cell>
        </row>
        <row r="752">
          <cell r="A752">
            <v>0</v>
          </cell>
          <cell r="C752">
            <v>0</v>
          </cell>
          <cell r="D752">
            <v>0</v>
          </cell>
        </row>
        <row r="753">
          <cell r="A753">
            <v>0</v>
          </cell>
          <cell r="C753">
            <v>0</v>
          </cell>
          <cell r="D753">
            <v>0</v>
          </cell>
        </row>
        <row r="754">
          <cell r="A754">
            <v>0</v>
          </cell>
          <cell r="C754">
            <v>0</v>
          </cell>
          <cell r="D754">
            <v>0</v>
          </cell>
        </row>
        <row r="755">
          <cell r="A755">
            <v>0</v>
          </cell>
          <cell r="C755">
            <v>0</v>
          </cell>
          <cell r="D755">
            <v>0</v>
          </cell>
        </row>
        <row r="756">
          <cell r="A756">
            <v>0</v>
          </cell>
          <cell r="C756">
            <v>0</v>
          </cell>
          <cell r="D756">
            <v>0</v>
          </cell>
        </row>
        <row r="757">
          <cell r="A757">
            <v>0</v>
          </cell>
          <cell r="C757">
            <v>0</v>
          </cell>
          <cell r="D757">
            <v>0</v>
          </cell>
        </row>
        <row r="758">
          <cell r="A758">
            <v>0</v>
          </cell>
          <cell r="C758">
            <v>0</v>
          </cell>
          <cell r="D758">
            <v>0</v>
          </cell>
        </row>
        <row r="759">
          <cell r="A759">
            <v>0</v>
          </cell>
          <cell r="C759">
            <v>0</v>
          </cell>
          <cell r="D759">
            <v>0</v>
          </cell>
        </row>
        <row r="760">
          <cell r="A760">
            <v>0</v>
          </cell>
          <cell r="C760">
            <v>0</v>
          </cell>
          <cell r="D760">
            <v>0</v>
          </cell>
        </row>
        <row r="761">
          <cell r="A761">
            <v>0</v>
          </cell>
          <cell r="C761">
            <v>0</v>
          </cell>
          <cell r="D761">
            <v>0</v>
          </cell>
        </row>
        <row r="762">
          <cell r="A762">
            <v>0</v>
          </cell>
          <cell r="C762">
            <v>0</v>
          </cell>
          <cell r="D762">
            <v>0</v>
          </cell>
        </row>
        <row r="763">
          <cell r="A763">
            <v>0</v>
          </cell>
          <cell r="C763">
            <v>0</v>
          </cell>
          <cell r="D763">
            <v>0</v>
          </cell>
        </row>
        <row r="764">
          <cell r="A764">
            <v>0</v>
          </cell>
          <cell r="C764">
            <v>0</v>
          </cell>
          <cell r="D764">
            <v>0</v>
          </cell>
        </row>
        <row r="765">
          <cell r="A765">
            <v>0</v>
          </cell>
          <cell r="C765">
            <v>0</v>
          </cell>
          <cell r="D765">
            <v>0</v>
          </cell>
        </row>
        <row r="766">
          <cell r="A766">
            <v>0</v>
          </cell>
          <cell r="C766">
            <v>0</v>
          </cell>
          <cell r="D766">
            <v>0</v>
          </cell>
        </row>
        <row r="767">
          <cell r="A767">
            <v>0</v>
          </cell>
          <cell r="C767">
            <v>0</v>
          </cell>
          <cell r="D767">
            <v>0</v>
          </cell>
        </row>
        <row r="768">
          <cell r="A768">
            <v>0</v>
          </cell>
          <cell r="C768">
            <v>0</v>
          </cell>
          <cell r="D768">
            <v>0</v>
          </cell>
        </row>
        <row r="769">
          <cell r="A769">
            <v>0</v>
          </cell>
          <cell r="C769">
            <v>0</v>
          </cell>
          <cell r="D769">
            <v>0</v>
          </cell>
        </row>
        <row r="770">
          <cell r="A770">
            <v>0</v>
          </cell>
          <cell r="C770">
            <v>0</v>
          </cell>
          <cell r="D770">
            <v>0</v>
          </cell>
        </row>
        <row r="771">
          <cell r="A771">
            <v>0</v>
          </cell>
          <cell r="C771">
            <v>0</v>
          </cell>
          <cell r="D771">
            <v>0</v>
          </cell>
        </row>
        <row r="772">
          <cell r="A772">
            <v>0</v>
          </cell>
          <cell r="C772">
            <v>0</v>
          </cell>
          <cell r="D772">
            <v>0</v>
          </cell>
        </row>
        <row r="773">
          <cell r="A773">
            <v>0</v>
          </cell>
          <cell r="C773">
            <v>0</v>
          </cell>
          <cell r="D773">
            <v>0</v>
          </cell>
        </row>
        <row r="774">
          <cell r="A774">
            <v>0</v>
          </cell>
          <cell r="C774">
            <v>0</v>
          </cell>
          <cell r="D774">
            <v>0</v>
          </cell>
        </row>
        <row r="775">
          <cell r="A775">
            <v>0</v>
          </cell>
          <cell r="C775">
            <v>0</v>
          </cell>
          <cell r="D775">
            <v>0</v>
          </cell>
        </row>
        <row r="776">
          <cell r="A776">
            <v>0</v>
          </cell>
          <cell r="C776">
            <v>0</v>
          </cell>
          <cell r="D776">
            <v>0</v>
          </cell>
        </row>
        <row r="777">
          <cell r="A777">
            <v>0</v>
          </cell>
          <cell r="C777">
            <v>0</v>
          </cell>
          <cell r="D777">
            <v>0</v>
          </cell>
        </row>
        <row r="778">
          <cell r="A778">
            <v>0</v>
          </cell>
          <cell r="C778">
            <v>0</v>
          </cell>
          <cell r="D778">
            <v>0</v>
          </cell>
        </row>
        <row r="779">
          <cell r="A779">
            <v>0</v>
          </cell>
          <cell r="C779">
            <v>0</v>
          </cell>
          <cell r="D779">
            <v>0</v>
          </cell>
        </row>
        <row r="780">
          <cell r="A780">
            <v>0</v>
          </cell>
          <cell r="C780">
            <v>0</v>
          </cell>
          <cell r="D780">
            <v>0</v>
          </cell>
        </row>
        <row r="781">
          <cell r="A781">
            <v>0</v>
          </cell>
          <cell r="C781">
            <v>0</v>
          </cell>
          <cell r="D781">
            <v>0</v>
          </cell>
        </row>
        <row r="782">
          <cell r="A782">
            <v>0</v>
          </cell>
          <cell r="C782">
            <v>0</v>
          </cell>
          <cell r="D782">
            <v>0</v>
          </cell>
        </row>
        <row r="783">
          <cell r="A783">
            <v>0</v>
          </cell>
          <cell r="C783">
            <v>0</v>
          </cell>
          <cell r="D783">
            <v>0</v>
          </cell>
        </row>
        <row r="784">
          <cell r="A784">
            <v>0</v>
          </cell>
          <cell r="C784">
            <v>0</v>
          </cell>
          <cell r="D784">
            <v>0</v>
          </cell>
        </row>
        <row r="785">
          <cell r="A785">
            <v>0</v>
          </cell>
          <cell r="C785">
            <v>0</v>
          </cell>
          <cell r="D785">
            <v>0</v>
          </cell>
        </row>
        <row r="786">
          <cell r="A786">
            <v>0</v>
          </cell>
          <cell r="C786">
            <v>0</v>
          </cell>
          <cell r="D786">
            <v>0</v>
          </cell>
        </row>
        <row r="787">
          <cell r="A787">
            <v>0</v>
          </cell>
          <cell r="C787">
            <v>0</v>
          </cell>
          <cell r="D787">
            <v>0</v>
          </cell>
        </row>
        <row r="788">
          <cell r="A788">
            <v>0</v>
          </cell>
          <cell r="C788">
            <v>0</v>
          </cell>
          <cell r="D788">
            <v>0</v>
          </cell>
        </row>
        <row r="789">
          <cell r="A789">
            <v>0</v>
          </cell>
          <cell r="C789">
            <v>0</v>
          </cell>
          <cell r="D789">
            <v>0</v>
          </cell>
        </row>
        <row r="790">
          <cell r="A790">
            <v>0</v>
          </cell>
          <cell r="C790">
            <v>0</v>
          </cell>
          <cell r="D790">
            <v>0</v>
          </cell>
        </row>
        <row r="791">
          <cell r="A791">
            <v>0</v>
          </cell>
          <cell r="C791">
            <v>0</v>
          </cell>
          <cell r="D791">
            <v>0</v>
          </cell>
        </row>
        <row r="792">
          <cell r="A792">
            <v>0</v>
          </cell>
          <cell r="C792">
            <v>0</v>
          </cell>
          <cell r="D792">
            <v>0</v>
          </cell>
        </row>
        <row r="793">
          <cell r="A793">
            <v>0</v>
          </cell>
          <cell r="C793">
            <v>0</v>
          </cell>
          <cell r="D793">
            <v>0</v>
          </cell>
        </row>
        <row r="794">
          <cell r="A794">
            <v>0</v>
          </cell>
          <cell r="C794">
            <v>0</v>
          </cell>
          <cell r="D794">
            <v>0</v>
          </cell>
        </row>
        <row r="795">
          <cell r="A795">
            <v>0</v>
          </cell>
          <cell r="C795">
            <v>0</v>
          </cell>
          <cell r="D795">
            <v>0</v>
          </cell>
        </row>
        <row r="796">
          <cell r="A796">
            <v>0</v>
          </cell>
          <cell r="C796">
            <v>0</v>
          </cell>
          <cell r="D796">
            <v>0</v>
          </cell>
        </row>
        <row r="797">
          <cell r="A797">
            <v>0</v>
          </cell>
          <cell r="C797">
            <v>0</v>
          </cell>
          <cell r="D797">
            <v>0</v>
          </cell>
        </row>
        <row r="798">
          <cell r="A798">
            <v>0</v>
          </cell>
          <cell r="C798">
            <v>0</v>
          </cell>
          <cell r="D798">
            <v>0</v>
          </cell>
        </row>
        <row r="799">
          <cell r="A799">
            <v>0</v>
          </cell>
          <cell r="C799">
            <v>0</v>
          </cell>
          <cell r="D799">
            <v>0</v>
          </cell>
        </row>
        <row r="800">
          <cell r="A800">
            <v>0</v>
          </cell>
          <cell r="C800">
            <v>0</v>
          </cell>
          <cell r="D800">
            <v>0</v>
          </cell>
        </row>
        <row r="801">
          <cell r="A801">
            <v>0</v>
          </cell>
          <cell r="C801">
            <v>0</v>
          </cell>
          <cell r="D801">
            <v>0</v>
          </cell>
        </row>
        <row r="802">
          <cell r="A802">
            <v>0</v>
          </cell>
          <cell r="C802">
            <v>0</v>
          </cell>
          <cell r="D802">
            <v>0</v>
          </cell>
        </row>
        <row r="803">
          <cell r="A803">
            <v>0</v>
          </cell>
          <cell r="C803">
            <v>0</v>
          </cell>
          <cell r="D803">
            <v>0</v>
          </cell>
        </row>
        <row r="804">
          <cell r="A804">
            <v>0</v>
          </cell>
          <cell r="C804">
            <v>0</v>
          </cell>
          <cell r="D804">
            <v>0</v>
          </cell>
        </row>
        <row r="805">
          <cell r="A805">
            <v>0</v>
          </cell>
          <cell r="C805">
            <v>0</v>
          </cell>
          <cell r="D805">
            <v>0</v>
          </cell>
        </row>
        <row r="806">
          <cell r="A806">
            <v>0</v>
          </cell>
          <cell r="C806">
            <v>0</v>
          </cell>
          <cell r="D806">
            <v>0</v>
          </cell>
        </row>
        <row r="807">
          <cell r="A807">
            <v>0</v>
          </cell>
          <cell r="C807">
            <v>0</v>
          </cell>
          <cell r="D807">
            <v>0</v>
          </cell>
        </row>
        <row r="808">
          <cell r="A808">
            <v>0</v>
          </cell>
          <cell r="C808">
            <v>0</v>
          </cell>
          <cell r="D808">
            <v>0</v>
          </cell>
        </row>
        <row r="809">
          <cell r="A809">
            <v>0</v>
          </cell>
          <cell r="C809">
            <v>0</v>
          </cell>
          <cell r="D809">
            <v>0</v>
          </cell>
        </row>
        <row r="810">
          <cell r="A810">
            <v>0</v>
          </cell>
          <cell r="C810">
            <v>0</v>
          </cell>
          <cell r="D810">
            <v>0</v>
          </cell>
        </row>
        <row r="811">
          <cell r="A811">
            <v>0</v>
          </cell>
          <cell r="C811">
            <v>0</v>
          </cell>
          <cell r="D811">
            <v>0</v>
          </cell>
        </row>
        <row r="812">
          <cell r="A812">
            <v>0</v>
          </cell>
          <cell r="C812">
            <v>0</v>
          </cell>
          <cell r="D812">
            <v>0</v>
          </cell>
        </row>
        <row r="813">
          <cell r="A813">
            <v>0</v>
          </cell>
          <cell r="C813">
            <v>0</v>
          </cell>
          <cell r="D813">
            <v>0</v>
          </cell>
        </row>
        <row r="814">
          <cell r="A814">
            <v>0</v>
          </cell>
          <cell r="C814">
            <v>0</v>
          </cell>
          <cell r="D814">
            <v>0</v>
          </cell>
        </row>
        <row r="815">
          <cell r="A815">
            <v>0</v>
          </cell>
          <cell r="C815">
            <v>0</v>
          </cell>
          <cell r="D815">
            <v>0</v>
          </cell>
        </row>
        <row r="816">
          <cell r="A816">
            <v>0</v>
          </cell>
          <cell r="C816">
            <v>0</v>
          </cell>
          <cell r="D816">
            <v>0</v>
          </cell>
        </row>
        <row r="817">
          <cell r="A817">
            <v>0</v>
          </cell>
          <cell r="C817">
            <v>0</v>
          </cell>
          <cell r="D817">
            <v>0</v>
          </cell>
        </row>
        <row r="818">
          <cell r="A818">
            <v>0</v>
          </cell>
          <cell r="C818">
            <v>0</v>
          </cell>
          <cell r="D818">
            <v>0</v>
          </cell>
        </row>
        <row r="819">
          <cell r="A819">
            <v>0</v>
          </cell>
          <cell r="C819">
            <v>0</v>
          </cell>
          <cell r="D819">
            <v>0</v>
          </cell>
        </row>
        <row r="820">
          <cell r="A820">
            <v>0</v>
          </cell>
          <cell r="C820">
            <v>0</v>
          </cell>
          <cell r="D820">
            <v>0</v>
          </cell>
        </row>
        <row r="821">
          <cell r="A821">
            <v>0</v>
          </cell>
          <cell r="C821">
            <v>0</v>
          </cell>
          <cell r="D821">
            <v>0</v>
          </cell>
        </row>
        <row r="822">
          <cell r="A822">
            <v>0</v>
          </cell>
          <cell r="C822">
            <v>0</v>
          </cell>
          <cell r="D822">
            <v>0</v>
          </cell>
        </row>
        <row r="823">
          <cell r="A823">
            <v>0</v>
          </cell>
          <cell r="C823">
            <v>0</v>
          </cell>
          <cell r="D823">
            <v>0</v>
          </cell>
        </row>
        <row r="824">
          <cell r="A824">
            <v>0</v>
          </cell>
          <cell r="C824">
            <v>0</v>
          </cell>
          <cell r="D824">
            <v>0</v>
          </cell>
        </row>
        <row r="825">
          <cell r="A825">
            <v>0</v>
          </cell>
          <cell r="C825">
            <v>0</v>
          </cell>
          <cell r="D825">
            <v>0</v>
          </cell>
        </row>
        <row r="826">
          <cell r="A826">
            <v>0</v>
          </cell>
          <cell r="C826">
            <v>0</v>
          </cell>
          <cell r="D826">
            <v>0</v>
          </cell>
        </row>
        <row r="827">
          <cell r="A827">
            <v>0</v>
          </cell>
          <cell r="C827">
            <v>0</v>
          </cell>
          <cell r="D827">
            <v>0</v>
          </cell>
        </row>
        <row r="828">
          <cell r="A828">
            <v>0</v>
          </cell>
          <cell r="C828">
            <v>0</v>
          </cell>
          <cell r="D828">
            <v>0</v>
          </cell>
        </row>
        <row r="829">
          <cell r="A829">
            <v>0</v>
          </cell>
          <cell r="C829">
            <v>0</v>
          </cell>
          <cell r="D829">
            <v>0</v>
          </cell>
        </row>
        <row r="830">
          <cell r="A830">
            <v>0</v>
          </cell>
          <cell r="C830">
            <v>0</v>
          </cell>
          <cell r="D830">
            <v>0</v>
          </cell>
        </row>
        <row r="831">
          <cell r="A831">
            <v>0</v>
          </cell>
          <cell r="C831">
            <v>0</v>
          </cell>
          <cell r="D831">
            <v>0</v>
          </cell>
        </row>
        <row r="832">
          <cell r="A832">
            <v>0</v>
          </cell>
          <cell r="C832">
            <v>0</v>
          </cell>
          <cell r="D832">
            <v>0</v>
          </cell>
        </row>
        <row r="833">
          <cell r="A833">
            <v>0</v>
          </cell>
          <cell r="C833">
            <v>0</v>
          </cell>
          <cell r="D833">
            <v>0</v>
          </cell>
        </row>
        <row r="834">
          <cell r="A834">
            <v>0</v>
          </cell>
          <cell r="C834">
            <v>0</v>
          </cell>
          <cell r="D834">
            <v>0</v>
          </cell>
        </row>
        <row r="835">
          <cell r="A835">
            <v>0</v>
          </cell>
          <cell r="C835">
            <v>0</v>
          </cell>
          <cell r="D835">
            <v>0</v>
          </cell>
        </row>
        <row r="836">
          <cell r="A836">
            <v>0</v>
          </cell>
          <cell r="C836">
            <v>0</v>
          </cell>
          <cell r="D836">
            <v>0</v>
          </cell>
        </row>
        <row r="837">
          <cell r="A837">
            <v>0</v>
          </cell>
          <cell r="C837">
            <v>0</v>
          </cell>
          <cell r="D837">
            <v>0</v>
          </cell>
        </row>
        <row r="838">
          <cell r="A838">
            <v>0</v>
          </cell>
          <cell r="C838">
            <v>0</v>
          </cell>
          <cell r="D838">
            <v>0</v>
          </cell>
        </row>
        <row r="839">
          <cell r="A839">
            <v>0</v>
          </cell>
          <cell r="C839">
            <v>0</v>
          </cell>
          <cell r="D839">
            <v>0</v>
          </cell>
        </row>
        <row r="840">
          <cell r="A840">
            <v>0</v>
          </cell>
          <cell r="C840">
            <v>0</v>
          </cell>
          <cell r="D840">
            <v>0</v>
          </cell>
        </row>
        <row r="841">
          <cell r="A841">
            <v>0</v>
          </cell>
          <cell r="C841">
            <v>0</v>
          </cell>
          <cell r="D841">
            <v>0</v>
          </cell>
        </row>
        <row r="842">
          <cell r="A842">
            <v>0</v>
          </cell>
          <cell r="C842">
            <v>0</v>
          </cell>
          <cell r="D842">
            <v>0</v>
          </cell>
        </row>
        <row r="843">
          <cell r="A843">
            <v>0</v>
          </cell>
          <cell r="C843">
            <v>0</v>
          </cell>
          <cell r="D843">
            <v>0</v>
          </cell>
        </row>
        <row r="844">
          <cell r="A844">
            <v>0</v>
          </cell>
          <cell r="C844">
            <v>0</v>
          </cell>
          <cell r="D844">
            <v>0</v>
          </cell>
        </row>
        <row r="845">
          <cell r="A845">
            <v>0</v>
          </cell>
          <cell r="C845">
            <v>0</v>
          </cell>
          <cell r="D845">
            <v>0</v>
          </cell>
        </row>
        <row r="846">
          <cell r="A846">
            <v>0</v>
          </cell>
          <cell r="C846">
            <v>0</v>
          </cell>
          <cell r="D846">
            <v>0</v>
          </cell>
        </row>
        <row r="847">
          <cell r="A847">
            <v>0</v>
          </cell>
          <cell r="C847">
            <v>0</v>
          </cell>
          <cell r="D847">
            <v>0</v>
          </cell>
        </row>
        <row r="848">
          <cell r="A848">
            <v>0</v>
          </cell>
          <cell r="C848">
            <v>0</v>
          </cell>
          <cell r="D848">
            <v>0</v>
          </cell>
        </row>
        <row r="849">
          <cell r="A849">
            <v>0</v>
          </cell>
          <cell r="C849">
            <v>0</v>
          </cell>
          <cell r="D849">
            <v>0</v>
          </cell>
        </row>
        <row r="850">
          <cell r="A850">
            <v>0</v>
          </cell>
          <cell r="C850">
            <v>0</v>
          </cell>
          <cell r="D850">
            <v>0</v>
          </cell>
        </row>
        <row r="851">
          <cell r="A851">
            <v>0</v>
          </cell>
          <cell r="C851">
            <v>0</v>
          </cell>
          <cell r="D851">
            <v>0</v>
          </cell>
        </row>
        <row r="852">
          <cell r="A852">
            <v>0</v>
          </cell>
          <cell r="C852">
            <v>0</v>
          </cell>
          <cell r="D852">
            <v>0</v>
          </cell>
        </row>
        <row r="853">
          <cell r="A853">
            <v>0</v>
          </cell>
          <cell r="C853">
            <v>0</v>
          </cell>
          <cell r="D853">
            <v>0</v>
          </cell>
        </row>
        <row r="854">
          <cell r="A854">
            <v>0</v>
          </cell>
          <cell r="C854">
            <v>0</v>
          </cell>
          <cell r="D854">
            <v>0</v>
          </cell>
        </row>
        <row r="855">
          <cell r="A855">
            <v>0</v>
          </cell>
          <cell r="C855">
            <v>0</v>
          </cell>
          <cell r="D855">
            <v>0</v>
          </cell>
        </row>
        <row r="856">
          <cell r="A856">
            <v>0</v>
          </cell>
          <cell r="C856">
            <v>0</v>
          </cell>
          <cell r="D856">
            <v>0</v>
          </cell>
        </row>
        <row r="857">
          <cell r="A857">
            <v>0</v>
          </cell>
          <cell r="C857">
            <v>0</v>
          </cell>
          <cell r="D857">
            <v>0</v>
          </cell>
        </row>
        <row r="858">
          <cell r="A858">
            <v>0</v>
          </cell>
          <cell r="C858">
            <v>0</v>
          </cell>
          <cell r="D858">
            <v>0</v>
          </cell>
        </row>
        <row r="859">
          <cell r="A859">
            <v>0</v>
          </cell>
          <cell r="C859">
            <v>0</v>
          </cell>
          <cell r="D859">
            <v>0</v>
          </cell>
        </row>
        <row r="860">
          <cell r="A860">
            <v>0</v>
          </cell>
          <cell r="C860">
            <v>0</v>
          </cell>
          <cell r="D860">
            <v>0</v>
          </cell>
        </row>
        <row r="861">
          <cell r="A861">
            <v>0</v>
          </cell>
          <cell r="C861">
            <v>0</v>
          </cell>
          <cell r="D861">
            <v>0</v>
          </cell>
        </row>
        <row r="862">
          <cell r="A862">
            <v>0</v>
          </cell>
          <cell r="C862">
            <v>0</v>
          </cell>
          <cell r="D862">
            <v>0</v>
          </cell>
        </row>
        <row r="863">
          <cell r="A863">
            <v>0</v>
          </cell>
          <cell r="C863">
            <v>0</v>
          </cell>
          <cell r="D863">
            <v>0</v>
          </cell>
        </row>
        <row r="864">
          <cell r="A864">
            <v>0</v>
          </cell>
          <cell r="C864">
            <v>0</v>
          </cell>
          <cell r="D864">
            <v>0</v>
          </cell>
        </row>
        <row r="865">
          <cell r="A865">
            <v>0</v>
          </cell>
          <cell r="C865">
            <v>0</v>
          </cell>
          <cell r="D865">
            <v>0</v>
          </cell>
        </row>
        <row r="866">
          <cell r="A866">
            <v>0</v>
          </cell>
          <cell r="C866">
            <v>0</v>
          </cell>
          <cell r="D866">
            <v>0</v>
          </cell>
        </row>
        <row r="867">
          <cell r="A867">
            <v>0</v>
          </cell>
          <cell r="C867">
            <v>0</v>
          </cell>
          <cell r="D867">
            <v>0</v>
          </cell>
        </row>
        <row r="868">
          <cell r="A868">
            <v>0</v>
          </cell>
          <cell r="C868">
            <v>0</v>
          </cell>
          <cell r="D868">
            <v>0</v>
          </cell>
        </row>
        <row r="869">
          <cell r="A869">
            <v>0</v>
          </cell>
          <cell r="C869">
            <v>0</v>
          </cell>
          <cell r="D869">
            <v>0</v>
          </cell>
        </row>
        <row r="870">
          <cell r="A870">
            <v>0</v>
          </cell>
          <cell r="C870">
            <v>0</v>
          </cell>
          <cell r="D870">
            <v>0</v>
          </cell>
        </row>
        <row r="871">
          <cell r="A871">
            <v>0</v>
          </cell>
          <cell r="C871">
            <v>0</v>
          </cell>
          <cell r="D871">
            <v>0</v>
          </cell>
        </row>
        <row r="872">
          <cell r="A872">
            <v>0</v>
          </cell>
          <cell r="C872">
            <v>0</v>
          </cell>
          <cell r="D872">
            <v>0</v>
          </cell>
        </row>
        <row r="873">
          <cell r="A873">
            <v>0</v>
          </cell>
          <cell r="C873">
            <v>0</v>
          </cell>
          <cell r="D873">
            <v>0</v>
          </cell>
        </row>
        <row r="874">
          <cell r="A874">
            <v>0</v>
          </cell>
          <cell r="C874">
            <v>0</v>
          </cell>
          <cell r="D874">
            <v>0</v>
          </cell>
        </row>
        <row r="875">
          <cell r="A875">
            <v>0</v>
          </cell>
          <cell r="C875">
            <v>0</v>
          </cell>
          <cell r="D875">
            <v>0</v>
          </cell>
        </row>
        <row r="876">
          <cell r="A876">
            <v>0</v>
          </cell>
          <cell r="C876">
            <v>0</v>
          </cell>
          <cell r="D876">
            <v>0</v>
          </cell>
        </row>
        <row r="877">
          <cell r="A877">
            <v>0</v>
          </cell>
          <cell r="C877">
            <v>0</v>
          </cell>
          <cell r="D877">
            <v>0</v>
          </cell>
        </row>
        <row r="878">
          <cell r="A878">
            <v>0</v>
          </cell>
          <cell r="C878">
            <v>0</v>
          </cell>
          <cell r="D878">
            <v>0</v>
          </cell>
        </row>
        <row r="879">
          <cell r="A879">
            <v>0</v>
          </cell>
          <cell r="C879">
            <v>0</v>
          </cell>
          <cell r="D879">
            <v>0</v>
          </cell>
        </row>
        <row r="880">
          <cell r="A880">
            <v>0</v>
          </cell>
          <cell r="C880">
            <v>0</v>
          </cell>
          <cell r="D880">
            <v>0</v>
          </cell>
        </row>
        <row r="881">
          <cell r="A881">
            <v>0</v>
          </cell>
          <cell r="C881">
            <v>0</v>
          </cell>
          <cell r="D881">
            <v>0</v>
          </cell>
        </row>
        <row r="882">
          <cell r="A882">
            <v>0</v>
          </cell>
          <cell r="C882">
            <v>0</v>
          </cell>
          <cell r="D882">
            <v>0</v>
          </cell>
        </row>
        <row r="883">
          <cell r="A883">
            <v>0</v>
          </cell>
          <cell r="C883">
            <v>0</v>
          </cell>
          <cell r="D883">
            <v>0</v>
          </cell>
        </row>
        <row r="884">
          <cell r="A884">
            <v>0</v>
          </cell>
          <cell r="C884">
            <v>0</v>
          </cell>
          <cell r="D884">
            <v>0</v>
          </cell>
        </row>
        <row r="885">
          <cell r="A885">
            <v>0</v>
          </cell>
          <cell r="C885">
            <v>0</v>
          </cell>
          <cell r="D885">
            <v>0</v>
          </cell>
        </row>
        <row r="886">
          <cell r="A886">
            <v>0</v>
          </cell>
          <cell r="C886">
            <v>0</v>
          </cell>
          <cell r="D886">
            <v>0</v>
          </cell>
        </row>
        <row r="887">
          <cell r="A887">
            <v>0</v>
          </cell>
          <cell r="C887">
            <v>0</v>
          </cell>
          <cell r="D887">
            <v>0</v>
          </cell>
        </row>
        <row r="888">
          <cell r="A888">
            <v>0</v>
          </cell>
          <cell r="C888">
            <v>0</v>
          </cell>
          <cell r="D888">
            <v>0</v>
          </cell>
        </row>
        <row r="889">
          <cell r="A889">
            <v>0</v>
          </cell>
          <cell r="C889">
            <v>0</v>
          </cell>
          <cell r="D889">
            <v>0</v>
          </cell>
        </row>
        <row r="890">
          <cell r="A890">
            <v>0</v>
          </cell>
          <cell r="C890">
            <v>0</v>
          </cell>
          <cell r="D890">
            <v>0</v>
          </cell>
        </row>
        <row r="891">
          <cell r="A891">
            <v>0</v>
          </cell>
          <cell r="C891">
            <v>0</v>
          </cell>
          <cell r="D891">
            <v>0</v>
          </cell>
        </row>
        <row r="892">
          <cell r="A892">
            <v>0</v>
          </cell>
          <cell r="C892">
            <v>0</v>
          </cell>
          <cell r="D892">
            <v>0</v>
          </cell>
        </row>
        <row r="893">
          <cell r="A893">
            <v>0</v>
          </cell>
          <cell r="C893">
            <v>0</v>
          </cell>
          <cell r="D893">
            <v>0</v>
          </cell>
        </row>
        <row r="894">
          <cell r="A894">
            <v>0</v>
          </cell>
          <cell r="C894">
            <v>0</v>
          </cell>
          <cell r="D894">
            <v>0</v>
          </cell>
        </row>
        <row r="895">
          <cell r="A895">
            <v>0</v>
          </cell>
          <cell r="C895">
            <v>0</v>
          </cell>
          <cell r="D895">
            <v>0</v>
          </cell>
        </row>
        <row r="896">
          <cell r="A896">
            <v>0</v>
          </cell>
          <cell r="C896">
            <v>0</v>
          </cell>
          <cell r="D896">
            <v>0</v>
          </cell>
        </row>
        <row r="897">
          <cell r="A897">
            <v>0</v>
          </cell>
          <cell r="C897">
            <v>0</v>
          </cell>
          <cell r="D897">
            <v>0</v>
          </cell>
        </row>
        <row r="898">
          <cell r="A898">
            <v>0</v>
          </cell>
          <cell r="C898">
            <v>0</v>
          </cell>
          <cell r="D898">
            <v>0</v>
          </cell>
        </row>
        <row r="899">
          <cell r="A899">
            <v>0</v>
          </cell>
          <cell r="C899">
            <v>0</v>
          </cell>
          <cell r="D899">
            <v>0</v>
          </cell>
        </row>
        <row r="900">
          <cell r="A900">
            <v>0</v>
          </cell>
          <cell r="C900">
            <v>0</v>
          </cell>
          <cell r="D900">
            <v>0</v>
          </cell>
        </row>
        <row r="901">
          <cell r="A901">
            <v>0</v>
          </cell>
          <cell r="C901">
            <v>0</v>
          </cell>
          <cell r="D901">
            <v>0</v>
          </cell>
        </row>
        <row r="902">
          <cell r="A902">
            <v>0</v>
          </cell>
          <cell r="C902">
            <v>0</v>
          </cell>
          <cell r="D902">
            <v>0</v>
          </cell>
        </row>
        <row r="903">
          <cell r="A903">
            <v>0</v>
          </cell>
          <cell r="C903">
            <v>0</v>
          </cell>
          <cell r="D903">
            <v>0</v>
          </cell>
        </row>
        <row r="904">
          <cell r="A904">
            <v>0</v>
          </cell>
          <cell r="C904">
            <v>0</v>
          </cell>
          <cell r="D904">
            <v>0</v>
          </cell>
        </row>
        <row r="905">
          <cell r="A905">
            <v>0</v>
          </cell>
          <cell r="C905">
            <v>0</v>
          </cell>
          <cell r="D905">
            <v>0</v>
          </cell>
        </row>
        <row r="906">
          <cell r="A906">
            <v>0</v>
          </cell>
          <cell r="C906">
            <v>0</v>
          </cell>
          <cell r="D906">
            <v>0</v>
          </cell>
        </row>
        <row r="907">
          <cell r="A907">
            <v>0</v>
          </cell>
          <cell r="C907">
            <v>0</v>
          </cell>
          <cell r="D907">
            <v>0</v>
          </cell>
        </row>
        <row r="908">
          <cell r="A908">
            <v>0</v>
          </cell>
          <cell r="C908">
            <v>0</v>
          </cell>
          <cell r="D908">
            <v>0</v>
          </cell>
        </row>
        <row r="909">
          <cell r="A909">
            <v>0</v>
          </cell>
          <cell r="C909">
            <v>0</v>
          </cell>
          <cell r="D909">
            <v>0</v>
          </cell>
        </row>
        <row r="910">
          <cell r="A910">
            <v>0</v>
          </cell>
          <cell r="C910">
            <v>0</v>
          </cell>
          <cell r="D910">
            <v>0</v>
          </cell>
        </row>
        <row r="911">
          <cell r="A911">
            <v>0</v>
          </cell>
          <cell r="C911">
            <v>0</v>
          </cell>
          <cell r="D911">
            <v>0</v>
          </cell>
        </row>
        <row r="912">
          <cell r="A912">
            <v>0</v>
          </cell>
          <cell r="C912">
            <v>0</v>
          </cell>
          <cell r="D912">
            <v>0</v>
          </cell>
        </row>
        <row r="913">
          <cell r="A913">
            <v>0</v>
          </cell>
          <cell r="C913">
            <v>0</v>
          </cell>
          <cell r="D913">
            <v>0</v>
          </cell>
        </row>
        <row r="914">
          <cell r="A914">
            <v>0</v>
          </cell>
          <cell r="C914">
            <v>0</v>
          </cell>
          <cell r="D914">
            <v>0</v>
          </cell>
        </row>
        <row r="915">
          <cell r="A915">
            <v>0</v>
          </cell>
          <cell r="C915">
            <v>0</v>
          </cell>
          <cell r="D915">
            <v>0</v>
          </cell>
        </row>
        <row r="916">
          <cell r="A916">
            <v>0</v>
          </cell>
          <cell r="C916">
            <v>0</v>
          </cell>
          <cell r="D916">
            <v>0</v>
          </cell>
        </row>
        <row r="917">
          <cell r="A917">
            <v>0</v>
          </cell>
          <cell r="C917">
            <v>0</v>
          </cell>
          <cell r="D917">
            <v>0</v>
          </cell>
        </row>
        <row r="918">
          <cell r="A918">
            <v>0</v>
          </cell>
          <cell r="C918">
            <v>0</v>
          </cell>
          <cell r="D918">
            <v>0</v>
          </cell>
        </row>
        <row r="919">
          <cell r="A919">
            <v>0</v>
          </cell>
          <cell r="C919">
            <v>0</v>
          </cell>
          <cell r="D919">
            <v>0</v>
          </cell>
        </row>
        <row r="920">
          <cell r="A920">
            <v>0</v>
          </cell>
          <cell r="C920">
            <v>0</v>
          </cell>
          <cell r="D920">
            <v>0</v>
          </cell>
        </row>
        <row r="921">
          <cell r="A921">
            <v>0</v>
          </cell>
          <cell r="C921">
            <v>0</v>
          </cell>
          <cell r="D921">
            <v>0</v>
          </cell>
        </row>
        <row r="922">
          <cell r="A922">
            <v>0</v>
          </cell>
          <cell r="C922">
            <v>0</v>
          </cell>
          <cell r="D922">
            <v>0</v>
          </cell>
        </row>
        <row r="923">
          <cell r="A923">
            <v>0</v>
          </cell>
          <cell r="C923">
            <v>0</v>
          </cell>
          <cell r="D923">
            <v>0</v>
          </cell>
        </row>
        <row r="924">
          <cell r="A924">
            <v>0</v>
          </cell>
          <cell r="C924">
            <v>0</v>
          </cell>
          <cell r="D924">
            <v>0</v>
          </cell>
        </row>
        <row r="925">
          <cell r="A925">
            <v>0</v>
          </cell>
          <cell r="C925">
            <v>0</v>
          </cell>
          <cell r="D925">
            <v>0</v>
          </cell>
        </row>
        <row r="926">
          <cell r="A926">
            <v>0</v>
          </cell>
          <cell r="C926">
            <v>0</v>
          </cell>
          <cell r="D926">
            <v>0</v>
          </cell>
        </row>
        <row r="927">
          <cell r="A927">
            <v>0</v>
          </cell>
          <cell r="C927">
            <v>0</v>
          </cell>
          <cell r="D927">
            <v>0</v>
          </cell>
        </row>
        <row r="928">
          <cell r="A928">
            <v>0</v>
          </cell>
          <cell r="C928">
            <v>0</v>
          </cell>
          <cell r="D928">
            <v>0</v>
          </cell>
        </row>
        <row r="929">
          <cell r="A929">
            <v>0</v>
          </cell>
          <cell r="C929">
            <v>0</v>
          </cell>
          <cell r="D929">
            <v>0</v>
          </cell>
        </row>
        <row r="930">
          <cell r="A930">
            <v>0</v>
          </cell>
          <cell r="C930">
            <v>0</v>
          </cell>
          <cell r="D930">
            <v>0</v>
          </cell>
        </row>
        <row r="931">
          <cell r="A931">
            <v>0</v>
          </cell>
          <cell r="C931">
            <v>0</v>
          </cell>
          <cell r="D931">
            <v>0</v>
          </cell>
        </row>
        <row r="932">
          <cell r="A932">
            <v>0</v>
          </cell>
          <cell r="C932">
            <v>0</v>
          </cell>
          <cell r="D932">
            <v>0</v>
          </cell>
        </row>
        <row r="933">
          <cell r="A933">
            <v>0</v>
          </cell>
          <cell r="C933">
            <v>0</v>
          </cell>
          <cell r="D933">
            <v>0</v>
          </cell>
        </row>
        <row r="934">
          <cell r="A934">
            <v>0</v>
          </cell>
          <cell r="C934">
            <v>0</v>
          </cell>
          <cell r="D934">
            <v>0</v>
          </cell>
        </row>
        <row r="935">
          <cell r="A935">
            <v>0</v>
          </cell>
          <cell r="C935">
            <v>0</v>
          </cell>
          <cell r="D935">
            <v>0</v>
          </cell>
        </row>
        <row r="936">
          <cell r="A936">
            <v>0</v>
          </cell>
          <cell r="C936">
            <v>0</v>
          </cell>
          <cell r="D936">
            <v>0</v>
          </cell>
        </row>
        <row r="937">
          <cell r="A937">
            <v>0</v>
          </cell>
          <cell r="C937">
            <v>0</v>
          </cell>
          <cell r="D937">
            <v>0</v>
          </cell>
        </row>
        <row r="938">
          <cell r="A938">
            <v>0</v>
          </cell>
          <cell r="C938">
            <v>0</v>
          </cell>
          <cell r="D938">
            <v>0</v>
          </cell>
        </row>
        <row r="939">
          <cell r="A939">
            <v>0</v>
          </cell>
          <cell r="C939">
            <v>0</v>
          </cell>
          <cell r="D939">
            <v>0</v>
          </cell>
        </row>
        <row r="940">
          <cell r="A940">
            <v>0</v>
          </cell>
          <cell r="C940">
            <v>0</v>
          </cell>
          <cell r="D940">
            <v>0</v>
          </cell>
        </row>
        <row r="941">
          <cell r="A941">
            <v>0</v>
          </cell>
          <cell r="C941">
            <v>0</v>
          </cell>
          <cell r="D941">
            <v>0</v>
          </cell>
        </row>
        <row r="942">
          <cell r="A942">
            <v>0</v>
          </cell>
          <cell r="C942">
            <v>0</v>
          </cell>
          <cell r="D942">
            <v>0</v>
          </cell>
        </row>
        <row r="943">
          <cell r="A943">
            <v>0</v>
          </cell>
          <cell r="C943">
            <v>0</v>
          </cell>
          <cell r="D943">
            <v>0</v>
          </cell>
        </row>
        <row r="944">
          <cell r="A944">
            <v>0</v>
          </cell>
          <cell r="C944">
            <v>0</v>
          </cell>
          <cell r="D944">
            <v>0</v>
          </cell>
        </row>
        <row r="945">
          <cell r="A945">
            <v>0</v>
          </cell>
          <cell r="C945">
            <v>0</v>
          </cell>
          <cell r="D945">
            <v>0</v>
          </cell>
        </row>
        <row r="946">
          <cell r="A946">
            <v>0</v>
          </cell>
          <cell r="C946">
            <v>0</v>
          </cell>
          <cell r="D946">
            <v>0</v>
          </cell>
        </row>
        <row r="947">
          <cell r="A947">
            <v>0</v>
          </cell>
          <cell r="C947">
            <v>0</v>
          </cell>
          <cell r="D947">
            <v>0</v>
          </cell>
        </row>
        <row r="948">
          <cell r="A948">
            <v>0</v>
          </cell>
          <cell r="C948">
            <v>0</v>
          </cell>
          <cell r="D948">
            <v>0</v>
          </cell>
        </row>
        <row r="949">
          <cell r="A949">
            <v>0</v>
          </cell>
          <cell r="C949">
            <v>0</v>
          </cell>
          <cell r="D949">
            <v>0</v>
          </cell>
        </row>
        <row r="950">
          <cell r="A950">
            <v>0</v>
          </cell>
          <cell r="C950">
            <v>0</v>
          </cell>
          <cell r="D950">
            <v>0</v>
          </cell>
        </row>
        <row r="951">
          <cell r="A951">
            <v>0</v>
          </cell>
          <cell r="C951">
            <v>0</v>
          </cell>
          <cell r="D951">
            <v>0</v>
          </cell>
        </row>
        <row r="952">
          <cell r="A952">
            <v>0</v>
          </cell>
          <cell r="C952">
            <v>0</v>
          </cell>
          <cell r="D952">
            <v>0</v>
          </cell>
        </row>
        <row r="953">
          <cell r="A953">
            <v>0</v>
          </cell>
          <cell r="C953">
            <v>0</v>
          </cell>
          <cell r="D953">
            <v>0</v>
          </cell>
        </row>
        <row r="954">
          <cell r="A954">
            <v>0</v>
          </cell>
          <cell r="C954">
            <v>0</v>
          </cell>
          <cell r="D954">
            <v>0</v>
          </cell>
        </row>
        <row r="955">
          <cell r="A955">
            <v>0</v>
          </cell>
          <cell r="B955">
            <v>0</v>
          </cell>
          <cell r="C955">
            <v>0</v>
          </cell>
          <cell r="D955">
            <v>0</v>
          </cell>
        </row>
        <row r="956">
          <cell r="A956">
            <v>0</v>
          </cell>
          <cell r="C956">
            <v>0</v>
          </cell>
          <cell r="D956">
            <v>0</v>
          </cell>
        </row>
        <row r="957">
          <cell r="A957">
            <v>0</v>
          </cell>
          <cell r="C957">
            <v>0</v>
          </cell>
          <cell r="D957">
            <v>0</v>
          </cell>
        </row>
        <row r="958">
          <cell r="A958">
            <v>0</v>
          </cell>
          <cell r="C958">
            <v>0</v>
          </cell>
          <cell r="D958">
            <v>0</v>
          </cell>
        </row>
        <row r="959">
          <cell r="A959">
            <v>0</v>
          </cell>
          <cell r="C959">
            <v>0</v>
          </cell>
          <cell r="D959">
            <v>0</v>
          </cell>
        </row>
        <row r="960">
          <cell r="A960">
            <v>0</v>
          </cell>
          <cell r="C960">
            <v>0</v>
          </cell>
          <cell r="D960">
            <v>0</v>
          </cell>
        </row>
        <row r="961">
          <cell r="A961">
            <v>0</v>
          </cell>
          <cell r="C961">
            <v>0</v>
          </cell>
          <cell r="D961">
            <v>0</v>
          </cell>
        </row>
        <row r="962">
          <cell r="A962">
            <v>0</v>
          </cell>
          <cell r="C962">
            <v>0</v>
          </cell>
          <cell r="D962">
            <v>0</v>
          </cell>
        </row>
        <row r="963">
          <cell r="A963">
            <v>0</v>
          </cell>
          <cell r="C963">
            <v>0</v>
          </cell>
          <cell r="D963">
            <v>0</v>
          </cell>
        </row>
        <row r="964">
          <cell r="A964">
            <v>0</v>
          </cell>
          <cell r="C964">
            <v>0</v>
          </cell>
          <cell r="D964">
            <v>0</v>
          </cell>
        </row>
        <row r="965">
          <cell r="A965">
            <v>0</v>
          </cell>
          <cell r="C965">
            <v>0</v>
          </cell>
          <cell r="D965">
            <v>0</v>
          </cell>
        </row>
        <row r="966">
          <cell r="A966">
            <v>0</v>
          </cell>
          <cell r="C966">
            <v>0</v>
          </cell>
          <cell r="D966">
            <v>0</v>
          </cell>
        </row>
        <row r="967">
          <cell r="A967">
            <v>0</v>
          </cell>
          <cell r="C967">
            <v>0</v>
          </cell>
          <cell r="D967">
            <v>0</v>
          </cell>
        </row>
        <row r="968">
          <cell r="A968">
            <v>0</v>
          </cell>
          <cell r="C968">
            <v>0</v>
          </cell>
          <cell r="D968">
            <v>0</v>
          </cell>
        </row>
        <row r="969">
          <cell r="A969">
            <v>0</v>
          </cell>
          <cell r="C969">
            <v>0</v>
          </cell>
          <cell r="D969">
            <v>0</v>
          </cell>
        </row>
        <row r="970">
          <cell r="A970">
            <v>0</v>
          </cell>
          <cell r="C970">
            <v>0</v>
          </cell>
          <cell r="D970">
            <v>0</v>
          </cell>
        </row>
        <row r="971">
          <cell r="A971">
            <v>0</v>
          </cell>
          <cell r="C971">
            <v>0</v>
          </cell>
          <cell r="D971">
            <v>0</v>
          </cell>
        </row>
        <row r="972">
          <cell r="A972">
            <v>0</v>
          </cell>
          <cell r="C972">
            <v>0</v>
          </cell>
          <cell r="D972">
            <v>0</v>
          </cell>
        </row>
        <row r="973">
          <cell r="A973">
            <v>0</v>
          </cell>
          <cell r="C973">
            <v>0</v>
          </cell>
          <cell r="D973">
            <v>0</v>
          </cell>
        </row>
        <row r="974">
          <cell r="A974">
            <v>0</v>
          </cell>
          <cell r="C974">
            <v>0</v>
          </cell>
          <cell r="D974">
            <v>0</v>
          </cell>
        </row>
        <row r="975">
          <cell r="A975">
            <v>0</v>
          </cell>
          <cell r="C975">
            <v>0</v>
          </cell>
          <cell r="D975">
            <v>0</v>
          </cell>
        </row>
        <row r="976">
          <cell r="A976">
            <v>0</v>
          </cell>
          <cell r="C976">
            <v>0</v>
          </cell>
          <cell r="D976">
            <v>0</v>
          </cell>
        </row>
        <row r="977">
          <cell r="A977">
            <v>0</v>
          </cell>
          <cell r="C977">
            <v>0</v>
          </cell>
          <cell r="D977">
            <v>0</v>
          </cell>
        </row>
        <row r="978">
          <cell r="A978">
            <v>0</v>
          </cell>
          <cell r="C978">
            <v>0</v>
          </cell>
          <cell r="D978">
            <v>0</v>
          </cell>
        </row>
        <row r="979">
          <cell r="A979">
            <v>0</v>
          </cell>
          <cell r="C979">
            <v>0</v>
          </cell>
          <cell r="D979">
            <v>0</v>
          </cell>
        </row>
        <row r="980">
          <cell r="A980">
            <v>0</v>
          </cell>
          <cell r="C980">
            <v>0</v>
          </cell>
          <cell r="D980">
            <v>0</v>
          </cell>
        </row>
        <row r="981">
          <cell r="A981">
            <v>0</v>
          </cell>
          <cell r="C981">
            <v>0</v>
          </cell>
          <cell r="D981">
            <v>0</v>
          </cell>
        </row>
        <row r="982">
          <cell r="A982">
            <v>0</v>
          </cell>
          <cell r="C982">
            <v>0</v>
          </cell>
          <cell r="D982">
            <v>0</v>
          </cell>
        </row>
        <row r="983">
          <cell r="A983">
            <v>0</v>
          </cell>
          <cell r="C983">
            <v>0</v>
          </cell>
          <cell r="D983">
            <v>0</v>
          </cell>
        </row>
        <row r="984">
          <cell r="A984">
            <v>0</v>
          </cell>
          <cell r="C984">
            <v>0</v>
          </cell>
          <cell r="D984">
            <v>0</v>
          </cell>
        </row>
        <row r="985">
          <cell r="A985">
            <v>0</v>
          </cell>
          <cell r="C985">
            <v>0</v>
          </cell>
          <cell r="D985">
            <v>0</v>
          </cell>
        </row>
        <row r="986">
          <cell r="A986">
            <v>0</v>
          </cell>
          <cell r="C986">
            <v>0</v>
          </cell>
          <cell r="D986">
            <v>0</v>
          </cell>
        </row>
        <row r="987">
          <cell r="A987">
            <v>0</v>
          </cell>
          <cell r="C987">
            <v>0</v>
          </cell>
          <cell r="D987">
            <v>0</v>
          </cell>
        </row>
        <row r="988">
          <cell r="A988">
            <v>0</v>
          </cell>
          <cell r="C988">
            <v>0</v>
          </cell>
          <cell r="D988">
            <v>0</v>
          </cell>
        </row>
        <row r="989">
          <cell r="A989">
            <v>0</v>
          </cell>
          <cell r="C989">
            <v>0</v>
          </cell>
          <cell r="D989">
            <v>0</v>
          </cell>
        </row>
        <row r="990">
          <cell r="A990">
            <v>0</v>
          </cell>
          <cell r="C990">
            <v>0</v>
          </cell>
          <cell r="D990">
            <v>0</v>
          </cell>
        </row>
        <row r="991">
          <cell r="A991">
            <v>0</v>
          </cell>
          <cell r="C991">
            <v>0</v>
          </cell>
          <cell r="D991">
            <v>0</v>
          </cell>
        </row>
        <row r="992">
          <cell r="A992">
            <v>0</v>
          </cell>
          <cell r="C992">
            <v>0</v>
          </cell>
          <cell r="D992">
            <v>0</v>
          </cell>
        </row>
        <row r="993">
          <cell r="A993">
            <v>0</v>
          </cell>
          <cell r="C993">
            <v>0</v>
          </cell>
          <cell r="D993">
            <v>0</v>
          </cell>
        </row>
        <row r="994">
          <cell r="A994">
            <v>0</v>
          </cell>
          <cell r="C994">
            <v>0</v>
          </cell>
          <cell r="D994">
            <v>0</v>
          </cell>
        </row>
        <row r="995">
          <cell r="A995">
            <v>0</v>
          </cell>
          <cell r="C995">
            <v>0</v>
          </cell>
          <cell r="D995">
            <v>0</v>
          </cell>
        </row>
        <row r="996">
          <cell r="A996">
            <v>0</v>
          </cell>
          <cell r="C996">
            <v>0</v>
          </cell>
          <cell r="D996">
            <v>0</v>
          </cell>
        </row>
        <row r="997">
          <cell r="A997">
            <v>0</v>
          </cell>
          <cell r="C997">
            <v>0</v>
          </cell>
          <cell r="D997">
            <v>0</v>
          </cell>
        </row>
        <row r="998">
          <cell r="A998">
            <v>0</v>
          </cell>
          <cell r="C998">
            <v>0</v>
          </cell>
          <cell r="D998">
            <v>0</v>
          </cell>
        </row>
        <row r="999">
          <cell r="A999">
            <v>0</v>
          </cell>
          <cell r="C999">
            <v>0</v>
          </cell>
          <cell r="D999">
            <v>0</v>
          </cell>
        </row>
        <row r="1000">
          <cell r="A1000">
            <v>0</v>
          </cell>
          <cell r="C1000">
            <v>0</v>
          </cell>
          <cell r="D1000">
            <v>0</v>
          </cell>
        </row>
        <row r="1001">
          <cell r="A1001">
            <v>0</v>
          </cell>
          <cell r="C1001">
            <v>0</v>
          </cell>
          <cell r="D1001">
            <v>0</v>
          </cell>
        </row>
        <row r="1002">
          <cell r="A1002">
            <v>0</v>
          </cell>
          <cell r="C1002">
            <v>0</v>
          </cell>
          <cell r="D1002">
            <v>0</v>
          </cell>
        </row>
        <row r="1003">
          <cell r="A1003">
            <v>0</v>
          </cell>
          <cell r="C1003">
            <v>0</v>
          </cell>
          <cell r="D1003">
            <v>0</v>
          </cell>
        </row>
        <row r="1004">
          <cell r="A1004">
            <v>0</v>
          </cell>
          <cell r="C1004">
            <v>0</v>
          </cell>
          <cell r="D1004">
            <v>0</v>
          </cell>
        </row>
        <row r="1005">
          <cell r="A1005">
            <v>0</v>
          </cell>
          <cell r="C1005">
            <v>0</v>
          </cell>
          <cell r="D1005">
            <v>0</v>
          </cell>
        </row>
        <row r="1006">
          <cell r="A1006">
            <v>0</v>
          </cell>
          <cell r="C1006">
            <v>0</v>
          </cell>
          <cell r="D1006">
            <v>0</v>
          </cell>
        </row>
        <row r="1007">
          <cell r="A1007">
            <v>0</v>
          </cell>
          <cell r="C1007">
            <v>0</v>
          </cell>
          <cell r="D1007">
            <v>0</v>
          </cell>
        </row>
        <row r="1008">
          <cell r="A1008">
            <v>0</v>
          </cell>
          <cell r="C1008">
            <v>0</v>
          </cell>
          <cell r="D1008">
            <v>0</v>
          </cell>
        </row>
        <row r="1009">
          <cell r="A1009">
            <v>0</v>
          </cell>
          <cell r="C1009">
            <v>0</v>
          </cell>
          <cell r="D1009">
            <v>0</v>
          </cell>
        </row>
        <row r="1010">
          <cell r="A1010">
            <v>0</v>
          </cell>
          <cell r="C1010">
            <v>0</v>
          </cell>
          <cell r="D1010">
            <v>0</v>
          </cell>
        </row>
        <row r="1011">
          <cell r="A1011">
            <v>0</v>
          </cell>
          <cell r="C1011">
            <v>0</v>
          </cell>
          <cell r="D1011">
            <v>0</v>
          </cell>
        </row>
        <row r="1012">
          <cell r="A1012">
            <v>0</v>
          </cell>
          <cell r="C1012">
            <v>0</v>
          </cell>
          <cell r="D1012">
            <v>0</v>
          </cell>
        </row>
        <row r="1013">
          <cell r="A1013">
            <v>0</v>
          </cell>
          <cell r="C1013">
            <v>0</v>
          </cell>
          <cell r="D1013">
            <v>0</v>
          </cell>
        </row>
        <row r="1014">
          <cell r="A1014">
            <v>0</v>
          </cell>
          <cell r="C1014">
            <v>0</v>
          </cell>
          <cell r="D1014">
            <v>0</v>
          </cell>
        </row>
        <row r="1015">
          <cell r="A1015">
            <v>0</v>
          </cell>
          <cell r="C1015">
            <v>0</v>
          </cell>
          <cell r="D1015">
            <v>0</v>
          </cell>
        </row>
        <row r="1016">
          <cell r="A1016">
            <v>0</v>
          </cell>
          <cell r="C1016">
            <v>0</v>
          </cell>
          <cell r="D1016">
            <v>0</v>
          </cell>
        </row>
        <row r="1017">
          <cell r="A1017">
            <v>0</v>
          </cell>
          <cell r="C1017">
            <v>0</v>
          </cell>
          <cell r="D1017">
            <v>0</v>
          </cell>
        </row>
        <row r="1018">
          <cell r="A1018">
            <v>0</v>
          </cell>
          <cell r="C1018">
            <v>0</v>
          </cell>
          <cell r="D1018">
            <v>0</v>
          </cell>
        </row>
        <row r="1019">
          <cell r="A1019">
            <v>0</v>
          </cell>
          <cell r="C1019">
            <v>0</v>
          </cell>
          <cell r="D1019">
            <v>0</v>
          </cell>
        </row>
        <row r="1020">
          <cell r="A1020">
            <v>0</v>
          </cell>
          <cell r="C1020">
            <v>0</v>
          </cell>
          <cell r="D1020">
            <v>0</v>
          </cell>
        </row>
        <row r="1021">
          <cell r="A1021">
            <v>0</v>
          </cell>
          <cell r="C1021">
            <v>0</v>
          </cell>
          <cell r="D1021">
            <v>0</v>
          </cell>
        </row>
        <row r="1022">
          <cell r="A1022">
            <v>0</v>
          </cell>
          <cell r="C1022">
            <v>0</v>
          </cell>
          <cell r="D1022">
            <v>0</v>
          </cell>
        </row>
        <row r="1023">
          <cell r="A1023">
            <v>0</v>
          </cell>
          <cell r="C1023">
            <v>0</v>
          </cell>
          <cell r="D1023">
            <v>0</v>
          </cell>
        </row>
        <row r="1024">
          <cell r="A1024">
            <v>0</v>
          </cell>
          <cell r="C1024">
            <v>0</v>
          </cell>
          <cell r="D1024">
            <v>0</v>
          </cell>
        </row>
        <row r="1025">
          <cell r="A1025">
            <v>0</v>
          </cell>
          <cell r="C1025">
            <v>0</v>
          </cell>
          <cell r="D1025">
            <v>0</v>
          </cell>
        </row>
        <row r="1026">
          <cell r="A1026">
            <v>0</v>
          </cell>
          <cell r="C1026">
            <v>0</v>
          </cell>
          <cell r="D1026">
            <v>0</v>
          </cell>
        </row>
        <row r="1027">
          <cell r="A1027">
            <v>0</v>
          </cell>
          <cell r="C1027">
            <v>0</v>
          </cell>
          <cell r="D1027">
            <v>0</v>
          </cell>
        </row>
        <row r="1028">
          <cell r="A1028">
            <v>0</v>
          </cell>
          <cell r="C1028">
            <v>0</v>
          </cell>
          <cell r="D1028">
            <v>0</v>
          </cell>
        </row>
        <row r="1029">
          <cell r="A1029">
            <v>0</v>
          </cell>
          <cell r="C1029">
            <v>0</v>
          </cell>
          <cell r="D1029">
            <v>0</v>
          </cell>
        </row>
        <row r="1030">
          <cell r="A1030">
            <v>0</v>
          </cell>
          <cell r="C1030">
            <v>0</v>
          </cell>
          <cell r="D1030">
            <v>0</v>
          </cell>
        </row>
        <row r="1031">
          <cell r="A1031">
            <v>0</v>
          </cell>
          <cell r="C1031">
            <v>0</v>
          </cell>
          <cell r="D1031">
            <v>0</v>
          </cell>
        </row>
        <row r="1032">
          <cell r="A1032">
            <v>0</v>
          </cell>
          <cell r="C1032">
            <v>0</v>
          </cell>
          <cell r="D1032">
            <v>0</v>
          </cell>
        </row>
        <row r="1033">
          <cell r="A1033">
            <v>0</v>
          </cell>
          <cell r="C1033">
            <v>0</v>
          </cell>
          <cell r="D1033">
            <v>0</v>
          </cell>
        </row>
        <row r="1034">
          <cell r="A1034">
            <v>0</v>
          </cell>
          <cell r="C1034">
            <v>0</v>
          </cell>
          <cell r="D1034">
            <v>0</v>
          </cell>
        </row>
        <row r="1035">
          <cell r="A1035">
            <v>0</v>
          </cell>
          <cell r="C1035">
            <v>0</v>
          </cell>
          <cell r="D1035">
            <v>0</v>
          </cell>
        </row>
        <row r="1036">
          <cell r="A1036">
            <v>0</v>
          </cell>
          <cell r="C1036">
            <v>0</v>
          </cell>
          <cell r="D1036">
            <v>0</v>
          </cell>
        </row>
        <row r="1037">
          <cell r="A1037">
            <v>0</v>
          </cell>
          <cell r="C1037">
            <v>0</v>
          </cell>
          <cell r="D1037">
            <v>0</v>
          </cell>
        </row>
        <row r="1038">
          <cell r="A1038">
            <v>0</v>
          </cell>
          <cell r="C1038">
            <v>0</v>
          </cell>
          <cell r="D1038">
            <v>0</v>
          </cell>
        </row>
        <row r="1039">
          <cell r="A1039">
            <v>0</v>
          </cell>
          <cell r="C1039">
            <v>0</v>
          </cell>
          <cell r="D1039">
            <v>0</v>
          </cell>
        </row>
        <row r="1040">
          <cell r="A1040">
            <v>0</v>
          </cell>
          <cell r="C1040">
            <v>0</v>
          </cell>
          <cell r="D1040">
            <v>0</v>
          </cell>
        </row>
        <row r="1041">
          <cell r="A1041">
            <v>0</v>
          </cell>
          <cell r="C1041">
            <v>0</v>
          </cell>
          <cell r="D1041">
            <v>0</v>
          </cell>
        </row>
        <row r="1042">
          <cell r="A1042">
            <v>0</v>
          </cell>
          <cell r="C1042">
            <v>0</v>
          </cell>
          <cell r="D1042">
            <v>0</v>
          </cell>
        </row>
        <row r="1043">
          <cell r="A1043">
            <v>0</v>
          </cell>
          <cell r="C1043">
            <v>0</v>
          </cell>
          <cell r="D1043">
            <v>0</v>
          </cell>
        </row>
        <row r="1044">
          <cell r="A1044">
            <v>0</v>
          </cell>
          <cell r="C1044">
            <v>0</v>
          </cell>
          <cell r="D1044">
            <v>0</v>
          </cell>
        </row>
        <row r="1045">
          <cell r="A1045">
            <v>0</v>
          </cell>
          <cell r="C1045">
            <v>0</v>
          </cell>
          <cell r="D1045">
            <v>0</v>
          </cell>
        </row>
        <row r="1046">
          <cell r="A1046">
            <v>0</v>
          </cell>
          <cell r="C1046">
            <v>0</v>
          </cell>
          <cell r="D1046">
            <v>0</v>
          </cell>
        </row>
        <row r="1047">
          <cell r="A1047">
            <v>0</v>
          </cell>
          <cell r="C1047">
            <v>0</v>
          </cell>
          <cell r="D1047">
            <v>0</v>
          </cell>
        </row>
        <row r="1048">
          <cell r="A1048">
            <v>0</v>
          </cell>
          <cell r="C1048">
            <v>0</v>
          </cell>
          <cell r="D1048">
            <v>0</v>
          </cell>
        </row>
        <row r="1049">
          <cell r="A1049">
            <v>0</v>
          </cell>
          <cell r="C1049">
            <v>0</v>
          </cell>
          <cell r="D1049">
            <v>0</v>
          </cell>
        </row>
        <row r="1050">
          <cell r="A1050">
            <v>0</v>
          </cell>
          <cell r="C1050">
            <v>0</v>
          </cell>
          <cell r="D1050">
            <v>0</v>
          </cell>
        </row>
        <row r="1051">
          <cell r="A1051">
            <v>0</v>
          </cell>
          <cell r="C1051">
            <v>0</v>
          </cell>
          <cell r="D1051">
            <v>0</v>
          </cell>
        </row>
        <row r="1052">
          <cell r="A1052">
            <v>0</v>
          </cell>
          <cell r="C1052">
            <v>0</v>
          </cell>
          <cell r="D1052">
            <v>0</v>
          </cell>
        </row>
        <row r="1053">
          <cell r="A1053">
            <v>0</v>
          </cell>
          <cell r="C1053">
            <v>0</v>
          </cell>
          <cell r="D1053">
            <v>0</v>
          </cell>
        </row>
        <row r="1054">
          <cell r="A1054">
            <v>0</v>
          </cell>
          <cell r="C1054">
            <v>0</v>
          </cell>
          <cell r="D1054">
            <v>0</v>
          </cell>
        </row>
        <row r="1055">
          <cell r="A1055">
            <v>0</v>
          </cell>
          <cell r="C1055">
            <v>0</v>
          </cell>
          <cell r="D1055">
            <v>0</v>
          </cell>
        </row>
        <row r="1056">
          <cell r="A1056">
            <v>0</v>
          </cell>
          <cell r="C1056">
            <v>0</v>
          </cell>
          <cell r="D1056">
            <v>0</v>
          </cell>
        </row>
        <row r="1057">
          <cell r="A1057">
            <v>0</v>
          </cell>
          <cell r="C1057">
            <v>0</v>
          </cell>
          <cell r="D1057">
            <v>0</v>
          </cell>
        </row>
        <row r="1058">
          <cell r="A1058">
            <v>0</v>
          </cell>
          <cell r="C1058">
            <v>0</v>
          </cell>
          <cell r="D1058">
            <v>0</v>
          </cell>
        </row>
        <row r="1059">
          <cell r="A1059">
            <v>0</v>
          </cell>
          <cell r="C1059">
            <v>0</v>
          </cell>
          <cell r="D1059">
            <v>0</v>
          </cell>
        </row>
        <row r="1060">
          <cell r="A1060">
            <v>0</v>
          </cell>
          <cell r="C1060">
            <v>0</v>
          </cell>
          <cell r="D1060">
            <v>0</v>
          </cell>
        </row>
        <row r="1061">
          <cell r="A1061">
            <v>0</v>
          </cell>
          <cell r="C1061">
            <v>0</v>
          </cell>
          <cell r="D1061">
            <v>0</v>
          </cell>
        </row>
        <row r="1062">
          <cell r="A1062">
            <v>0</v>
          </cell>
          <cell r="C1062">
            <v>0</v>
          </cell>
          <cell r="D1062">
            <v>0</v>
          </cell>
        </row>
        <row r="1063">
          <cell r="A1063">
            <v>0</v>
          </cell>
          <cell r="C1063">
            <v>0</v>
          </cell>
          <cell r="D1063">
            <v>0</v>
          </cell>
        </row>
        <row r="1064">
          <cell r="A1064">
            <v>0</v>
          </cell>
          <cell r="C1064">
            <v>0</v>
          </cell>
          <cell r="D1064">
            <v>0</v>
          </cell>
        </row>
        <row r="1065">
          <cell r="A1065">
            <v>0</v>
          </cell>
          <cell r="C1065">
            <v>0</v>
          </cell>
          <cell r="D1065">
            <v>0</v>
          </cell>
        </row>
        <row r="1066">
          <cell r="A1066">
            <v>0</v>
          </cell>
          <cell r="C1066">
            <v>0</v>
          </cell>
          <cell r="D1066">
            <v>0</v>
          </cell>
        </row>
        <row r="1067">
          <cell r="A1067">
            <v>0</v>
          </cell>
          <cell r="C1067">
            <v>0</v>
          </cell>
          <cell r="D1067">
            <v>0</v>
          </cell>
        </row>
        <row r="1068">
          <cell r="A1068">
            <v>0</v>
          </cell>
          <cell r="C1068">
            <v>0</v>
          </cell>
          <cell r="D1068">
            <v>0</v>
          </cell>
        </row>
        <row r="1069">
          <cell r="A1069">
            <v>0</v>
          </cell>
          <cell r="C1069">
            <v>0</v>
          </cell>
          <cell r="D1069">
            <v>0</v>
          </cell>
        </row>
        <row r="1070">
          <cell r="A1070">
            <v>0</v>
          </cell>
          <cell r="C1070">
            <v>0</v>
          </cell>
          <cell r="D1070">
            <v>0</v>
          </cell>
        </row>
        <row r="1071">
          <cell r="A1071">
            <v>0</v>
          </cell>
          <cell r="C1071">
            <v>0</v>
          </cell>
          <cell r="D1071">
            <v>0</v>
          </cell>
        </row>
        <row r="1072">
          <cell r="A1072">
            <v>0</v>
          </cell>
          <cell r="C1072">
            <v>0</v>
          </cell>
          <cell r="D1072">
            <v>0</v>
          </cell>
        </row>
        <row r="1073">
          <cell r="A1073">
            <v>0</v>
          </cell>
          <cell r="C1073">
            <v>0</v>
          </cell>
          <cell r="D1073">
            <v>0</v>
          </cell>
        </row>
        <row r="1074">
          <cell r="A1074">
            <v>0</v>
          </cell>
          <cell r="C1074">
            <v>0</v>
          </cell>
          <cell r="D1074">
            <v>0</v>
          </cell>
        </row>
        <row r="1075">
          <cell r="A1075">
            <v>0</v>
          </cell>
          <cell r="C1075">
            <v>0</v>
          </cell>
          <cell r="D1075">
            <v>0</v>
          </cell>
        </row>
        <row r="1076">
          <cell r="A1076">
            <v>0</v>
          </cell>
          <cell r="C1076">
            <v>0</v>
          </cell>
          <cell r="D1076">
            <v>0</v>
          </cell>
        </row>
        <row r="1077">
          <cell r="A1077">
            <v>0</v>
          </cell>
          <cell r="C1077">
            <v>0</v>
          </cell>
          <cell r="D1077">
            <v>0</v>
          </cell>
        </row>
        <row r="1078">
          <cell r="A1078">
            <v>0</v>
          </cell>
          <cell r="C1078">
            <v>0</v>
          </cell>
          <cell r="D1078">
            <v>0</v>
          </cell>
        </row>
        <row r="1079">
          <cell r="A1079">
            <v>0</v>
          </cell>
          <cell r="C1079">
            <v>0</v>
          </cell>
          <cell r="D1079">
            <v>0</v>
          </cell>
        </row>
        <row r="1080">
          <cell r="A1080">
            <v>0</v>
          </cell>
          <cell r="C1080">
            <v>0</v>
          </cell>
          <cell r="D1080">
            <v>0</v>
          </cell>
        </row>
        <row r="1081">
          <cell r="A1081">
            <v>0</v>
          </cell>
          <cell r="C1081">
            <v>0</v>
          </cell>
          <cell r="D1081">
            <v>0</v>
          </cell>
        </row>
        <row r="1082">
          <cell r="A1082">
            <v>0</v>
          </cell>
          <cell r="C1082">
            <v>0</v>
          </cell>
          <cell r="D1082">
            <v>0</v>
          </cell>
        </row>
        <row r="1083">
          <cell r="A1083">
            <v>0</v>
          </cell>
          <cell r="C1083">
            <v>0</v>
          </cell>
          <cell r="D1083">
            <v>0</v>
          </cell>
        </row>
        <row r="1084">
          <cell r="A1084">
            <v>0</v>
          </cell>
          <cell r="C1084">
            <v>0</v>
          </cell>
          <cell r="D1084">
            <v>0</v>
          </cell>
        </row>
        <row r="1085">
          <cell r="A1085">
            <v>0</v>
          </cell>
          <cell r="C1085">
            <v>0</v>
          </cell>
          <cell r="D1085">
            <v>0</v>
          </cell>
        </row>
        <row r="1086">
          <cell r="A1086">
            <v>0</v>
          </cell>
          <cell r="C1086">
            <v>0</v>
          </cell>
          <cell r="D1086">
            <v>0</v>
          </cell>
        </row>
        <row r="1087">
          <cell r="A1087">
            <v>0</v>
          </cell>
          <cell r="C1087">
            <v>0</v>
          </cell>
          <cell r="D1087">
            <v>0</v>
          </cell>
        </row>
        <row r="1088">
          <cell r="A1088">
            <v>0</v>
          </cell>
          <cell r="C1088">
            <v>0</v>
          </cell>
          <cell r="D1088">
            <v>0</v>
          </cell>
        </row>
        <row r="1089">
          <cell r="A1089">
            <v>0</v>
          </cell>
          <cell r="C1089">
            <v>0</v>
          </cell>
          <cell r="D1089">
            <v>0</v>
          </cell>
        </row>
        <row r="1090">
          <cell r="A1090">
            <v>0</v>
          </cell>
          <cell r="C1090">
            <v>0</v>
          </cell>
          <cell r="D1090">
            <v>0</v>
          </cell>
        </row>
        <row r="1091">
          <cell r="A1091">
            <v>0</v>
          </cell>
          <cell r="C1091">
            <v>0</v>
          </cell>
          <cell r="D1091">
            <v>0</v>
          </cell>
        </row>
        <row r="1092">
          <cell r="A1092">
            <v>0</v>
          </cell>
          <cell r="C1092">
            <v>0</v>
          </cell>
          <cell r="D1092">
            <v>0</v>
          </cell>
        </row>
        <row r="1093">
          <cell r="A1093">
            <v>0</v>
          </cell>
          <cell r="C1093">
            <v>0</v>
          </cell>
          <cell r="D1093">
            <v>0</v>
          </cell>
        </row>
        <row r="1094">
          <cell r="A1094">
            <v>0</v>
          </cell>
          <cell r="C1094">
            <v>0</v>
          </cell>
          <cell r="D1094">
            <v>0</v>
          </cell>
        </row>
        <row r="1095">
          <cell r="A1095">
            <v>0</v>
          </cell>
          <cell r="C1095">
            <v>0</v>
          </cell>
          <cell r="D1095">
            <v>0</v>
          </cell>
        </row>
        <row r="1096">
          <cell r="A1096">
            <v>0</v>
          </cell>
          <cell r="C1096">
            <v>0</v>
          </cell>
          <cell r="D1096">
            <v>0</v>
          </cell>
        </row>
        <row r="1097">
          <cell r="A1097">
            <v>0</v>
          </cell>
          <cell r="C1097">
            <v>0</v>
          </cell>
          <cell r="D1097">
            <v>0</v>
          </cell>
        </row>
        <row r="1098">
          <cell r="A1098">
            <v>0</v>
          </cell>
          <cell r="C1098">
            <v>0</v>
          </cell>
          <cell r="D1098">
            <v>0</v>
          </cell>
        </row>
        <row r="1099">
          <cell r="A1099">
            <v>0</v>
          </cell>
          <cell r="C1099">
            <v>0</v>
          </cell>
          <cell r="D1099">
            <v>0</v>
          </cell>
        </row>
        <row r="1100">
          <cell r="A1100">
            <v>0</v>
          </cell>
          <cell r="C1100">
            <v>0</v>
          </cell>
          <cell r="D1100">
            <v>0</v>
          </cell>
        </row>
        <row r="1101">
          <cell r="A1101">
            <v>0</v>
          </cell>
          <cell r="C1101">
            <v>0</v>
          </cell>
          <cell r="D1101">
            <v>0</v>
          </cell>
        </row>
        <row r="1102">
          <cell r="A1102">
            <v>0</v>
          </cell>
          <cell r="C1102">
            <v>0</v>
          </cell>
          <cell r="D1102">
            <v>0</v>
          </cell>
        </row>
        <row r="1103">
          <cell r="A1103">
            <v>0</v>
          </cell>
          <cell r="C1103">
            <v>0</v>
          </cell>
          <cell r="D1103">
            <v>0</v>
          </cell>
        </row>
        <row r="1104">
          <cell r="A1104">
            <v>0</v>
          </cell>
          <cell r="C1104">
            <v>0</v>
          </cell>
          <cell r="D1104">
            <v>0</v>
          </cell>
        </row>
        <row r="1105">
          <cell r="A1105">
            <v>0</v>
          </cell>
          <cell r="C1105">
            <v>0</v>
          </cell>
          <cell r="D1105">
            <v>0</v>
          </cell>
        </row>
        <row r="1106">
          <cell r="A1106">
            <v>0</v>
          </cell>
          <cell r="C1106">
            <v>0</v>
          </cell>
          <cell r="D1106">
            <v>0</v>
          </cell>
        </row>
        <row r="1107">
          <cell r="A1107">
            <v>0</v>
          </cell>
          <cell r="C1107">
            <v>0</v>
          </cell>
          <cell r="D1107">
            <v>0</v>
          </cell>
        </row>
        <row r="1108">
          <cell r="A1108">
            <v>0</v>
          </cell>
          <cell r="C1108">
            <v>0</v>
          </cell>
          <cell r="D1108">
            <v>0</v>
          </cell>
        </row>
        <row r="1109">
          <cell r="A1109">
            <v>0</v>
          </cell>
          <cell r="C1109">
            <v>0</v>
          </cell>
          <cell r="D1109">
            <v>0</v>
          </cell>
        </row>
        <row r="1110">
          <cell r="A1110">
            <v>0</v>
          </cell>
          <cell r="C1110">
            <v>0</v>
          </cell>
          <cell r="D1110">
            <v>0</v>
          </cell>
        </row>
        <row r="1111">
          <cell r="A1111">
            <v>0</v>
          </cell>
          <cell r="C1111">
            <v>0</v>
          </cell>
          <cell r="D1111">
            <v>0</v>
          </cell>
        </row>
        <row r="1112">
          <cell r="A1112">
            <v>0</v>
          </cell>
          <cell r="C1112">
            <v>0</v>
          </cell>
          <cell r="D1112">
            <v>0</v>
          </cell>
        </row>
        <row r="1113">
          <cell r="A1113">
            <v>0</v>
          </cell>
          <cell r="C1113">
            <v>0</v>
          </cell>
          <cell r="D1113">
            <v>0</v>
          </cell>
        </row>
        <row r="1114">
          <cell r="A1114">
            <v>0</v>
          </cell>
          <cell r="C1114">
            <v>0</v>
          </cell>
          <cell r="D1114">
            <v>0</v>
          </cell>
        </row>
        <row r="1115">
          <cell r="A1115">
            <v>0</v>
          </cell>
          <cell r="C1115">
            <v>0</v>
          </cell>
          <cell r="D1115">
            <v>0</v>
          </cell>
        </row>
        <row r="1116">
          <cell r="A1116">
            <v>0</v>
          </cell>
          <cell r="C1116">
            <v>0</v>
          </cell>
          <cell r="D1116">
            <v>0</v>
          </cell>
        </row>
        <row r="1117">
          <cell r="A1117">
            <v>0</v>
          </cell>
          <cell r="C1117">
            <v>0</v>
          </cell>
          <cell r="D1117">
            <v>0</v>
          </cell>
        </row>
        <row r="1118">
          <cell r="A1118">
            <v>0</v>
          </cell>
          <cell r="C1118">
            <v>0</v>
          </cell>
          <cell r="D1118">
            <v>0</v>
          </cell>
        </row>
        <row r="1119">
          <cell r="A1119">
            <v>0</v>
          </cell>
          <cell r="C1119">
            <v>0</v>
          </cell>
          <cell r="D1119">
            <v>0</v>
          </cell>
        </row>
        <row r="1120">
          <cell r="A1120">
            <v>0</v>
          </cell>
          <cell r="C1120">
            <v>0</v>
          </cell>
          <cell r="D1120">
            <v>0</v>
          </cell>
        </row>
        <row r="1121">
          <cell r="A1121">
            <v>0</v>
          </cell>
          <cell r="C1121">
            <v>0</v>
          </cell>
          <cell r="D1121">
            <v>0</v>
          </cell>
        </row>
        <row r="1122">
          <cell r="A1122">
            <v>0</v>
          </cell>
          <cell r="C1122">
            <v>0</v>
          </cell>
          <cell r="D1122">
            <v>0</v>
          </cell>
        </row>
        <row r="1123">
          <cell r="A1123">
            <v>0</v>
          </cell>
          <cell r="C1123">
            <v>0</v>
          </cell>
          <cell r="D1123">
            <v>0</v>
          </cell>
        </row>
        <row r="1124">
          <cell r="A1124">
            <v>0</v>
          </cell>
          <cell r="C1124">
            <v>0</v>
          </cell>
          <cell r="D1124">
            <v>0</v>
          </cell>
        </row>
        <row r="1125">
          <cell r="A1125">
            <v>0</v>
          </cell>
          <cell r="C1125">
            <v>0</v>
          </cell>
          <cell r="D1125">
            <v>0</v>
          </cell>
        </row>
        <row r="1126">
          <cell r="A1126">
            <v>0</v>
          </cell>
          <cell r="C1126">
            <v>0</v>
          </cell>
          <cell r="D1126">
            <v>0</v>
          </cell>
        </row>
        <row r="1127">
          <cell r="A1127">
            <v>0</v>
          </cell>
          <cell r="C1127">
            <v>0</v>
          </cell>
          <cell r="D1127">
            <v>0</v>
          </cell>
        </row>
        <row r="1128">
          <cell r="A1128">
            <v>0</v>
          </cell>
          <cell r="C1128">
            <v>0</v>
          </cell>
          <cell r="D1128">
            <v>0</v>
          </cell>
        </row>
        <row r="1129">
          <cell r="A1129">
            <v>0</v>
          </cell>
          <cell r="C1129">
            <v>0</v>
          </cell>
          <cell r="D1129">
            <v>0</v>
          </cell>
        </row>
        <row r="1130">
          <cell r="A1130">
            <v>0</v>
          </cell>
          <cell r="C1130">
            <v>0</v>
          </cell>
          <cell r="D1130">
            <v>0</v>
          </cell>
        </row>
        <row r="1131">
          <cell r="A1131">
            <v>0</v>
          </cell>
          <cell r="C1131">
            <v>0</v>
          </cell>
          <cell r="D1131">
            <v>0</v>
          </cell>
        </row>
        <row r="1132">
          <cell r="A1132">
            <v>0</v>
          </cell>
          <cell r="C1132">
            <v>0</v>
          </cell>
          <cell r="D1132">
            <v>0</v>
          </cell>
        </row>
        <row r="1133">
          <cell r="A1133">
            <v>0</v>
          </cell>
          <cell r="C1133">
            <v>0</v>
          </cell>
          <cell r="D1133">
            <v>0</v>
          </cell>
        </row>
        <row r="1134">
          <cell r="A1134">
            <v>0</v>
          </cell>
          <cell r="C1134">
            <v>0</v>
          </cell>
          <cell r="D1134">
            <v>0</v>
          </cell>
        </row>
        <row r="1135">
          <cell r="A1135">
            <v>0</v>
          </cell>
          <cell r="C1135">
            <v>0</v>
          </cell>
          <cell r="D1135">
            <v>0</v>
          </cell>
        </row>
        <row r="1136">
          <cell r="A1136">
            <v>0</v>
          </cell>
          <cell r="C1136">
            <v>0</v>
          </cell>
          <cell r="D1136">
            <v>0</v>
          </cell>
        </row>
        <row r="1137">
          <cell r="A1137">
            <v>0</v>
          </cell>
          <cell r="C1137">
            <v>0</v>
          </cell>
          <cell r="D1137">
            <v>0</v>
          </cell>
        </row>
        <row r="1138">
          <cell r="A1138">
            <v>0</v>
          </cell>
          <cell r="C1138">
            <v>0</v>
          </cell>
          <cell r="D1138">
            <v>0</v>
          </cell>
        </row>
        <row r="1139">
          <cell r="A1139">
            <v>0</v>
          </cell>
          <cell r="C1139">
            <v>0</v>
          </cell>
          <cell r="D1139">
            <v>0</v>
          </cell>
        </row>
        <row r="1140">
          <cell r="A1140">
            <v>0</v>
          </cell>
          <cell r="C1140">
            <v>0</v>
          </cell>
          <cell r="D1140">
            <v>0</v>
          </cell>
        </row>
        <row r="1141">
          <cell r="A1141">
            <v>0</v>
          </cell>
          <cell r="C1141">
            <v>0</v>
          </cell>
          <cell r="D1141">
            <v>0</v>
          </cell>
        </row>
        <row r="1142">
          <cell r="A1142">
            <v>0</v>
          </cell>
          <cell r="C1142">
            <v>0</v>
          </cell>
          <cell r="D1142">
            <v>0</v>
          </cell>
        </row>
        <row r="1143">
          <cell r="A1143">
            <v>0</v>
          </cell>
          <cell r="C1143">
            <v>0</v>
          </cell>
          <cell r="D1143">
            <v>0</v>
          </cell>
        </row>
        <row r="1144">
          <cell r="A1144">
            <v>0</v>
          </cell>
          <cell r="C1144">
            <v>0</v>
          </cell>
          <cell r="D1144">
            <v>0</v>
          </cell>
        </row>
        <row r="1145">
          <cell r="A1145">
            <v>0</v>
          </cell>
          <cell r="C1145">
            <v>0</v>
          </cell>
          <cell r="D1145">
            <v>0</v>
          </cell>
        </row>
        <row r="1146">
          <cell r="A1146">
            <v>0</v>
          </cell>
          <cell r="C1146">
            <v>0</v>
          </cell>
          <cell r="D1146">
            <v>0</v>
          </cell>
        </row>
        <row r="1147">
          <cell r="A1147">
            <v>0</v>
          </cell>
          <cell r="C1147">
            <v>0</v>
          </cell>
          <cell r="D1147">
            <v>0</v>
          </cell>
        </row>
        <row r="1148">
          <cell r="A1148">
            <v>0</v>
          </cell>
          <cell r="C1148">
            <v>0</v>
          </cell>
          <cell r="D1148">
            <v>0</v>
          </cell>
        </row>
        <row r="1149">
          <cell r="A1149">
            <v>0</v>
          </cell>
          <cell r="C1149">
            <v>0</v>
          </cell>
          <cell r="D1149">
            <v>0</v>
          </cell>
        </row>
        <row r="1150">
          <cell r="A1150">
            <v>0</v>
          </cell>
          <cell r="C1150">
            <v>0</v>
          </cell>
          <cell r="D1150">
            <v>0</v>
          </cell>
        </row>
        <row r="1151">
          <cell r="A1151">
            <v>0</v>
          </cell>
          <cell r="C1151">
            <v>0</v>
          </cell>
          <cell r="D1151">
            <v>0</v>
          </cell>
        </row>
        <row r="1152">
          <cell r="A1152">
            <v>0</v>
          </cell>
          <cell r="C1152">
            <v>0</v>
          </cell>
          <cell r="D1152">
            <v>0</v>
          </cell>
        </row>
        <row r="1153">
          <cell r="A1153">
            <v>0</v>
          </cell>
          <cell r="C1153">
            <v>0</v>
          </cell>
          <cell r="D1153">
            <v>0</v>
          </cell>
        </row>
        <row r="1154">
          <cell r="A1154">
            <v>0</v>
          </cell>
          <cell r="C1154">
            <v>0</v>
          </cell>
          <cell r="D1154">
            <v>0</v>
          </cell>
        </row>
        <row r="1155">
          <cell r="A1155">
            <v>0</v>
          </cell>
          <cell r="C1155">
            <v>0</v>
          </cell>
          <cell r="D1155">
            <v>0</v>
          </cell>
        </row>
        <row r="1156">
          <cell r="A1156">
            <v>0</v>
          </cell>
          <cell r="C1156">
            <v>0</v>
          </cell>
          <cell r="D1156">
            <v>0</v>
          </cell>
        </row>
        <row r="1157">
          <cell r="A1157">
            <v>0</v>
          </cell>
          <cell r="C1157">
            <v>0</v>
          </cell>
          <cell r="D1157">
            <v>0</v>
          </cell>
        </row>
        <row r="1158">
          <cell r="A1158">
            <v>0</v>
          </cell>
          <cell r="C1158">
            <v>0</v>
          </cell>
          <cell r="D1158">
            <v>0</v>
          </cell>
        </row>
        <row r="1159">
          <cell r="A1159">
            <v>0</v>
          </cell>
          <cell r="C1159">
            <v>0</v>
          </cell>
          <cell r="D1159">
            <v>0</v>
          </cell>
        </row>
        <row r="1160">
          <cell r="A1160">
            <v>0</v>
          </cell>
          <cell r="C1160">
            <v>0</v>
          </cell>
          <cell r="D1160">
            <v>0</v>
          </cell>
        </row>
        <row r="1161">
          <cell r="A1161">
            <v>0</v>
          </cell>
          <cell r="C1161">
            <v>0</v>
          </cell>
          <cell r="D1161">
            <v>0</v>
          </cell>
        </row>
        <row r="1162">
          <cell r="A1162">
            <v>0</v>
          </cell>
          <cell r="C1162">
            <v>0</v>
          </cell>
          <cell r="D1162">
            <v>0</v>
          </cell>
        </row>
        <row r="1163">
          <cell r="A1163">
            <v>0</v>
          </cell>
          <cell r="C1163">
            <v>0</v>
          </cell>
          <cell r="D1163">
            <v>0</v>
          </cell>
        </row>
        <row r="1164">
          <cell r="A1164">
            <v>0</v>
          </cell>
          <cell r="C1164">
            <v>0</v>
          </cell>
          <cell r="D1164">
            <v>0</v>
          </cell>
        </row>
        <row r="1165">
          <cell r="A1165">
            <v>0</v>
          </cell>
          <cell r="C1165">
            <v>0</v>
          </cell>
          <cell r="D1165">
            <v>0</v>
          </cell>
        </row>
        <row r="1166">
          <cell r="A1166">
            <v>0</v>
          </cell>
          <cell r="C1166">
            <v>0</v>
          </cell>
          <cell r="D1166">
            <v>0</v>
          </cell>
        </row>
        <row r="1167">
          <cell r="A1167">
            <v>0</v>
          </cell>
          <cell r="C1167">
            <v>0</v>
          </cell>
          <cell r="D1167">
            <v>0</v>
          </cell>
        </row>
        <row r="1168">
          <cell r="A1168">
            <v>0</v>
          </cell>
          <cell r="C1168">
            <v>0</v>
          </cell>
          <cell r="D1168">
            <v>0</v>
          </cell>
        </row>
        <row r="1169">
          <cell r="A1169">
            <v>0</v>
          </cell>
          <cell r="C1169">
            <v>0</v>
          </cell>
          <cell r="D1169">
            <v>0</v>
          </cell>
        </row>
        <row r="1170">
          <cell r="A1170">
            <v>0</v>
          </cell>
          <cell r="C1170">
            <v>0</v>
          </cell>
          <cell r="D1170">
            <v>0</v>
          </cell>
        </row>
        <row r="1171">
          <cell r="A1171">
            <v>0</v>
          </cell>
          <cell r="C1171">
            <v>0</v>
          </cell>
          <cell r="D1171">
            <v>0</v>
          </cell>
        </row>
        <row r="1172">
          <cell r="A1172">
            <v>0</v>
          </cell>
          <cell r="C1172">
            <v>0</v>
          </cell>
          <cell r="D1172">
            <v>0</v>
          </cell>
        </row>
        <row r="1173">
          <cell r="A1173">
            <v>0</v>
          </cell>
          <cell r="C1173">
            <v>0</v>
          </cell>
          <cell r="D1173">
            <v>0</v>
          </cell>
        </row>
        <row r="1174">
          <cell r="A1174">
            <v>0</v>
          </cell>
          <cell r="C1174">
            <v>0</v>
          </cell>
          <cell r="D1174">
            <v>0</v>
          </cell>
        </row>
        <row r="1175">
          <cell r="A1175">
            <v>0</v>
          </cell>
          <cell r="C1175">
            <v>0</v>
          </cell>
          <cell r="D1175">
            <v>0</v>
          </cell>
        </row>
        <row r="1176">
          <cell r="A1176">
            <v>0</v>
          </cell>
          <cell r="C1176">
            <v>0</v>
          </cell>
          <cell r="D1176">
            <v>0</v>
          </cell>
        </row>
        <row r="1177">
          <cell r="A1177">
            <v>0</v>
          </cell>
          <cell r="C1177">
            <v>0</v>
          </cell>
          <cell r="D1177">
            <v>0</v>
          </cell>
        </row>
        <row r="1178">
          <cell r="A1178">
            <v>0</v>
          </cell>
          <cell r="C1178">
            <v>0</v>
          </cell>
          <cell r="D1178">
            <v>0</v>
          </cell>
        </row>
        <row r="1179">
          <cell r="A1179">
            <v>0</v>
          </cell>
          <cell r="C1179">
            <v>0</v>
          </cell>
          <cell r="D1179">
            <v>0</v>
          </cell>
        </row>
        <row r="1180">
          <cell r="A1180">
            <v>0</v>
          </cell>
          <cell r="C1180">
            <v>0</v>
          </cell>
          <cell r="D1180">
            <v>0</v>
          </cell>
        </row>
        <row r="1181">
          <cell r="A1181">
            <v>0</v>
          </cell>
          <cell r="C1181">
            <v>0</v>
          </cell>
          <cell r="D1181">
            <v>0</v>
          </cell>
        </row>
        <row r="1182">
          <cell r="A1182">
            <v>0</v>
          </cell>
          <cell r="C1182">
            <v>0</v>
          </cell>
          <cell r="D1182">
            <v>0</v>
          </cell>
        </row>
        <row r="1183">
          <cell r="A1183">
            <v>0</v>
          </cell>
          <cell r="C1183">
            <v>0</v>
          </cell>
          <cell r="D1183">
            <v>0</v>
          </cell>
        </row>
        <row r="1184">
          <cell r="A1184">
            <v>0</v>
          </cell>
          <cell r="C1184">
            <v>0</v>
          </cell>
          <cell r="D1184">
            <v>0</v>
          </cell>
        </row>
        <row r="1185">
          <cell r="A1185">
            <v>0</v>
          </cell>
          <cell r="C1185">
            <v>0</v>
          </cell>
          <cell r="D1185">
            <v>0</v>
          </cell>
        </row>
        <row r="1186">
          <cell r="A1186">
            <v>0</v>
          </cell>
          <cell r="C1186">
            <v>0</v>
          </cell>
          <cell r="D1186">
            <v>0</v>
          </cell>
        </row>
        <row r="1187">
          <cell r="A1187">
            <v>0</v>
          </cell>
          <cell r="C1187">
            <v>0</v>
          </cell>
          <cell r="D1187">
            <v>0</v>
          </cell>
        </row>
        <row r="1188">
          <cell r="A1188">
            <v>0</v>
          </cell>
          <cell r="C1188">
            <v>0</v>
          </cell>
          <cell r="D1188">
            <v>0</v>
          </cell>
        </row>
        <row r="1189">
          <cell r="A1189">
            <v>0</v>
          </cell>
          <cell r="C1189">
            <v>0</v>
          </cell>
          <cell r="D1189">
            <v>0</v>
          </cell>
        </row>
        <row r="1190">
          <cell r="A1190">
            <v>0</v>
          </cell>
          <cell r="C1190">
            <v>0</v>
          </cell>
          <cell r="D1190">
            <v>0</v>
          </cell>
        </row>
        <row r="1191">
          <cell r="A1191">
            <v>0</v>
          </cell>
          <cell r="C1191">
            <v>0</v>
          </cell>
          <cell r="D1191">
            <v>0</v>
          </cell>
        </row>
        <row r="1192">
          <cell r="A1192">
            <v>0</v>
          </cell>
          <cell r="C1192">
            <v>0</v>
          </cell>
          <cell r="D1192">
            <v>0</v>
          </cell>
        </row>
        <row r="1193">
          <cell r="A1193">
            <v>0</v>
          </cell>
          <cell r="C1193">
            <v>0</v>
          </cell>
          <cell r="D1193">
            <v>0</v>
          </cell>
        </row>
        <row r="1194">
          <cell r="A1194">
            <v>0</v>
          </cell>
          <cell r="C1194">
            <v>0</v>
          </cell>
          <cell r="D1194">
            <v>0</v>
          </cell>
        </row>
        <row r="1195">
          <cell r="A1195">
            <v>0</v>
          </cell>
          <cell r="C1195">
            <v>0</v>
          </cell>
          <cell r="D1195">
            <v>0</v>
          </cell>
        </row>
        <row r="1196">
          <cell r="A1196">
            <v>0</v>
          </cell>
          <cell r="C1196">
            <v>0</v>
          </cell>
          <cell r="D1196">
            <v>0</v>
          </cell>
        </row>
        <row r="1197">
          <cell r="A1197">
            <v>0</v>
          </cell>
          <cell r="C1197">
            <v>0</v>
          </cell>
          <cell r="D1197">
            <v>0</v>
          </cell>
        </row>
        <row r="1198">
          <cell r="A1198">
            <v>0</v>
          </cell>
          <cell r="C1198">
            <v>0</v>
          </cell>
          <cell r="D1198">
            <v>0</v>
          </cell>
        </row>
        <row r="1199">
          <cell r="A1199">
            <v>0</v>
          </cell>
          <cell r="C1199">
            <v>0</v>
          </cell>
          <cell r="D1199">
            <v>0</v>
          </cell>
        </row>
        <row r="1200">
          <cell r="A1200">
            <v>0</v>
          </cell>
          <cell r="C1200">
            <v>0</v>
          </cell>
          <cell r="D1200">
            <v>0</v>
          </cell>
        </row>
        <row r="1201">
          <cell r="A1201">
            <v>0</v>
          </cell>
          <cell r="C1201">
            <v>0</v>
          </cell>
          <cell r="D1201">
            <v>0</v>
          </cell>
        </row>
        <row r="1202">
          <cell r="A1202">
            <v>0</v>
          </cell>
          <cell r="C1202">
            <v>0</v>
          </cell>
          <cell r="D1202">
            <v>0</v>
          </cell>
        </row>
        <row r="1203">
          <cell r="A1203">
            <v>0</v>
          </cell>
          <cell r="C1203">
            <v>0</v>
          </cell>
          <cell r="D1203">
            <v>0</v>
          </cell>
        </row>
        <row r="1204">
          <cell r="A1204">
            <v>0</v>
          </cell>
          <cell r="C1204">
            <v>0</v>
          </cell>
          <cell r="D1204">
            <v>0</v>
          </cell>
        </row>
        <row r="1205">
          <cell r="A1205">
            <v>0</v>
          </cell>
          <cell r="C1205">
            <v>0</v>
          </cell>
          <cell r="D1205">
            <v>0</v>
          </cell>
        </row>
        <row r="1206">
          <cell r="A1206">
            <v>0</v>
          </cell>
          <cell r="C1206">
            <v>0</v>
          </cell>
          <cell r="D1206">
            <v>0</v>
          </cell>
        </row>
        <row r="1207">
          <cell r="A1207">
            <v>0</v>
          </cell>
          <cell r="C1207">
            <v>0</v>
          </cell>
          <cell r="D1207">
            <v>0</v>
          </cell>
        </row>
        <row r="1208">
          <cell r="A1208">
            <v>0</v>
          </cell>
          <cell r="C1208">
            <v>0</v>
          </cell>
          <cell r="D1208">
            <v>0</v>
          </cell>
        </row>
        <row r="1209">
          <cell r="A1209">
            <v>0</v>
          </cell>
          <cell r="C1209">
            <v>0</v>
          </cell>
          <cell r="D1209">
            <v>0</v>
          </cell>
        </row>
        <row r="1210">
          <cell r="A1210">
            <v>0</v>
          </cell>
          <cell r="C1210">
            <v>0</v>
          </cell>
          <cell r="D1210">
            <v>0</v>
          </cell>
        </row>
        <row r="1211">
          <cell r="A1211">
            <v>0</v>
          </cell>
          <cell r="C1211">
            <v>0</v>
          </cell>
          <cell r="D1211">
            <v>0</v>
          </cell>
        </row>
        <row r="1212">
          <cell r="A1212">
            <v>0</v>
          </cell>
          <cell r="C1212">
            <v>0</v>
          </cell>
          <cell r="D1212">
            <v>0</v>
          </cell>
        </row>
        <row r="1213">
          <cell r="A1213">
            <v>0</v>
          </cell>
          <cell r="C1213">
            <v>0</v>
          </cell>
          <cell r="D1213">
            <v>0</v>
          </cell>
        </row>
        <row r="1214">
          <cell r="A1214">
            <v>0</v>
          </cell>
          <cell r="C1214">
            <v>0</v>
          </cell>
          <cell r="D1214">
            <v>0</v>
          </cell>
        </row>
        <row r="1215">
          <cell r="A1215">
            <v>0</v>
          </cell>
          <cell r="C1215">
            <v>0</v>
          </cell>
          <cell r="D1215">
            <v>0</v>
          </cell>
        </row>
        <row r="1216">
          <cell r="A1216">
            <v>0</v>
          </cell>
          <cell r="C1216">
            <v>0</v>
          </cell>
          <cell r="D1216">
            <v>0</v>
          </cell>
        </row>
        <row r="1217">
          <cell r="A1217">
            <v>0</v>
          </cell>
          <cell r="C1217">
            <v>0</v>
          </cell>
          <cell r="D1217">
            <v>0</v>
          </cell>
        </row>
        <row r="1218">
          <cell r="A1218">
            <v>0</v>
          </cell>
          <cell r="C1218">
            <v>0</v>
          </cell>
          <cell r="D1218">
            <v>0</v>
          </cell>
        </row>
        <row r="1219">
          <cell r="A1219">
            <v>0</v>
          </cell>
          <cell r="C1219">
            <v>0</v>
          </cell>
          <cell r="D1219">
            <v>0</v>
          </cell>
        </row>
        <row r="1220">
          <cell r="A1220">
            <v>0</v>
          </cell>
          <cell r="C1220">
            <v>0</v>
          </cell>
          <cell r="D1220">
            <v>0</v>
          </cell>
        </row>
        <row r="1221">
          <cell r="A1221">
            <v>0</v>
          </cell>
          <cell r="C1221">
            <v>0</v>
          </cell>
          <cell r="D1221">
            <v>0</v>
          </cell>
        </row>
        <row r="1222">
          <cell r="A1222">
            <v>0</v>
          </cell>
          <cell r="C1222">
            <v>0</v>
          </cell>
          <cell r="D1222">
            <v>0</v>
          </cell>
        </row>
        <row r="1223">
          <cell r="A1223">
            <v>0</v>
          </cell>
          <cell r="C1223">
            <v>0</v>
          </cell>
          <cell r="D1223">
            <v>0</v>
          </cell>
        </row>
        <row r="1224">
          <cell r="A1224">
            <v>0</v>
          </cell>
          <cell r="C1224">
            <v>0</v>
          </cell>
          <cell r="D1224">
            <v>0</v>
          </cell>
        </row>
        <row r="1225">
          <cell r="A1225">
            <v>0</v>
          </cell>
          <cell r="C1225">
            <v>0</v>
          </cell>
          <cell r="D1225">
            <v>0</v>
          </cell>
        </row>
        <row r="1226">
          <cell r="A1226">
            <v>0</v>
          </cell>
          <cell r="C1226">
            <v>0</v>
          </cell>
          <cell r="D1226">
            <v>0</v>
          </cell>
        </row>
        <row r="1227">
          <cell r="A1227">
            <v>0</v>
          </cell>
          <cell r="C1227">
            <v>0</v>
          </cell>
          <cell r="D1227">
            <v>0</v>
          </cell>
        </row>
        <row r="1228">
          <cell r="A1228">
            <v>0</v>
          </cell>
          <cell r="C1228">
            <v>0</v>
          </cell>
          <cell r="D1228">
            <v>0</v>
          </cell>
        </row>
        <row r="1229">
          <cell r="A1229">
            <v>0</v>
          </cell>
          <cell r="C1229">
            <v>0</v>
          </cell>
          <cell r="D1229">
            <v>0</v>
          </cell>
        </row>
        <row r="1230">
          <cell r="A1230">
            <v>0</v>
          </cell>
          <cell r="C1230">
            <v>0</v>
          </cell>
          <cell r="D1230">
            <v>0</v>
          </cell>
        </row>
        <row r="1231">
          <cell r="A1231">
            <v>0</v>
          </cell>
          <cell r="C1231">
            <v>0</v>
          </cell>
          <cell r="D1231">
            <v>0</v>
          </cell>
        </row>
        <row r="1232">
          <cell r="A1232">
            <v>0</v>
          </cell>
          <cell r="C1232">
            <v>0</v>
          </cell>
          <cell r="D1232">
            <v>0</v>
          </cell>
        </row>
        <row r="1233">
          <cell r="A1233">
            <v>0</v>
          </cell>
          <cell r="C1233">
            <v>0</v>
          </cell>
          <cell r="D1233">
            <v>0</v>
          </cell>
        </row>
        <row r="1234">
          <cell r="A1234">
            <v>0</v>
          </cell>
          <cell r="C1234">
            <v>0</v>
          </cell>
          <cell r="D1234">
            <v>0</v>
          </cell>
        </row>
        <row r="1235">
          <cell r="A1235">
            <v>0</v>
          </cell>
          <cell r="C1235">
            <v>0</v>
          </cell>
          <cell r="D1235">
            <v>0</v>
          </cell>
        </row>
        <row r="1236">
          <cell r="A1236">
            <v>0</v>
          </cell>
          <cell r="C1236">
            <v>0</v>
          </cell>
          <cell r="D1236">
            <v>0</v>
          </cell>
        </row>
        <row r="1237">
          <cell r="A1237">
            <v>0</v>
          </cell>
          <cell r="C1237">
            <v>0</v>
          </cell>
          <cell r="D1237">
            <v>0</v>
          </cell>
        </row>
        <row r="1238">
          <cell r="A1238">
            <v>0</v>
          </cell>
          <cell r="C1238">
            <v>0</v>
          </cell>
          <cell r="D1238">
            <v>0</v>
          </cell>
        </row>
        <row r="1239">
          <cell r="A1239">
            <v>0</v>
          </cell>
          <cell r="C1239">
            <v>0</v>
          </cell>
          <cell r="D1239">
            <v>0</v>
          </cell>
        </row>
        <row r="1240">
          <cell r="A1240">
            <v>0</v>
          </cell>
          <cell r="C1240">
            <v>0</v>
          </cell>
          <cell r="D1240">
            <v>0</v>
          </cell>
        </row>
        <row r="1241">
          <cell r="A1241">
            <v>0</v>
          </cell>
          <cell r="C1241">
            <v>0</v>
          </cell>
          <cell r="D1241">
            <v>0</v>
          </cell>
        </row>
        <row r="1242">
          <cell r="A1242">
            <v>0</v>
          </cell>
          <cell r="C1242">
            <v>0</v>
          </cell>
          <cell r="D1242">
            <v>0</v>
          </cell>
        </row>
        <row r="1243">
          <cell r="A1243">
            <v>0</v>
          </cell>
          <cell r="C1243">
            <v>0</v>
          </cell>
          <cell r="D1243">
            <v>0</v>
          </cell>
        </row>
        <row r="1244">
          <cell r="A1244">
            <v>0</v>
          </cell>
          <cell r="C1244">
            <v>0</v>
          </cell>
          <cell r="D1244">
            <v>0</v>
          </cell>
        </row>
        <row r="1245">
          <cell r="A1245">
            <v>0</v>
          </cell>
          <cell r="C1245">
            <v>0</v>
          </cell>
          <cell r="D1245">
            <v>0</v>
          </cell>
        </row>
        <row r="1246">
          <cell r="A1246">
            <v>0</v>
          </cell>
          <cell r="C1246">
            <v>0</v>
          </cell>
          <cell r="D1246">
            <v>0</v>
          </cell>
        </row>
        <row r="1247">
          <cell r="A1247">
            <v>0</v>
          </cell>
          <cell r="C1247">
            <v>0</v>
          </cell>
          <cell r="D1247">
            <v>0</v>
          </cell>
        </row>
        <row r="1248">
          <cell r="A1248">
            <v>0</v>
          </cell>
          <cell r="C1248">
            <v>0</v>
          </cell>
          <cell r="D1248">
            <v>0</v>
          </cell>
        </row>
        <row r="1249">
          <cell r="A1249">
            <v>0</v>
          </cell>
          <cell r="C1249">
            <v>0</v>
          </cell>
          <cell r="D1249">
            <v>0</v>
          </cell>
        </row>
        <row r="1250">
          <cell r="A1250">
            <v>0</v>
          </cell>
          <cell r="C1250">
            <v>0</v>
          </cell>
          <cell r="D1250">
            <v>0</v>
          </cell>
        </row>
        <row r="1251">
          <cell r="A1251">
            <v>0</v>
          </cell>
          <cell r="C1251">
            <v>0</v>
          </cell>
          <cell r="D1251">
            <v>0</v>
          </cell>
        </row>
        <row r="1252">
          <cell r="A1252">
            <v>0</v>
          </cell>
          <cell r="C1252">
            <v>0</v>
          </cell>
          <cell r="D1252">
            <v>0</v>
          </cell>
        </row>
        <row r="1253">
          <cell r="A1253">
            <v>0</v>
          </cell>
          <cell r="C1253">
            <v>0</v>
          </cell>
          <cell r="D1253">
            <v>0</v>
          </cell>
        </row>
        <row r="1254">
          <cell r="A1254">
            <v>0</v>
          </cell>
          <cell r="C1254">
            <v>0</v>
          </cell>
          <cell r="D1254">
            <v>0</v>
          </cell>
        </row>
        <row r="1255">
          <cell r="A1255">
            <v>0</v>
          </cell>
          <cell r="C1255">
            <v>0</v>
          </cell>
          <cell r="D1255">
            <v>0</v>
          </cell>
        </row>
        <row r="1256">
          <cell r="A1256">
            <v>0</v>
          </cell>
          <cell r="C1256">
            <v>0</v>
          </cell>
          <cell r="D1256">
            <v>0</v>
          </cell>
        </row>
        <row r="1257">
          <cell r="A1257">
            <v>0</v>
          </cell>
          <cell r="C1257">
            <v>0</v>
          </cell>
          <cell r="D1257">
            <v>0</v>
          </cell>
        </row>
        <row r="1258">
          <cell r="A1258">
            <v>0</v>
          </cell>
          <cell r="C1258">
            <v>0</v>
          </cell>
          <cell r="D1258">
            <v>0</v>
          </cell>
        </row>
        <row r="1259">
          <cell r="A1259">
            <v>0</v>
          </cell>
          <cell r="C1259">
            <v>0</v>
          </cell>
          <cell r="D1259">
            <v>0</v>
          </cell>
        </row>
        <row r="1260">
          <cell r="A1260">
            <v>0</v>
          </cell>
          <cell r="C1260">
            <v>0</v>
          </cell>
          <cell r="D1260">
            <v>0</v>
          </cell>
        </row>
        <row r="1261">
          <cell r="A1261">
            <v>0</v>
          </cell>
          <cell r="C1261">
            <v>0</v>
          </cell>
          <cell r="D1261">
            <v>0</v>
          </cell>
        </row>
        <row r="1262">
          <cell r="A1262">
            <v>0</v>
          </cell>
          <cell r="C1262">
            <v>0</v>
          </cell>
          <cell r="D1262">
            <v>0</v>
          </cell>
        </row>
        <row r="1263">
          <cell r="A1263">
            <v>0</v>
          </cell>
          <cell r="C1263">
            <v>0</v>
          </cell>
          <cell r="D1263">
            <v>0</v>
          </cell>
        </row>
        <row r="1264">
          <cell r="A1264">
            <v>0</v>
          </cell>
          <cell r="C1264">
            <v>0</v>
          </cell>
          <cell r="D1264">
            <v>0</v>
          </cell>
        </row>
        <row r="1265">
          <cell r="A1265">
            <v>0</v>
          </cell>
          <cell r="C1265">
            <v>0</v>
          </cell>
          <cell r="D1265">
            <v>0</v>
          </cell>
        </row>
        <row r="1266">
          <cell r="A1266">
            <v>0</v>
          </cell>
          <cell r="C1266">
            <v>0</v>
          </cell>
          <cell r="D1266">
            <v>0</v>
          </cell>
        </row>
        <row r="1267">
          <cell r="A1267">
            <v>0</v>
          </cell>
          <cell r="C1267">
            <v>0</v>
          </cell>
          <cell r="D1267">
            <v>0</v>
          </cell>
        </row>
        <row r="1268">
          <cell r="A1268">
            <v>0</v>
          </cell>
          <cell r="C1268">
            <v>0</v>
          </cell>
          <cell r="D1268">
            <v>0</v>
          </cell>
        </row>
        <row r="1269">
          <cell r="A1269">
            <v>0</v>
          </cell>
          <cell r="C1269">
            <v>0</v>
          </cell>
          <cell r="D1269">
            <v>0</v>
          </cell>
        </row>
        <row r="1270">
          <cell r="A1270">
            <v>0</v>
          </cell>
          <cell r="C1270">
            <v>0</v>
          </cell>
          <cell r="D1270">
            <v>0</v>
          </cell>
        </row>
        <row r="1271">
          <cell r="A1271">
            <v>0</v>
          </cell>
          <cell r="C1271">
            <v>0</v>
          </cell>
          <cell r="D1271">
            <v>0</v>
          </cell>
        </row>
        <row r="1272">
          <cell r="A1272">
            <v>0</v>
          </cell>
          <cell r="C1272">
            <v>0</v>
          </cell>
          <cell r="D1272">
            <v>0</v>
          </cell>
        </row>
        <row r="1273">
          <cell r="A1273">
            <v>0</v>
          </cell>
          <cell r="C1273">
            <v>0</v>
          </cell>
          <cell r="D1273">
            <v>0</v>
          </cell>
        </row>
        <row r="1274">
          <cell r="A1274">
            <v>0</v>
          </cell>
          <cell r="C1274">
            <v>0</v>
          </cell>
          <cell r="D1274">
            <v>0</v>
          </cell>
        </row>
        <row r="1275">
          <cell r="A1275">
            <v>0</v>
          </cell>
          <cell r="C1275">
            <v>0</v>
          </cell>
          <cell r="D1275">
            <v>0</v>
          </cell>
        </row>
        <row r="1276">
          <cell r="A1276">
            <v>0</v>
          </cell>
          <cell r="C1276">
            <v>0</v>
          </cell>
          <cell r="D1276">
            <v>0</v>
          </cell>
        </row>
        <row r="1277">
          <cell r="A1277">
            <v>0</v>
          </cell>
          <cell r="C1277">
            <v>0</v>
          </cell>
          <cell r="D1277">
            <v>0</v>
          </cell>
        </row>
        <row r="1278">
          <cell r="A1278">
            <v>0</v>
          </cell>
          <cell r="C1278">
            <v>0</v>
          </cell>
          <cell r="D1278">
            <v>0</v>
          </cell>
        </row>
        <row r="1279">
          <cell r="A1279">
            <v>0</v>
          </cell>
          <cell r="C1279">
            <v>0</v>
          </cell>
          <cell r="D1279">
            <v>0</v>
          </cell>
        </row>
        <row r="1280">
          <cell r="A1280">
            <v>0</v>
          </cell>
          <cell r="C1280">
            <v>0</v>
          </cell>
          <cell r="D1280">
            <v>0</v>
          </cell>
        </row>
        <row r="1281">
          <cell r="A1281">
            <v>0</v>
          </cell>
          <cell r="C1281">
            <v>0</v>
          </cell>
          <cell r="D1281">
            <v>0</v>
          </cell>
        </row>
        <row r="1282">
          <cell r="A1282">
            <v>0</v>
          </cell>
          <cell r="C1282">
            <v>0</v>
          </cell>
          <cell r="D1282">
            <v>0</v>
          </cell>
        </row>
        <row r="1283">
          <cell r="A1283">
            <v>0</v>
          </cell>
          <cell r="C1283">
            <v>0</v>
          </cell>
          <cell r="D1283">
            <v>0</v>
          </cell>
        </row>
        <row r="1284">
          <cell r="A1284">
            <v>0</v>
          </cell>
          <cell r="C1284">
            <v>0</v>
          </cell>
          <cell r="D1284">
            <v>0</v>
          </cell>
        </row>
        <row r="1285">
          <cell r="A1285">
            <v>0</v>
          </cell>
          <cell r="C1285">
            <v>0</v>
          </cell>
          <cell r="D1285">
            <v>0</v>
          </cell>
        </row>
        <row r="1286">
          <cell r="A1286">
            <v>0</v>
          </cell>
          <cell r="C1286">
            <v>0</v>
          </cell>
          <cell r="D1286">
            <v>0</v>
          </cell>
        </row>
        <row r="1287">
          <cell r="A1287">
            <v>0</v>
          </cell>
          <cell r="C1287">
            <v>0</v>
          </cell>
          <cell r="D1287">
            <v>0</v>
          </cell>
        </row>
        <row r="1288">
          <cell r="A1288">
            <v>0</v>
          </cell>
          <cell r="C1288">
            <v>0</v>
          </cell>
          <cell r="D1288">
            <v>0</v>
          </cell>
        </row>
        <row r="1289">
          <cell r="A1289">
            <v>0</v>
          </cell>
          <cell r="C1289">
            <v>0</v>
          </cell>
          <cell r="D1289">
            <v>0</v>
          </cell>
        </row>
        <row r="1290">
          <cell r="A1290">
            <v>0</v>
          </cell>
          <cell r="C1290">
            <v>0</v>
          </cell>
          <cell r="D1290">
            <v>0</v>
          </cell>
        </row>
        <row r="1291">
          <cell r="A1291">
            <v>0</v>
          </cell>
          <cell r="C1291">
            <v>0</v>
          </cell>
          <cell r="D1291">
            <v>0</v>
          </cell>
        </row>
        <row r="1292">
          <cell r="A1292">
            <v>0</v>
          </cell>
          <cell r="C1292">
            <v>0</v>
          </cell>
          <cell r="D1292">
            <v>0</v>
          </cell>
        </row>
        <row r="1293">
          <cell r="A1293">
            <v>0</v>
          </cell>
          <cell r="C1293">
            <v>0</v>
          </cell>
          <cell r="D1293">
            <v>0</v>
          </cell>
        </row>
        <row r="1294">
          <cell r="A1294">
            <v>0</v>
          </cell>
          <cell r="C1294">
            <v>0</v>
          </cell>
          <cell r="D1294">
            <v>0</v>
          </cell>
        </row>
        <row r="1295">
          <cell r="A1295">
            <v>0</v>
          </cell>
          <cell r="C1295">
            <v>0</v>
          </cell>
          <cell r="D1295">
            <v>0</v>
          </cell>
        </row>
        <row r="1296">
          <cell r="A1296">
            <v>0</v>
          </cell>
          <cell r="C1296">
            <v>0</v>
          </cell>
          <cell r="D1296">
            <v>0</v>
          </cell>
        </row>
        <row r="1297">
          <cell r="A1297">
            <v>0</v>
          </cell>
          <cell r="C1297">
            <v>0</v>
          </cell>
          <cell r="D1297">
            <v>0</v>
          </cell>
        </row>
        <row r="1298">
          <cell r="A1298">
            <v>0</v>
          </cell>
          <cell r="C1298">
            <v>0</v>
          </cell>
          <cell r="D1298">
            <v>0</v>
          </cell>
        </row>
        <row r="1299">
          <cell r="A1299">
            <v>0</v>
          </cell>
          <cell r="C1299">
            <v>0</v>
          </cell>
          <cell r="D1299">
            <v>0</v>
          </cell>
        </row>
        <row r="1300">
          <cell r="A1300">
            <v>0</v>
          </cell>
          <cell r="C1300">
            <v>0</v>
          </cell>
          <cell r="D1300">
            <v>0</v>
          </cell>
        </row>
        <row r="1301">
          <cell r="A1301">
            <v>0</v>
          </cell>
          <cell r="C1301">
            <v>0</v>
          </cell>
          <cell r="D1301">
            <v>0</v>
          </cell>
        </row>
        <row r="1302">
          <cell r="A1302">
            <v>0</v>
          </cell>
          <cell r="C1302">
            <v>0</v>
          </cell>
          <cell r="D1302">
            <v>0</v>
          </cell>
        </row>
        <row r="1303">
          <cell r="A1303">
            <v>0</v>
          </cell>
          <cell r="C1303">
            <v>0</v>
          </cell>
          <cell r="D1303">
            <v>0</v>
          </cell>
        </row>
        <row r="1304">
          <cell r="A1304">
            <v>0</v>
          </cell>
          <cell r="C1304">
            <v>0</v>
          </cell>
          <cell r="D1304">
            <v>0</v>
          </cell>
        </row>
        <row r="1305">
          <cell r="A1305">
            <v>0</v>
          </cell>
          <cell r="C1305">
            <v>0</v>
          </cell>
          <cell r="D1305">
            <v>0</v>
          </cell>
        </row>
        <row r="1306">
          <cell r="A1306">
            <v>0</v>
          </cell>
          <cell r="C1306">
            <v>0</v>
          </cell>
          <cell r="D1306">
            <v>0</v>
          </cell>
        </row>
        <row r="1307">
          <cell r="A1307">
            <v>0</v>
          </cell>
          <cell r="C1307">
            <v>0</v>
          </cell>
          <cell r="D1307">
            <v>0</v>
          </cell>
        </row>
        <row r="1308">
          <cell r="A1308">
            <v>0</v>
          </cell>
          <cell r="C1308">
            <v>0</v>
          </cell>
          <cell r="D1308">
            <v>0</v>
          </cell>
        </row>
        <row r="1309">
          <cell r="A1309">
            <v>0</v>
          </cell>
          <cell r="C1309">
            <v>0</v>
          </cell>
          <cell r="D1309">
            <v>0</v>
          </cell>
        </row>
        <row r="1310">
          <cell r="A1310">
            <v>0</v>
          </cell>
          <cell r="C1310">
            <v>0</v>
          </cell>
          <cell r="D1310">
            <v>0</v>
          </cell>
        </row>
        <row r="1311">
          <cell r="A1311">
            <v>0</v>
          </cell>
          <cell r="C1311">
            <v>0</v>
          </cell>
          <cell r="D1311">
            <v>0</v>
          </cell>
        </row>
        <row r="1312">
          <cell r="A1312">
            <v>0</v>
          </cell>
          <cell r="C1312">
            <v>0</v>
          </cell>
          <cell r="D1312">
            <v>0</v>
          </cell>
        </row>
        <row r="1313">
          <cell r="A1313">
            <v>0</v>
          </cell>
          <cell r="C1313">
            <v>0</v>
          </cell>
          <cell r="D1313">
            <v>0</v>
          </cell>
        </row>
        <row r="1314">
          <cell r="A1314">
            <v>0</v>
          </cell>
          <cell r="C1314">
            <v>0</v>
          </cell>
          <cell r="D1314">
            <v>0</v>
          </cell>
        </row>
        <row r="1315">
          <cell r="A1315">
            <v>0</v>
          </cell>
          <cell r="C1315">
            <v>0</v>
          </cell>
          <cell r="D1315">
            <v>0</v>
          </cell>
        </row>
        <row r="1316">
          <cell r="A1316">
            <v>0</v>
          </cell>
          <cell r="C1316">
            <v>0</v>
          </cell>
          <cell r="D1316">
            <v>0</v>
          </cell>
        </row>
        <row r="1317">
          <cell r="A1317">
            <v>0</v>
          </cell>
          <cell r="C1317">
            <v>0</v>
          </cell>
          <cell r="D1317">
            <v>0</v>
          </cell>
        </row>
        <row r="1318">
          <cell r="A1318">
            <v>0</v>
          </cell>
          <cell r="C1318">
            <v>0</v>
          </cell>
          <cell r="D1318">
            <v>0</v>
          </cell>
        </row>
        <row r="1319">
          <cell r="A1319">
            <v>0</v>
          </cell>
          <cell r="C1319">
            <v>0</v>
          </cell>
          <cell r="D1319">
            <v>0</v>
          </cell>
        </row>
        <row r="1320">
          <cell r="A1320">
            <v>0</v>
          </cell>
          <cell r="C1320">
            <v>0</v>
          </cell>
          <cell r="D1320">
            <v>0</v>
          </cell>
        </row>
        <row r="1321">
          <cell r="A1321">
            <v>0</v>
          </cell>
          <cell r="C1321">
            <v>0</v>
          </cell>
          <cell r="D1321">
            <v>0</v>
          </cell>
        </row>
        <row r="1322">
          <cell r="A1322">
            <v>0</v>
          </cell>
          <cell r="C1322">
            <v>0</v>
          </cell>
          <cell r="D1322">
            <v>0</v>
          </cell>
        </row>
        <row r="1323">
          <cell r="A1323">
            <v>0</v>
          </cell>
          <cell r="C1323">
            <v>0</v>
          </cell>
          <cell r="D1323">
            <v>0</v>
          </cell>
        </row>
        <row r="1324">
          <cell r="A1324">
            <v>0</v>
          </cell>
          <cell r="C1324">
            <v>0</v>
          </cell>
          <cell r="D1324">
            <v>0</v>
          </cell>
        </row>
        <row r="1325">
          <cell r="A1325">
            <v>0</v>
          </cell>
          <cell r="C1325">
            <v>0</v>
          </cell>
          <cell r="D1325">
            <v>0</v>
          </cell>
        </row>
        <row r="1326">
          <cell r="A1326">
            <v>0</v>
          </cell>
          <cell r="C1326">
            <v>0</v>
          </cell>
          <cell r="D1326">
            <v>0</v>
          </cell>
        </row>
        <row r="1327">
          <cell r="A1327">
            <v>0</v>
          </cell>
          <cell r="C1327">
            <v>0</v>
          </cell>
          <cell r="D1327">
            <v>0</v>
          </cell>
        </row>
        <row r="1328">
          <cell r="A1328">
            <v>0</v>
          </cell>
          <cell r="C1328">
            <v>0</v>
          </cell>
          <cell r="D1328">
            <v>0</v>
          </cell>
        </row>
        <row r="1329">
          <cell r="A1329">
            <v>0</v>
          </cell>
          <cell r="C1329">
            <v>0</v>
          </cell>
          <cell r="D1329">
            <v>0</v>
          </cell>
        </row>
        <row r="1330">
          <cell r="A1330">
            <v>0</v>
          </cell>
          <cell r="C1330">
            <v>0</v>
          </cell>
          <cell r="D1330">
            <v>0</v>
          </cell>
        </row>
        <row r="1331">
          <cell r="A1331">
            <v>0</v>
          </cell>
          <cell r="C1331">
            <v>0</v>
          </cell>
          <cell r="D1331">
            <v>0</v>
          </cell>
        </row>
        <row r="1332">
          <cell r="A1332">
            <v>0</v>
          </cell>
          <cell r="C1332">
            <v>0</v>
          </cell>
          <cell r="D1332">
            <v>0</v>
          </cell>
        </row>
        <row r="1333">
          <cell r="A1333">
            <v>0</v>
          </cell>
          <cell r="C1333">
            <v>0</v>
          </cell>
          <cell r="D1333">
            <v>0</v>
          </cell>
        </row>
        <row r="1334">
          <cell r="A1334">
            <v>0</v>
          </cell>
          <cell r="C1334">
            <v>0</v>
          </cell>
          <cell r="D1334">
            <v>0</v>
          </cell>
        </row>
        <row r="1335">
          <cell r="A1335">
            <v>0</v>
          </cell>
          <cell r="C1335">
            <v>0</v>
          </cell>
          <cell r="D1335">
            <v>0</v>
          </cell>
        </row>
        <row r="1336">
          <cell r="A1336">
            <v>0</v>
          </cell>
          <cell r="C1336">
            <v>0</v>
          </cell>
          <cell r="D1336">
            <v>0</v>
          </cell>
        </row>
        <row r="1337">
          <cell r="A1337">
            <v>0</v>
          </cell>
          <cell r="C1337">
            <v>0</v>
          </cell>
          <cell r="D1337">
            <v>0</v>
          </cell>
        </row>
        <row r="1338">
          <cell r="A1338">
            <v>0</v>
          </cell>
          <cell r="C1338">
            <v>0</v>
          </cell>
          <cell r="D1338">
            <v>0</v>
          </cell>
        </row>
        <row r="1339">
          <cell r="A1339">
            <v>0</v>
          </cell>
          <cell r="C1339">
            <v>0</v>
          </cell>
          <cell r="D1339">
            <v>0</v>
          </cell>
        </row>
        <row r="1340">
          <cell r="A1340">
            <v>0</v>
          </cell>
          <cell r="C1340">
            <v>0</v>
          </cell>
          <cell r="D1340">
            <v>0</v>
          </cell>
        </row>
        <row r="1341">
          <cell r="A1341">
            <v>0</v>
          </cell>
          <cell r="C1341">
            <v>0</v>
          </cell>
          <cell r="D1341">
            <v>0</v>
          </cell>
        </row>
        <row r="1342">
          <cell r="A1342">
            <v>0</v>
          </cell>
          <cell r="C1342">
            <v>0</v>
          </cell>
          <cell r="D1342">
            <v>0</v>
          </cell>
        </row>
        <row r="1343">
          <cell r="A1343">
            <v>0</v>
          </cell>
          <cell r="C1343">
            <v>0</v>
          </cell>
          <cell r="D1343">
            <v>0</v>
          </cell>
        </row>
        <row r="1344">
          <cell r="A1344">
            <v>0</v>
          </cell>
          <cell r="C1344">
            <v>0</v>
          </cell>
          <cell r="D1344">
            <v>0</v>
          </cell>
        </row>
        <row r="1345">
          <cell r="A1345">
            <v>0</v>
          </cell>
          <cell r="C1345">
            <v>0</v>
          </cell>
          <cell r="D1345">
            <v>0</v>
          </cell>
        </row>
        <row r="1346">
          <cell r="A1346">
            <v>0</v>
          </cell>
          <cell r="C1346">
            <v>0</v>
          </cell>
          <cell r="D1346">
            <v>0</v>
          </cell>
        </row>
        <row r="1347">
          <cell r="A1347">
            <v>0</v>
          </cell>
          <cell r="C1347">
            <v>0</v>
          </cell>
          <cell r="D1347">
            <v>0</v>
          </cell>
        </row>
        <row r="1348">
          <cell r="A1348">
            <v>0</v>
          </cell>
          <cell r="C1348">
            <v>0</v>
          </cell>
          <cell r="D1348">
            <v>0</v>
          </cell>
        </row>
        <row r="1349">
          <cell r="A1349">
            <v>0</v>
          </cell>
          <cell r="C1349">
            <v>0</v>
          </cell>
          <cell r="D1349">
            <v>0</v>
          </cell>
        </row>
        <row r="1350">
          <cell r="A1350">
            <v>0</v>
          </cell>
          <cell r="C1350">
            <v>0</v>
          </cell>
          <cell r="D1350">
            <v>0</v>
          </cell>
        </row>
        <row r="1351">
          <cell r="A1351">
            <v>0</v>
          </cell>
          <cell r="C1351">
            <v>0</v>
          </cell>
          <cell r="D1351">
            <v>0</v>
          </cell>
        </row>
        <row r="1352">
          <cell r="A1352">
            <v>0</v>
          </cell>
          <cell r="C1352">
            <v>0</v>
          </cell>
          <cell r="D1352">
            <v>0</v>
          </cell>
        </row>
        <row r="1353">
          <cell r="A1353">
            <v>0</v>
          </cell>
          <cell r="C1353">
            <v>0</v>
          </cell>
          <cell r="D1353">
            <v>0</v>
          </cell>
        </row>
        <row r="1354">
          <cell r="A1354">
            <v>0</v>
          </cell>
          <cell r="C1354">
            <v>0</v>
          </cell>
          <cell r="D1354">
            <v>0</v>
          </cell>
        </row>
        <row r="1355">
          <cell r="A1355">
            <v>0</v>
          </cell>
          <cell r="C1355">
            <v>0</v>
          </cell>
          <cell r="D1355">
            <v>0</v>
          </cell>
        </row>
        <row r="1356">
          <cell r="A1356">
            <v>0</v>
          </cell>
          <cell r="C1356">
            <v>0</v>
          </cell>
          <cell r="D1356">
            <v>0</v>
          </cell>
        </row>
        <row r="1357">
          <cell r="A1357">
            <v>0</v>
          </cell>
          <cell r="C1357">
            <v>0</v>
          </cell>
          <cell r="D1357">
            <v>0</v>
          </cell>
        </row>
        <row r="1358">
          <cell r="A1358">
            <v>0</v>
          </cell>
          <cell r="C1358">
            <v>0</v>
          </cell>
          <cell r="D1358">
            <v>0</v>
          </cell>
        </row>
        <row r="1359">
          <cell r="A1359">
            <v>0</v>
          </cell>
          <cell r="C1359">
            <v>0</v>
          </cell>
          <cell r="D1359">
            <v>0</v>
          </cell>
        </row>
        <row r="1360">
          <cell r="A1360">
            <v>0</v>
          </cell>
          <cell r="C1360">
            <v>0</v>
          </cell>
          <cell r="D1360">
            <v>0</v>
          </cell>
        </row>
        <row r="1361">
          <cell r="A1361">
            <v>0</v>
          </cell>
          <cell r="C1361">
            <v>0</v>
          </cell>
          <cell r="D1361">
            <v>0</v>
          </cell>
        </row>
        <row r="1362">
          <cell r="A1362">
            <v>0</v>
          </cell>
          <cell r="C1362">
            <v>0</v>
          </cell>
          <cell r="D1362">
            <v>0</v>
          </cell>
        </row>
        <row r="1363">
          <cell r="A1363">
            <v>0</v>
          </cell>
          <cell r="C1363">
            <v>0</v>
          </cell>
          <cell r="D1363">
            <v>0</v>
          </cell>
        </row>
        <row r="1364">
          <cell r="A1364">
            <v>0</v>
          </cell>
          <cell r="C1364">
            <v>0</v>
          </cell>
          <cell r="D1364">
            <v>0</v>
          </cell>
        </row>
        <row r="1365">
          <cell r="A1365">
            <v>0</v>
          </cell>
          <cell r="C1365">
            <v>0</v>
          </cell>
          <cell r="D1365">
            <v>0</v>
          </cell>
        </row>
        <row r="1366">
          <cell r="A1366">
            <v>0</v>
          </cell>
          <cell r="C1366">
            <v>0</v>
          </cell>
          <cell r="D1366">
            <v>0</v>
          </cell>
        </row>
        <row r="1367">
          <cell r="A1367">
            <v>0</v>
          </cell>
          <cell r="C1367">
            <v>0</v>
          </cell>
          <cell r="D1367">
            <v>0</v>
          </cell>
        </row>
        <row r="1368">
          <cell r="A1368">
            <v>0</v>
          </cell>
          <cell r="C1368">
            <v>0</v>
          </cell>
          <cell r="D1368">
            <v>0</v>
          </cell>
        </row>
        <row r="1369">
          <cell r="A1369">
            <v>0</v>
          </cell>
          <cell r="C1369">
            <v>0</v>
          </cell>
          <cell r="D1369">
            <v>0</v>
          </cell>
        </row>
        <row r="1370">
          <cell r="A1370">
            <v>0</v>
          </cell>
          <cell r="C1370">
            <v>0</v>
          </cell>
          <cell r="D1370">
            <v>0</v>
          </cell>
        </row>
        <row r="1371">
          <cell r="A1371">
            <v>0</v>
          </cell>
          <cell r="C1371">
            <v>0</v>
          </cell>
          <cell r="D1371">
            <v>0</v>
          </cell>
        </row>
        <row r="1372">
          <cell r="A1372">
            <v>0</v>
          </cell>
          <cell r="C1372">
            <v>0</v>
          </cell>
          <cell r="D1372">
            <v>0</v>
          </cell>
        </row>
        <row r="1373">
          <cell r="A1373">
            <v>0</v>
          </cell>
          <cell r="C1373">
            <v>0</v>
          </cell>
          <cell r="D1373">
            <v>0</v>
          </cell>
        </row>
        <row r="1374">
          <cell r="A1374">
            <v>0</v>
          </cell>
          <cell r="C1374">
            <v>0</v>
          </cell>
          <cell r="D1374">
            <v>0</v>
          </cell>
        </row>
        <row r="1375">
          <cell r="A1375">
            <v>0</v>
          </cell>
          <cell r="C1375">
            <v>0</v>
          </cell>
          <cell r="D1375">
            <v>0</v>
          </cell>
        </row>
        <row r="1376">
          <cell r="A1376">
            <v>0</v>
          </cell>
          <cell r="C1376">
            <v>0</v>
          </cell>
          <cell r="D1376">
            <v>0</v>
          </cell>
        </row>
        <row r="1377">
          <cell r="A1377">
            <v>0</v>
          </cell>
          <cell r="C1377">
            <v>0</v>
          </cell>
          <cell r="D1377">
            <v>0</v>
          </cell>
        </row>
        <row r="1378">
          <cell r="A1378">
            <v>0</v>
          </cell>
          <cell r="C1378">
            <v>0</v>
          </cell>
          <cell r="D1378">
            <v>0</v>
          </cell>
        </row>
        <row r="1379">
          <cell r="A1379">
            <v>0</v>
          </cell>
          <cell r="C1379">
            <v>0</v>
          </cell>
          <cell r="D1379">
            <v>0</v>
          </cell>
        </row>
        <row r="1380">
          <cell r="A1380">
            <v>0</v>
          </cell>
          <cell r="C1380">
            <v>0</v>
          </cell>
          <cell r="D1380">
            <v>0</v>
          </cell>
        </row>
        <row r="1381">
          <cell r="A1381">
            <v>0</v>
          </cell>
          <cell r="C1381">
            <v>0</v>
          </cell>
          <cell r="D1381">
            <v>0</v>
          </cell>
        </row>
        <row r="1382">
          <cell r="A1382">
            <v>0</v>
          </cell>
          <cell r="C1382">
            <v>0</v>
          </cell>
          <cell r="D1382">
            <v>0</v>
          </cell>
        </row>
        <row r="1383">
          <cell r="A1383">
            <v>0</v>
          </cell>
          <cell r="C1383">
            <v>0</v>
          </cell>
          <cell r="D1383">
            <v>0</v>
          </cell>
        </row>
        <row r="1384">
          <cell r="A1384">
            <v>0</v>
          </cell>
          <cell r="C1384">
            <v>0</v>
          </cell>
          <cell r="D1384">
            <v>0</v>
          </cell>
        </row>
        <row r="1385">
          <cell r="A1385">
            <v>0</v>
          </cell>
          <cell r="C1385">
            <v>0</v>
          </cell>
          <cell r="D1385">
            <v>0</v>
          </cell>
        </row>
        <row r="1386">
          <cell r="A1386">
            <v>0</v>
          </cell>
          <cell r="C1386">
            <v>0</v>
          </cell>
          <cell r="D1386">
            <v>0</v>
          </cell>
        </row>
        <row r="1387">
          <cell r="A1387">
            <v>0</v>
          </cell>
          <cell r="C1387">
            <v>0</v>
          </cell>
          <cell r="D1387">
            <v>0</v>
          </cell>
        </row>
        <row r="1388">
          <cell r="A1388">
            <v>0</v>
          </cell>
          <cell r="C1388">
            <v>0</v>
          </cell>
          <cell r="D1388">
            <v>0</v>
          </cell>
        </row>
        <row r="1389">
          <cell r="A1389">
            <v>0</v>
          </cell>
          <cell r="C1389">
            <v>0</v>
          </cell>
          <cell r="D1389">
            <v>0</v>
          </cell>
        </row>
        <row r="1390">
          <cell r="A1390">
            <v>0</v>
          </cell>
          <cell r="C1390">
            <v>0</v>
          </cell>
          <cell r="D1390">
            <v>0</v>
          </cell>
        </row>
        <row r="1391">
          <cell r="A1391">
            <v>0</v>
          </cell>
          <cell r="C1391">
            <v>0</v>
          </cell>
          <cell r="D1391">
            <v>0</v>
          </cell>
        </row>
        <row r="1392">
          <cell r="A1392">
            <v>0</v>
          </cell>
          <cell r="C1392">
            <v>0</v>
          </cell>
          <cell r="D1392">
            <v>0</v>
          </cell>
        </row>
        <row r="1393">
          <cell r="A1393">
            <v>0</v>
          </cell>
          <cell r="C1393">
            <v>0</v>
          </cell>
          <cell r="D1393">
            <v>0</v>
          </cell>
        </row>
        <row r="1394">
          <cell r="A1394">
            <v>0</v>
          </cell>
          <cell r="C1394">
            <v>0</v>
          </cell>
          <cell r="D1394">
            <v>0</v>
          </cell>
        </row>
        <row r="1395">
          <cell r="A1395">
            <v>0</v>
          </cell>
          <cell r="C1395">
            <v>0</v>
          </cell>
          <cell r="D1395">
            <v>0</v>
          </cell>
        </row>
        <row r="1396">
          <cell r="A1396">
            <v>0</v>
          </cell>
          <cell r="C1396">
            <v>0</v>
          </cell>
          <cell r="D1396">
            <v>0</v>
          </cell>
        </row>
        <row r="1397">
          <cell r="A1397">
            <v>0</v>
          </cell>
          <cell r="C1397">
            <v>0</v>
          </cell>
          <cell r="D1397">
            <v>0</v>
          </cell>
        </row>
        <row r="1398">
          <cell r="A1398">
            <v>0</v>
          </cell>
          <cell r="B1398">
            <v>0</v>
          </cell>
          <cell r="C1398">
            <v>0</v>
          </cell>
          <cell r="D1398">
            <v>0</v>
          </cell>
        </row>
        <row r="1399">
          <cell r="A1399">
            <v>0</v>
          </cell>
          <cell r="B1399">
            <v>0</v>
          </cell>
          <cell r="C1399">
            <v>0</v>
          </cell>
          <cell r="D1399">
            <v>0</v>
          </cell>
        </row>
        <row r="1400">
          <cell r="A1400">
            <v>0</v>
          </cell>
          <cell r="B1400">
            <v>0</v>
          </cell>
          <cell r="C1400">
            <v>0</v>
          </cell>
          <cell r="D1400">
            <v>0</v>
          </cell>
        </row>
        <row r="1401">
          <cell r="A1401">
            <v>0</v>
          </cell>
          <cell r="C1401">
            <v>0</v>
          </cell>
          <cell r="D1401">
            <v>0</v>
          </cell>
        </row>
        <row r="1402">
          <cell r="A1402">
            <v>0</v>
          </cell>
          <cell r="C1402">
            <v>0</v>
          </cell>
          <cell r="D1402">
            <v>0</v>
          </cell>
        </row>
        <row r="1403">
          <cell r="A1403">
            <v>0</v>
          </cell>
          <cell r="C1403">
            <v>0</v>
          </cell>
          <cell r="D1403">
            <v>0</v>
          </cell>
        </row>
        <row r="1404">
          <cell r="A1404">
            <v>0</v>
          </cell>
          <cell r="C1404">
            <v>0</v>
          </cell>
          <cell r="D1404">
            <v>0</v>
          </cell>
        </row>
        <row r="1405">
          <cell r="A1405">
            <v>0</v>
          </cell>
          <cell r="C1405">
            <v>0</v>
          </cell>
          <cell r="D1405">
            <v>0</v>
          </cell>
        </row>
        <row r="1406">
          <cell r="A1406">
            <v>0</v>
          </cell>
          <cell r="C1406">
            <v>0</v>
          </cell>
          <cell r="D1406">
            <v>0</v>
          </cell>
        </row>
        <row r="1407">
          <cell r="A1407">
            <v>0</v>
          </cell>
          <cell r="C1407">
            <v>0</v>
          </cell>
          <cell r="D1407">
            <v>0</v>
          </cell>
        </row>
        <row r="1408">
          <cell r="A1408">
            <v>0</v>
          </cell>
          <cell r="C1408">
            <v>0</v>
          </cell>
          <cell r="D1408">
            <v>0</v>
          </cell>
        </row>
        <row r="1409">
          <cell r="A1409">
            <v>0</v>
          </cell>
          <cell r="C1409">
            <v>0</v>
          </cell>
          <cell r="D1409">
            <v>0</v>
          </cell>
        </row>
        <row r="1410">
          <cell r="A1410">
            <v>0</v>
          </cell>
          <cell r="C1410">
            <v>0</v>
          </cell>
          <cell r="D1410">
            <v>0</v>
          </cell>
        </row>
        <row r="1411">
          <cell r="A1411">
            <v>0</v>
          </cell>
          <cell r="C1411">
            <v>0</v>
          </cell>
          <cell r="D1411">
            <v>0</v>
          </cell>
        </row>
        <row r="1412">
          <cell r="A1412">
            <v>0</v>
          </cell>
          <cell r="C1412">
            <v>0</v>
          </cell>
          <cell r="D1412">
            <v>0</v>
          </cell>
        </row>
        <row r="1413">
          <cell r="A1413">
            <v>0</v>
          </cell>
          <cell r="C1413">
            <v>0</v>
          </cell>
          <cell r="D1413">
            <v>0</v>
          </cell>
        </row>
        <row r="1414">
          <cell r="A1414">
            <v>0</v>
          </cell>
          <cell r="C1414">
            <v>0</v>
          </cell>
          <cell r="D1414">
            <v>0</v>
          </cell>
        </row>
        <row r="1415">
          <cell r="A1415">
            <v>0</v>
          </cell>
          <cell r="B1415">
            <v>0</v>
          </cell>
          <cell r="C1415">
            <v>0</v>
          </cell>
          <cell r="D1415">
            <v>0</v>
          </cell>
        </row>
        <row r="1416">
          <cell r="A1416">
            <v>0</v>
          </cell>
          <cell r="B1416">
            <v>0</v>
          </cell>
          <cell r="C1416">
            <v>0</v>
          </cell>
          <cell r="D1416">
            <v>0</v>
          </cell>
        </row>
        <row r="1417">
          <cell r="A1417">
            <v>0</v>
          </cell>
          <cell r="B1417">
            <v>0</v>
          </cell>
          <cell r="C1417">
            <v>0</v>
          </cell>
          <cell r="D1417">
            <v>0</v>
          </cell>
        </row>
        <row r="1418">
          <cell r="A1418">
            <v>0</v>
          </cell>
          <cell r="C1418">
            <v>0</v>
          </cell>
          <cell r="D1418">
            <v>0</v>
          </cell>
        </row>
        <row r="1419">
          <cell r="A1419">
            <v>0</v>
          </cell>
          <cell r="C1419">
            <v>0</v>
          </cell>
          <cell r="D1419">
            <v>0</v>
          </cell>
        </row>
        <row r="1420">
          <cell r="A1420">
            <v>0</v>
          </cell>
          <cell r="C1420">
            <v>0</v>
          </cell>
          <cell r="D1420">
            <v>0</v>
          </cell>
        </row>
        <row r="1421">
          <cell r="A1421">
            <v>0</v>
          </cell>
          <cell r="C1421">
            <v>0</v>
          </cell>
          <cell r="D1421">
            <v>0</v>
          </cell>
        </row>
        <row r="1422">
          <cell r="A1422">
            <v>0</v>
          </cell>
          <cell r="C1422">
            <v>0</v>
          </cell>
          <cell r="D1422">
            <v>0</v>
          </cell>
        </row>
        <row r="1423">
          <cell r="A1423">
            <v>0</v>
          </cell>
          <cell r="C1423">
            <v>0</v>
          </cell>
          <cell r="D1423">
            <v>0</v>
          </cell>
        </row>
        <row r="1424">
          <cell r="A1424">
            <v>0</v>
          </cell>
          <cell r="C1424">
            <v>0</v>
          </cell>
          <cell r="D1424">
            <v>0</v>
          </cell>
        </row>
        <row r="1425">
          <cell r="A1425">
            <v>0</v>
          </cell>
          <cell r="C1425">
            <v>0</v>
          </cell>
          <cell r="D1425">
            <v>0</v>
          </cell>
        </row>
        <row r="1426">
          <cell r="A1426">
            <v>0</v>
          </cell>
          <cell r="C1426">
            <v>0</v>
          </cell>
          <cell r="D1426">
            <v>0</v>
          </cell>
        </row>
        <row r="1427">
          <cell r="A1427">
            <v>0</v>
          </cell>
          <cell r="C1427">
            <v>0</v>
          </cell>
          <cell r="D1427">
            <v>0</v>
          </cell>
        </row>
        <row r="1428">
          <cell r="A1428">
            <v>0</v>
          </cell>
          <cell r="C1428">
            <v>0</v>
          </cell>
          <cell r="D1428">
            <v>0</v>
          </cell>
        </row>
        <row r="1429">
          <cell r="A1429">
            <v>0</v>
          </cell>
          <cell r="C1429">
            <v>0</v>
          </cell>
          <cell r="D1429">
            <v>0</v>
          </cell>
        </row>
        <row r="1430">
          <cell r="A1430">
            <v>0</v>
          </cell>
          <cell r="C1430">
            <v>0</v>
          </cell>
          <cell r="D1430">
            <v>0</v>
          </cell>
        </row>
        <row r="1431">
          <cell r="A1431">
            <v>0</v>
          </cell>
          <cell r="C1431">
            <v>0</v>
          </cell>
          <cell r="D1431">
            <v>0</v>
          </cell>
        </row>
        <row r="1432">
          <cell r="A1432">
            <v>0</v>
          </cell>
          <cell r="C1432">
            <v>0</v>
          </cell>
          <cell r="D1432">
            <v>0</v>
          </cell>
        </row>
        <row r="1433">
          <cell r="A1433">
            <v>0</v>
          </cell>
          <cell r="C1433">
            <v>0</v>
          </cell>
          <cell r="D1433">
            <v>0</v>
          </cell>
        </row>
        <row r="1434">
          <cell r="A1434">
            <v>0</v>
          </cell>
          <cell r="C1434">
            <v>0</v>
          </cell>
          <cell r="D1434">
            <v>0</v>
          </cell>
        </row>
        <row r="1435">
          <cell r="A1435">
            <v>0</v>
          </cell>
          <cell r="C1435">
            <v>0</v>
          </cell>
          <cell r="D1435">
            <v>0</v>
          </cell>
        </row>
        <row r="1436">
          <cell r="A1436">
            <v>0</v>
          </cell>
          <cell r="C1436">
            <v>0</v>
          </cell>
          <cell r="D1436">
            <v>0</v>
          </cell>
        </row>
        <row r="1437">
          <cell r="A1437">
            <v>0</v>
          </cell>
          <cell r="C1437">
            <v>0</v>
          </cell>
          <cell r="D1437">
            <v>0</v>
          </cell>
        </row>
        <row r="1438">
          <cell r="A1438">
            <v>0</v>
          </cell>
          <cell r="C1438">
            <v>0</v>
          </cell>
          <cell r="D1438">
            <v>0</v>
          </cell>
        </row>
        <row r="1439">
          <cell r="A1439">
            <v>0</v>
          </cell>
          <cell r="C1439">
            <v>0</v>
          </cell>
          <cell r="D1439">
            <v>0</v>
          </cell>
        </row>
        <row r="1440">
          <cell r="A1440">
            <v>0</v>
          </cell>
          <cell r="C1440">
            <v>0</v>
          </cell>
          <cell r="D1440">
            <v>0</v>
          </cell>
        </row>
        <row r="1441">
          <cell r="A1441">
            <v>0</v>
          </cell>
          <cell r="C1441">
            <v>0</v>
          </cell>
          <cell r="D1441">
            <v>0</v>
          </cell>
        </row>
        <row r="1442">
          <cell r="A1442">
            <v>0</v>
          </cell>
          <cell r="C1442">
            <v>0</v>
          </cell>
          <cell r="D1442">
            <v>0</v>
          </cell>
        </row>
        <row r="1443">
          <cell r="A1443">
            <v>0</v>
          </cell>
          <cell r="C1443">
            <v>0</v>
          </cell>
          <cell r="D1443">
            <v>0</v>
          </cell>
        </row>
        <row r="1444">
          <cell r="A1444">
            <v>0</v>
          </cell>
          <cell r="C1444">
            <v>0</v>
          </cell>
          <cell r="D1444">
            <v>0</v>
          </cell>
        </row>
        <row r="1445">
          <cell r="A1445">
            <v>0</v>
          </cell>
          <cell r="C1445">
            <v>0</v>
          </cell>
          <cell r="D1445">
            <v>0</v>
          </cell>
        </row>
        <row r="1446">
          <cell r="A1446">
            <v>0</v>
          </cell>
          <cell r="C1446">
            <v>0</v>
          </cell>
          <cell r="D1446">
            <v>0</v>
          </cell>
        </row>
        <row r="1447">
          <cell r="A1447">
            <v>0</v>
          </cell>
          <cell r="C1447">
            <v>0</v>
          </cell>
          <cell r="D1447">
            <v>0</v>
          </cell>
        </row>
        <row r="1448">
          <cell r="A1448">
            <v>0</v>
          </cell>
          <cell r="C1448">
            <v>0</v>
          </cell>
          <cell r="D1448">
            <v>0</v>
          </cell>
        </row>
        <row r="1449">
          <cell r="A1449">
            <v>0</v>
          </cell>
          <cell r="C1449">
            <v>0</v>
          </cell>
          <cell r="D1449">
            <v>0</v>
          </cell>
        </row>
        <row r="1450">
          <cell r="A1450">
            <v>0</v>
          </cell>
          <cell r="C1450">
            <v>0</v>
          </cell>
          <cell r="D1450">
            <v>0</v>
          </cell>
        </row>
        <row r="1451">
          <cell r="A1451">
            <v>0</v>
          </cell>
          <cell r="C1451">
            <v>0</v>
          </cell>
          <cell r="D1451">
            <v>0</v>
          </cell>
        </row>
        <row r="1452">
          <cell r="A1452">
            <v>0</v>
          </cell>
          <cell r="C1452">
            <v>0</v>
          </cell>
          <cell r="D1452">
            <v>0</v>
          </cell>
        </row>
        <row r="1453">
          <cell r="A1453">
            <v>0</v>
          </cell>
          <cell r="C1453">
            <v>0</v>
          </cell>
          <cell r="D1453">
            <v>0</v>
          </cell>
        </row>
        <row r="1454">
          <cell r="A1454">
            <v>0</v>
          </cell>
          <cell r="C1454">
            <v>0</v>
          </cell>
          <cell r="D1454">
            <v>0</v>
          </cell>
        </row>
        <row r="1455">
          <cell r="A1455">
            <v>0</v>
          </cell>
          <cell r="C1455">
            <v>0</v>
          </cell>
          <cell r="D1455">
            <v>0</v>
          </cell>
        </row>
        <row r="1456">
          <cell r="A1456">
            <v>0</v>
          </cell>
          <cell r="C1456">
            <v>0</v>
          </cell>
          <cell r="D1456">
            <v>0</v>
          </cell>
        </row>
        <row r="1457">
          <cell r="A1457">
            <v>0</v>
          </cell>
          <cell r="C1457">
            <v>0</v>
          </cell>
          <cell r="D1457">
            <v>0</v>
          </cell>
        </row>
        <row r="1458">
          <cell r="A1458">
            <v>0</v>
          </cell>
          <cell r="C1458">
            <v>0</v>
          </cell>
          <cell r="D1458">
            <v>0</v>
          </cell>
        </row>
        <row r="1459">
          <cell r="A1459">
            <v>0</v>
          </cell>
          <cell r="C1459">
            <v>0</v>
          </cell>
          <cell r="D1459">
            <v>0</v>
          </cell>
        </row>
        <row r="1460">
          <cell r="A1460">
            <v>0</v>
          </cell>
          <cell r="C1460">
            <v>0</v>
          </cell>
          <cell r="D1460">
            <v>0</v>
          </cell>
        </row>
        <row r="1461">
          <cell r="A1461">
            <v>0</v>
          </cell>
          <cell r="C1461">
            <v>0</v>
          </cell>
          <cell r="D1461">
            <v>0</v>
          </cell>
        </row>
        <row r="1462">
          <cell r="A1462">
            <v>0</v>
          </cell>
          <cell r="C1462">
            <v>0</v>
          </cell>
          <cell r="D1462">
            <v>0</v>
          </cell>
        </row>
        <row r="1463">
          <cell r="A1463">
            <v>0</v>
          </cell>
          <cell r="C1463">
            <v>0</v>
          </cell>
          <cell r="D1463">
            <v>0</v>
          </cell>
        </row>
        <row r="1464">
          <cell r="A1464">
            <v>0</v>
          </cell>
          <cell r="C1464">
            <v>0</v>
          </cell>
          <cell r="D1464">
            <v>0</v>
          </cell>
        </row>
        <row r="1465">
          <cell r="A1465">
            <v>0</v>
          </cell>
          <cell r="C1465">
            <v>0</v>
          </cell>
          <cell r="D1465">
            <v>0</v>
          </cell>
        </row>
        <row r="1466">
          <cell r="A1466">
            <v>0</v>
          </cell>
          <cell r="C1466">
            <v>0</v>
          </cell>
          <cell r="D1466">
            <v>0</v>
          </cell>
        </row>
        <row r="1467">
          <cell r="A1467">
            <v>0</v>
          </cell>
          <cell r="C1467">
            <v>0</v>
          </cell>
          <cell r="D1467">
            <v>0</v>
          </cell>
        </row>
        <row r="1468">
          <cell r="A1468">
            <v>0</v>
          </cell>
          <cell r="C1468">
            <v>0</v>
          </cell>
          <cell r="D1468">
            <v>0</v>
          </cell>
        </row>
        <row r="1469">
          <cell r="A1469">
            <v>0</v>
          </cell>
          <cell r="C1469">
            <v>0</v>
          </cell>
          <cell r="D1469">
            <v>0</v>
          </cell>
        </row>
        <row r="1470">
          <cell r="A1470">
            <v>0</v>
          </cell>
          <cell r="C1470">
            <v>0</v>
          </cell>
          <cell r="D1470">
            <v>0</v>
          </cell>
        </row>
        <row r="1471">
          <cell r="A1471">
            <v>0</v>
          </cell>
          <cell r="C1471">
            <v>0</v>
          </cell>
          <cell r="D1471">
            <v>0</v>
          </cell>
        </row>
        <row r="1472">
          <cell r="A1472">
            <v>0</v>
          </cell>
          <cell r="C1472">
            <v>0</v>
          </cell>
          <cell r="D1472">
            <v>0</v>
          </cell>
        </row>
        <row r="1473">
          <cell r="A1473">
            <v>0</v>
          </cell>
          <cell r="C1473">
            <v>0</v>
          </cell>
          <cell r="D1473">
            <v>0</v>
          </cell>
        </row>
        <row r="1474">
          <cell r="A1474">
            <v>0</v>
          </cell>
          <cell r="C1474">
            <v>0</v>
          </cell>
          <cell r="D1474">
            <v>0</v>
          </cell>
        </row>
        <row r="1475">
          <cell r="A1475">
            <v>0</v>
          </cell>
          <cell r="C1475">
            <v>0</v>
          </cell>
          <cell r="D1475">
            <v>0</v>
          </cell>
        </row>
        <row r="1476">
          <cell r="A1476">
            <v>0</v>
          </cell>
          <cell r="C1476">
            <v>0</v>
          </cell>
          <cell r="D1476">
            <v>0</v>
          </cell>
        </row>
        <row r="1477">
          <cell r="A1477">
            <v>0</v>
          </cell>
          <cell r="C1477">
            <v>0</v>
          </cell>
          <cell r="D1477">
            <v>0</v>
          </cell>
        </row>
        <row r="1478">
          <cell r="A1478">
            <v>0</v>
          </cell>
          <cell r="C1478">
            <v>0</v>
          </cell>
          <cell r="D1478">
            <v>0</v>
          </cell>
        </row>
        <row r="1479">
          <cell r="A1479">
            <v>0</v>
          </cell>
          <cell r="C1479">
            <v>0</v>
          </cell>
          <cell r="D1479">
            <v>0</v>
          </cell>
        </row>
        <row r="1480">
          <cell r="A1480">
            <v>0</v>
          </cell>
          <cell r="C1480">
            <v>0</v>
          </cell>
          <cell r="D1480">
            <v>0</v>
          </cell>
        </row>
        <row r="1481">
          <cell r="A1481">
            <v>0</v>
          </cell>
          <cell r="C1481">
            <v>0</v>
          </cell>
          <cell r="D1481">
            <v>0</v>
          </cell>
        </row>
        <row r="1482">
          <cell r="A1482">
            <v>0</v>
          </cell>
          <cell r="C1482">
            <v>0</v>
          </cell>
          <cell r="D1482">
            <v>0</v>
          </cell>
        </row>
        <row r="1483">
          <cell r="A1483">
            <v>0</v>
          </cell>
          <cell r="C1483">
            <v>0</v>
          </cell>
          <cell r="D1483">
            <v>0</v>
          </cell>
        </row>
        <row r="1484">
          <cell r="A1484">
            <v>0</v>
          </cell>
          <cell r="C1484">
            <v>0</v>
          </cell>
          <cell r="D1484">
            <v>0</v>
          </cell>
        </row>
        <row r="1485">
          <cell r="A1485">
            <v>0</v>
          </cell>
          <cell r="C1485">
            <v>0</v>
          </cell>
          <cell r="D1485">
            <v>0</v>
          </cell>
        </row>
        <row r="1486">
          <cell r="A1486">
            <v>0</v>
          </cell>
          <cell r="C1486">
            <v>0</v>
          </cell>
          <cell r="D1486">
            <v>0</v>
          </cell>
        </row>
        <row r="1487">
          <cell r="A1487">
            <v>0</v>
          </cell>
          <cell r="C1487">
            <v>0</v>
          </cell>
          <cell r="D1487">
            <v>0</v>
          </cell>
        </row>
        <row r="1488">
          <cell r="A1488">
            <v>0</v>
          </cell>
          <cell r="C1488">
            <v>0</v>
          </cell>
          <cell r="D1488">
            <v>0</v>
          </cell>
        </row>
        <row r="1489">
          <cell r="A1489">
            <v>0</v>
          </cell>
          <cell r="C1489">
            <v>0</v>
          </cell>
          <cell r="D1489">
            <v>0</v>
          </cell>
        </row>
        <row r="1490">
          <cell r="A1490">
            <v>0</v>
          </cell>
          <cell r="C1490">
            <v>0</v>
          </cell>
          <cell r="D1490">
            <v>0</v>
          </cell>
        </row>
        <row r="1491">
          <cell r="A1491">
            <v>0</v>
          </cell>
          <cell r="C1491">
            <v>0</v>
          </cell>
          <cell r="D1491">
            <v>0</v>
          </cell>
        </row>
        <row r="1492">
          <cell r="A1492">
            <v>0</v>
          </cell>
          <cell r="C1492">
            <v>0</v>
          </cell>
          <cell r="D1492">
            <v>0</v>
          </cell>
        </row>
        <row r="1493">
          <cell r="A1493">
            <v>0</v>
          </cell>
          <cell r="C1493">
            <v>0</v>
          </cell>
          <cell r="D1493">
            <v>0</v>
          </cell>
        </row>
        <row r="1494">
          <cell r="A1494">
            <v>0</v>
          </cell>
          <cell r="C1494">
            <v>0</v>
          </cell>
          <cell r="D1494">
            <v>0</v>
          </cell>
        </row>
        <row r="1495">
          <cell r="A1495">
            <v>0</v>
          </cell>
          <cell r="C1495">
            <v>0</v>
          </cell>
          <cell r="D1495">
            <v>0</v>
          </cell>
        </row>
        <row r="1496">
          <cell r="A1496">
            <v>0</v>
          </cell>
          <cell r="C1496">
            <v>0</v>
          </cell>
          <cell r="D1496">
            <v>0</v>
          </cell>
        </row>
        <row r="1497">
          <cell r="A1497">
            <v>0</v>
          </cell>
          <cell r="C1497">
            <v>0</v>
          </cell>
          <cell r="D1497">
            <v>0</v>
          </cell>
        </row>
        <row r="1498">
          <cell r="A1498">
            <v>0</v>
          </cell>
          <cell r="C1498">
            <v>0</v>
          </cell>
          <cell r="D1498">
            <v>0</v>
          </cell>
        </row>
        <row r="1499">
          <cell r="A1499">
            <v>0</v>
          </cell>
          <cell r="C1499">
            <v>0</v>
          </cell>
          <cell r="D1499">
            <v>0</v>
          </cell>
        </row>
        <row r="1500">
          <cell r="A1500">
            <v>0</v>
          </cell>
          <cell r="C1500">
            <v>0</v>
          </cell>
          <cell r="D1500">
            <v>0</v>
          </cell>
        </row>
        <row r="1501">
          <cell r="A1501">
            <v>0</v>
          </cell>
          <cell r="C1501">
            <v>0</v>
          </cell>
          <cell r="D1501">
            <v>0</v>
          </cell>
        </row>
        <row r="1502">
          <cell r="A1502">
            <v>0</v>
          </cell>
          <cell r="C1502">
            <v>0</v>
          </cell>
          <cell r="D1502">
            <v>0</v>
          </cell>
        </row>
        <row r="1503">
          <cell r="A1503">
            <v>0</v>
          </cell>
          <cell r="C1503">
            <v>0</v>
          </cell>
          <cell r="D1503">
            <v>0</v>
          </cell>
        </row>
        <row r="1504">
          <cell r="A1504">
            <v>0</v>
          </cell>
          <cell r="C1504">
            <v>0</v>
          </cell>
          <cell r="D1504">
            <v>0</v>
          </cell>
        </row>
        <row r="1505">
          <cell r="A1505">
            <v>0</v>
          </cell>
          <cell r="C1505">
            <v>0</v>
          </cell>
          <cell r="D1505">
            <v>0</v>
          </cell>
        </row>
        <row r="1506">
          <cell r="A1506">
            <v>0</v>
          </cell>
          <cell r="C1506">
            <v>0</v>
          </cell>
          <cell r="D1506">
            <v>0</v>
          </cell>
        </row>
        <row r="1507">
          <cell r="A1507">
            <v>0</v>
          </cell>
          <cell r="C1507">
            <v>0</v>
          </cell>
          <cell r="D1507">
            <v>0</v>
          </cell>
        </row>
        <row r="1508">
          <cell r="A1508">
            <v>0</v>
          </cell>
          <cell r="C1508">
            <v>0</v>
          </cell>
          <cell r="D1508">
            <v>0</v>
          </cell>
        </row>
        <row r="1509">
          <cell r="A1509">
            <v>0</v>
          </cell>
          <cell r="C1509">
            <v>0</v>
          </cell>
          <cell r="D1509">
            <v>0</v>
          </cell>
        </row>
        <row r="1510">
          <cell r="A1510">
            <v>0</v>
          </cell>
          <cell r="C1510">
            <v>0</v>
          </cell>
          <cell r="D1510">
            <v>0</v>
          </cell>
        </row>
        <row r="1511">
          <cell r="A1511">
            <v>0</v>
          </cell>
          <cell r="C1511">
            <v>0</v>
          </cell>
          <cell r="D1511">
            <v>0</v>
          </cell>
        </row>
        <row r="1512">
          <cell r="A1512">
            <v>0</v>
          </cell>
          <cell r="C1512">
            <v>0</v>
          </cell>
          <cell r="D1512">
            <v>0</v>
          </cell>
        </row>
        <row r="1513">
          <cell r="A1513">
            <v>0</v>
          </cell>
          <cell r="C1513">
            <v>0</v>
          </cell>
          <cell r="D1513">
            <v>0</v>
          </cell>
        </row>
        <row r="1514">
          <cell r="A1514">
            <v>0</v>
          </cell>
          <cell r="C1514">
            <v>0</v>
          </cell>
          <cell r="D1514">
            <v>0</v>
          </cell>
        </row>
        <row r="1515">
          <cell r="A1515">
            <v>0</v>
          </cell>
          <cell r="C1515">
            <v>0</v>
          </cell>
          <cell r="D1515">
            <v>0</v>
          </cell>
        </row>
        <row r="1516">
          <cell r="A1516">
            <v>0</v>
          </cell>
          <cell r="C1516">
            <v>0</v>
          </cell>
          <cell r="D1516">
            <v>0</v>
          </cell>
        </row>
        <row r="1517">
          <cell r="A1517">
            <v>0</v>
          </cell>
          <cell r="C1517">
            <v>0</v>
          </cell>
          <cell r="D1517">
            <v>0</v>
          </cell>
        </row>
        <row r="1518">
          <cell r="A1518">
            <v>0</v>
          </cell>
          <cell r="C1518">
            <v>0</v>
          </cell>
          <cell r="D1518">
            <v>0</v>
          </cell>
        </row>
        <row r="1519">
          <cell r="A1519">
            <v>0</v>
          </cell>
          <cell r="C1519">
            <v>0</v>
          </cell>
          <cell r="D1519">
            <v>0</v>
          </cell>
        </row>
        <row r="1520">
          <cell r="A1520">
            <v>0</v>
          </cell>
          <cell r="C1520">
            <v>0</v>
          </cell>
          <cell r="D1520">
            <v>0</v>
          </cell>
        </row>
        <row r="1521">
          <cell r="A1521">
            <v>0</v>
          </cell>
          <cell r="C1521">
            <v>0</v>
          </cell>
          <cell r="D1521">
            <v>0</v>
          </cell>
        </row>
        <row r="1522">
          <cell r="A1522">
            <v>0</v>
          </cell>
          <cell r="C1522">
            <v>0</v>
          </cell>
          <cell r="D1522">
            <v>0</v>
          </cell>
        </row>
        <row r="1523">
          <cell r="A1523">
            <v>0</v>
          </cell>
          <cell r="C1523">
            <v>0</v>
          </cell>
          <cell r="D1523">
            <v>0</v>
          </cell>
        </row>
        <row r="1524">
          <cell r="A1524">
            <v>0</v>
          </cell>
          <cell r="C1524">
            <v>0</v>
          </cell>
          <cell r="D1524">
            <v>0</v>
          </cell>
        </row>
        <row r="1525">
          <cell r="A1525">
            <v>0</v>
          </cell>
          <cell r="C1525">
            <v>0</v>
          </cell>
          <cell r="D1525">
            <v>0</v>
          </cell>
        </row>
        <row r="1526">
          <cell r="A1526">
            <v>0</v>
          </cell>
          <cell r="C1526">
            <v>0</v>
          </cell>
          <cell r="D1526">
            <v>0</v>
          </cell>
        </row>
        <row r="1527">
          <cell r="A1527">
            <v>0</v>
          </cell>
          <cell r="C1527">
            <v>0</v>
          </cell>
          <cell r="D1527">
            <v>0</v>
          </cell>
        </row>
        <row r="1528">
          <cell r="A1528">
            <v>0</v>
          </cell>
          <cell r="C1528">
            <v>0</v>
          </cell>
          <cell r="D1528">
            <v>0</v>
          </cell>
        </row>
        <row r="1529">
          <cell r="A1529">
            <v>0</v>
          </cell>
          <cell r="C1529">
            <v>0</v>
          </cell>
          <cell r="D1529">
            <v>0</v>
          </cell>
        </row>
        <row r="1530">
          <cell r="A1530">
            <v>0</v>
          </cell>
          <cell r="C1530">
            <v>0</v>
          </cell>
          <cell r="D1530">
            <v>0</v>
          </cell>
        </row>
        <row r="1531">
          <cell r="A1531">
            <v>0</v>
          </cell>
          <cell r="C1531">
            <v>0</v>
          </cell>
          <cell r="D1531">
            <v>0</v>
          </cell>
        </row>
        <row r="1532">
          <cell r="A1532">
            <v>0</v>
          </cell>
          <cell r="C1532">
            <v>0</v>
          </cell>
          <cell r="D1532">
            <v>0</v>
          </cell>
        </row>
        <row r="1533">
          <cell r="A1533">
            <v>0</v>
          </cell>
          <cell r="C1533">
            <v>0</v>
          </cell>
          <cell r="D1533">
            <v>0</v>
          </cell>
        </row>
        <row r="1534">
          <cell r="A1534">
            <v>0</v>
          </cell>
          <cell r="C1534">
            <v>0</v>
          </cell>
          <cell r="D1534">
            <v>0</v>
          </cell>
        </row>
        <row r="1535">
          <cell r="A1535">
            <v>0</v>
          </cell>
          <cell r="C1535">
            <v>0</v>
          </cell>
          <cell r="D1535">
            <v>0</v>
          </cell>
        </row>
        <row r="1536">
          <cell r="A1536">
            <v>0</v>
          </cell>
          <cell r="C1536">
            <v>0</v>
          </cell>
          <cell r="D1536">
            <v>0</v>
          </cell>
        </row>
        <row r="1537">
          <cell r="A1537">
            <v>0</v>
          </cell>
          <cell r="C1537">
            <v>0</v>
          </cell>
          <cell r="D1537">
            <v>0</v>
          </cell>
        </row>
        <row r="1538">
          <cell r="A1538">
            <v>0</v>
          </cell>
          <cell r="C1538">
            <v>0</v>
          </cell>
          <cell r="D1538">
            <v>0</v>
          </cell>
        </row>
        <row r="1539">
          <cell r="A1539">
            <v>0</v>
          </cell>
          <cell r="C1539">
            <v>0</v>
          </cell>
          <cell r="D1539">
            <v>0</v>
          </cell>
        </row>
        <row r="1540">
          <cell r="A1540">
            <v>0</v>
          </cell>
          <cell r="C1540">
            <v>0</v>
          </cell>
          <cell r="D1540">
            <v>0</v>
          </cell>
        </row>
        <row r="1541">
          <cell r="A1541">
            <v>0</v>
          </cell>
          <cell r="C1541">
            <v>0</v>
          </cell>
          <cell r="D1541">
            <v>0</v>
          </cell>
        </row>
        <row r="1542">
          <cell r="A1542">
            <v>0</v>
          </cell>
          <cell r="C1542">
            <v>0</v>
          </cell>
          <cell r="D1542">
            <v>0</v>
          </cell>
        </row>
        <row r="1543">
          <cell r="A1543">
            <v>0</v>
          </cell>
          <cell r="C1543">
            <v>0</v>
          </cell>
          <cell r="D1543">
            <v>0</v>
          </cell>
        </row>
        <row r="1544">
          <cell r="A1544">
            <v>0</v>
          </cell>
          <cell r="C1544">
            <v>0</v>
          </cell>
          <cell r="D1544">
            <v>0</v>
          </cell>
        </row>
        <row r="1545">
          <cell r="A1545">
            <v>0</v>
          </cell>
          <cell r="C1545">
            <v>0</v>
          </cell>
          <cell r="D1545">
            <v>0</v>
          </cell>
        </row>
        <row r="1546">
          <cell r="A1546">
            <v>0</v>
          </cell>
          <cell r="C1546">
            <v>0</v>
          </cell>
          <cell r="D1546">
            <v>0</v>
          </cell>
        </row>
        <row r="1547">
          <cell r="A1547">
            <v>0</v>
          </cell>
          <cell r="C1547">
            <v>0</v>
          </cell>
          <cell r="D1547">
            <v>0</v>
          </cell>
        </row>
        <row r="1548">
          <cell r="A1548">
            <v>0</v>
          </cell>
          <cell r="C1548">
            <v>0</v>
          </cell>
          <cell r="D1548">
            <v>0</v>
          </cell>
        </row>
        <row r="1549">
          <cell r="A1549">
            <v>0</v>
          </cell>
          <cell r="C1549">
            <v>0</v>
          </cell>
          <cell r="D1549">
            <v>0</v>
          </cell>
        </row>
        <row r="1550">
          <cell r="A1550">
            <v>0</v>
          </cell>
          <cell r="C1550">
            <v>0</v>
          </cell>
          <cell r="D1550">
            <v>0</v>
          </cell>
        </row>
        <row r="1551">
          <cell r="A1551">
            <v>0</v>
          </cell>
          <cell r="C1551">
            <v>0</v>
          </cell>
          <cell r="D1551">
            <v>0</v>
          </cell>
        </row>
        <row r="1552">
          <cell r="A1552">
            <v>0</v>
          </cell>
          <cell r="C1552">
            <v>0</v>
          </cell>
          <cell r="D1552">
            <v>0</v>
          </cell>
        </row>
        <row r="1553">
          <cell r="A1553">
            <v>0</v>
          </cell>
          <cell r="C1553">
            <v>0</v>
          </cell>
          <cell r="D1553">
            <v>0</v>
          </cell>
        </row>
        <row r="1554">
          <cell r="A1554">
            <v>0</v>
          </cell>
          <cell r="C1554">
            <v>0</v>
          </cell>
          <cell r="D1554">
            <v>0</v>
          </cell>
        </row>
        <row r="1555">
          <cell r="A1555">
            <v>0</v>
          </cell>
          <cell r="C1555">
            <v>0</v>
          </cell>
          <cell r="D1555">
            <v>0</v>
          </cell>
        </row>
        <row r="1556">
          <cell r="A1556">
            <v>0</v>
          </cell>
          <cell r="C1556">
            <v>0</v>
          </cell>
          <cell r="D1556">
            <v>0</v>
          </cell>
        </row>
        <row r="1557">
          <cell r="A1557">
            <v>0</v>
          </cell>
          <cell r="C1557">
            <v>0</v>
          </cell>
          <cell r="D1557">
            <v>0</v>
          </cell>
        </row>
        <row r="1558">
          <cell r="A1558">
            <v>0</v>
          </cell>
          <cell r="C1558">
            <v>0</v>
          </cell>
          <cell r="D1558">
            <v>0</v>
          </cell>
        </row>
        <row r="1559">
          <cell r="A1559">
            <v>0</v>
          </cell>
          <cell r="C1559">
            <v>0</v>
          </cell>
          <cell r="D1559">
            <v>0</v>
          </cell>
        </row>
        <row r="1560">
          <cell r="A1560">
            <v>0</v>
          </cell>
          <cell r="C1560">
            <v>0</v>
          </cell>
          <cell r="D1560">
            <v>0</v>
          </cell>
        </row>
        <row r="1561">
          <cell r="A1561">
            <v>0</v>
          </cell>
          <cell r="C1561">
            <v>0</v>
          </cell>
          <cell r="D1561">
            <v>0</v>
          </cell>
        </row>
        <row r="1562">
          <cell r="A1562">
            <v>0</v>
          </cell>
          <cell r="C1562">
            <v>0</v>
          </cell>
          <cell r="D1562">
            <v>0</v>
          </cell>
        </row>
        <row r="1563">
          <cell r="A1563">
            <v>0</v>
          </cell>
          <cell r="C1563">
            <v>0</v>
          </cell>
          <cell r="D1563">
            <v>0</v>
          </cell>
        </row>
        <row r="1564">
          <cell r="A1564">
            <v>0</v>
          </cell>
          <cell r="C1564">
            <v>0</v>
          </cell>
          <cell r="D1564">
            <v>0</v>
          </cell>
        </row>
        <row r="1565">
          <cell r="A1565">
            <v>0</v>
          </cell>
          <cell r="C1565">
            <v>0</v>
          </cell>
          <cell r="D1565">
            <v>0</v>
          </cell>
        </row>
        <row r="1566">
          <cell r="A1566">
            <v>0</v>
          </cell>
          <cell r="C1566">
            <v>0</v>
          </cell>
          <cell r="D1566">
            <v>0</v>
          </cell>
        </row>
        <row r="1567">
          <cell r="A1567">
            <v>0</v>
          </cell>
          <cell r="C1567">
            <v>0</v>
          </cell>
          <cell r="D1567">
            <v>0</v>
          </cell>
        </row>
        <row r="1568">
          <cell r="A1568">
            <v>0</v>
          </cell>
          <cell r="C1568">
            <v>0</v>
          </cell>
          <cell r="D1568">
            <v>0</v>
          </cell>
        </row>
        <row r="1569">
          <cell r="A1569">
            <v>0</v>
          </cell>
          <cell r="C1569">
            <v>0</v>
          </cell>
          <cell r="D1569">
            <v>0</v>
          </cell>
        </row>
        <row r="1570">
          <cell r="A1570">
            <v>0</v>
          </cell>
          <cell r="C1570">
            <v>0</v>
          </cell>
          <cell r="D1570">
            <v>0</v>
          </cell>
        </row>
        <row r="1571">
          <cell r="A1571">
            <v>0</v>
          </cell>
          <cell r="C1571">
            <v>0</v>
          </cell>
          <cell r="D1571">
            <v>0</v>
          </cell>
        </row>
        <row r="1572">
          <cell r="A1572">
            <v>0</v>
          </cell>
          <cell r="C1572">
            <v>0</v>
          </cell>
          <cell r="D1572">
            <v>0</v>
          </cell>
        </row>
        <row r="1573">
          <cell r="A1573">
            <v>0</v>
          </cell>
          <cell r="C1573">
            <v>0</v>
          </cell>
          <cell r="D1573">
            <v>0</v>
          </cell>
        </row>
        <row r="1574">
          <cell r="A1574">
            <v>0</v>
          </cell>
          <cell r="C1574">
            <v>0</v>
          </cell>
          <cell r="D1574">
            <v>0</v>
          </cell>
        </row>
        <row r="1575">
          <cell r="A1575">
            <v>0</v>
          </cell>
          <cell r="C1575">
            <v>0</v>
          </cell>
          <cell r="D1575">
            <v>0</v>
          </cell>
        </row>
        <row r="1576">
          <cell r="A1576">
            <v>0</v>
          </cell>
          <cell r="C1576">
            <v>0</v>
          </cell>
          <cell r="D1576">
            <v>0</v>
          </cell>
        </row>
        <row r="1577">
          <cell r="A1577">
            <v>0</v>
          </cell>
          <cell r="C1577">
            <v>0</v>
          </cell>
          <cell r="D1577">
            <v>0</v>
          </cell>
        </row>
        <row r="1578">
          <cell r="A1578">
            <v>0</v>
          </cell>
          <cell r="C1578">
            <v>0</v>
          </cell>
          <cell r="D1578">
            <v>0</v>
          </cell>
        </row>
        <row r="1579">
          <cell r="A1579">
            <v>0</v>
          </cell>
          <cell r="C1579">
            <v>0</v>
          </cell>
          <cell r="D1579">
            <v>0</v>
          </cell>
        </row>
        <row r="1580">
          <cell r="A1580">
            <v>0</v>
          </cell>
          <cell r="C1580">
            <v>0</v>
          </cell>
          <cell r="D1580">
            <v>0</v>
          </cell>
        </row>
        <row r="1581">
          <cell r="A1581">
            <v>0</v>
          </cell>
          <cell r="C1581">
            <v>0</v>
          </cell>
          <cell r="D1581">
            <v>0</v>
          </cell>
        </row>
        <row r="1582">
          <cell r="A1582">
            <v>0</v>
          </cell>
          <cell r="C1582">
            <v>0</v>
          </cell>
          <cell r="D1582">
            <v>0</v>
          </cell>
        </row>
        <row r="1583">
          <cell r="A1583">
            <v>0</v>
          </cell>
          <cell r="C1583">
            <v>0</v>
          </cell>
          <cell r="D1583">
            <v>0</v>
          </cell>
        </row>
        <row r="1584">
          <cell r="A1584">
            <v>0</v>
          </cell>
          <cell r="C1584">
            <v>0</v>
          </cell>
          <cell r="D1584">
            <v>0</v>
          </cell>
        </row>
        <row r="1585">
          <cell r="A1585">
            <v>0</v>
          </cell>
          <cell r="C1585">
            <v>0</v>
          </cell>
          <cell r="D1585">
            <v>0</v>
          </cell>
        </row>
        <row r="1586">
          <cell r="A1586">
            <v>0</v>
          </cell>
          <cell r="C1586">
            <v>0</v>
          </cell>
          <cell r="D1586">
            <v>0</v>
          </cell>
        </row>
        <row r="1587">
          <cell r="A1587">
            <v>0</v>
          </cell>
          <cell r="C1587">
            <v>0</v>
          </cell>
          <cell r="D1587">
            <v>0</v>
          </cell>
        </row>
        <row r="1588">
          <cell r="A1588">
            <v>0</v>
          </cell>
          <cell r="C1588">
            <v>0</v>
          </cell>
          <cell r="D1588">
            <v>0</v>
          </cell>
        </row>
        <row r="1589">
          <cell r="A1589">
            <v>0</v>
          </cell>
          <cell r="C1589">
            <v>0</v>
          </cell>
          <cell r="D1589">
            <v>0</v>
          </cell>
        </row>
        <row r="1590">
          <cell r="A1590">
            <v>0</v>
          </cell>
          <cell r="C1590">
            <v>0</v>
          </cell>
          <cell r="D1590">
            <v>0</v>
          </cell>
        </row>
        <row r="1591">
          <cell r="A1591">
            <v>0</v>
          </cell>
          <cell r="C1591">
            <v>0</v>
          </cell>
          <cell r="D1591">
            <v>0</v>
          </cell>
        </row>
        <row r="1592">
          <cell r="A1592">
            <v>0</v>
          </cell>
          <cell r="C1592">
            <v>0</v>
          </cell>
          <cell r="D1592">
            <v>0</v>
          </cell>
        </row>
        <row r="1593">
          <cell r="A1593">
            <v>0</v>
          </cell>
          <cell r="C1593">
            <v>0</v>
          </cell>
          <cell r="D1593">
            <v>0</v>
          </cell>
        </row>
        <row r="1594">
          <cell r="A1594">
            <v>0</v>
          </cell>
          <cell r="C1594">
            <v>0</v>
          </cell>
          <cell r="D1594">
            <v>0</v>
          </cell>
        </row>
        <row r="1595">
          <cell r="A1595">
            <v>0</v>
          </cell>
          <cell r="C1595">
            <v>0</v>
          </cell>
          <cell r="D1595">
            <v>0</v>
          </cell>
        </row>
        <row r="1596">
          <cell r="A1596">
            <v>0</v>
          </cell>
          <cell r="C1596">
            <v>0</v>
          </cell>
          <cell r="D1596">
            <v>0</v>
          </cell>
        </row>
        <row r="1597">
          <cell r="A1597">
            <v>0</v>
          </cell>
          <cell r="C1597">
            <v>0</v>
          </cell>
          <cell r="D1597">
            <v>0</v>
          </cell>
        </row>
        <row r="1598">
          <cell r="A1598">
            <v>0</v>
          </cell>
          <cell r="C1598">
            <v>0</v>
          </cell>
          <cell r="D1598">
            <v>0</v>
          </cell>
        </row>
        <row r="1599">
          <cell r="A1599">
            <v>0</v>
          </cell>
          <cell r="C1599">
            <v>0</v>
          </cell>
          <cell r="D1599">
            <v>0</v>
          </cell>
        </row>
        <row r="1600">
          <cell r="A1600">
            <v>0</v>
          </cell>
          <cell r="C1600">
            <v>0</v>
          </cell>
          <cell r="D1600">
            <v>0</v>
          </cell>
        </row>
        <row r="1601">
          <cell r="A1601">
            <v>0</v>
          </cell>
          <cell r="C1601">
            <v>0</v>
          </cell>
          <cell r="D1601">
            <v>0</v>
          </cell>
        </row>
        <row r="1602">
          <cell r="A1602">
            <v>0</v>
          </cell>
          <cell r="C1602">
            <v>0</v>
          </cell>
          <cell r="D1602">
            <v>0</v>
          </cell>
        </row>
        <row r="1603">
          <cell r="A1603">
            <v>0</v>
          </cell>
          <cell r="C1603">
            <v>0</v>
          </cell>
          <cell r="D1603">
            <v>0</v>
          </cell>
        </row>
        <row r="1604">
          <cell r="A1604">
            <v>0</v>
          </cell>
          <cell r="C1604">
            <v>0</v>
          </cell>
          <cell r="D1604">
            <v>0</v>
          </cell>
        </row>
        <row r="1605">
          <cell r="A1605">
            <v>0</v>
          </cell>
          <cell r="C1605">
            <v>0</v>
          </cell>
          <cell r="D1605">
            <v>0</v>
          </cell>
        </row>
        <row r="1606">
          <cell r="A1606">
            <v>0</v>
          </cell>
          <cell r="C1606">
            <v>0</v>
          </cell>
          <cell r="D1606">
            <v>0</v>
          </cell>
        </row>
        <row r="1607">
          <cell r="A1607">
            <v>0</v>
          </cell>
          <cell r="C1607">
            <v>0</v>
          </cell>
          <cell r="D1607">
            <v>0</v>
          </cell>
        </row>
        <row r="1608">
          <cell r="A1608">
            <v>0</v>
          </cell>
          <cell r="C1608">
            <v>0</v>
          </cell>
          <cell r="D1608">
            <v>0</v>
          </cell>
        </row>
        <row r="1609">
          <cell r="A1609">
            <v>0</v>
          </cell>
          <cell r="C1609">
            <v>0</v>
          </cell>
          <cell r="D1609">
            <v>0</v>
          </cell>
        </row>
        <row r="1610">
          <cell r="A1610">
            <v>0</v>
          </cell>
          <cell r="C1610">
            <v>0</v>
          </cell>
          <cell r="D1610">
            <v>0</v>
          </cell>
        </row>
        <row r="1611">
          <cell r="A1611">
            <v>0</v>
          </cell>
          <cell r="C1611">
            <v>0</v>
          </cell>
          <cell r="D1611">
            <v>0</v>
          </cell>
        </row>
        <row r="1612">
          <cell r="A1612">
            <v>0</v>
          </cell>
          <cell r="C1612">
            <v>0</v>
          </cell>
          <cell r="D1612">
            <v>0</v>
          </cell>
        </row>
        <row r="1613">
          <cell r="A1613">
            <v>0</v>
          </cell>
          <cell r="C1613">
            <v>0</v>
          </cell>
          <cell r="D1613">
            <v>0</v>
          </cell>
        </row>
        <row r="1614">
          <cell r="A1614">
            <v>0</v>
          </cell>
          <cell r="C1614">
            <v>0</v>
          </cell>
          <cell r="D1614">
            <v>0</v>
          </cell>
        </row>
        <row r="1615">
          <cell r="A1615">
            <v>0</v>
          </cell>
          <cell r="C1615">
            <v>0</v>
          </cell>
          <cell r="D1615">
            <v>0</v>
          </cell>
        </row>
        <row r="1616">
          <cell r="A1616">
            <v>0</v>
          </cell>
          <cell r="C1616">
            <v>0</v>
          </cell>
          <cell r="D1616">
            <v>0</v>
          </cell>
        </row>
        <row r="1617">
          <cell r="A1617">
            <v>0</v>
          </cell>
          <cell r="C1617">
            <v>0</v>
          </cell>
          <cell r="D1617">
            <v>0</v>
          </cell>
        </row>
        <row r="1618">
          <cell r="A1618">
            <v>0</v>
          </cell>
          <cell r="C1618">
            <v>0</v>
          </cell>
          <cell r="D1618">
            <v>0</v>
          </cell>
        </row>
        <row r="1619">
          <cell r="A1619">
            <v>0</v>
          </cell>
          <cell r="C1619">
            <v>0</v>
          </cell>
          <cell r="D1619">
            <v>0</v>
          </cell>
        </row>
        <row r="1620">
          <cell r="A1620">
            <v>0</v>
          </cell>
          <cell r="C1620">
            <v>0</v>
          </cell>
          <cell r="D1620">
            <v>0</v>
          </cell>
        </row>
        <row r="1621">
          <cell r="A1621">
            <v>0</v>
          </cell>
          <cell r="C1621">
            <v>0</v>
          </cell>
          <cell r="D1621">
            <v>0</v>
          </cell>
        </row>
        <row r="1622">
          <cell r="A1622">
            <v>0</v>
          </cell>
          <cell r="C1622">
            <v>0</v>
          </cell>
          <cell r="D1622">
            <v>0</v>
          </cell>
        </row>
        <row r="1623">
          <cell r="A1623">
            <v>0</v>
          </cell>
          <cell r="C1623">
            <v>0</v>
          </cell>
          <cell r="D1623">
            <v>0</v>
          </cell>
        </row>
        <row r="1624">
          <cell r="A1624">
            <v>0</v>
          </cell>
          <cell r="C1624">
            <v>0</v>
          </cell>
          <cell r="D1624">
            <v>0</v>
          </cell>
        </row>
        <row r="1625">
          <cell r="A1625">
            <v>0</v>
          </cell>
          <cell r="C1625">
            <v>0</v>
          </cell>
          <cell r="D1625">
            <v>0</v>
          </cell>
        </row>
        <row r="1626">
          <cell r="A1626">
            <v>0</v>
          </cell>
          <cell r="C1626">
            <v>0</v>
          </cell>
          <cell r="D1626">
            <v>0</v>
          </cell>
        </row>
        <row r="1627">
          <cell r="A1627">
            <v>0</v>
          </cell>
          <cell r="C1627">
            <v>0</v>
          </cell>
          <cell r="D1627">
            <v>0</v>
          </cell>
        </row>
        <row r="1628">
          <cell r="A1628">
            <v>0</v>
          </cell>
          <cell r="C1628">
            <v>0</v>
          </cell>
          <cell r="D1628">
            <v>0</v>
          </cell>
        </row>
        <row r="1629">
          <cell r="A1629">
            <v>0</v>
          </cell>
          <cell r="C1629">
            <v>0</v>
          </cell>
          <cell r="D1629">
            <v>0</v>
          </cell>
        </row>
        <row r="1630">
          <cell r="A1630">
            <v>0</v>
          </cell>
          <cell r="C1630">
            <v>0</v>
          </cell>
          <cell r="D1630">
            <v>0</v>
          </cell>
        </row>
        <row r="1631">
          <cell r="A1631">
            <v>0</v>
          </cell>
          <cell r="C1631">
            <v>0</v>
          </cell>
          <cell r="D1631">
            <v>0</v>
          </cell>
        </row>
        <row r="1632">
          <cell r="A1632">
            <v>0</v>
          </cell>
          <cell r="C1632">
            <v>0</v>
          </cell>
          <cell r="D1632">
            <v>0</v>
          </cell>
        </row>
        <row r="1633">
          <cell r="A1633">
            <v>0</v>
          </cell>
          <cell r="C1633">
            <v>0</v>
          </cell>
          <cell r="D1633">
            <v>0</v>
          </cell>
        </row>
        <row r="1634">
          <cell r="A1634">
            <v>0</v>
          </cell>
          <cell r="C1634">
            <v>0</v>
          </cell>
          <cell r="D1634">
            <v>0</v>
          </cell>
        </row>
        <row r="1635">
          <cell r="A1635">
            <v>0</v>
          </cell>
          <cell r="C1635">
            <v>0</v>
          </cell>
          <cell r="D1635">
            <v>0</v>
          </cell>
        </row>
        <row r="1636">
          <cell r="A1636">
            <v>0</v>
          </cell>
          <cell r="C1636">
            <v>0</v>
          </cell>
          <cell r="D1636">
            <v>0</v>
          </cell>
        </row>
        <row r="1637">
          <cell r="A1637">
            <v>0</v>
          </cell>
          <cell r="C1637">
            <v>0</v>
          </cell>
          <cell r="D1637">
            <v>0</v>
          </cell>
        </row>
        <row r="1638">
          <cell r="A1638">
            <v>0</v>
          </cell>
          <cell r="C1638">
            <v>0</v>
          </cell>
          <cell r="D1638">
            <v>0</v>
          </cell>
        </row>
        <row r="1639">
          <cell r="A1639">
            <v>0</v>
          </cell>
          <cell r="C1639">
            <v>0</v>
          </cell>
          <cell r="D1639">
            <v>0</v>
          </cell>
        </row>
        <row r="1640">
          <cell r="A1640">
            <v>0</v>
          </cell>
          <cell r="C1640">
            <v>0</v>
          </cell>
          <cell r="D1640">
            <v>0</v>
          </cell>
        </row>
        <row r="1641">
          <cell r="A1641">
            <v>0</v>
          </cell>
          <cell r="C1641">
            <v>0</v>
          </cell>
          <cell r="D1641">
            <v>0</v>
          </cell>
        </row>
        <row r="1642">
          <cell r="A1642">
            <v>0</v>
          </cell>
          <cell r="C1642">
            <v>0</v>
          </cell>
          <cell r="D1642">
            <v>0</v>
          </cell>
        </row>
        <row r="1643">
          <cell r="A1643">
            <v>0</v>
          </cell>
          <cell r="C1643">
            <v>0</v>
          </cell>
          <cell r="D1643">
            <v>0</v>
          </cell>
        </row>
        <row r="1644">
          <cell r="A1644">
            <v>0</v>
          </cell>
          <cell r="C1644">
            <v>0</v>
          </cell>
          <cell r="D1644">
            <v>0</v>
          </cell>
        </row>
        <row r="1645">
          <cell r="A1645">
            <v>0</v>
          </cell>
          <cell r="C1645">
            <v>0</v>
          </cell>
          <cell r="D1645">
            <v>0</v>
          </cell>
        </row>
        <row r="1646">
          <cell r="A1646">
            <v>0</v>
          </cell>
          <cell r="C1646">
            <v>0</v>
          </cell>
          <cell r="D1646">
            <v>0</v>
          </cell>
        </row>
        <row r="1647">
          <cell r="A1647">
            <v>0</v>
          </cell>
          <cell r="C1647">
            <v>0</v>
          </cell>
          <cell r="D1647">
            <v>0</v>
          </cell>
        </row>
        <row r="1648">
          <cell r="A1648">
            <v>0</v>
          </cell>
          <cell r="C1648">
            <v>0</v>
          </cell>
          <cell r="D1648">
            <v>0</v>
          </cell>
        </row>
        <row r="1649">
          <cell r="A1649">
            <v>0</v>
          </cell>
          <cell r="C1649">
            <v>0</v>
          </cell>
          <cell r="D1649">
            <v>0</v>
          </cell>
        </row>
        <row r="1650">
          <cell r="A1650">
            <v>0</v>
          </cell>
          <cell r="C1650">
            <v>0</v>
          </cell>
          <cell r="D1650">
            <v>0</v>
          </cell>
        </row>
        <row r="1651">
          <cell r="A1651">
            <v>0</v>
          </cell>
          <cell r="C1651">
            <v>0</v>
          </cell>
          <cell r="D1651">
            <v>0</v>
          </cell>
        </row>
        <row r="1652">
          <cell r="A1652">
            <v>0</v>
          </cell>
          <cell r="C1652">
            <v>0</v>
          </cell>
          <cell r="D1652">
            <v>0</v>
          </cell>
        </row>
        <row r="1653">
          <cell r="A1653">
            <v>0</v>
          </cell>
          <cell r="C1653">
            <v>0</v>
          </cell>
          <cell r="D1653">
            <v>0</v>
          </cell>
        </row>
        <row r="1654">
          <cell r="A1654">
            <v>0</v>
          </cell>
          <cell r="C1654">
            <v>0</v>
          </cell>
          <cell r="D1654">
            <v>0</v>
          </cell>
        </row>
        <row r="1655">
          <cell r="A1655">
            <v>0</v>
          </cell>
          <cell r="C1655">
            <v>0</v>
          </cell>
          <cell r="D1655">
            <v>0</v>
          </cell>
        </row>
        <row r="1656">
          <cell r="A1656">
            <v>0</v>
          </cell>
          <cell r="C1656">
            <v>0</v>
          </cell>
          <cell r="D1656">
            <v>0</v>
          </cell>
        </row>
        <row r="1657">
          <cell r="A1657">
            <v>0</v>
          </cell>
          <cell r="C1657">
            <v>0</v>
          </cell>
          <cell r="D1657">
            <v>0</v>
          </cell>
        </row>
        <row r="1658">
          <cell r="A1658">
            <v>0</v>
          </cell>
          <cell r="C1658">
            <v>0</v>
          </cell>
          <cell r="D1658">
            <v>0</v>
          </cell>
        </row>
        <row r="1659">
          <cell r="A1659">
            <v>0</v>
          </cell>
          <cell r="C1659">
            <v>0</v>
          </cell>
          <cell r="D1659">
            <v>0</v>
          </cell>
        </row>
        <row r="1660">
          <cell r="A1660">
            <v>0</v>
          </cell>
          <cell r="C1660">
            <v>0</v>
          </cell>
          <cell r="D1660">
            <v>0</v>
          </cell>
        </row>
        <row r="1661">
          <cell r="A1661">
            <v>0</v>
          </cell>
          <cell r="C1661">
            <v>0</v>
          </cell>
          <cell r="D1661">
            <v>0</v>
          </cell>
        </row>
        <row r="1662">
          <cell r="A1662">
            <v>0</v>
          </cell>
          <cell r="C1662">
            <v>0</v>
          </cell>
          <cell r="D1662">
            <v>0</v>
          </cell>
        </row>
        <row r="1663">
          <cell r="A1663">
            <v>0</v>
          </cell>
          <cell r="C1663">
            <v>0</v>
          </cell>
          <cell r="D1663">
            <v>0</v>
          </cell>
        </row>
        <row r="1664">
          <cell r="A1664">
            <v>0</v>
          </cell>
          <cell r="C1664">
            <v>0</v>
          </cell>
          <cell r="D1664">
            <v>0</v>
          </cell>
        </row>
        <row r="1665">
          <cell r="A1665">
            <v>0</v>
          </cell>
          <cell r="C1665">
            <v>0</v>
          </cell>
          <cell r="D1665">
            <v>0</v>
          </cell>
        </row>
        <row r="1666">
          <cell r="A1666">
            <v>0</v>
          </cell>
          <cell r="C1666">
            <v>0</v>
          </cell>
          <cell r="D1666">
            <v>0</v>
          </cell>
        </row>
        <row r="1667">
          <cell r="A1667">
            <v>0</v>
          </cell>
          <cell r="C1667">
            <v>0</v>
          </cell>
          <cell r="D1667">
            <v>0</v>
          </cell>
        </row>
        <row r="1668">
          <cell r="A1668">
            <v>0</v>
          </cell>
          <cell r="C1668">
            <v>0</v>
          </cell>
          <cell r="D1668">
            <v>0</v>
          </cell>
        </row>
        <row r="1669">
          <cell r="A1669">
            <v>0</v>
          </cell>
          <cell r="C1669">
            <v>0</v>
          </cell>
          <cell r="D1669">
            <v>0</v>
          </cell>
        </row>
        <row r="1670">
          <cell r="A1670">
            <v>0</v>
          </cell>
          <cell r="C1670">
            <v>0</v>
          </cell>
          <cell r="D1670">
            <v>0</v>
          </cell>
        </row>
        <row r="1671">
          <cell r="A1671">
            <v>0</v>
          </cell>
          <cell r="C1671">
            <v>0</v>
          </cell>
          <cell r="D1671">
            <v>0</v>
          </cell>
        </row>
        <row r="1672">
          <cell r="A1672">
            <v>0</v>
          </cell>
          <cell r="C1672">
            <v>0</v>
          </cell>
          <cell r="D1672">
            <v>0</v>
          </cell>
        </row>
        <row r="1673">
          <cell r="A1673">
            <v>0</v>
          </cell>
          <cell r="C1673">
            <v>0</v>
          </cell>
          <cell r="D1673">
            <v>0</v>
          </cell>
        </row>
        <row r="1674">
          <cell r="A1674">
            <v>0</v>
          </cell>
          <cell r="C1674">
            <v>0</v>
          </cell>
          <cell r="D1674">
            <v>0</v>
          </cell>
        </row>
        <row r="1675">
          <cell r="A1675">
            <v>0</v>
          </cell>
          <cell r="C1675">
            <v>0</v>
          </cell>
          <cell r="D1675">
            <v>0</v>
          </cell>
        </row>
        <row r="1676">
          <cell r="A1676">
            <v>0</v>
          </cell>
          <cell r="C1676">
            <v>0</v>
          </cell>
          <cell r="D1676">
            <v>0</v>
          </cell>
        </row>
        <row r="1677">
          <cell r="A1677">
            <v>0</v>
          </cell>
          <cell r="C1677">
            <v>0</v>
          </cell>
          <cell r="D1677">
            <v>0</v>
          </cell>
        </row>
        <row r="1678">
          <cell r="A1678">
            <v>0</v>
          </cell>
          <cell r="C1678">
            <v>0</v>
          </cell>
          <cell r="D1678">
            <v>0</v>
          </cell>
        </row>
        <row r="1679">
          <cell r="A1679">
            <v>0</v>
          </cell>
          <cell r="C1679">
            <v>0</v>
          </cell>
          <cell r="D1679">
            <v>0</v>
          </cell>
        </row>
        <row r="1680">
          <cell r="A1680">
            <v>0</v>
          </cell>
          <cell r="C1680">
            <v>0</v>
          </cell>
          <cell r="D1680">
            <v>0</v>
          </cell>
        </row>
        <row r="1681">
          <cell r="A1681">
            <v>0</v>
          </cell>
          <cell r="C1681">
            <v>0</v>
          </cell>
          <cell r="D1681">
            <v>0</v>
          </cell>
        </row>
        <row r="1682">
          <cell r="A1682">
            <v>0</v>
          </cell>
          <cell r="C1682">
            <v>0</v>
          </cell>
          <cell r="D1682">
            <v>0</v>
          </cell>
        </row>
        <row r="1683">
          <cell r="A1683">
            <v>0</v>
          </cell>
          <cell r="C1683">
            <v>0</v>
          </cell>
          <cell r="D1683">
            <v>0</v>
          </cell>
        </row>
        <row r="1684">
          <cell r="A1684">
            <v>0</v>
          </cell>
          <cell r="C1684">
            <v>0</v>
          </cell>
          <cell r="D1684">
            <v>0</v>
          </cell>
        </row>
        <row r="1685">
          <cell r="A1685">
            <v>0</v>
          </cell>
          <cell r="C1685">
            <v>0</v>
          </cell>
          <cell r="D1685">
            <v>0</v>
          </cell>
        </row>
        <row r="1686">
          <cell r="A1686">
            <v>0</v>
          </cell>
          <cell r="C1686">
            <v>0</v>
          </cell>
          <cell r="D1686">
            <v>0</v>
          </cell>
        </row>
        <row r="1687">
          <cell r="A1687">
            <v>0</v>
          </cell>
          <cell r="C1687">
            <v>0</v>
          </cell>
          <cell r="D1687">
            <v>0</v>
          </cell>
        </row>
        <row r="1688">
          <cell r="A1688">
            <v>0</v>
          </cell>
          <cell r="C1688">
            <v>0</v>
          </cell>
          <cell r="D1688">
            <v>0</v>
          </cell>
        </row>
        <row r="1689">
          <cell r="A1689">
            <v>0</v>
          </cell>
          <cell r="C1689">
            <v>0</v>
          </cell>
          <cell r="D1689">
            <v>0</v>
          </cell>
        </row>
        <row r="1690">
          <cell r="A1690">
            <v>0</v>
          </cell>
          <cell r="C1690">
            <v>0</v>
          </cell>
          <cell r="D1690">
            <v>0</v>
          </cell>
        </row>
        <row r="1691">
          <cell r="A1691">
            <v>0</v>
          </cell>
          <cell r="C1691">
            <v>0</v>
          </cell>
          <cell r="D1691">
            <v>0</v>
          </cell>
        </row>
        <row r="1692">
          <cell r="A1692">
            <v>0</v>
          </cell>
          <cell r="C1692">
            <v>0</v>
          </cell>
          <cell r="D1692">
            <v>0</v>
          </cell>
        </row>
        <row r="1693">
          <cell r="A1693">
            <v>0</v>
          </cell>
          <cell r="C1693">
            <v>0</v>
          </cell>
          <cell r="D1693">
            <v>0</v>
          </cell>
        </row>
        <row r="1694">
          <cell r="A1694">
            <v>0</v>
          </cell>
          <cell r="C1694">
            <v>0</v>
          </cell>
          <cell r="D1694">
            <v>0</v>
          </cell>
        </row>
        <row r="1695">
          <cell r="A1695">
            <v>0</v>
          </cell>
          <cell r="C1695">
            <v>0</v>
          </cell>
          <cell r="D1695">
            <v>0</v>
          </cell>
        </row>
        <row r="1696">
          <cell r="A1696">
            <v>0</v>
          </cell>
          <cell r="C1696">
            <v>0</v>
          </cell>
          <cell r="D1696">
            <v>0</v>
          </cell>
        </row>
        <row r="1697">
          <cell r="A1697">
            <v>0</v>
          </cell>
          <cell r="C1697">
            <v>0</v>
          </cell>
          <cell r="D1697">
            <v>0</v>
          </cell>
        </row>
        <row r="1698">
          <cell r="A1698">
            <v>0</v>
          </cell>
          <cell r="C1698">
            <v>0</v>
          </cell>
          <cell r="D1698">
            <v>0</v>
          </cell>
        </row>
        <row r="1699">
          <cell r="A1699">
            <v>0</v>
          </cell>
          <cell r="C1699">
            <v>0</v>
          </cell>
          <cell r="D1699">
            <v>0</v>
          </cell>
        </row>
        <row r="1700">
          <cell r="A1700">
            <v>0</v>
          </cell>
          <cell r="C1700">
            <v>0</v>
          </cell>
          <cell r="D1700">
            <v>0</v>
          </cell>
        </row>
        <row r="1701">
          <cell r="A1701">
            <v>0</v>
          </cell>
          <cell r="C1701">
            <v>0</v>
          </cell>
          <cell r="D1701">
            <v>0</v>
          </cell>
        </row>
        <row r="1702">
          <cell r="A1702">
            <v>0</v>
          </cell>
          <cell r="C1702">
            <v>0</v>
          </cell>
          <cell r="D1702">
            <v>0</v>
          </cell>
        </row>
        <row r="1703">
          <cell r="A1703">
            <v>0</v>
          </cell>
          <cell r="C1703">
            <v>0</v>
          </cell>
          <cell r="D1703">
            <v>0</v>
          </cell>
        </row>
        <row r="1704">
          <cell r="A1704">
            <v>0</v>
          </cell>
          <cell r="C1704">
            <v>0</v>
          </cell>
          <cell r="D1704">
            <v>0</v>
          </cell>
        </row>
        <row r="1705">
          <cell r="A1705">
            <v>0</v>
          </cell>
          <cell r="C1705">
            <v>0</v>
          </cell>
          <cell r="D1705">
            <v>0</v>
          </cell>
        </row>
        <row r="1706">
          <cell r="A1706">
            <v>0</v>
          </cell>
          <cell r="C1706">
            <v>0</v>
          </cell>
          <cell r="D1706">
            <v>0</v>
          </cell>
        </row>
        <row r="1707">
          <cell r="A1707">
            <v>0</v>
          </cell>
          <cell r="C1707">
            <v>0</v>
          </cell>
          <cell r="D1707">
            <v>0</v>
          </cell>
        </row>
        <row r="1708">
          <cell r="A1708">
            <v>0</v>
          </cell>
          <cell r="C1708">
            <v>0</v>
          </cell>
          <cell r="D1708">
            <v>0</v>
          </cell>
        </row>
        <row r="1709">
          <cell r="A1709">
            <v>0</v>
          </cell>
          <cell r="C1709">
            <v>0</v>
          </cell>
          <cell r="D1709">
            <v>0</v>
          </cell>
        </row>
        <row r="1710">
          <cell r="A1710">
            <v>0</v>
          </cell>
          <cell r="C1710">
            <v>0</v>
          </cell>
          <cell r="D1710">
            <v>0</v>
          </cell>
        </row>
        <row r="1711">
          <cell r="A1711">
            <v>0</v>
          </cell>
          <cell r="C1711">
            <v>0</v>
          </cell>
          <cell r="D1711">
            <v>0</v>
          </cell>
        </row>
        <row r="1712">
          <cell r="A1712">
            <v>0</v>
          </cell>
          <cell r="C1712">
            <v>0</v>
          </cell>
          <cell r="D1712">
            <v>0</v>
          </cell>
        </row>
        <row r="1713">
          <cell r="A1713">
            <v>0</v>
          </cell>
          <cell r="C1713">
            <v>0</v>
          </cell>
          <cell r="D1713">
            <v>0</v>
          </cell>
        </row>
        <row r="1714">
          <cell r="A1714">
            <v>0</v>
          </cell>
          <cell r="C1714">
            <v>0</v>
          </cell>
          <cell r="D1714">
            <v>0</v>
          </cell>
        </row>
        <row r="1715">
          <cell r="A1715">
            <v>0</v>
          </cell>
          <cell r="C1715">
            <v>0</v>
          </cell>
          <cell r="D1715">
            <v>0</v>
          </cell>
        </row>
        <row r="1716">
          <cell r="A1716">
            <v>0</v>
          </cell>
          <cell r="C1716">
            <v>0</v>
          </cell>
          <cell r="D1716">
            <v>0</v>
          </cell>
        </row>
        <row r="1717">
          <cell r="A1717">
            <v>0</v>
          </cell>
          <cell r="C1717">
            <v>0</v>
          </cell>
          <cell r="D1717">
            <v>0</v>
          </cell>
        </row>
        <row r="1718">
          <cell r="A1718">
            <v>0</v>
          </cell>
          <cell r="C1718">
            <v>0</v>
          </cell>
          <cell r="D1718">
            <v>0</v>
          </cell>
        </row>
        <row r="1719">
          <cell r="A1719">
            <v>0</v>
          </cell>
          <cell r="C1719">
            <v>0</v>
          </cell>
          <cell r="D1719">
            <v>0</v>
          </cell>
        </row>
        <row r="1720">
          <cell r="A1720">
            <v>0</v>
          </cell>
          <cell r="C1720">
            <v>0</v>
          </cell>
          <cell r="D1720">
            <v>0</v>
          </cell>
        </row>
        <row r="1721">
          <cell r="A1721">
            <v>0</v>
          </cell>
          <cell r="C1721">
            <v>0</v>
          </cell>
          <cell r="D1721">
            <v>0</v>
          </cell>
        </row>
        <row r="1722">
          <cell r="A1722">
            <v>0</v>
          </cell>
          <cell r="C1722">
            <v>0</v>
          </cell>
          <cell r="D1722">
            <v>0</v>
          </cell>
        </row>
        <row r="1723">
          <cell r="A1723">
            <v>0</v>
          </cell>
          <cell r="C1723">
            <v>0</v>
          </cell>
          <cell r="D1723">
            <v>0</v>
          </cell>
        </row>
        <row r="1724">
          <cell r="A1724">
            <v>0</v>
          </cell>
          <cell r="C1724">
            <v>0</v>
          </cell>
          <cell r="D1724">
            <v>0</v>
          </cell>
        </row>
        <row r="1725">
          <cell r="A1725">
            <v>0</v>
          </cell>
          <cell r="C1725">
            <v>0</v>
          </cell>
          <cell r="D1725">
            <v>0</v>
          </cell>
        </row>
        <row r="1726">
          <cell r="A1726">
            <v>0</v>
          </cell>
          <cell r="C1726">
            <v>0</v>
          </cell>
          <cell r="D1726">
            <v>0</v>
          </cell>
        </row>
        <row r="1727">
          <cell r="A1727">
            <v>0</v>
          </cell>
          <cell r="C1727">
            <v>0</v>
          </cell>
          <cell r="D1727">
            <v>0</v>
          </cell>
        </row>
        <row r="1728">
          <cell r="A1728">
            <v>0</v>
          </cell>
          <cell r="C1728">
            <v>0</v>
          </cell>
          <cell r="D1728">
            <v>0</v>
          </cell>
        </row>
        <row r="1729">
          <cell r="A1729">
            <v>0</v>
          </cell>
          <cell r="C1729">
            <v>0</v>
          </cell>
          <cell r="D1729">
            <v>0</v>
          </cell>
        </row>
        <row r="1730">
          <cell r="A1730">
            <v>0</v>
          </cell>
          <cell r="C1730">
            <v>0</v>
          </cell>
          <cell r="D1730">
            <v>0</v>
          </cell>
        </row>
        <row r="1731">
          <cell r="A1731">
            <v>0</v>
          </cell>
          <cell r="C1731">
            <v>0</v>
          </cell>
          <cell r="D1731">
            <v>0</v>
          </cell>
        </row>
        <row r="1732">
          <cell r="A1732">
            <v>0</v>
          </cell>
          <cell r="C1732">
            <v>0</v>
          </cell>
          <cell r="D1732">
            <v>0</v>
          </cell>
        </row>
        <row r="1733">
          <cell r="A1733">
            <v>0</v>
          </cell>
          <cell r="C1733">
            <v>0</v>
          </cell>
          <cell r="D1733">
            <v>0</v>
          </cell>
        </row>
        <row r="1734">
          <cell r="A1734">
            <v>0</v>
          </cell>
          <cell r="C1734">
            <v>0</v>
          </cell>
          <cell r="D1734">
            <v>0</v>
          </cell>
        </row>
        <row r="1735">
          <cell r="A1735">
            <v>0</v>
          </cell>
          <cell r="C1735">
            <v>0</v>
          </cell>
          <cell r="D1735">
            <v>0</v>
          </cell>
        </row>
        <row r="1736">
          <cell r="A1736">
            <v>0</v>
          </cell>
          <cell r="C1736">
            <v>0</v>
          </cell>
          <cell r="D1736">
            <v>0</v>
          </cell>
        </row>
        <row r="1737">
          <cell r="A1737">
            <v>0</v>
          </cell>
          <cell r="C1737">
            <v>0</v>
          </cell>
          <cell r="D1737">
            <v>0</v>
          </cell>
        </row>
        <row r="1738">
          <cell r="A1738">
            <v>0</v>
          </cell>
          <cell r="C1738">
            <v>0</v>
          </cell>
          <cell r="D1738">
            <v>0</v>
          </cell>
        </row>
        <row r="1739">
          <cell r="A1739">
            <v>0</v>
          </cell>
          <cell r="C1739">
            <v>0</v>
          </cell>
          <cell r="D1739">
            <v>0</v>
          </cell>
        </row>
        <row r="1740">
          <cell r="A1740">
            <v>0</v>
          </cell>
          <cell r="C1740">
            <v>0</v>
          </cell>
          <cell r="D1740">
            <v>0</v>
          </cell>
        </row>
        <row r="1741">
          <cell r="A1741">
            <v>0</v>
          </cell>
          <cell r="C1741">
            <v>0</v>
          </cell>
          <cell r="D1741">
            <v>0</v>
          </cell>
        </row>
        <row r="1742">
          <cell r="A1742">
            <v>0</v>
          </cell>
          <cell r="C1742">
            <v>0</v>
          </cell>
          <cell r="D1742">
            <v>0</v>
          </cell>
        </row>
        <row r="1743">
          <cell r="A1743">
            <v>0</v>
          </cell>
          <cell r="C1743">
            <v>0</v>
          </cell>
          <cell r="D1743">
            <v>0</v>
          </cell>
        </row>
        <row r="1744">
          <cell r="A1744">
            <v>0</v>
          </cell>
          <cell r="C1744">
            <v>0</v>
          </cell>
          <cell r="D1744">
            <v>0</v>
          </cell>
        </row>
        <row r="1745">
          <cell r="A1745">
            <v>0</v>
          </cell>
          <cell r="C1745">
            <v>0</v>
          </cell>
          <cell r="D1745">
            <v>0</v>
          </cell>
        </row>
        <row r="1746">
          <cell r="A1746">
            <v>0</v>
          </cell>
          <cell r="C1746">
            <v>0</v>
          </cell>
          <cell r="D1746">
            <v>0</v>
          </cell>
        </row>
        <row r="1747">
          <cell r="A1747">
            <v>0</v>
          </cell>
          <cell r="C1747">
            <v>0</v>
          </cell>
          <cell r="D1747">
            <v>0</v>
          </cell>
        </row>
        <row r="1748">
          <cell r="A1748">
            <v>0</v>
          </cell>
          <cell r="C1748">
            <v>0</v>
          </cell>
          <cell r="D1748">
            <v>0</v>
          </cell>
        </row>
        <row r="1749">
          <cell r="A1749">
            <v>0</v>
          </cell>
          <cell r="C1749">
            <v>0</v>
          </cell>
          <cell r="D1749">
            <v>0</v>
          </cell>
        </row>
        <row r="1750">
          <cell r="A1750">
            <v>0</v>
          </cell>
          <cell r="C1750">
            <v>0</v>
          </cell>
          <cell r="D1750">
            <v>0</v>
          </cell>
        </row>
        <row r="1751">
          <cell r="A1751">
            <v>0</v>
          </cell>
          <cell r="C1751">
            <v>0</v>
          </cell>
          <cell r="D1751">
            <v>0</v>
          </cell>
        </row>
        <row r="1752">
          <cell r="A1752">
            <v>0</v>
          </cell>
          <cell r="C1752">
            <v>0</v>
          </cell>
          <cell r="D1752">
            <v>0</v>
          </cell>
        </row>
        <row r="1753">
          <cell r="A1753">
            <v>0</v>
          </cell>
          <cell r="C1753">
            <v>0</v>
          </cell>
          <cell r="D1753">
            <v>0</v>
          </cell>
        </row>
        <row r="1754">
          <cell r="A1754">
            <v>0</v>
          </cell>
          <cell r="C1754">
            <v>0</v>
          </cell>
          <cell r="D1754">
            <v>0</v>
          </cell>
        </row>
        <row r="1755">
          <cell r="A1755">
            <v>0</v>
          </cell>
          <cell r="C1755">
            <v>0</v>
          </cell>
          <cell r="D1755">
            <v>0</v>
          </cell>
        </row>
        <row r="1756">
          <cell r="A1756">
            <v>0</v>
          </cell>
          <cell r="C1756">
            <v>0</v>
          </cell>
          <cell r="D1756">
            <v>0</v>
          </cell>
        </row>
        <row r="1757">
          <cell r="A1757">
            <v>0</v>
          </cell>
          <cell r="C1757">
            <v>0</v>
          </cell>
          <cell r="D1757">
            <v>0</v>
          </cell>
        </row>
        <row r="1758">
          <cell r="A1758">
            <v>0</v>
          </cell>
          <cell r="C1758">
            <v>0</v>
          </cell>
          <cell r="D1758">
            <v>0</v>
          </cell>
        </row>
        <row r="1759">
          <cell r="A1759">
            <v>0</v>
          </cell>
          <cell r="C1759">
            <v>0</v>
          </cell>
          <cell r="D1759">
            <v>0</v>
          </cell>
        </row>
        <row r="1760">
          <cell r="A1760">
            <v>0</v>
          </cell>
          <cell r="C1760">
            <v>0</v>
          </cell>
          <cell r="D1760">
            <v>0</v>
          </cell>
        </row>
        <row r="1761">
          <cell r="A1761">
            <v>0</v>
          </cell>
          <cell r="C1761">
            <v>0</v>
          </cell>
          <cell r="D1761">
            <v>0</v>
          </cell>
        </row>
        <row r="1762">
          <cell r="A1762">
            <v>0</v>
          </cell>
          <cell r="C1762">
            <v>0</v>
          </cell>
          <cell r="D1762">
            <v>0</v>
          </cell>
        </row>
        <row r="1763">
          <cell r="A1763">
            <v>0</v>
          </cell>
          <cell r="C1763">
            <v>0</v>
          </cell>
          <cell r="D1763">
            <v>0</v>
          </cell>
        </row>
        <row r="1764">
          <cell r="A1764">
            <v>0</v>
          </cell>
          <cell r="C1764">
            <v>0</v>
          </cell>
          <cell r="D1764">
            <v>0</v>
          </cell>
        </row>
        <row r="1765">
          <cell r="A1765">
            <v>0</v>
          </cell>
          <cell r="C1765">
            <v>0</v>
          </cell>
          <cell r="D1765">
            <v>0</v>
          </cell>
        </row>
        <row r="1766">
          <cell r="A1766">
            <v>0</v>
          </cell>
          <cell r="C1766">
            <v>0</v>
          </cell>
          <cell r="D1766">
            <v>0</v>
          </cell>
        </row>
        <row r="1767">
          <cell r="A1767">
            <v>0</v>
          </cell>
          <cell r="C1767">
            <v>0</v>
          </cell>
          <cell r="D1767">
            <v>0</v>
          </cell>
        </row>
        <row r="1768">
          <cell r="A1768">
            <v>0</v>
          </cell>
          <cell r="C1768">
            <v>0</v>
          </cell>
          <cell r="D1768">
            <v>0</v>
          </cell>
        </row>
        <row r="1769">
          <cell r="A1769">
            <v>0</v>
          </cell>
          <cell r="C1769">
            <v>0</v>
          </cell>
          <cell r="D1769">
            <v>0</v>
          </cell>
        </row>
        <row r="1770">
          <cell r="A1770">
            <v>0</v>
          </cell>
          <cell r="C1770">
            <v>0</v>
          </cell>
          <cell r="D1770">
            <v>0</v>
          </cell>
        </row>
        <row r="1771">
          <cell r="A1771">
            <v>0</v>
          </cell>
          <cell r="C1771">
            <v>0</v>
          </cell>
          <cell r="D1771">
            <v>0</v>
          </cell>
        </row>
        <row r="1772">
          <cell r="A1772">
            <v>0</v>
          </cell>
          <cell r="C1772">
            <v>0</v>
          </cell>
          <cell r="D1772">
            <v>0</v>
          </cell>
        </row>
        <row r="1773">
          <cell r="A1773">
            <v>0</v>
          </cell>
          <cell r="C1773">
            <v>0</v>
          </cell>
          <cell r="D1773">
            <v>0</v>
          </cell>
        </row>
        <row r="1774">
          <cell r="A1774">
            <v>0</v>
          </cell>
          <cell r="C1774">
            <v>0</v>
          </cell>
          <cell r="D1774">
            <v>0</v>
          </cell>
        </row>
        <row r="1775">
          <cell r="A1775">
            <v>0</v>
          </cell>
          <cell r="C1775">
            <v>0</v>
          </cell>
          <cell r="D1775">
            <v>0</v>
          </cell>
        </row>
        <row r="1776">
          <cell r="A1776">
            <v>0</v>
          </cell>
          <cell r="C1776">
            <v>0</v>
          </cell>
          <cell r="D1776">
            <v>0</v>
          </cell>
        </row>
        <row r="1777">
          <cell r="A1777">
            <v>0</v>
          </cell>
          <cell r="C1777">
            <v>0</v>
          </cell>
          <cell r="D1777">
            <v>0</v>
          </cell>
        </row>
        <row r="1778">
          <cell r="A1778">
            <v>0</v>
          </cell>
          <cell r="C1778">
            <v>0</v>
          </cell>
          <cell r="D1778">
            <v>0</v>
          </cell>
        </row>
        <row r="1779">
          <cell r="A1779">
            <v>0</v>
          </cell>
          <cell r="C1779">
            <v>0</v>
          </cell>
          <cell r="D1779">
            <v>0</v>
          </cell>
        </row>
        <row r="1780">
          <cell r="A1780">
            <v>0</v>
          </cell>
          <cell r="C1780">
            <v>0</v>
          </cell>
          <cell r="D1780">
            <v>0</v>
          </cell>
        </row>
        <row r="1781">
          <cell r="A1781">
            <v>0</v>
          </cell>
          <cell r="C1781">
            <v>0</v>
          </cell>
          <cell r="D1781">
            <v>0</v>
          </cell>
        </row>
        <row r="1782">
          <cell r="A1782">
            <v>0</v>
          </cell>
          <cell r="C1782">
            <v>0</v>
          </cell>
          <cell r="D1782">
            <v>0</v>
          </cell>
        </row>
        <row r="1783">
          <cell r="A1783">
            <v>0</v>
          </cell>
          <cell r="C1783">
            <v>0</v>
          </cell>
          <cell r="D1783">
            <v>0</v>
          </cell>
        </row>
        <row r="1784">
          <cell r="A1784">
            <v>0</v>
          </cell>
          <cell r="C1784">
            <v>0</v>
          </cell>
          <cell r="D1784">
            <v>0</v>
          </cell>
        </row>
        <row r="1785">
          <cell r="A1785">
            <v>0</v>
          </cell>
          <cell r="C1785">
            <v>0</v>
          </cell>
          <cell r="D1785">
            <v>0</v>
          </cell>
        </row>
        <row r="1786">
          <cell r="A1786">
            <v>0</v>
          </cell>
          <cell r="C1786">
            <v>0</v>
          </cell>
          <cell r="D1786">
            <v>0</v>
          </cell>
        </row>
        <row r="1787">
          <cell r="A1787">
            <v>0</v>
          </cell>
          <cell r="C1787">
            <v>0</v>
          </cell>
          <cell r="D1787">
            <v>0</v>
          </cell>
        </row>
        <row r="1788">
          <cell r="A1788">
            <v>0</v>
          </cell>
          <cell r="C1788">
            <v>0</v>
          </cell>
          <cell r="D1788">
            <v>0</v>
          </cell>
        </row>
        <row r="1789">
          <cell r="A1789">
            <v>0</v>
          </cell>
          <cell r="C1789">
            <v>0</v>
          </cell>
          <cell r="D1789">
            <v>0</v>
          </cell>
        </row>
        <row r="1790">
          <cell r="A1790">
            <v>0</v>
          </cell>
          <cell r="C1790">
            <v>0</v>
          </cell>
          <cell r="D1790">
            <v>0</v>
          </cell>
        </row>
        <row r="1791">
          <cell r="A1791">
            <v>0</v>
          </cell>
          <cell r="C1791">
            <v>0</v>
          </cell>
          <cell r="D1791">
            <v>0</v>
          </cell>
        </row>
        <row r="1792">
          <cell r="A1792">
            <v>0</v>
          </cell>
          <cell r="C1792">
            <v>0</v>
          </cell>
          <cell r="D1792">
            <v>0</v>
          </cell>
        </row>
        <row r="1793">
          <cell r="A1793">
            <v>0</v>
          </cell>
          <cell r="C1793">
            <v>0</v>
          </cell>
          <cell r="D1793">
            <v>0</v>
          </cell>
        </row>
        <row r="1794">
          <cell r="A1794">
            <v>0</v>
          </cell>
          <cell r="C1794">
            <v>0</v>
          </cell>
          <cell r="D1794">
            <v>0</v>
          </cell>
        </row>
        <row r="1795">
          <cell r="A1795">
            <v>0</v>
          </cell>
          <cell r="C1795">
            <v>0</v>
          </cell>
          <cell r="D1795">
            <v>0</v>
          </cell>
        </row>
        <row r="1796">
          <cell r="A1796">
            <v>0</v>
          </cell>
          <cell r="C1796">
            <v>0</v>
          </cell>
          <cell r="D1796">
            <v>0</v>
          </cell>
        </row>
        <row r="1797">
          <cell r="A1797">
            <v>0</v>
          </cell>
          <cell r="C1797">
            <v>0</v>
          </cell>
          <cell r="D1797">
            <v>0</v>
          </cell>
        </row>
        <row r="1798">
          <cell r="A1798">
            <v>0</v>
          </cell>
          <cell r="C1798">
            <v>0</v>
          </cell>
          <cell r="D1798">
            <v>0</v>
          </cell>
        </row>
        <row r="1799">
          <cell r="A1799">
            <v>0</v>
          </cell>
          <cell r="C1799">
            <v>0</v>
          </cell>
          <cell r="D1799">
            <v>0</v>
          </cell>
        </row>
        <row r="1800">
          <cell r="A1800">
            <v>0</v>
          </cell>
          <cell r="C1800">
            <v>0</v>
          </cell>
          <cell r="D1800">
            <v>0</v>
          </cell>
        </row>
        <row r="1801">
          <cell r="A1801">
            <v>0</v>
          </cell>
          <cell r="C1801">
            <v>0</v>
          </cell>
          <cell r="D1801">
            <v>0</v>
          </cell>
        </row>
        <row r="1802">
          <cell r="A1802">
            <v>0</v>
          </cell>
          <cell r="C1802">
            <v>0</v>
          </cell>
          <cell r="D1802">
            <v>0</v>
          </cell>
        </row>
        <row r="1803">
          <cell r="A1803">
            <v>0</v>
          </cell>
          <cell r="C1803">
            <v>0</v>
          </cell>
          <cell r="D1803">
            <v>0</v>
          </cell>
        </row>
        <row r="1804">
          <cell r="A1804">
            <v>0</v>
          </cell>
          <cell r="C1804">
            <v>0</v>
          </cell>
          <cell r="D1804">
            <v>0</v>
          </cell>
        </row>
        <row r="1805">
          <cell r="A1805">
            <v>0</v>
          </cell>
          <cell r="C1805">
            <v>0</v>
          </cell>
          <cell r="D1805">
            <v>0</v>
          </cell>
        </row>
        <row r="1806">
          <cell r="A1806">
            <v>0</v>
          </cell>
          <cell r="C1806">
            <v>0</v>
          </cell>
          <cell r="D1806">
            <v>0</v>
          </cell>
        </row>
        <row r="1807">
          <cell r="A1807">
            <v>0</v>
          </cell>
          <cell r="C1807">
            <v>0</v>
          </cell>
          <cell r="D1807">
            <v>0</v>
          </cell>
        </row>
        <row r="1808">
          <cell r="A1808">
            <v>0</v>
          </cell>
          <cell r="C1808">
            <v>0</v>
          </cell>
          <cell r="D1808">
            <v>0</v>
          </cell>
        </row>
        <row r="1809">
          <cell r="A1809">
            <v>0</v>
          </cell>
          <cell r="C1809">
            <v>0</v>
          </cell>
          <cell r="D1809">
            <v>0</v>
          </cell>
        </row>
        <row r="1810">
          <cell r="A1810">
            <v>0</v>
          </cell>
          <cell r="C1810">
            <v>0</v>
          </cell>
          <cell r="D1810">
            <v>0</v>
          </cell>
        </row>
        <row r="1811">
          <cell r="A1811">
            <v>0</v>
          </cell>
          <cell r="C1811">
            <v>0</v>
          </cell>
          <cell r="D1811">
            <v>0</v>
          </cell>
        </row>
        <row r="1812">
          <cell r="A1812">
            <v>0</v>
          </cell>
          <cell r="C1812">
            <v>0</v>
          </cell>
          <cell r="D1812">
            <v>0</v>
          </cell>
        </row>
        <row r="1813">
          <cell r="A1813">
            <v>0</v>
          </cell>
          <cell r="C1813">
            <v>0</v>
          </cell>
          <cell r="D1813">
            <v>0</v>
          </cell>
        </row>
        <row r="1814">
          <cell r="A1814">
            <v>0</v>
          </cell>
          <cell r="C1814">
            <v>0</v>
          </cell>
          <cell r="D1814">
            <v>0</v>
          </cell>
        </row>
        <row r="1815">
          <cell r="A1815">
            <v>0</v>
          </cell>
          <cell r="C1815">
            <v>0</v>
          </cell>
          <cell r="D1815">
            <v>0</v>
          </cell>
        </row>
        <row r="1816">
          <cell r="A1816">
            <v>0</v>
          </cell>
          <cell r="C1816">
            <v>0</v>
          </cell>
          <cell r="D1816">
            <v>0</v>
          </cell>
        </row>
        <row r="1817">
          <cell r="A1817">
            <v>0</v>
          </cell>
          <cell r="B1817">
            <v>0</v>
          </cell>
          <cell r="C1817">
            <v>0</v>
          </cell>
          <cell r="D1817">
            <v>0</v>
          </cell>
        </row>
        <row r="1818">
          <cell r="A1818">
            <v>0</v>
          </cell>
          <cell r="C1818">
            <v>0</v>
          </cell>
          <cell r="D1818">
            <v>0</v>
          </cell>
        </row>
        <row r="1819">
          <cell r="A1819">
            <v>0</v>
          </cell>
          <cell r="C1819">
            <v>0</v>
          </cell>
          <cell r="D1819">
            <v>0</v>
          </cell>
        </row>
        <row r="1820">
          <cell r="A1820">
            <v>0</v>
          </cell>
          <cell r="C1820">
            <v>0</v>
          </cell>
          <cell r="D1820">
            <v>0</v>
          </cell>
        </row>
        <row r="1821">
          <cell r="A1821">
            <v>0</v>
          </cell>
          <cell r="C1821">
            <v>0</v>
          </cell>
          <cell r="D1821">
            <v>0</v>
          </cell>
        </row>
        <row r="1822">
          <cell r="A1822">
            <v>0</v>
          </cell>
          <cell r="C1822">
            <v>0</v>
          </cell>
          <cell r="D1822">
            <v>0</v>
          </cell>
        </row>
        <row r="1823">
          <cell r="A1823">
            <v>0</v>
          </cell>
          <cell r="C1823">
            <v>0</v>
          </cell>
          <cell r="D1823">
            <v>0</v>
          </cell>
        </row>
        <row r="1824">
          <cell r="A1824">
            <v>0</v>
          </cell>
          <cell r="C1824">
            <v>0</v>
          </cell>
          <cell r="D1824">
            <v>0</v>
          </cell>
        </row>
        <row r="1825">
          <cell r="A1825">
            <v>0</v>
          </cell>
          <cell r="C1825">
            <v>0</v>
          </cell>
          <cell r="D1825">
            <v>0</v>
          </cell>
        </row>
        <row r="1826">
          <cell r="A1826">
            <v>0</v>
          </cell>
          <cell r="C1826">
            <v>0</v>
          </cell>
          <cell r="D1826">
            <v>0</v>
          </cell>
        </row>
        <row r="1827">
          <cell r="A1827">
            <v>0</v>
          </cell>
          <cell r="C1827">
            <v>0</v>
          </cell>
          <cell r="D1827">
            <v>0</v>
          </cell>
        </row>
        <row r="1828">
          <cell r="A1828">
            <v>0</v>
          </cell>
          <cell r="C1828">
            <v>0</v>
          </cell>
          <cell r="D1828">
            <v>0</v>
          </cell>
        </row>
        <row r="1829">
          <cell r="A1829">
            <v>0</v>
          </cell>
          <cell r="C1829">
            <v>0</v>
          </cell>
          <cell r="D1829">
            <v>0</v>
          </cell>
        </row>
        <row r="1830">
          <cell r="A1830">
            <v>0</v>
          </cell>
          <cell r="C1830">
            <v>0</v>
          </cell>
          <cell r="D1830">
            <v>0</v>
          </cell>
        </row>
        <row r="1831">
          <cell r="A1831">
            <v>0</v>
          </cell>
          <cell r="C1831">
            <v>0</v>
          </cell>
          <cell r="D1831">
            <v>0</v>
          </cell>
        </row>
        <row r="1832">
          <cell r="A1832">
            <v>0</v>
          </cell>
          <cell r="C1832">
            <v>0</v>
          </cell>
          <cell r="D1832">
            <v>0</v>
          </cell>
        </row>
        <row r="1833">
          <cell r="A1833">
            <v>0</v>
          </cell>
          <cell r="C1833">
            <v>0</v>
          </cell>
          <cell r="D1833">
            <v>0</v>
          </cell>
        </row>
        <row r="1834">
          <cell r="A1834">
            <v>0</v>
          </cell>
          <cell r="B1834">
            <v>0</v>
          </cell>
          <cell r="C1834">
            <v>0</v>
          </cell>
          <cell r="D1834">
            <v>0</v>
          </cell>
        </row>
        <row r="1835">
          <cell r="A1835">
            <v>0</v>
          </cell>
          <cell r="C1835">
            <v>0</v>
          </cell>
          <cell r="D1835">
            <v>0</v>
          </cell>
        </row>
        <row r="1836">
          <cell r="A1836">
            <v>0</v>
          </cell>
          <cell r="C1836">
            <v>0</v>
          </cell>
          <cell r="D1836">
            <v>0</v>
          </cell>
        </row>
        <row r="1837">
          <cell r="A1837">
            <v>0</v>
          </cell>
          <cell r="C1837">
            <v>0</v>
          </cell>
          <cell r="D1837">
            <v>0</v>
          </cell>
        </row>
        <row r="1838">
          <cell r="A1838">
            <v>0</v>
          </cell>
          <cell r="C1838">
            <v>0</v>
          </cell>
          <cell r="D1838">
            <v>0</v>
          </cell>
        </row>
        <row r="1839">
          <cell r="A1839">
            <v>0</v>
          </cell>
          <cell r="C1839">
            <v>0</v>
          </cell>
          <cell r="D1839">
            <v>0</v>
          </cell>
        </row>
        <row r="1840">
          <cell r="A1840">
            <v>0</v>
          </cell>
          <cell r="C1840">
            <v>0</v>
          </cell>
          <cell r="D1840">
            <v>0</v>
          </cell>
        </row>
        <row r="1841">
          <cell r="A1841">
            <v>0</v>
          </cell>
          <cell r="C1841">
            <v>0</v>
          </cell>
          <cell r="D1841">
            <v>0</v>
          </cell>
        </row>
        <row r="1842">
          <cell r="A1842">
            <v>0</v>
          </cell>
          <cell r="C1842">
            <v>0</v>
          </cell>
          <cell r="D1842">
            <v>0</v>
          </cell>
        </row>
        <row r="1843">
          <cell r="A1843">
            <v>0</v>
          </cell>
          <cell r="C1843">
            <v>0</v>
          </cell>
          <cell r="D1843">
            <v>0</v>
          </cell>
        </row>
        <row r="1844">
          <cell r="A1844">
            <v>0</v>
          </cell>
          <cell r="C1844">
            <v>0</v>
          </cell>
          <cell r="D1844">
            <v>0</v>
          </cell>
        </row>
        <row r="1845">
          <cell r="A1845">
            <v>0</v>
          </cell>
          <cell r="C1845">
            <v>0</v>
          </cell>
          <cell r="D1845">
            <v>0</v>
          </cell>
        </row>
        <row r="1846">
          <cell r="A1846">
            <v>0</v>
          </cell>
          <cell r="C1846">
            <v>0</v>
          </cell>
          <cell r="D1846">
            <v>0</v>
          </cell>
        </row>
        <row r="1847">
          <cell r="A1847">
            <v>0</v>
          </cell>
          <cell r="C1847">
            <v>0</v>
          </cell>
          <cell r="D1847">
            <v>0</v>
          </cell>
        </row>
        <row r="1848">
          <cell r="A1848">
            <v>0</v>
          </cell>
          <cell r="C1848">
            <v>0</v>
          </cell>
          <cell r="D1848">
            <v>0</v>
          </cell>
        </row>
        <row r="1849">
          <cell r="A1849">
            <v>0</v>
          </cell>
          <cell r="C1849">
            <v>0</v>
          </cell>
          <cell r="D1849">
            <v>0</v>
          </cell>
        </row>
        <row r="1850">
          <cell r="A1850">
            <v>0</v>
          </cell>
          <cell r="C1850">
            <v>0</v>
          </cell>
          <cell r="D1850">
            <v>0</v>
          </cell>
        </row>
        <row r="1851">
          <cell r="A1851">
            <v>0</v>
          </cell>
          <cell r="C1851">
            <v>0</v>
          </cell>
          <cell r="D1851">
            <v>0</v>
          </cell>
        </row>
        <row r="1852">
          <cell r="A1852">
            <v>0</v>
          </cell>
          <cell r="C1852">
            <v>0</v>
          </cell>
          <cell r="D1852">
            <v>0</v>
          </cell>
        </row>
        <row r="1853">
          <cell r="A1853">
            <v>0</v>
          </cell>
          <cell r="C1853">
            <v>0</v>
          </cell>
          <cell r="D1853">
            <v>0</v>
          </cell>
        </row>
        <row r="1854">
          <cell r="A1854">
            <v>0</v>
          </cell>
          <cell r="C1854">
            <v>0</v>
          </cell>
          <cell r="D1854">
            <v>0</v>
          </cell>
        </row>
        <row r="1855">
          <cell r="A1855">
            <v>0</v>
          </cell>
          <cell r="C1855">
            <v>0</v>
          </cell>
          <cell r="D1855">
            <v>0</v>
          </cell>
        </row>
        <row r="1856">
          <cell r="A1856">
            <v>0</v>
          </cell>
          <cell r="C1856">
            <v>0</v>
          </cell>
          <cell r="D1856">
            <v>0</v>
          </cell>
        </row>
        <row r="1857">
          <cell r="A1857">
            <v>0</v>
          </cell>
          <cell r="C1857">
            <v>0</v>
          </cell>
          <cell r="D1857">
            <v>0</v>
          </cell>
        </row>
        <row r="1858">
          <cell r="A1858">
            <v>0</v>
          </cell>
          <cell r="C1858">
            <v>0</v>
          </cell>
          <cell r="D1858">
            <v>0</v>
          </cell>
        </row>
        <row r="1859">
          <cell r="A1859">
            <v>0</v>
          </cell>
          <cell r="C1859">
            <v>0</v>
          </cell>
          <cell r="D1859">
            <v>0</v>
          </cell>
        </row>
        <row r="1860">
          <cell r="A1860">
            <v>0</v>
          </cell>
          <cell r="C1860">
            <v>0</v>
          </cell>
          <cell r="D1860">
            <v>0</v>
          </cell>
        </row>
        <row r="1861">
          <cell r="A1861">
            <v>0</v>
          </cell>
          <cell r="C1861">
            <v>0</v>
          </cell>
          <cell r="D1861">
            <v>0</v>
          </cell>
        </row>
        <row r="1862">
          <cell r="A1862">
            <v>0</v>
          </cell>
          <cell r="C1862">
            <v>0</v>
          </cell>
          <cell r="D1862">
            <v>0</v>
          </cell>
        </row>
        <row r="1863">
          <cell r="A1863">
            <v>0</v>
          </cell>
          <cell r="C1863">
            <v>0</v>
          </cell>
          <cell r="D1863">
            <v>0</v>
          </cell>
        </row>
        <row r="1864">
          <cell r="A1864">
            <v>0</v>
          </cell>
          <cell r="C1864">
            <v>0</v>
          </cell>
          <cell r="D1864">
            <v>0</v>
          </cell>
        </row>
        <row r="1865">
          <cell r="A1865">
            <v>0</v>
          </cell>
          <cell r="C1865">
            <v>0</v>
          </cell>
          <cell r="D1865">
            <v>0</v>
          </cell>
        </row>
        <row r="1866">
          <cell r="A1866">
            <v>0</v>
          </cell>
          <cell r="C1866">
            <v>0</v>
          </cell>
          <cell r="D1866">
            <v>0</v>
          </cell>
        </row>
        <row r="1867">
          <cell r="A1867">
            <v>0</v>
          </cell>
          <cell r="C1867">
            <v>0</v>
          </cell>
          <cell r="D1867">
            <v>0</v>
          </cell>
        </row>
        <row r="1868">
          <cell r="A1868">
            <v>0</v>
          </cell>
          <cell r="C1868">
            <v>0</v>
          </cell>
          <cell r="D1868">
            <v>0</v>
          </cell>
        </row>
        <row r="1869">
          <cell r="A1869">
            <v>0</v>
          </cell>
          <cell r="C1869">
            <v>0</v>
          </cell>
          <cell r="D1869">
            <v>0</v>
          </cell>
        </row>
        <row r="1870">
          <cell r="A1870">
            <v>0</v>
          </cell>
          <cell r="C1870">
            <v>0</v>
          </cell>
          <cell r="D1870">
            <v>0</v>
          </cell>
        </row>
        <row r="1871">
          <cell r="A1871">
            <v>0</v>
          </cell>
          <cell r="C1871">
            <v>0</v>
          </cell>
          <cell r="D1871">
            <v>0</v>
          </cell>
        </row>
        <row r="1872">
          <cell r="A1872">
            <v>0</v>
          </cell>
          <cell r="C1872">
            <v>0</v>
          </cell>
          <cell r="D1872">
            <v>0</v>
          </cell>
        </row>
        <row r="1873">
          <cell r="A1873">
            <v>0</v>
          </cell>
          <cell r="C1873">
            <v>0</v>
          </cell>
          <cell r="D1873">
            <v>0</v>
          </cell>
        </row>
        <row r="1874">
          <cell r="A1874">
            <v>0</v>
          </cell>
          <cell r="C1874">
            <v>0</v>
          </cell>
          <cell r="D1874">
            <v>0</v>
          </cell>
        </row>
        <row r="1875">
          <cell r="A1875">
            <v>0</v>
          </cell>
          <cell r="C1875">
            <v>0</v>
          </cell>
          <cell r="D1875">
            <v>0</v>
          </cell>
        </row>
        <row r="1876">
          <cell r="A1876">
            <v>0</v>
          </cell>
          <cell r="C1876">
            <v>0</v>
          </cell>
          <cell r="D1876">
            <v>0</v>
          </cell>
        </row>
        <row r="1877">
          <cell r="A1877">
            <v>0</v>
          </cell>
          <cell r="C1877">
            <v>0</v>
          </cell>
          <cell r="D1877">
            <v>0</v>
          </cell>
        </row>
        <row r="1878">
          <cell r="A1878">
            <v>0</v>
          </cell>
          <cell r="C1878">
            <v>0</v>
          </cell>
          <cell r="D1878">
            <v>0</v>
          </cell>
        </row>
        <row r="1879">
          <cell r="A1879">
            <v>0</v>
          </cell>
          <cell r="C1879">
            <v>0</v>
          </cell>
          <cell r="D1879">
            <v>0</v>
          </cell>
        </row>
        <row r="1880">
          <cell r="A1880">
            <v>0</v>
          </cell>
          <cell r="C1880">
            <v>0</v>
          </cell>
          <cell r="D1880">
            <v>0</v>
          </cell>
        </row>
        <row r="1881">
          <cell r="A1881">
            <v>0</v>
          </cell>
          <cell r="C1881">
            <v>0</v>
          </cell>
          <cell r="D1881">
            <v>0</v>
          </cell>
        </row>
        <row r="1882">
          <cell r="A1882">
            <v>0</v>
          </cell>
          <cell r="C1882">
            <v>0</v>
          </cell>
          <cell r="D1882">
            <v>0</v>
          </cell>
        </row>
        <row r="1883">
          <cell r="A1883">
            <v>0</v>
          </cell>
          <cell r="C1883">
            <v>0</v>
          </cell>
          <cell r="D1883">
            <v>0</v>
          </cell>
        </row>
        <row r="1884">
          <cell r="A1884">
            <v>0</v>
          </cell>
          <cell r="C1884">
            <v>0</v>
          </cell>
          <cell r="D1884">
            <v>0</v>
          </cell>
        </row>
        <row r="1885">
          <cell r="A1885">
            <v>0</v>
          </cell>
          <cell r="C1885">
            <v>0</v>
          </cell>
          <cell r="D1885">
            <v>0</v>
          </cell>
        </row>
        <row r="1886">
          <cell r="A1886">
            <v>0</v>
          </cell>
          <cell r="C1886">
            <v>0</v>
          </cell>
          <cell r="D1886">
            <v>0</v>
          </cell>
        </row>
        <row r="1887">
          <cell r="A1887">
            <v>0</v>
          </cell>
          <cell r="C1887">
            <v>0</v>
          </cell>
          <cell r="D1887">
            <v>0</v>
          </cell>
        </row>
        <row r="1888">
          <cell r="A1888">
            <v>0</v>
          </cell>
          <cell r="C1888">
            <v>0</v>
          </cell>
          <cell r="D1888">
            <v>0</v>
          </cell>
        </row>
        <row r="1889">
          <cell r="A1889">
            <v>0</v>
          </cell>
          <cell r="C1889">
            <v>0</v>
          </cell>
          <cell r="D1889">
            <v>0</v>
          </cell>
        </row>
        <row r="1890">
          <cell r="A1890">
            <v>0</v>
          </cell>
          <cell r="C1890">
            <v>0</v>
          </cell>
          <cell r="D1890">
            <v>0</v>
          </cell>
        </row>
        <row r="1891">
          <cell r="A1891">
            <v>0</v>
          </cell>
          <cell r="C1891">
            <v>0</v>
          </cell>
          <cell r="D1891">
            <v>0</v>
          </cell>
        </row>
        <row r="1892">
          <cell r="A1892">
            <v>0</v>
          </cell>
          <cell r="C1892">
            <v>0</v>
          </cell>
          <cell r="D1892">
            <v>0</v>
          </cell>
        </row>
        <row r="1893">
          <cell r="A1893">
            <v>0</v>
          </cell>
          <cell r="C1893">
            <v>0</v>
          </cell>
          <cell r="D1893">
            <v>0</v>
          </cell>
        </row>
        <row r="1894">
          <cell r="A1894">
            <v>0</v>
          </cell>
          <cell r="C1894">
            <v>0</v>
          </cell>
          <cell r="D1894">
            <v>0</v>
          </cell>
        </row>
        <row r="1895">
          <cell r="A1895">
            <v>0</v>
          </cell>
          <cell r="C1895">
            <v>0</v>
          </cell>
          <cell r="D1895">
            <v>0</v>
          </cell>
        </row>
        <row r="1896">
          <cell r="A1896">
            <v>0</v>
          </cell>
          <cell r="C1896">
            <v>0</v>
          </cell>
          <cell r="D1896">
            <v>0</v>
          </cell>
        </row>
        <row r="1897">
          <cell r="A1897">
            <v>0</v>
          </cell>
          <cell r="C1897">
            <v>0</v>
          </cell>
          <cell r="D1897">
            <v>0</v>
          </cell>
        </row>
        <row r="1898">
          <cell r="A1898">
            <v>0</v>
          </cell>
          <cell r="C1898">
            <v>0</v>
          </cell>
          <cell r="D1898">
            <v>0</v>
          </cell>
        </row>
        <row r="1899">
          <cell r="A1899">
            <v>0</v>
          </cell>
          <cell r="C1899">
            <v>0</v>
          </cell>
          <cell r="D1899">
            <v>0</v>
          </cell>
        </row>
        <row r="1900">
          <cell r="A1900">
            <v>0</v>
          </cell>
          <cell r="C1900">
            <v>0</v>
          </cell>
          <cell r="D1900">
            <v>0</v>
          </cell>
        </row>
        <row r="1901">
          <cell r="A1901">
            <v>0</v>
          </cell>
          <cell r="C1901">
            <v>0</v>
          </cell>
          <cell r="D1901">
            <v>0</v>
          </cell>
        </row>
        <row r="1902">
          <cell r="A1902">
            <v>0</v>
          </cell>
          <cell r="C1902">
            <v>0</v>
          </cell>
          <cell r="D1902">
            <v>0</v>
          </cell>
        </row>
        <row r="1903">
          <cell r="A1903">
            <v>0</v>
          </cell>
          <cell r="C1903">
            <v>0</v>
          </cell>
          <cell r="D1903">
            <v>0</v>
          </cell>
        </row>
        <row r="1904">
          <cell r="A1904">
            <v>0</v>
          </cell>
          <cell r="C1904">
            <v>0</v>
          </cell>
          <cell r="D1904">
            <v>0</v>
          </cell>
        </row>
        <row r="1905">
          <cell r="A1905">
            <v>0</v>
          </cell>
          <cell r="C1905">
            <v>0</v>
          </cell>
          <cell r="D1905">
            <v>0</v>
          </cell>
        </row>
        <row r="1906">
          <cell r="A1906">
            <v>0</v>
          </cell>
          <cell r="C1906">
            <v>0</v>
          </cell>
          <cell r="D1906">
            <v>0</v>
          </cell>
        </row>
        <row r="1907">
          <cell r="A1907">
            <v>0</v>
          </cell>
          <cell r="C1907">
            <v>0</v>
          </cell>
          <cell r="D1907">
            <v>0</v>
          </cell>
        </row>
        <row r="1908">
          <cell r="A1908">
            <v>0</v>
          </cell>
          <cell r="C1908">
            <v>0</v>
          </cell>
          <cell r="D1908">
            <v>0</v>
          </cell>
        </row>
        <row r="1909">
          <cell r="A1909">
            <v>0</v>
          </cell>
          <cell r="C1909">
            <v>0</v>
          </cell>
          <cell r="D1909">
            <v>0</v>
          </cell>
        </row>
        <row r="1910">
          <cell r="A1910">
            <v>0</v>
          </cell>
          <cell r="C1910">
            <v>0</v>
          </cell>
          <cell r="D1910">
            <v>0</v>
          </cell>
        </row>
        <row r="1911">
          <cell r="A1911">
            <v>0</v>
          </cell>
          <cell r="C1911">
            <v>0</v>
          </cell>
          <cell r="D1911">
            <v>0</v>
          </cell>
        </row>
        <row r="1912">
          <cell r="A1912">
            <v>0</v>
          </cell>
          <cell r="C1912">
            <v>0</v>
          </cell>
          <cell r="D1912">
            <v>0</v>
          </cell>
        </row>
        <row r="1913">
          <cell r="A1913">
            <v>0</v>
          </cell>
          <cell r="C1913">
            <v>0</v>
          </cell>
          <cell r="D1913">
            <v>0</v>
          </cell>
        </row>
        <row r="1914">
          <cell r="A1914">
            <v>0</v>
          </cell>
          <cell r="C1914">
            <v>0</v>
          </cell>
          <cell r="D1914">
            <v>0</v>
          </cell>
        </row>
        <row r="1915">
          <cell r="A1915">
            <v>0</v>
          </cell>
          <cell r="C1915">
            <v>0</v>
          </cell>
          <cell r="D1915">
            <v>0</v>
          </cell>
        </row>
        <row r="1916">
          <cell r="A1916">
            <v>0</v>
          </cell>
          <cell r="C1916">
            <v>0</v>
          </cell>
          <cell r="D1916">
            <v>0</v>
          </cell>
        </row>
        <row r="1917">
          <cell r="A1917">
            <v>0</v>
          </cell>
          <cell r="C1917">
            <v>0</v>
          </cell>
          <cell r="D1917">
            <v>0</v>
          </cell>
        </row>
        <row r="1918">
          <cell r="A1918">
            <v>0</v>
          </cell>
          <cell r="C1918">
            <v>0</v>
          </cell>
          <cell r="D1918">
            <v>0</v>
          </cell>
        </row>
        <row r="1919">
          <cell r="A1919">
            <v>0</v>
          </cell>
          <cell r="C1919">
            <v>0</v>
          </cell>
          <cell r="D1919">
            <v>0</v>
          </cell>
        </row>
        <row r="1920">
          <cell r="A1920">
            <v>0</v>
          </cell>
          <cell r="C1920">
            <v>0</v>
          </cell>
          <cell r="D1920">
            <v>0</v>
          </cell>
        </row>
        <row r="1921">
          <cell r="A1921">
            <v>0</v>
          </cell>
          <cell r="C1921">
            <v>0</v>
          </cell>
          <cell r="D1921">
            <v>0</v>
          </cell>
        </row>
        <row r="1922">
          <cell r="A1922">
            <v>0</v>
          </cell>
          <cell r="C1922">
            <v>0</v>
          </cell>
          <cell r="D1922">
            <v>0</v>
          </cell>
        </row>
        <row r="1923">
          <cell r="A1923">
            <v>0</v>
          </cell>
          <cell r="C1923">
            <v>0</v>
          </cell>
          <cell r="D1923">
            <v>0</v>
          </cell>
        </row>
        <row r="1924">
          <cell r="A1924">
            <v>0</v>
          </cell>
          <cell r="C1924">
            <v>0</v>
          </cell>
          <cell r="D1924">
            <v>0</v>
          </cell>
        </row>
        <row r="1925">
          <cell r="A1925">
            <v>0</v>
          </cell>
          <cell r="C1925">
            <v>0</v>
          </cell>
          <cell r="D1925">
            <v>0</v>
          </cell>
        </row>
        <row r="1926">
          <cell r="A1926">
            <v>0</v>
          </cell>
          <cell r="C1926">
            <v>0</v>
          </cell>
          <cell r="D1926">
            <v>0</v>
          </cell>
        </row>
        <row r="1927">
          <cell r="A1927">
            <v>0</v>
          </cell>
          <cell r="C1927">
            <v>0</v>
          </cell>
          <cell r="D1927">
            <v>0</v>
          </cell>
        </row>
        <row r="1928">
          <cell r="A1928">
            <v>0</v>
          </cell>
          <cell r="C1928">
            <v>0</v>
          </cell>
          <cell r="D1928">
            <v>0</v>
          </cell>
        </row>
        <row r="1929">
          <cell r="A1929">
            <v>0</v>
          </cell>
          <cell r="C1929">
            <v>0</v>
          </cell>
          <cell r="D1929">
            <v>0</v>
          </cell>
        </row>
        <row r="1930">
          <cell r="A1930">
            <v>0</v>
          </cell>
          <cell r="C1930">
            <v>0</v>
          </cell>
          <cell r="D1930">
            <v>0</v>
          </cell>
        </row>
        <row r="1931">
          <cell r="A1931">
            <v>0</v>
          </cell>
          <cell r="C1931">
            <v>0</v>
          </cell>
          <cell r="D1931">
            <v>0</v>
          </cell>
        </row>
        <row r="1932">
          <cell r="A1932">
            <v>0</v>
          </cell>
          <cell r="C1932">
            <v>0</v>
          </cell>
          <cell r="D1932">
            <v>0</v>
          </cell>
        </row>
        <row r="1933">
          <cell r="A1933">
            <v>0</v>
          </cell>
          <cell r="C1933">
            <v>0</v>
          </cell>
          <cell r="D1933">
            <v>0</v>
          </cell>
        </row>
        <row r="1934">
          <cell r="A1934">
            <v>0</v>
          </cell>
          <cell r="C1934">
            <v>0</v>
          </cell>
          <cell r="D1934">
            <v>0</v>
          </cell>
        </row>
        <row r="1935">
          <cell r="A1935">
            <v>0</v>
          </cell>
          <cell r="C1935">
            <v>0</v>
          </cell>
          <cell r="D1935">
            <v>0</v>
          </cell>
        </row>
        <row r="1936">
          <cell r="A1936">
            <v>0</v>
          </cell>
          <cell r="C1936">
            <v>0</v>
          </cell>
          <cell r="D1936">
            <v>0</v>
          </cell>
        </row>
        <row r="1937">
          <cell r="A1937">
            <v>0</v>
          </cell>
          <cell r="C1937">
            <v>0</v>
          </cell>
          <cell r="D1937">
            <v>0</v>
          </cell>
        </row>
        <row r="1938">
          <cell r="A1938">
            <v>0</v>
          </cell>
          <cell r="C1938">
            <v>0</v>
          </cell>
          <cell r="D1938">
            <v>0</v>
          </cell>
        </row>
        <row r="1939">
          <cell r="A1939">
            <v>0</v>
          </cell>
          <cell r="C1939">
            <v>0</v>
          </cell>
          <cell r="D1939">
            <v>0</v>
          </cell>
        </row>
        <row r="1940">
          <cell r="A1940">
            <v>0</v>
          </cell>
          <cell r="C1940">
            <v>0</v>
          </cell>
          <cell r="D1940">
            <v>0</v>
          </cell>
        </row>
        <row r="1941">
          <cell r="A1941">
            <v>0</v>
          </cell>
          <cell r="C1941">
            <v>0</v>
          </cell>
          <cell r="D1941">
            <v>0</v>
          </cell>
        </row>
        <row r="1942">
          <cell r="A1942">
            <v>0</v>
          </cell>
          <cell r="C1942">
            <v>0</v>
          </cell>
          <cell r="D1942">
            <v>0</v>
          </cell>
        </row>
        <row r="1943">
          <cell r="A1943">
            <v>0</v>
          </cell>
          <cell r="C1943">
            <v>0</v>
          </cell>
          <cell r="D1943">
            <v>0</v>
          </cell>
        </row>
        <row r="1944">
          <cell r="A1944">
            <v>0</v>
          </cell>
          <cell r="C1944">
            <v>0</v>
          </cell>
          <cell r="D1944">
            <v>0</v>
          </cell>
        </row>
        <row r="1945">
          <cell r="A1945">
            <v>0</v>
          </cell>
          <cell r="C1945">
            <v>0</v>
          </cell>
          <cell r="D1945">
            <v>0</v>
          </cell>
        </row>
        <row r="1946">
          <cell r="A1946">
            <v>0</v>
          </cell>
          <cell r="C1946">
            <v>0</v>
          </cell>
          <cell r="D1946">
            <v>0</v>
          </cell>
        </row>
        <row r="1947">
          <cell r="A1947">
            <v>0</v>
          </cell>
          <cell r="C1947">
            <v>0</v>
          </cell>
          <cell r="D1947">
            <v>0</v>
          </cell>
        </row>
        <row r="1948">
          <cell r="A1948">
            <v>0</v>
          </cell>
          <cell r="C1948">
            <v>0</v>
          </cell>
          <cell r="D1948">
            <v>0</v>
          </cell>
        </row>
        <row r="1949">
          <cell r="A1949">
            <v>0</v>
          </cell>
          <cell r="C1949">
            <v>0</v>
          </cell>
          <cell r="D1949">
            <v>0</v>
          </cell>
        </row>
        <row r="1950">
          <cell r="A1950">
            <v>0</v>
          </cell>
          <cell r="C1950">
            <v>0</v>
          </cell>
          <cell r="D1950">
            <v>0</v>
          </cell>
        </row>
        <row r="1951">
          <cell r="A1951">
            <v>0</v>
          </cell>
          <cell r="C1951">
            <v>0</v>
          </cell>
          <cell r="D1951">
            <v>0</v>
          </cell>
        </row>
        <row r="1952">
          <cell r="A1952">
            <v>0</v>
          </cell>
          <cell r="C1952">
            <v>0</v>
          </cell>
          <cell r="D1952">
            <v>0</v>
          </cell>
        </row>
        <row r="1953">
          <cell r="A1953">
            <v>0</v>
          </cell>
          <cell r="C1953">
            <v>0</v>
          </cell>
          <cell r="D1953">
            <v>0</v>
          </cell>
        </row>
        <row r="1954">
          <cell r="A1954">
            <v>0</v>
          </cell>
          <cell r="C1954">
            <v>0</v>
          </cell>
          <cell r="D1954">
            <v>0</v>
          </cell>
        </row>
        <row r="1955">
          <cell r="A1955">
            <v>0</v>
          </cell>
          <cell r="C1955">
            <v>0</v>
          </cell>
          <cell r="D1955">
            <v>0</v>
          </cell>
        </row>
        <row r="1956">
          <cell r="A1956">
            <v>0</v>
          </cell>
          <cell r="C1956">
            <v>0</v>
          </cell>
          <cell r="D1956">
            <v>0</v>
          </cell>
        </row>
        <row r="1957">
          <cell r="A1957">
            <v>0</v>
          </cell>
          <cell r="C1957">
            <v>0</v>
          </cell>
          <cell r="D1957">
            <v>0</v>
          </cell>
        </row>
        <row r="1958">
          <cell r="A1958">
            <v>0</v>
          </cell>
          <cell r="C1958">
            <v>0</v>
          </cell>
          <cell r="D1958">
            <v>0</v>
          </cell>
        </row>
        <row r="1959">
          <cell r="A1959">
            <v>0</v>
          </cell>
          <cell r="C1959">
            <v>0</v>
          </cell>
          <cell r="D1959">
            <v>0</v>
          </cell>
        </row>
        <row r="1960">
          <cell r="A1960">
            <v>0</v>
          </cell>
          <cell r="C1960">
            <v>0</v>
          </cell>
          <cell r="D1960">
            <v>0</v>
          </cell>
        </row>
        <row r="1961">
          <cell r="A1961">
            <v>0</v>
          </cell>
          <cell r="C1961">
            <v>0</v>
          </cell>
          <cell r="D1961">
            <v>0</v>
          </cell>
        </row>
        <row r="1962">
          <cell r="A1962">
            <v>0</v>
          </cell>
          <cell r="C1962">
            <v>0</v>
          </cell>
          <cell r="D1962">
            <v>0</v>
          </cell>
        </row>
        <row r="1963">
          <cell r="A1963">
            <v>0</v>
          </cell>
          <cell r="C1963">
            <v>0</v>
          </cell>
          <cell r="D1963">
            <v>0</v>
          </cell>
        </row>
        <row r="1964">
          <cell r="A1964">
            <v>0</v>
          </cell>
          <cell r="C1964">
            <v>0</v>
          </cell>
          <cell r="D1964">
            <v>0</v>
          </cell>
        </row>
        <row r="1965">
          <cell r="A1965">
            <v>0</v>
          </cell>
          <cell r="C1965">
            <v>0</v>
          </cell>
          <cell r="D1965">
            <v>0</v>
          </cell>
        </row>
        <row r="1966">
          <cell r="A1966">
            <v>0</v>
          </cell>
          <cell r="C1966">
            <v>0</v>
          </cell>
          <cell r="D1966">
            <v>0</v>
          </cell>
        </row>
        <row r="1967">
          <cell r="A1967">
            <v>0</v>
          </cell>
          <cell r="C1967">
            <v>0</v>
          </cell>
          <cell r="D1967">
            <v>0</v>
          </cell>
        </row>
        <row r="1968">
          <cell r="A1968">
            <v>0</v>
          </cell>
          <cell r="C1968">
            <v>0</v>
          </cell>
          <cell r="D1968">
            <v>0</v>
          </cell>
        </row>
        <row r="1969">
          <cell r="A1969">
            <v>0</v>
          </cell>
          <cell r="C1969">
            <v>0</v>
          </cell>
          <cell r="D1969">
            <v>0</v>
          </cell>
        </row>
        <row r="1970">
          <cell r="A1970">
            <v>0</v>
          </cell>
          <cell r="C1970">
            <v>0</v>
          </cell>
          <cell r="D1970">
            <v>0</v>
          </cell>
        </row>
        <row r="1971">
          <cell r="A1971">
            <v>0</v>
          </cell>
          <cell r="C1971">
            <v>0</v>
          </cell>
          <cell r="D1971">
            <v>0</v>
          </cell>
        </row>
        <row r="1972">
          <cell r="A1972">
            <v>0</v>
          </cell>
          <cell r="C1972">
            <v>0</v>
          </cell>
          <cell r="D1972">
            <v>0</v>
          </cell>
        </row>
        <row r="1973">
          <cell r="A1973">
            <v>0</v>
          </cell>
          <cell r="C1973">
            <v>0</v>
          </cell>
          <cell r="D1973">
            <v>0</v>
          </cell>
        </row>
        <row r="1974">
          <cell r="A1974">
            <v>0</v>
          </cell>
          <cell r="C1974">
            <v>0</v>
          </cell>
          <cell r="D1974">
            <v>0</v>
          </cell>
        </row>
        <row r="1975">
          <cell r="A1975">
            <v>0</v>
          </cell>
          <cell r="C1975">
            <v>0</v>
          </cell>
          <cell r="D1975">
            <v>0</v>
          </cell>
        </row>
        <row r="1976">
          <cell r="A1976">
            <v>0</v>
          </cell>
          <cell r="C1976">
            <v>0</v>
          </cell>
          <cell r="D1976">
            <v>0</v>
          </cell>
        </row>
        <row r="1977">
          <cell r="A1977">
            <v>0</v>
          </cell>
          <cell r="C1977">
            <v>0</v>
          </cell>
          <cell r="D1977">
            <v>0</v>
          </cell>
        </row>
        <row r="1978">
          <cell r="A1978">
            <v>0</v>
          </cell>
          <cell r="C1978">
            <v>0</v>
          </cell>
          <cell r="D1978">
            <v>0</v>
          </cell>
        </row>
        <row r="1979">
          <cell r="A1979">
            <v>0</v>
          </cell>
          <cell r="C1979">
            <v>0</v>
          </cell>
          <cell r="D1979">
            <v>0</v>
          </cell>
        </row>
        <row r="1980">
          <cell r="A1980">
            <v>0</v>
          </cell>
          <cell r="C1980">
            <v>0</v>
          </cell>
          <cell r="D1980">
            <v>0</v>
          </cell>
        </row>
        <row r="1981">
          <cell r="A1981">
            <v>0</v>
          </cell>
          <cell r="C1981">
            <v>0</v>
          </cell>
          <cell r="D1981">
            <v>0</v>
          </cell>
        </row>
        <row r="1982">
          <cell r="A1982">
            <v>0</v>
          </cell>
          <cell r="C1982">
            <v>0</v>
          </cell>
          <cell r="D1982">
            <v>0</v>
          </cell>
        </row>
        <row r="1983">
          <cell r="A1983">
            <v>0</v>
          </cell>
          <cell r="C1983">
            <v>0</v>
          </cell>
          <cell r="D1983">
            <v>0</v>
          </cell>
        </row>
        <row r="1984">
          <cell r="A1984">
            <v>0</v>
          </cell>
          <cell r="C1984">
            <v>0</v>
          </cell>
          <cell r="D1984">
            <v>0</v>
          </cell>
        </row>
        <row r="1985">
          <cell r="A1985">
            <v>0</v>
          </cell>
          <cell r="C1985">
            <v>0</v>
          </cell>
          <cell r="D1985">
            <v>0</v>
          </cell>
        </row>
        <row r="1986">
          <cell r="A1986">
            <v>0</v>
          </cell>
          <cell r="C1986">
            <v>0</v>
          </cell>
          <cell r="D1986">
            <v>0</v>
          </cell>
        </row>
        <row r="1987">
          <cell r="A1987">
            <v>0</v>
          </cell>
          <cell r="C1987">
            <v>0</v>
          </cell>
          <cell r="D1987">
            <v>0</v>
          </cell>
        </row>
        <row r="1988">
          <cell r="A1988">
            <v>0</v>
          </cell>
          <cell r="C1988">
            <v>0</v>
          </cell>
          <cell r="D1988">
            <v>0</v>
          </cell>
        </row>
        <row r="1989">
          <cell r="A1989">
            <v>0</v>
          </cell>
          <cell r="C1989">
            <v>0</v>
          </cell>
          <cell r="D1989">
            <v>0</v>
          </cell>
        </row>
        <row r="1990">
          <cell r="A1990">
            <v>0</v>
          </cell>
          <cell r="C1990">
            <v>0</v>
          </cell>
          <cell r="D1990">
            <v>0</v>
          </cell>
        </row>
        <row r="1991">
          <cell r="A1991">
            <v>0</v>
          </cell>
          <cell r="C1991">
            <v>0</v>
          </cell>
          <cell r="D1991">
            <v>0</v>
          </cell>
        </row>
        <row r="1992">
          <cell r="A1992">
            <v>0</v>
          </cell>
          <cell r="C1992">
            <v>0</v>
          </cell>
          <cell r="D1992">
            <v>0</v>
          </cell>
        </row>
        <row r="1993">
          <cell r="A1993">
            <v>0</v>
          </cell>
          <cell r="C1993">
            <v>0</v>
          </cell>
          <cell r="D1993">
            <v>0</v>
          </cell>
        </row>
        <row r="1994">
          <cell r="A1994">
            <v>0</v>
          </cell>
          <cell r="C1994">
            <v>0</v>
          </cell>
          <cell r="D1994">
            <v>0</v>
          </cell>
        </row>
        <row r="1995">
          <cell r="A1995">
            <v>0</v>
          </cell>
          <cell r="C1995">
            <v>0</v>
          </cell>
          <cell r="D1995">
            <v>0</v>
          </cell>
        </row>
        <row r="1996">
          <cell r="A1996">
            <v>0</v>
          </cell>
          <cell r="C1996">
            <v>0</v>
          </cell>
          <cell r="D1996">
            <v>0</v>
          </cell>
        </row>
        <row r="1997">
          <cell r="A1997">
            <v>0</v>
          </cell>
          <cell r="C1997">
            <v>0</v>
          </cell>
          <cell r="D1997">
            <v>0</v>
          </cell>
        </row>
        <row r="1998">
          <cell r="A1998">
            <v>0</v>
          </cell>
          <cell r="C1998">
            <v>0</v>
          </cell>
          <cell r="D1998">
            <v>0</v>
          </cell>
        </row>
        <row r="1999">
          <cell r="A1999">
            <v>0</v>
          </cell>
          <cell r="C1999">
            <v>0</v>
          </cell>
          <cell r="D1999">
            <v>0</v>
          </cell>
        </row>
        <row r="2000">
          <cell r="A2000">
            <v>0</v>
          </cell>
          <cell r="C2000">
            <v>0</v>
          </cell>
          <cell r="D2000">
            <v>0</v>
          </cell>
        </row>
        <row r="2001">
          <cell r="A2001">
            <v>0</v>
          </cell>
          <cell r="C2001">
            <v>0</v>
          </cell>
          <cell r="D2001">
            <v>0</v>
          </cell>
        </row>
        <row r="2002">
          <cell r="A2002">
            <v>0</v>
          </cell>
          <cell r="C2002">
            <v>0</v>
          </cell>
          <cell r="D2002">
            <v>0</v>
          </cell>
        </row>
        <row r="2003">
          <cell r="A2003">
            <v>0</v>
          </cell>
          <cell r="C2003">
            <v>0</v>
          </cell>
          <cell r="D2003">
            <v>0</v>
          </cell>
        </row>
        <row r="2004">
          <cell r="A2004">
            <v>0</v>
          </cell>
          <cell r="C2004">
            <v>0</v>
          </cell>
          <cell r="D2004">
            <v>0</v>
          </cell>
        </row>
        <row r="2005">
          <cell r="A2005">
            <v>0</v>
          </cell>
          <cell r="C2005">
            <v>0</v>
          </cell>
          <cell r="D2005">
            <v>0</v>
          </cell>
        </row>
        <row r="2006">
          <cell r="A2006">
            <v>0</v>
          </cell>
          <cell r="C2006">
            <v>0</v>
          </cell>
          <cell r="D2006">
            <v>0</v>
          </cell>
        </row>
        <row r="2007">
          <cell r="A2007">
            <v>0</v>
          </cell>
          <cell r="C2007">
            <v>0</v>
          </cell>
          <cell r="D2007">
            <v>0</v>
          </cell>
        </row>
        <row r="2008">
          <cell r="A2008">
            <v>0</v>
          </cell>
          <cell r="C2008">
            <v>0</v>
          </cell>
          <cell r="D2008">
            <v>0</v>
          </cell>
        </row>
        <row r="2009">
          <cell r="A2009">
            <v>0</v>
          </cell>
          <cell r="C2009">
            <v>0</v>
          </cell>
          <cell r="D2009">
            <v>0</v>
          </cell>
        </row>
        <row r="2010">
          <cell r="A2010">
            <v>0</v>
          </cell>
          <cell r="C2010">
            <v>0</v>
          </cell>
          <cell r="D2010">
            <v>0</v>
          </cell>
        </row>
        <row r="2011">
          <cell r="A2011">
            <v>0</v>
          </cell>
          <cell r="C2011">
            <v>0</v>
          </cell>
          <cell r="D2011">
            <v>0</v>
          </cell>
        </row>
        <row r="2012">
          <cell r="A2012">
            <v>0</v>
          </cell>
          <cell r="C2012">
            <v>0</v>
          </cell>
          <cell r="D2012">
            <v>0</v>
          </cell>
        </row>
        <row r="2013">
          <cell r="A2013">
            <v>0</v>
          </cell>
          <cell r="C2013">
            <v>0</v>
          </cell>
          <cell r="D2013">
            <v>0</v>
          </cell>
        </row>
        <row r="2014">
          <cell r="A2014">
            <v>0</v>
          </cell>
          <cell r="C2014">
            <v>0</v>
          </cell>
          <cell r="D2014">
            <v>0</v>
          </cell>
        </row>
        <row r="2015">
          <cell r="A2015">
            <v>0</v>
          </cell>
          <cell r="C2015">
            <v>0</v>
          </cell>
          <cell r="D2015">
            <v>0</v>
          </cell>
        </row>
        <row r="2016">
          <cell r="A2016">
            <v>0</v>
          </cell>
          <cell r="C2016">
            <v>0</v>
          </cell>
          <cell r="D2016">
            <v>0</v>
          </cell>
        </row>
        <row r="2017">
          <cell r="A2017">
            <v>0</v>
          </cell>
          <cell r="C2017">
            <v>0</v>
          </cell>
          <cell r="D2017">
            <v>0</v>
          </cell>
        </row>
        <row r="2018">
          <cell r="A2018">
            <v>0</v>
          </cell>
          <cell r="C2018">
            <v>0</v>
          </cell>
          <cell r="D2018">
            <v>0</v>
          </cell>
        </row>
        <row r="2019">
          <cell r="A2019">
            <v>0</v>
          </cell>
          <cell r="C2019">
            <v>0</v>
          </cell>
          <cell r="D2019">
            <v>0</v>
          </cell>
        </row>
        <row r="2020">
          <cell r="A2020">
            <v>0</v>
          </cell>
          <cell r="C2020">
            <v>0</v>
          </cell>
          <cell r="D2020">
            <v>0</v>
          </cell>
        </row>
        <row r="2021">
          <cell r="A2021">
            <v>0</v>
          </cell>
          <cell r="C2021">
            <v>0</v>
          </cell>
          <cell r="D2021">
            <v>0</v>
          </cell>
        </row>
        <row r="2022">
          <cell r="A2022">
            <v>0</v>
          </cell>
          <cell r="C2022">
            <v>0</v>
          </cell>
          <cell r="D2022">
            <v>0</v>
          </cell>
        </row>
        <row r="2023">
          <cell r="A2023">
            <v>0</v>
          </cell>
          <cell r="C2023">
            <v>0</v>
          </cell>
          <cell r="D2023">
            <v>0</v>
          </cell>
        </row>
        <row r="2024">
          <cell r="A2024">
            <v>0</v>
          </cell>
          <cell r="C2024">
            <v>0</v>
          </cell>
          <cell r="D2024">
            <v>0</v>
          </cell>
        </row>
        <row r="2025">
          <cell r="A2025">
            <v>0</v>
          </cell>
          <cell r="C2025">
            <v>0</v>
          </cell>
          <cell r="D2025">
            <v>0</v>
          </cell>
        </row>
        <row r="2026">
          <cell r="A2026">
            <v>0</v>
          </cell>
          <cell r="C2026">
            <v>0</v>
          </cell>
          <cell r="D2026">
            <v>0</v>
          </cell>
        </row>
        <row r="2027">
          <cell r="A2027">
            <v>0</v>
          </cell>
          <cell r="C2027">
            <v>0</v>
          </cell>
          <cell r="D2027">
            <v>0</v>
          </cell>
        </row>
        <row r="2028">
          <cell r="A2028">
            <v>0</v>
          </cell>
          <cell r="C2028">
            <v>0</v>
          </cell>
          <cell r="D2028">
            <v>0</v>
          </cell>
        </row>
        <row r="2029">
          <cell r="A2029">
            <v>0</v>
          </cell>
          <cell r="C2029">
            <v>0</v>
          </cell>
          <cell r="D2029">
            <v>0</v>
          </cell>
        </row>
        <row r="2030">
          <cell r="A2030">
            <v>0</v>
          </cell>
          <cell r="C2030">
            <v>0</v>
          </cell>
          <cell r="D2030">
            <v>0</v>
          </cell>
        </row>
        <row r="2031">
          <cell r="A2031">
            <v>0</v>
          </cell>
          <cell r="C2031">
            <v>0</v>
          </cell>
          <cell r="D2031">
            <v>0</v>
          </cell>
        </row>
        <row r="2032">
          <cell r="A2032">
            <v>0</v>
          </cell>
          <cell r="C2032">
            <v>0</v>
          </cell>
          <cell r="D2032">
            <v>0</v>
          </cell>
        </row>
        <row r="2033">
          <cell r="A2033">
            <v>0</v>
          </cell>
          <cell r="C2033">
            <v>0</v>
          </cell>
          <cell r="D2033">
            <v>0</v>
          </cell>
        </row>
        <row r="2034">
          <cell r="A2034">
            <v>0</v>
          </cell>
          <cell r="C2034">
            <v>0</v>
          </cell>
          <cell r="D2034">
            <v>0</v>
          </cell>
        </row>
        <row r="2035">
          <cell r="A2035">
            <v>0</v>
          </cell>
          <cell r="C2035">
            <v>0</v>
          </cell>
          <cell r="D2035">
            <v>0</v>
          </cell>
        </row>
        <row r="2036">
          <cell r="A2036">
            <v>0</v>
          </cell>
          <cell r="C2036">
            <v>0</v>
          </cell>
          <cell r="D2036">
            <v>0</v>
          </cell>
        </row>
        <row r="2037">
          <cell r="A2037">
            <v>0</v>
          </cell>
          <cell r="C2037">
            <v>0</v>
          </cell>
          <cell r="D2037">
            <v>0</v>
          </cell>
        </row>
        <row r="2038">
          <cell r="A2038">
            <v>0</v>
          </cell>
          <cell r="C2038">
            <v>0</v>
          </cell>
          <cell r="D2038">
            <v>0</v>
          </cell>
        </row>
        <row r="2039">
          <cell r="A2039">
            <v>0</v>
          </cell>
          <cell r="C2039">
            <v>0</v>
          </cell>
          <cell r="D2039">
            <v>0</v>
          </cell>
        </row>
        <row r="2040">
          <cell r="A2040">
            <v>0</v>
          </cell>
          <cell r="C2040">
            <v>0</v>
          </cell>
          <cell r="D2040">
            <v>0</v>
          </cell>
        </row>
        <row r="2041">
          <cell r="A2041">
            <v>0</v>
          </cell>
          <cell r="C2041">
            <v>0</v>
          </cell>
          <cell r="D2041">
            <v>0</v>
          </cell>
        </row>
        <row r="2042">
          <cell r="A2042">
            <v>0</v>
          </cell>
          <cell r="C2042">
            <v>0</v>
          </cell>
          <cell r="D2042">
            <v>0</v>
          </cell>
        </row>
        <row r="2043">
          <cell r="A2043">
            <v>0</v>
          </cell>
          <cell r="C2043">
            <v>0</v>
          </cell>
          <cell r="D2043">
            <v>0</v>
          </cell>
        </row>
        <row r="2044">
          <cell r="A2044">
            <v>0</v>
          </cell>
          <cell r="C2044">
            <v>0</v>
          </cell>
          <cell r="D2044">
            <v>0</v>
          </cell>
        </row>
        <row r="2045">
          <cell r="A2045">
            <v>0</v>
          </cell>
          <cell r="C2045">
            <v>0</v>
          </cell>
          <cell r="D2045">
            <v>0</v>
          </cell>
        </row>
        <row r="2046">
          <cell r="A2046">
            <v>0</v>
          </cell>
          <cell r="C2046">
            <v>0</v>
          </cell>
          <cell r="D2046">
            <v>0</v>
          </cell>
        </row>
        <row r="2047">
          <cell r="A2047">
            <v>0</v>
          </cell>
          <cell r="C2047">
            <v>0</v>
          </cell>
          <cell r="D2047">
            <v>0</v>
          </cell>
        </row>
        <row r="2048">
          <cell r="A2048">
            <v>0</v>
          </cell>
          <cell r="C2048">
            <v>0</v>
          </cell>
          <cell r="D2048">
            <v>0</v>
          </cell>
        </row>
        <row r="2049">
          <cell r="A2049">
            <v>0</v>
          </cell>
          <cell r="C2049">
            <v>0</v>
          </cell>
          <cell r="D2049">
            <v>0</v>
          </cell>
        </row>
        <row r="2050">
          <cell r="A2050">
            <v>0</v>
          </cell>
          <cell r="C2050">
            <v>0</v>
          </cell>
          <cell r="D2050">
            <v>0</v>
          </cell>
        </row>
        <row r="2051">
          <cell r="A2051">
            <v>0</v>
          </cell>
          <cell r="C2051">
            <v>0</v>
          </cell>
          <cell r="D2051">
            <v>0</v>
          </cell>
        </row>
        <row r="2052">
          <cell r="A2052">
            <v>0</v>
          </cell>
          <cell r="C2052">
            <v>0</v>
          </cell>
          <cell r="D2052">
            <v>0</v>
          </cell>
        </row>
        <row r="2053">
          <cell r="A2053">
            <v>0</v>
          </cell>
          <cell r="C2053">
            <v>0</v>
          </cell>
          <cell r="D2053">
            <v>0</v>
          </cell>
        </row>
        <row r="2054">
          <cell r="A2054">
            <v>0</v>
          </cell>
          <cell r="C2054">
            <v>0</v>
          </cell>
          <cell r="D2054">
            <v>0</v>
          </cell>
        </row>
        <row r="2055">
          <cell r="A2055">
            <v>0</v>
          </cell>
          <cell r="C2055">
            <v>0</v>
          </cell>
          <cell r="D2055">
            <v>0</v>
          </cell>
        </row>
        <row r="2056">
          <cell r="A2056">
            <v>0</v>
          </cell>
          <cell r="C2056">
            <v>0</v>
          </cell>
          <cell r="D2056">
            <v>0</v>
          </cell>
        </row>
        <row r="2057">
          <cell r="A2057">
            <v>0</v>
          </cell>
          <cell r="C2057">
            <v>0</v>
          </cell>
          <cell r="D2057">
            <v>0</v>
          </cell>
        </row>
        <row r="2058">
          <cell r="A2058">
            <v>0</v>
          </cell>
          <cell r="C2058">
            <v>0</v>
          </cell>
          <cell r="D2058">
            <v>0</v>
          </cell>
        </row>
        <row r="2059">
          <cell r="A2059">
            <v>0</v>
          </cell>
          <cell r="C2059">
            <v>0</v>
          </cell>
          <cell r="D2059">
            <v>0</v>
          </cell>
        </row>
        <row r="2060">
          <cell r="A2060">
            <v>0</v>
          </cell>
          <cell r="C2060">
            <v>0</v>
          </cell>
          <cell r="D2060">
            <v>0</v>
          </cell>
        </row>
        <row r="2061">
          <cell r="A2061">
            <v>0</v>
          </cell>
          <cell r="C2061">
            <v>0</v>
          </cell>
          <cell r="D2061">
            <v>0</v>
          </cell>
        </row>
        <row r="2062">
          <cell r="A2062">
            <v>0</v>
          </cell>
          <cell r="C2062">
            <v>0</v>
          </cell>
          <cell r="D2062">
            <v>0</v>
          </cell>
        </row>
        <row r="2063">
          <cell r="A2063">
            <v>0</v>
          </cell>
          <cell r="C2063">
            <v>0</v>
          </cell>
          <cell r="D2063">
            <v>0</v>
          </cell>
        </row>
        <row r="2064">
          <cell r="A2064">
            <v>0</v>
          </cell>
          <cell r="C2064">
            <v>0</v>
          </cell>
          <cell r="D2064">
            <v>0</v>
          </cell>
        </row>
        <row r="2065">
          <cell r="A2065">
            <v>0</v>
          </cell>
          <cell r="C2065">
            <v>0</v>
          </cell>
          <cell r="D2065">
            <v>0</v>
          </cell>
        </row>
        <row r="2066">
          <cell r="A2066">
            <v>0</v>
          </cell>
          <cell r="C2066">
            <v>0</v>
          </cell>
          <cell r="D2066">
            <v>0</v>
          </cell>
        </row>
        <row r="2067">
          <cell r="A2067">
            <v>0</v>
          </cell>
          <cell r="C2067">
            <v>0</v>
          </cell>
          <cell r="D2067">
            <v>0</v>
          </cell>
        </row>
        <row r="2068">
          <cell r="A2068">
            <v>0</v>
          </cell>
          <cell r="C2068">
            <v>0</v>
          </cell>
          <cell r="D2068">
            <v>0</v>
          </cell>
        </row>
        <row r="2069">
          <cell r="A2069">
            <v>0</v>
          </cell>
          <cell r="C2069">
            <v>0</v>
          </cell>
          <cell r="D2069">
            <v>0</v>
          </cell>
        </row>
        <row r="2070">
          <cell r="A2070">
            <v>0</v>
          </cell>
          <cell r="C2070">
            <v>0</v>
          </cell>
          <cell r="D2070">
            <v>0</v>
          </cell>
        </row>
        <row r="2071">
          <cell r="A2071">
            <v>0</v>
          </cell>
          <cell r="C2071">
            <v>0</v>
          </cell>
          <cell r="D2071">
            <v>0</v>
          </cell>
        </row>
        <row r="2072">
          <cell r="A2072">
            <v>0</v>
          </cell>
          <cell r="C2072">
            <v>0</v>
          </cell>
          <cell r="D2072">
            <v>0</v>
          </cell>
        </row>
        <row r="2073">
          <cell r="A2073">
            <v>0</v>
          </cell>
          <cell r="C2073">
            <v>0</v>
          </cell>
          <cell r="D2073">
            <v>0</v>
          </cell>
        </row>
        <row r="2074">
          <cell r="A2074">
            <v>0</v>
          </cell>
          <cell r="C2074">
            <v>0</v>
          </cell>
          <cell r="D2074">
            <v>0</v>
          </cell>
        </row>
        <row r="2075">
          <cell r="A2075">
            <v>0</v>
          </cell>
          <cell r="C2075">
            <v>0</v>
          </cell>
          <cell r="D2075">
            <v>0</v>
          </cell>
        </row>
        <row r="2076">
          <cell r="A2076">
            <v>0</v>
          </cell>
          <cell r="C2076">
            <v>0</v>
          </cell>
          <cell r="D2076">
            <v>0</v>
          </cell>
        </row>
        <row r="2077">
          <cell r="A2077">
            <v>0</v>
          </cell>
          <cell r="C2077">
            <v>0</v>
          </cell>
          <cell r="D2077">
            <v>0</v>
          </cell>
        </row>
        <row r="2078">
          <cell r="A2078">
            <v>0</v>
          </cell>
          <cell r="C2078">
            <v>0</v>
          </cell>
          <cell r="D2078">
            <v>0</v>
          </cell>
        </row>
        <row r="2079">
          <cell r="A2079">
            <v>0</v>
          </cell>
          <cell r="C2079">
            <v>0</v>
          </cell>
          <cell r="D2079">
            <v>0</v>
          </cell>
        </row>
        <row r="2080">
          <cell r="A2080">
            <v>0</v>
          </cell>
          <cell r="C2080">
            <v>0</v>
          </cell>
          <cell r="D2080">
            <v>0</v>
          </cell>
        </row>
        <row r="2081">
          <cell r="A2081">
            <v>0</v>
          </cell>
          <cell r="C2081">
            <v>0</v>
          </cell>
          <cell r="D2081">
            <v>0</v>
          </cell>
        </row>
        <row r="2082">
          <cell r="A2082">
            <v>0</v>
          </cell>
          <cell r="C2082">
            <v>0</v>
          </cell>
          <cell r="D2082">
            <v>0</v>
          </cell>
        </row>
        <row r="2083">
          <cell r="A2083">
            <v>0</v>
          </cell>
          <cell r="C2083">
            <v>0</v>
          </cell>
          <cell r="D2083">
            <v>0</v>
          </cell>
        </row>
        <row r="2084">
          <cell r="A2084">
            <v>0</v>
          </cell>
          <cell r="C2084">
            <v>0</v>
          </cell>
          <cell r="D2084">
            <v>0</v>
          </cell>
        </row>
        <row r="2085">
          <cell r="A2085">
            <v>0</v>
          </cell>
          <cell r="C2085">
            <v>0</v>
          </cell>
          <cell r="D2085">
            <v>0</v>
          </cell>
        </row>
        <row r="2086">
          <cell r="A2086">
            <v>0</v>
          </cell>
          <cell r="C2086">
            <v>0</v>
          </cell>
          <cell r="D2086">
            <v>0</v>
          </cell>
        </row>
        <row r="2087">
          <cell r="A2087">
            <v>0</v>
          </cell>
          <cell r="C2087">
            <v>0</v>
          </cell>
          <cell r="D2087">
            <v>0</v>
          </cell>
        </row>
        <row r="2088">
          <cell r="A2088">
            <v>0</v>
          </cell>
          <cell r="C2088">
            <v>0</v>
          </cell>
          <cell r="D2088">
            <v>0</v>
          </cell>
        </row>
        <row r="2089">
          <cell r="A2089">
            <v>0</v>
          </cell>
          <cell r="C2089">
            <v>0</v>
          </cell>
          <cell r="D2089">
            <v>0</v>
          </cell>
        </row>
        <row r="2090">
          <cell r="A2090">
            <v>0</v>
          </cell>
          <cell r="C2090">
            <v>0</v>
          </cell>
          <cell r="D2090">
            <v>0</v>
          </cell>
        </row>
        <row r="2091">
          <cell r="A2091">
            <v>0</v>
          </cell>
          <cell r="C2091">
            <v>0</v>
          </cell>
          <cell r="D2091">
            <v>0</v>
          </cell>
        </row>
        <row r="2092">
          <cell r="A2092">
            <v>0</v>
          </cell>
          <cell r="C2092">
            <v>0</v>
          </cell>
          <cell r="D2092">
            <v>0</v>
          </cell>
        </row>
        <row r="2093">
          <cell r="A2093">
            <v>0</v>
          </cell>
          <cell r="C2093">
            <v>0</v>
          </cell>
          <cell r="D2093">
            <v>0</v>
          </cell>
        </row>
        <row r="2094">
          <cell r="A2094">
            <v>0</v>
          </cell>
          <cell r="C2094">
            <v>0</v>
          </cell>
          <cell r="D2094">
            <v>0</v>
          </cell>
        </row>
        <row r="2095">
          <cell r="A2095">
            <v>0</v>
          </cell>
          <cell r="C2095">
            <v>0</v>
          </cell>
          <cell r="D2095">
            <v>0</v>
          </cell>
        </row>
        <row r="2096">
          <cell r="A2096">
            <v>0</v>
          </cell>
          <cell r="C2096">
            <v>0</v>
          </cell>
          <cell r="D2096">
            <v>0</v>
          </cell>
        </row>
        <row r="2097">
          <cell r="A2097">
            <v>0</v>
          </cell>
          <cell r="C2097">
            <v>0</v>
          </cell>
          <cell r="D2097">
            <v>0</v>
          </cell>
        </row>
        <row r="2098">
          <cell r="A2098">
            <v>0</v>
          </cell>
          <cell r="C2098">
            <v>0</v>
          </cell>
          <cell r="D2098">
            <v>0</v>
          </cell>
        </row>
        <row r="2099">
          <cell r="A2099">
            <v>0</v>
          </cell>
          <cell r="C2099">
            <v>0</v>
          </cell>
          <cell r="D2099">
            <v>0</v>
          </cell>
        </row>
        <row r="2100">
          <cell r="A2100">
            <v>0</v>
          </cell>
          <cell r="C2100">
            <v>0</v>
          </cell>
          <cell r="D2100">
            <v>0</v>
          </cell>
        </row>
        <row r="2101">
          <cell r="A2101">
            <v>0</v>
          </cell>
          <cell r="C2101">
            <v>0</v>
          </cell>
          <cell r="D2101">
            <v>0</v>
          </cell>
        </row>
        <row r="2102">
          <cell r="A2102">
            <v>0</v>
          </cell>
          <cell r="C2102">
            <v>0</v>
          </cell>
          <cell r="D2102">
            <v>0</v>
          </cell>
        </row>
        <row r="2103">
          <cell r="A2103">
            <v>0</v>
          </cell>
          <cell r="C2103">
            <v>0</v>
          </cell>
          <cell r="D2103">
            <v>0</v>
          </cell>
        </row>
        <row r="2104">
          <cell r="A2104">
            <v>0</v>
          </cell>
          <cell r="C2104">
            <v>0</v>
          </cell>
          <cell r="D2104">
            <v>0</v>
          </cell>
        </row>
        <row r="2105">
          <cell r="A2105">
            <v>0</v>
          </cell>
          <cell r="C2105">
            <v>0</v>
          </cell>
          <cell r="D2105">
            <v>0</v>
          </cell>
        </row>
        <row r="2106">
          <cell r="A2106">
            <v>0</v>
          </cell>
          <cell r="C2106">
            <v>0</v>
          </cell>
          <cell r="D2106">
            <v>0</v>
          </cell>
        </row>
        <row r="2107">
          <cell r="A2107">
            <v>0</v>
          </cell>
          <cell r="C2107">
            <v>0</v>
          </cell>
          <cell r="D2107">
            <v>0</v>
          </cell>
        </row>
        <row r="2108">
          <cell r="A2108">
            <v>0</v>
          </cell>
          <cell r="C2108">
            <v>0</v>
          </cell>
          <cell r="D2108">
            <v>0</v>
          </cell>
        </row>
        <row r="2109">
          <cell r="A2109">
            <v>0</v>
          </cell>
          <cell r="C2109">
            <v>0</v>
          </cell>
          <cell r="D2109">
            <v>0</v>
          </cell>
        </row>
        <row r="2110">
          <cell r="A2110">
            <v>0</v>
          </cell>
          <cell r="C2110">
            <v>0</v>
          </cell>
          <cell r="D2110">
            <v>0</v>
          </cell>
        </row>
        <row r="2111">
          <cell r="A2111">
            <v>0</v>
          </cell>
          <cell r="C2111">
            <v>0</v>
          </cell>
          <cell r="D2111">
            <v>0</v>
          </cell>
        </row>
        <row r="2112">
          <cell r="A2112">
            <v>0</v>
          </cell>
          <cell r="C2112">
            <v>0</v>
          </cell>
          <cell r="D2112">
            <v>0</v>
          </cell>
        </row>
        <row r="2113">
          <cell r="A2113">
            <v>0</v>
          </cell>
          <cell r="C2113">
            <v>0</v>
          </cell>
          <cell r="D2113">
            <v>0</v>
          </cell>
        </row>
        <row r="2114">
          <cell r="A2114">
            <v>0</v>
          </cell>
          <cell r="C2114">
            <v>0</v>
          </cell>
          <cell r="D2114">
            <v>0</v>
          </cell>
        </row>
        <row r="2115">
          <cell r="A2115">
            <v>0</v>
          </cell>
          <cell r="C2115">
            <v>0</v>
          </cell>
          <cell r="D2115">
            <v>0</v>
          </cell>
        </row>
        <row r="2116">
          <cell r="A2116">
            <v>0</v>
          </cell>
          <cell r="C2116">
            <v>0</v>
          </cell>
          <cell r="D2116">
            <v>0</v>
          </cell>
        </row>
        <row r="2117">
          <cell r="A2117">
            <v>0</v>
          </cell>
          <cell r="C2117">
            <v>0</v>
          </cell>
          <cell r="D2117">
            <v>0</v>
          </cell>
        </row>
        <row r="2118">
          <cell r="A2118">
            <v>0</v>
          </cell>
          <cell r="C2118">
            <v>0</v>
          </cell>
          <cell r="D2118">
            <v>0</v>
          </cell>
        </row>
        <row r="2119">
          <cell r="A2119">
            <v>0</v>
          </cell>
          <cell r="C2119">
            <v>0</v>
          </cell>
          <cell r="D2119">
            <v>0</v>
          </cell>
        </row>
        <row r="2120">
          <cell r="A2120">
            <v>0</v>
          </cell>
          <cell r="C2120">
            <v>0</v>
          </cell>
          <cell r="D2120">
            <v>0</v>
          </cell>
        </row>
        <row r="2121">
          <cell r="A2121">
            <v>0</v>
          </cell>
          <cell r="C2121">
            <v>0</v>
          </cell>
          <cell r="D2121">
            <v>0</v>
          </cell>
        </row>
        <row r="2122">
          <cell r="A2122">
            <v>0</v>
          </cell>
          <cell r="C2122">
            <v>0</v>
          </cell>
          <cell r="D2122">
            <v>0</v>
          </cell>
        </row>
        <row r="2123">
          <cell r="A2123">
            <v>0</v>
          </cell>
          <cell r="C2123">
            <v>0</v>
          </cell>
          <cell r="D2123">
            <v>0</v>
          </cell>
        </row>
        <row r="2124">
          <cell r="A2124">
            <v>0</v>
          </cell>
          <cell r="C2124">
            <v>0</v>
          </cell>
          <cell r="D2124">
            <v>0</v>
          </cell>
        </row>
        <row r="2125">
          <cell r="A2125">
            <v>0</v>
          </cell>
          <cell r="C2125">
            <v>0</v>
          </cell>
          <cell r="D2125">
            <v>0</v>
          </cell>
        </row>
        <row r="2126">
          <cell r="A2126">
            <v>0</v>
          </cell>
          <cell r="C2126">
            <v>0</v>
          </cell>
          <cell r="D2126">
            <v>0</v>
          </cell>
        </row>
        <row r="2127">
          <cell r="A2127">
            <v>0</v>
          </cell>
          <cell r="C2127">
            <v>0</v>
          </cell>
          <cell r="D2127">
            <v>0</v>
          </cell>
        </row>
        <row r="2128">
          <cell r="A2128">
            <v>0</v>
          </cell>
          <cell r="C2128">
            <v>0</v>
          </cell>
          <cell r="D2128">
            <v>0</v>
          </cell>
        </row>
        <row r="2129">
          <cell r="A2129">
            <v>0</v>
          </cell>
          <cell r="C2129">
            <v>0</v>
          </cell>
          <cell r="D2129">
            <v>0</v>
          </cell>
        </row>
        <row r="2130">
          <cell r="A2130">
            <v>0</v>
          </cell>
          <cell r="C2130">
            <v>0</v>
          </cell>
          <cell r="D2130">
            <v>0</v>
          </cell>
        </row>
        <row r="2131">
          <cell r="A2131">
            <v>0</v>
          </cell>
          <cell r="C2131">
            <v>0</v>
          </cell>
          <cell r="D2131">
            <v>0</v>
          </cell>
        </row>
        <row r="2132">
          <cell r="A2132">
            <v>0</v>
          </cell>
          <cell r="C2132">
            <v>0</v>
          </cell>
          <cell r="D2132">
            <v>0</v>
          </cell>
        </row>
        <row r="2133">
          <cell r="A2133">
            <v>0</v>
          </cell>
          <cell r="C2133">
            <v>0</v>
          </cell>
          <cell r="D2133">
            <v>0</v>
          </cell>
        </row>
        <row r="2134">
          <cell r="A2134">
            <v>0</v>
          </cell>
          <cell r="C2134">
            <v>0</v>
          </cell>
          <cell r="D2134">
            <v>0</v>
          </cell>
        </row>
        <row r="2135">
          <cell r="A2135">
            <v>0</v>
          </cell>
          <cell r="C2135">
            <v>0</v>
          </cell>
          <cell r="D2135">
            <v>0</v>
          </cell>
        </row>
        <row r="2136">
          <cell r="A2136">
            <v>0</v>
          </cell>
          <cell r="C2136">
            <v>0</v>
          </cell>
          <cell r="D2136">
            <v>0</v>
          </cell>
        </row>
        <row r="2137">
          <cell r="A2137">
            <v>0</v>
          </cell>
          <cell r="C2137">
            <v>0</v>
          </cell>
          <cell r="D2137">
            <v>0</v>
          </cell>
        </row>
        <row r="2138">
          <cell r="A2138">
            <v>0</v>
          </cell>
          <cell r="C2138">
            <v>0</v>
          </cell>
          <cell r="D2138">
            <v>0</v>
          </cell>
        </row>
        <row r="2139">
          <cell r="A2139">
            <v>0</v>
          </cell>
          <cell r="C2139">
            <v>0</v>
          </cell>
          <cell r="D2139">
            <v>0</v>
          </cell>
        </row>
        <row r="2140">
          <cell r="A2140">
            <v>0</v>
          </cell>
          <cell r="C2140">
            <v>0</v>
          </cell>
          <cell r="D2140">
            <v>0</v>
          </cell>
        </row>
        <row r="2141">
          <cell r="A2141">
            <v>0</v>
          </cell>
          <cell r="C2141">
            <v>0</v>
          </cell>
          <cell r="D2141">
            <v>0</v>
          </cell>
        </row>
        <row r="2142">
          <cell r="A2142">
            <v>0</v>
          </cell>
          <cell r="C2142">
            <v>0</v>
          </cell>
          <cell r="D2142">
            <v>0</v>
          </cell>
        </row>
        <row r="2143">
          <cell r="A2143">
            <v>0</v>
          </cell>
          <cell r="C2143">
            <v>0</v>
          </cell>
          <cell r="D2143">
            <v>0</v>
          </cell>
        </row>
        <row r="2144">
          <cell r="A2144">
            <v>0</v>
          </cell>
          <cell r="C2144">
            <v>0</v>
          </cell>
          <cell r="D2144">
            <v>0</v>
          </cell>
        </row>
        <row r="2145">
          <cell r="A2145">
            <v>0</v>
          </cell>
          <cell r="C2145">
            <v>0</v>
          </cell>
          <cell r="D2145">
            <v>0</v>
          </cell>
        </row>
        <row r="2146">
          <cell r="A2146">
            <v>0</v>
          </cell>
          <cell r="C2146">
            <v>0</v>
          </cell>
          <cell r="D2146">
            <v>0</v>
          </cell>
        </row>
        <row r="2147">
          <cell r="A2147">
            <v>0</v>
          </cell>
          <cell r="C2147">
            <v>0</v>
          </cell>
          <cell r="D2147">
            <v>0</v>
          </cell>
        </row>
        <row r="2148">
          <cell r="A2148">
            <v>0</v>
          </cell>
          <cell r="C2148">
            <v>0</v>
          </cell>
          <cell r="D2148">
            <v>0</v>
          </cell>
        </row>
        <row r="2149">
          <cell r="A2149">
            <v>0</v>
          </cell>
          <cell r="C2149">
            <v>0</v>
          </cell>
          <cell r="D2149">
            <v>0</v>
          </cell>
        </row>
        <row r="2150">
          <cell r="A2150">
            <v>0</v>
          </cell>
          <cell r="C2150">
            <v>0</v>
          </cell>
          <cell r="D2150">
            <v>0</v>
          </cell>
        </row>
        <row r="2151">
          <cell r="A2151">
            <v>0</v>
          </cell>
          <cell r="C2151">
            <v>0</v>
          </cell>
          <cell r="D2151">
            <v>0</v>
          </cell>
        </row>
        <row r="2152">
          <cell r="A2152">
            <v>0</v>
          </cell>
          <cell r="C2152">
            <v>0</v>
          </cell>
          <cell r="D2152">
            <v>0</v>
          </cell>
        </row>
        <row r="2153">
          <cell r="A2153">
            <v>0</v>
          </cell>
          <cell r="C2153">
            <v>0</v>
          </cell>
          <cell r="D2153">
            <v>0</v>
          </cell>
        </row>
        <row r="2154">
          <cell r="A2154">
            <v>0</v>
          </cell>
          <cell r="C2154">
            <v>0</v>
          </cell>
          <cell r="D2154">
            <v>0</v>
          </cell>
        </row>
        <row r="2155">
          <cell r="A2155">
            <v>0</v>
          </cell>
          <cell r="C2155">
            <v>0</v>
          </cell>
          <cell r="D2155">
            <v>0</v>
          </cell>
        </row>
        <row r="2156">
          <cell r="A2156">
            <v>0</v>
          </cell>
          <cell r="C2156">
            <v>0</v>
          </cell>
          <cell r="D2156">
            <v>0</v>
          </cell>
        </row>
        <row r="2157">
          <cell r="A2157">
            <v>0</v>
          </cell>
          <cell r="C2157">
            <v>0</v>
          </cell>
          <cell r="D2157">
            <v>0</v>
          </cell>
        </row>
        <row r="2158">
          <cell r="A2158">
            <v>0</v>
          </cell>
          <cell r="C2158">
            <v>0</v>
          </cell>
          <cell r="D2158">
            <v>0</v>
          </cell>
        </row>
        <row r="2159">
          <cell r="A2159">
            <v>0</v>
          </cell>
          <cell r="C2159">
            <v>0</v>
          </cell>
          <cell r="D2159">
            <v>0</v>
          </cell>
        </row>
        <row r="2160">
          <cell r="A2160">
            <v>0</v>
          </cell>
          <cell r="C2160">
            <v>0</v>
          </cell>
          <cell r="D2160">
            <v>0</v>
          </cell>
        </row>
        <row r="2161">
          <cell r="A2161">
            <v>0</v>
          </cell>
          <cell r="C2161">
            <v>0</v>
          </cell>
          <cell r="D2161">
            <v>0</v>
          </cell>
        </row>
        <row r="2162">
          <cell r="A2162">
            <v>0</v>
          </cell>
          <cell r="C2162">
            <v>0</v>
          </cell>
          <cell r="D2162">
            <v>0</v>
          </cell>
        </row>
        <row r="2163">
          <cell r="A2163">
            <v>0</v>
          </cell>
          <cell r="C2163">
            <v>0</v>
          </cell>
          <cell r="D2163">
            <v>0</v>
          </cell>
        </row>
        <row r="2164">
          <cell r="A2164">
            <v>0</v>
          </cell>
          <cell r="C2164">
            <v>0</v>
          </cell>
          <cell r="D2164">
            <v>0</v>
          </cell>
        </row>
        <row r="2165">
          <cell r="A2165">
            <v>0</v>
          </cell>
          <cell r="C2165">
            <v>0</v>
          </cell>
          <cell r="D2165">
            <v>0</v>
          </cell>
        </row>
        <row r="2166">
          <cell r="A2166">
            <v>0</v>
          </cell>
          <cell r="C2166">
            <v>0</v>
          </cell>
          <cell r="D2166">
            <v>0</v>
          </cell>
        </row>
        <row r="2167">
          <cell r="A2167">
            <v>0</v>
          </cell>
          <cell r="C2167">
            <v>0</v>
          </cell>
          <cell r="D2167">
            <v>0</v>
          </cell>
        </row>
        <row r="2168">
          <cell r="A2168">
            <v>0</v>
          </cell>
          <cell r="C2168">
            <v>0</v>
          </cell>
          <cell r="D2168">
            <v>0</v>
          </cell>
        </row>
        <row r="2169">
          <cell r="A2169">
            <v>0</v>
          </cell>
          <cell r="C2169">
            <v>0</v>
          </cell>
          <cell r="D2169">
            <v>0</v>
          </cell>
        </row>
        <row r="2170">
          <cell r="A2170">
            <v>0</v>
          </cell>
          <cell r="C2170">
            <v>0</v>
          </cell>
          <cell r="D2170">
            <v>0</v>
          </cell>
        </row>
        <row r="2171">
          <cell r="A2171">
            <v>0</v>
          </cell>
          <cell r="C2171">
            <v>0</v>
          </cell>
          <cell r="D2171">
            <v>0</v>
          </cell>
        </row>
        <row r="2172">
          <cell r="A2172">
            <v>0</v>
          </cell>
          <cell r="C2172">
            <v>0</v>
          </cell>
          <cell r="D2172">
            <v>0</v>
          </cell>
        </row>
        <row r="2173">
          <cell r="A2173">
            <v>0</v>
          </cell>
          <cell r="C2173">
            <v>0</v>
          </cell>
          <cell r="D2173">
            <v>0</v>
          </cell>
        </row>
        <row r="2174">
          <cell r="A2174">
            <v>0</v>
          </cell>
          <cell r="C2174">
            <v>0</v>
          </cell>
          <cell r="D2174">
            <v>0</v>
          </cell>
        </row>
        <row r="2175">
          <cell r="A2175">
            <v>0</v>
          </cell>
          <cell r="C2175">
            <v>0</v>
          </cell>
          <cell r="D2175">
            <v>0</v>
          </cell>
        </row>
        <row r="2176">
          <cell r="A2176">
            <v>0</v>
          </cell>
          <cell r="C2176">
            <v>0</v>
          </cell>
          <cell r="D2176">
            <v>0</v>
          </cell>
        </row>
        <row r="2177">
          <cell r="A2177">
            <v>0</v>
          </cell>
          <cell r="C2177">
            <v>0</v>
          </cell>
          <cell r="D2177">
            <v>0</v>
          </cell>
        </row>
        <row r="2178">
          <cell r="A2178">
            <v>0</v>
          </cell>
          <cell r="C2178">
            <v>0</v>
          </cell>
          <cell r="D2178">
            <v>0</v>
          </cell>
        </row>
        <row r="2179">
          <cell r="A2179">
            <v>0</v>
          </cell>
          <cell r="C2179">
            <v>0</v>
          </cell>
          <cell r="D2179">
            <v>0</v>
          </cell>
        </row>
        <row r="2180">
          <cell r="A2180">
            <v>0</v>
          </cell>
          <cell r="C2180">
            <v>0</v>
          </cell>
          <cell r="D2180">
            <v>0</v>
          </cell>
        </row>
        <row r="2181">
          <cell r="A2181">
            <v>0</v>
          </cell>
          <cell r="C2181">
            <v>0</v>
          </cell>
          <cell r="D2181">
            <v>0</v>
          </cell>
        </row>
        <row r="2182">
          <cell r="A2182">
            <v>0</v>
          </cell>
          <cell r="C2182">
            <v>0</v>
          </cell>
          <cell r="D2182">
            <v>0</v>
          </cell>
        </row>
        <row r="2183">
          <cell r="A2183">
            <v>0</v>
          </cell>
          <cell r="C2183">
            <v>0</v>
          </cell>
          <cell r="D2183">
            <v>0</v>
          </cell>
        </row>
        <row r="2184">
          <cell r="A2184">
            <v>0</v>
          </cell>
          <cell r="C2184">
            <v>0</v>
          </cell>
          <cell r="D2184">
            <v>0</v>
          </cell>
        </row>
        <row r="2185">
          <cell r="A2185">
            <v>0</v>
          </cell>
          <cell r="C2185">
            <v>0</v>
          </cell>
          <cell r="D2185">
            <v>0</v>
          </cell>
        </row>
        <row r="2186">
          <cell r="A2186">
            <v>0</v>
          </cell>
          <cell r="C2186">
            <v>0</v>
          </cell>
          <cell r="D2186">
            <v>0</v>
          </cell>
        </row>
        <row r="2187">
          <cell r="A2187">
            <v>0</v>
          </cell>
          <cell r="C2187">
            <v>0</v>
          </cell>
          <cell r="D2187">
            <v>0</v>
          </cell>
        </row>
        <row r="2188">
          <cell r="A2188">
            <v>0</v>
          </cell>
          <cell r="C2188">
            <v>0</v>
          </cell>
          <cell r="D2188">
            <v>0</v>
          </cell>
        </row>
        <row r="2189">
          <cell r="A2189">
            <v>0</v>
          </cell>
          <cell r="C2189">
            <v>0</v>
          </cell>
          <cell r="D2189">
            <v>0</v>
          </cell>
        </row>
        <row r="2190">
          <cell r="A2190">
            <v>0</v>
          </cell>
          <cell r="C2190">
            <v>0</v>
          </cell>
          <cell r="D2190">
            <v>0</v>
          </cell>
        </row>
        <row r="2191">
          <cell r="A2191">
            <v>0</v>
          </cell>
          <cell r="C2191">
            <v>0</v>
          </cell>
          <cell r="D2191">
            <v>0</v>
          </cell>
        </row>
        <row r="2192">
          <cell r="A2192">
            <v>0</v>
          </cell>
          <cell r="C2192">
            <v>0</v>
          </cell>
          <cell r="D2192">
            <v>0</v>
          </cell>
        </row>
        <row r="2193">
          <cell r="A2193">
            <v>0</v>
          </cell>
          <cell r="C2193">
            <v>0</v>
          </cell>
          <cell r="D2193">
            <v>0</v>
          </cell>
        </row>
        <row r="2194">
          <cell r="A2194">
            <v>0</v>
          </cell>
          <cell r="C2194">
            <v>0</v>
          </cell>
          <cell r="D2194">
            <v>0</v>
          </cell>
        </row>
        <row r="2195">
          <cell r="A2195">
            <v>0</v>
          </cell>
          <cell r="C2195">
            <v>0</v>
          </cell>
          <cell r="D2195">
            <v>0</v>
          </cell>
        </row>
        <row r="2196">
          <cell r="A2196">
            <v>0</v>
          </cell>
          <cell r="C2196">
            <v>0</v>
          </cell>
          <cell r="D2196">
            <v>0</v>
          </cell>
        </row>
        <row r="2197">
          <cell r="A2197">
            <v>0</v>
          </cell>
          <cell r="C2197">
            <v>0</v>
          </cell>
          <cell r="D2197">
            <v>0</v>
          </cell>
        </row>
        <row r="2198">
          <cell r="A2198">
            <v>0</v>
          </cell>
          <cell r="C2198">
            <v>0</v>
          </cell>
          <cell r="D2198">
            <v>0</v>
          </cell>
        </row>
        <row r="2199">
          <cell r="A2199">
            <v>0</v>
          </cell>
          <cell r="C2199">
            <v>0</v>
          </cell>
          <cell r="D2199">
            <v>0</v>
          </cell>
        </row>
        <row r="2200">
          <cell r="A2200">
            <v>0</v>
          </cell>
          <cell r="C2200">
            <v>0</v>
          </cell>
          <cell r="D2200">
            <v>0</v>
          </cell>
        </row>
        <row r="2201">
          <cell r="A2201">
            <v>0</v>
          </cell>
          <cell r="C2201">
            <v>0</v>
          </cell>
          <cell r="D2201">
            <v>0</v>
          </cell>
        </row>
        <row r="2202">
          <cell r="A2202">
            <v>0</v>
          </cell>
          <cell r="C2202">
            <v>0</v>
          </cell>
          <cell r="D2202">
            <v>0</v>
          </cell>
        </row>
        <row r="2203">
          <cell r="A2203">
            <v>0</v>
          </cell>
          <cell r="C2203">
            <v>0</v>
          </cell>
          <cell r="D2203">
            <v>0</v>
          </cell>
        </row>
        <row r="2204">
          <cell r="A2204">
            <v>0</v>
          </cell>
          <cell r="C2204">
            <v>0</v>
          </cell>
          <cell r="D2204">
            <v>0</v>
          </cell>
        </row>
        <row r="2205">
          <cell r="A2205">
            <v>0</v>
          </cell>
          <cell r="C2205">
            <v>0</v>
          </cell>
          <cell r="D2205">
            <v>0</v>
          </cell>
        </row>
        <row r="2206">
          <cell r="A2206">
            <v>0</v>
          </cell>
          <cell r="C2206">
            <v>0</v>
          </cell>
          <cell r="D2206">
            <v>0</v>
          </cell>
        </row>
        <row r="2207">
          <cell r="A2207">
            <v>0</v>
          </cell>
          <cell r="C2207">
            <v>0</v>
          </cell>
          <cell r="D2207">
            <v>0</v>
          </cell>
        </row>
        <row r="2208">
          <cell r="A2208">
            <v>0</v>
          </cell>
          <cell r="C2208">
            <v>0</v>
          </cell>
          <cell r="D2208">
            <v>0</v>
          </cell>
        </row>
        <row r="2209">
          <cell r="A2209">
            <v>0</v>
          </cell>
          <cell r="C2209">
            <v>0</v>
          </cell>
          <cell r="D2209">
            <v>0</v>
          </cell>
        </row>
        <row r="2210">
          <cell r="A2210">
            <v>0</v>
          </cell>
          <cell r="C2210">
            <v>0</v>
          </cell>
          <cell r="D2210">
            <v>0</v>
          </cell>
        </row>
        <row r="2211">
          <cell r="A2211">
            <v>0</v>
          </cell>
          <cell r="C2211">
            <v>0</v>
          </cell>
          <cell r="D2211">
            <v>0</v>
          </cell>
        </row>
        <row r="2212">
          <cell r="A2212">
            <v>0</v>
          </cell>
          <cell r="C2212">
            <v>0</v>
          </cell>
          <cell r="D2212">
            <v>0</v>
          </cell>
        </row>
        <row r="2213">
          <cell r="A2213">
            <v>0</v>
          </cell>
          <cell r="C2213">
            <v>0</v>
          </cell>
          <cell r="D2213">
            <v>0</v>
          </cell>
        </row>
        <row r="2214">
          <cell r="A2214">
            <v>0</v>
          </cell>
          <cell r="C2214">
            <v>0</v>
          </cell>
          <cell r="D2214">
            <v>0</v>
          </cell>
        </row>
        <row r="2215">
          <cell r="A2215">
            <v>0</v>
          </cell>
          <cell r="C2215">
            <v>0</v>
          </cell>
          <cell r="D2215">
            <v>0</v>
          </cell>
        </row>
        <row r="2216">
          <cell r="A2216">
            <v>0</v>
          </cell>
          <cell r="C2216">
            <v>0</v>
          </cell>
          <cell r="D2216">
            <v>0</v>
          </cell>
        </row>
        <row r="2217">
          <cell r="A2217">
            <v>0</v>
          </cell>
          <cell r="C2217">
            <v>0</v>
          </cell>
          <cell r="D2217">
            <v>0</v>
          </cell>
        </row>
        <row r="2218">
          <cell r="A2218">
            <v>0</v>
          </cell>
          <cell r="C2218">
            <v>0</v>
          </cell>
          <cell r="D2218">
            <v>0</v>
          </cell>
        </row>
        <row r="2219">
          <cell r="A2219">
            <v>0</v>
          </cell>
          <cell r="C2219">
            <v>0</v>
          </cell>
          <cell r="D2219">
            <v>0</v>
          </cell>
        </row>
        <row r="2220">
          <cell r="A2220">
            <v>0</v>
          </cell>
          <cell r="C2220">
            <v>0</v>
          </cell>
          <cell r="D2220">
            <v>0</v>
          </cell>
        </row>
        <row r="2221">
          <cell r="A2221">
            <v>0</v>
          </cell>
          <cell r="C2221">
            <v>0</v>
          </cell>
          <cell r="D2221">
            <v>0</v>
          </cell>
        </row>
        <row r="2222">
          <cell r="A2222">
            <v>0</v>
          </cell>
          <cell r="C2222">
            <v>0</v>
          </cell>
          <cell r="D2222">
            <v>0</v>
          </cell>
        </row>
        <row r="2223">
          <cell r="A2223">
            <v>0</v>
          </cell>
          <cell r="C2223">
            <v>0</v>
          </cell>
          <cell r="D2223">
            <v>0</v>
          </cell>
        </row>
        <row r="2224">
          <cell r="A2224">
            <v>0</v>
          </cell>
          <cell r="C2224">
            <v>0</v>
          </cell>
          <cell r="D2224">
            <v>0</v>
          </cell>
        </row>
        <row r="2225">
          <cell r="A2225">
            <v>0</v>
          </cell>
          <cell r="C2225">
            <v>0</v>
          </cell>
          <cell r="D2225">
            <v>0</v>
          </cell>
        </row>
        <row r="2226">
          <cell r="A2226">
            <v>0</v>
          </cell>
          <cell r="C2226">
            <v>0</v>
          </cell>
          <cell r="D2226">
            <v>0</v>
          </cell>
        </row>
        <row r="2227">
          <cell r="A2227">
            <v>0</v>
          </cell>
          <cell r="C2227">
            <v>0</v>
          </cell>
          <cell r="D2227">
            <v>0</v>
          </cell>
        </row>
        <row r="2228">
          <cell r="A2228">
            <v>0</v>
          </cell>
          <cell r="C2228">
            <v>0</v>
          </cell>
          <cell r="D2228">
            <v>0</v>
          </cell>
        </row>
        <row r="2229">
          <cell r="A2229">
            <v>0</v>
          </cell>
          <cell r="C2229">
            <v>0</v>
          </cell>
          <cell r="D2229">
            <v>0</v>
          </cell>
        </row>
        <row r="2230">
          <cell r="A2230">
            <v>0</v>
          </cell>
          <cell r="C2230">
            <v>0</v>
          </cell>
          <cell r="D2230">
            <v>0</v>
          </cell>
        </row>
        <row r="2231">
          <cell r="A2231">
            <v>0</v>
          </cell>
          <cell r="C2231">
            <v>0</v>
          </cell>
          <cell r="D2231">
            <v>0</v>
          </cell>
        </row>
        <row r="2232">
          <cell r="A2232">
            <v>0</v>
          </cell>
          <cell r="C2232">
            <v>0</v>
          </cell>
          <cell r="D2232">
            <v>0</v>
          </cell>
        </row>
        <row r="2233">
          <cell r="A2233">
            <v>0</v>
          </cell>
          <cell r="C2233">
            <v>0</v>
          </cell>
          <cell r="D2233">
            <v>0</v>
          </cell>
        </row>
        <row r="2234">
          <cell r="A2234">
            <v>0</v>
          </cell>
          <cell r="C2234">
            <v>0</v>
          </cell>
          <cell r="D2234">
            <v>0</v>
          </cell>
        </row>
        <row r="2235">
          <cell r="A2235">
            <v>0</v>
          </cell>
          <cell r="C2235">
            <v>0</v>
          </cell>
          <cell r="D2235">
            <v>0</v>
          </cell>
        </row>
        <row r="2236">
          <cell r="A2236">
            <v>0</v>
          </cell>
          <cell r="C2236">
            <v>0</v>
          </cell>
          <cell r="D2236">
            <v>0</v>
          </cell>
        </row>
        <row r="2237">
          <cell r="A2237">
            <v>0</v>
          </cell>
          <cell r="C2237">
            <v>0</v>
          </cell>
          <cell r="D2237">
            <v>0</v>
          </cell>
        </row>
        <row r="2238">
          <cell r="A2238">
            <v>0</v>
          </cell>
          <cell r="C2238">
            <v>0</v>
          </cell>
          <cell r="D2238">
            <v>0</v>
          </cell>
        </row>
        <row r="2239">
          <cell r="A2239">
            <v>0</v>
          </cell>
          <cell r="C2239">
            <v>0</v>
          </cell>
          <cell r="D2239">
            <v>0</v>
          </cell>
        </row>
        <row r="2240">
          <cell r="A2240">
            <v>0</v>
          </cell>
          <cell r="C2240">
            <v>0</v>
          </cell>
          <cell r="D2240">
            <v>0</v>
          </cell>
        </row>
        <row r="2241">
          <cell r="A2241">
            <v>0</v>
          </cell>
          <cell r="C2241">
            <v>0</v>
          </cell>
          <cell r="D2241">
            <v>0</v>
          </cell>
        </row>
        <row r="2242">
          <cell r="A2242">
            <v>0</v>
          </cell>
          <cell r="C2242">
            <v>0</v>
          </cell>
          <cell r="D2242">
            <v>0</v>
          </cell>
        </row>
        <row r="2243">
          <cell r="A2243">
            <v>0</v>
          </cell>
          <cell r="C2243">
            <v>0</v>
          </cell>
          <cell r="D2243">
            <v>0</v>
          </cell>
        </row>
        <row r="2244">
          <cell r="A2244">
            <v>0</v>
          </cell>
          <cell r="C2244">
            <v>0</v>
          </cell>
          <cell r="D2244">
            <v>0</v>
          </cell>
        </row>
        <row r="2245">
          <cell r="A2245">
            <v>0</v>
          </cell>
          <cell r="C2245">
            <v>0</v>
          </cell>
          <cell r="D2245">
            <v>0</v>
          </cell>
        </row>
        <row r="2246">
          <cell r="A2246">
            <v>0</v>
          </cell>
          <cell r="C2246">
            <v>0</v>
          </cell>
          <cell r="D2246">
            <v>0</v>
          </cell>
        </row>
        <row r="2247">
          <cell r="A2247">
            <v>0</v>
          </cell>
          <cell r="C2247">
            <v>0</v>
          </cell>
          <cell r="D2247">
            <v>0</v>
          </cell>
        </row>
        <row r="2248">
          <cell r="A2248">
            <v>0</v>
          </cell>
          <cell r="C2248">
            <v>0</v>
          </cell>
          <cell r="D2248">
            <v>0</v>
          </cell>
        </row>
        <row r="2249">
          <cell r="A2249">
            <v>0</v>
          </cell>
          <cell r="C2249">
            <v>0</v>
          </cell>
          <cell r="D2249">
            <v>0</v>
          </cell>
        </row>
        <row r="2250">
          <cell r="A2250">
            <v>0</v>
          </cell>
          <cell r="C2250">
            <v>0</v>
          </cell>
          <cell r="D2250">
            <v>0</v>
          </cell>
        </row>
        <row r="2251">
          <cell r="A2251">
            <v>0</v>
          </cell>
          <cell r="C2251">
            <v>0</v>
          </cell>
          <cell r="D2251">
            <v>0</v>
          </cell>
        </row>
        <row r="2252">
          <cell r="A2252">
            <v>0</v>
          </cell>
          <cell r="C2252">
            <v>0</v>
          </cell>
          <cell r="D2252">
            <v>0</v>
          </cell>
        </row>
        <row r="2253">
          <cell r="A2253">
            <v>0</v>
          </cell>
          <cell r="C2253">
            <v>0</v>
          </cell>
          <cell r="D2253">
            <v>0</v>
          </cell>
        </row>
        <row r="2254">
          <cell r="A2254">
            <v>0</v>
          </cell>
          <cell r="C2254">
            <v>0</v>
          </cell>
          <cell r="D2254">
            <v>0</v>
          </cell>
        </row>
        <row r="2255">
          <cell r="A2255">
            <v>0</v>
          </cell>
          <cell r="C2255">
            <v>0</v>
          </cell>
          <cell r="D2255">
            <v>0</v>
          </cell>
        </row>
        <row r="2256">
          <cell r="A2256">
            <v>0</v>
          </cell>
          <cell r="C2256">
            <v>0</v>
          </cell>
          <cell r="D2256">
            <v>0</v>
          </cell>
        </row>
        <row r="2257">
          <cell r="A2257">
            <v>0</v>
          </cell>
          <cell r="C2257">
            <v>0</v>
          </cell>
          <cell r="D2257">
            <v>0</v>
          </cell>
        </row>
        <row r="2258">
          <cell r="A2258">
            <v>0</v>
          </cell>
          <cell r="C2258">
            <v>0</v>
          </cell>
          <cell r="D2258">
            <v>0</v>
          </cell>
        </row>
        <row r="2259">
          <cell r="A2259">
            <v>0</v>
          </cell>
          <cell r="C2259">
            <v>0</v>
          </cell>
          <cell r="D2259">
            <v>0</v>
          </cell>
        </row>
        <row r="2260">
          <cell r="A2260">
            <v>0</v>
          </cell>
          <cell r="C2260">
            <v>0</v>
          </cell>
          <cell r="D2260">
            <v>0</v>
          </cell>
        </row>
        <row r="2261">
          <cell r="A2261">
            <v>0</v>
          </cell>
          <cell r="C2261">
            <v>0</v>
          </cell>
          <cell r="D2261">
            <v>0</v>
          </cell>
        </row>
        <row r="2262">
          <cell r="A2262">
            <v>0</v>
          </cell>
          <cell r="C2262">
            <v>0</v>
          </cell>
          <cell r="D2262">
            <v>0</v>
          </cell>
        </row>
        <row r="2263">
          <cell r="A2263">
            <v>0</v>
          </cell>
          <cell r="C2263">
            <v>0</v>
          </cell>
          <cell r="D2263">
            <v>0</v>
          </cell>
        </row>
        <row r="2264">
          <cell r="A2264">
            <v>0</v>
          </cell>
          <cell r="C2264">
            <v>0</v>
          </cell>
          <cell r="D2264">
            <v>0</v>
          </cell>
        </row>
        <row r="2265">
          <cell r="A2265">
            <v>0</v>
          </cell>
          <cell r="C2265">
            <v>0</v>
          </cell>
          <cell r="D2265">
            <v>0</v>
          </cell>
        </row>
        <row r="2266">
          <cell r="A2266">
            <v>0</v>
          </cell>
          <cell r="C2266">
            <v>0</v>
          </cell>
          <cell r="D2266">
            <v>0</v>
          </cell>
        </row>
        <row r="2267">
          <cell r="A2267">
            <v>0</v>
          </cell>
          <cell r="C2267">
            <v>0</v>
          </cell>
          <cell r="D2267">
            <v>0</v>
          </cell>
        </row>
        <row r="2268">
          <cell r="A2268">
            <v>0</v>
          </cell>
          <cell r="C2268">
            <v>0</v>
          </cell>
          <cell r="D2268">
            <v>0</v>
          </cell>
        </row>
        <row r="2269">
          <cell r="A2269">
            <v>0</v>
          </cell>
          <cell r="C2269">
            <v>0</v>
          </cell>
          <cell r="D2269">
            <v>0</v>
          </cell>
        </row>
        <row r="2270">
          <cell r="A2270">
            <v>0</v>
          </cell>
          <cell r="C2270">
            <v>0</v>
          </cell>
          <cell r="D2270">
            <v>0</v>
          </cell>
        </row>
        <row r="2271">
          <cell r="A2271">
            <v>0</v>
          </cell>
          <cell r="C2271">
            <v>0</v>
          </cell>
          <cell r="D2271">
            <v>0</v>
          </cell>
        </row>
        <row r="2272">
          <cell r="A2272">
            <v>0</v>
          </cell>
          <cell r="C2272">
            <v>0</v>
          </cell>
          <cell r="D2272">
            <v>0</v>
          </cell>
        </row>
        <row r="2273">
          <cell r="A2273">
            <v>0</v>
          </cell>
          <cell r="C2273">
            <v>0</v>
          </cell>
          <cell r="D2273">
            <v>0</v>
          </cell>
        </row>
        <row r="2274">
          <cell r="A2274">
            <v>0</v>
          </cell>
          <cell r="C2274">
            <v>0</v>
          </cell>
          <cell r="D2274">
            <v>0</v>
          </cell>
        </row>
        <row r="2275">
          <cell r="A2275">
            <v>0</v>
          </cell>
          <cell r="C2275">
            <v>0</v>
          </cell>
          <cell r="D2275">
            <v>0</v>
          </cell>
        </row>
        <row r="2276">
          <cell r="A2276">
            <v>0</v>
          </cell>
          <cell r="C2276">
            <v>0</v>
          </cell>
          <cell r="D2276">
            <v>0</v>
          </cell>
        </row>
        <row r="2277">
          <cell r="A2277">
            <v>0</v>
          </cell>
          <cell r="C2277">
            <v>0</v>
          </cell>
          <cell r="D2277">
            <v>0</v>
          </cell>
        </row>
        <row r="2278">
          <cell r="A2278">
            <v>0</v>
          </cell>
          <cell r="C2278">
            <v>0</v>
          </cell>
          <cell r="D2278">
            <v>0</v>
          </cell>
        </row>
        <row r="2279">
          <cell r="A2279">
            <v>0</v>
          </cell>
          <cell r="C2279">
            <v>0</v>
          </cell>
          <cell r="D2279">
            <v>0</v>
          </cell>
        </row>
        <row r="2280">
          <cell r="A2280">
            <v>0</v>
          </cell>
          <cell r="C2280">
            <v>0</v>
          </cell>
          <cell r="D2280">
            <v>0</v>
          </cell>
        </row>
        <row r="2281">
          <cell r="A2281">
            <v>0</v>
          </cell>
          <cell r="C2281">
            <v>0</v>
          </cell>
          <cell r="D2281">
            <v>0</v>
          </cell>
        </row>
        <row r="2282">
          <cell r="A2282">
            <v>0</v>
          </cell>
          <cell r="C2282">
            <v>0</v>
          </cell>
          <cell r="D2282">
            <v>0</v>
          </cell>
        </row>
        <row r="2283">
          <cell r="A2283">
            <v>0</v>
          </cell>
          <cell r="C2283">
            <v>0</v>
          </cell>
          <cell r="D2283">
            <v>0</v>
          </cell>
        </row>
        <row r="2284">
          <cell r="A2284">
            <v>0</v>
          </cell>
          <cell r="C2284">
            <v>0</v>
          </cell>
          <cell r="D2284">
            <v>0</v>
          </cell>
        </row>
        <row r="2285">
          <cell r="A2285">
            <v>0</v>
          </cell>
          <cell r="C2285">
            <v>0</v>
          </cell>
          <cell r="D2285">
            <v>0</v>
          </cell>
        </row>
        <row r="2286">
          <cell r="A2286">
            <v>0</v>
          </cell>
          <cell r="C2286">
            <v>0</v>
          </cell>
          <cell r="D2286">
            <v>0</v>
          </cell>
        </row>
        <row r="2287">
          <cell r="A2287">
            <v>0</v>
          </cell>
          <cell r="C2287">
            <v>0</v>
          </cell>
          <cell r="D2287">
            <v>0</v>
          </cell>
        </row>
        <row r="2288">
          <cell r="A2288">
            <v>0</v>
          </cell>
          <cell r="C2288">
            <v>0</v>
          </cell>
          <cell r="D2288">
            <v>0</v>
          </cell>
        </row>
        <row r="2289">
          <cell r="A2289">
            <v>0</v>
          </cell>
          <cell r="C2289">
            <v>0</v>
          </cell>
          <cell r="D2289">
            <v>0</v>
          </cell>
        </row>
        <row r="2290">
          <cell r="A2290">
            <v>0</v>
          </cell>
          <cell r="C2290">
            <v>0</v>
          </cell>
          <cell r="D2290">
            <v>0</v>
          </cell>
        </row>
        <row r="2291">
          <cell r="A2291">
            <v>0</v>
          </cell>
          <cell r="C2291">
            <v>0</v>
          </cell>
          <cell r="D2291">
            <v>0</v>
          </cell>
        </row>
        <row r="2292">
          <cell r="A2292">
            <v>0</v>
          </cell>
          <cell r="C2292">
            <v>0</v>
          </cell>
          <cell r="D2292">
            <v>0</v>
          </cell>
        </row>
        <row r="2293">
          <cell r="A2293">
            <v>0</v>
          </cell>
          <cell r="C2293">
            <v>0</v>
          </cell>
          <cell r="D2293">
            <v>0</v>
          </cell>
        </row>
        <row r="2294">
          <cell r="A2294">
            <v>0</v>
          </cell>
          <cell r="C2294">
            <v>0</v>
          </cell>
          <cell r="D2294">
            <v>0</v>
          </cell>
        </row>
        <row r="2295">
          <cell r="A2295">
            <v>0</v>
          </cell>
          <cell r="C2295">
            <v>0</v>
          </cell>
          <cell r="D2295">
            <v>0</v>
          </cell>
        </row>
        <row r="2296">
          <cell r="A2296">
            <v>0</v>
          </cell>
          <cell r="C2296">
            <v>0</v>
          </cell>
          <cell r="D2296">
            <v>0</v>
          </cell>
        </row>
        <row r="2297">
          <cell r="A2297">
            <v>0</v>
          </cell>
          <cell r="C2297">
            <v>0</v>
          </cell>
          <cell r="D2297">
            <v>0</v>
          </cell>
        </row>
        <row r="2298">
          <cell r="A2298">
            <v>0</v>
          </cell>
          <cell r="C2298">
            <v>0</v>
          </cell>
          <cell r="D2298">
            <v>0</v>
          </cell>
        </row>
        <row r="2299">
          <cell r="A2299">
            <v>0</v>
          </cell>
          <cell r="C2299">
            <v>0</v>
          </cell>
          <cell r="D2299">
            <v>0</v>
          </cell>
        </row>
        <row r="2300">
          <cell r="A2300">
            <v>0</v>
          </cell>
          <cell r="C2300">
            <v>0</v>
          </cell>
          <cell r="D2300">
            <v>0</v>
          </cell>
        </row>
        <row r="2301">
          <cell r="A2301">
            <v>0</v>
          </cell>
          <cell r="C2301">
            <v>0</v>
          </cell>
          <cell r="D2301">
            <v>0</v>
          </cell>
        </row>
        <row r="2302">
          <cell r="A2302">
            <v>0</v>
          </cell>
          <cell r="C2302">
            <v>0</v>
          </cell>
          <cell r="D2302">
            <v>0</v>
          </cell>
        </row>
        <row r="2303">
          <cell r="A2303">
            <v>0</v>
          </cell>
          <cell r="C2303">
            <v>0</v>
          </cell>
          <cell r="D2303">
            <v>0</v>
          </cell>
        </row>
        <row r="2304">
          <cell r="A2304">
            <v>0</v>
          </cell>
          <cell r="C2304">
            <v>0</v>
          </cell>
          <cell r="D2304">
            <v>0</v>
          </cell>
        </row>
        <row r="2305">
          <cell r="A2305">
            <v>0</v>
          </cell>
          <cell r="C2305">
            <v>0</v>
          </cell>
          <cell r="D2305">
            <v>0</v>
          </cell>
        </row>
        <row r="2306">
          <cell r="A2306">
            <v>0</v>
          </cell>
          <cell r="C2306">
            <v>0</v>
          </cell>
          <cell r="D2306">
            <v>0</v>
          </cell>
        </row>
        <row r="2307">
          <cell r="A2307">
            <v>0</v>
          </cell>
          <cell r="C2307">
            <v>0</v>
          </cell>
          <cell r="D2307">
            <v>0</v>
          </cell>
        </row>
        <row r="2308">
          <cell r="A2308">
            <v>0</v>
          </cell>
          <cell r="C2308">
            <v>0</v>
          </cell>
          <cell r="D2308">
            <v>0</v>
          </cell>
        </row>
        <row r="2309">
          <cell r="A2309">
            <v>0</v>
          </cell>
          <cell r="C2309">
            <v>0</v>
          </cell>
          <cell r="D2309">
            <v>0</v>
          </cell>
        </row>
        <row r="2310">
          <cell r="A2310">
            <v>0</v>
          </cell>
          <cell r="C2310">
            <v>0</v>
          </cell>
          <cell r="D2310">
            <v>0</v>
          </cell>
        </row>
        <row r="2311">
          <cell r="A2311">
            <v>0</v>
          </cell>
          <cell r="C2311">
            <v>0</v>
          </cell>
          <cell r="D2311">
            <v>0</v>
          </cell>
        </row>
        <row r="2312">
          <cell r="A2312">
            <v>0</v>
          </cell>
          <cell r="C2312">
            <v>0</v>
          </cell>
          <cell r="D2312">
            <v>0</v>
          </cell>
        </row>
        <row r="2313">
          <cell r="A2313">
            <v>0</v>
          </cell>
          <cell r="C2313">
            <v>0</v>
          </cell>
          <cell r="D2313">
            <v>0</v>
          </cell>
        </row>
        <row r="2314">
          <cell r="A2314">
            <v>0</v>
          </cell>
          <cell r="C2314">
            <v>0</v>
          </cell>
          <cell r="D2314">
            <v>0</v>
          </cell>
        </row>
        <row r="2315">
          <cell r="A2315">
            <v>0</v>
          </cell>
          <cell r="C2315">
            <v>0</v>
          </cell>
          <cell r="D2315">
            <v>0</v>
          </cell>
        </row>
        <row r="2316">
          <cell r="A2316">
            <v>0</v>
          </cell>
          <cell r="C2316">
            <v>0</v>
          </cell>
          <cell r="D2316">
            <v>0</v>
          </cell>
        </row>
        <row r="2317">
          <cell r="A2317">
            <v>0</v>
          </cell>
          <cell r="C2317">
            <v>0</v>
          </cell>
          <cell r="D2317">
            <v>0</v>
          </cell>
        </row>
        <row r="2318">
          <cell r="A2318">
            <v>0</v>
          </cell>
          <cell r="C2318">
            <v>0</v>
          </cell>
          <cell r="D2318">
            <v>0</v>
          </cell>
        </row>
        <row r="2319">
          <cell r="A2319">
            <v>0</v>
          </cell>
          <cell r="C2319">
            <v>0</v>
          </cell>
          <cell r="D2319">
            <v>0</v>
          </cell>
        </row>
        <row r="2320">
          <cell r="A2320">
            <v>0</v>
          </cell>
          <cell r="C2320">
            <v>0</v>
          </cell>
          <cell r="D2320">
            <v>0</v>
          </cell>
        </row>
        <row r="2321">
          <cell r="A2321">
            <v>0</v>
          </cell>
          <cell r="C2321">
            <v>0</v>
          </cell>
          <cell r="D2321">
            <v>0</v>
          </cell>
        </row>
        <row r="2322">
          <cell r="A2322">
            <v>0</v>
          </cell>
          <cell r="C2322">
            <v>0</v>
          </cell>
          <cell r="D2322">
            <v>0</v>
          </cell>
        </row>
        <row r="2323">
          <cell r="A2323">
            <v>0</v>
          </cell>
          <cell r="C2323">
            <v>0</v>
          </cell>
          <cell r="D2323">
            <v>0</v>
          </cell>
        </row>
        <row r="2324">
          <cell r="A2324">
            <v>0</v>
          </cell>
          <cell r="C2324">
            <v>0</v>
          </cell>
          <cell r="D2324">
            <v>0</v>
          </cell>
        </row>
        <row r="2325">
          <cell r="A2325">
            <v>0</v>
          </cell>
          <cell r="C2325">
            <v>0</v>
          </cell>
          <cell r="D2325">
            <v>0</v>
          </cell>
        </row>
        <row r="2326">
          <cell r="A2326">
            <v>0</v>
          </cell>
          <cell r="C2326">
            <v>0</v>
          </cell>
          <cell r="D2326">
            <v>0</v>
          </cell>
        </row>
        <row r="2327">
          <cell r="A2327">
            <v>0</v>
          </cell>
          <cell r="C2327">
            <v>0</v>
          </cell>
          <cell r="D2327">
            <v>0</v>
          </cell>
        </row>
        <row r="2328">
          <cell r="A2328">
            <v>0</v>
          </cell>
          <cell r="C2328">
            <v>0</v>
          </cell>
          <cell r="D2328">
            <v>0</v>
          </cell>
        </row>
        <row r="2329">
          <cell r="A2329">
            <v>0</v>
          </cell>
          <cell r="C2329">
            <v>0</v>
          </cell>
          <cell r="D2329">
            <v>0</v>
          </cell>
        </row>
        <row r="2330">
          <cell r="A2330">
            <v>0</v>
          </cell>
          <cell r="C2330">
            <v>0</v>
          </cell>
          <cell r="D2330">
            <v>0</v>
          </cell>
        </row>
        <row r="2331">
          <cell r="A2331">
            <v>0</v>
          </cell>
          <cell r="C2331">
            <v>0</v>
          </cell>
          <cell r="D2331">
            <v>0</v>
          </cell>
        </row>
        <row r="2332">
          <cell r="A2332">
            <v>0</v>
          </cell>
          <cell r="C2332">
            <v>0</v>
          </cell>
          <cell r="D2332">
            <v>0</v>
          </cell>
        </row>
        <row r="2333">
          <cell r="A2333">
            <v>0</v>
          </cell>
          <cell r="C2333">
            <v>0</v>
          </cell>
          <cell r="D2333">
            <v>0</v>
          </cell>
        </row>
        <row r="2334">
          <cell r="A2334">
            <v>0</v>
          </cell>
          <cell r="C2334">
            <v>0</v>
          </cell>
          <cell r="D2334">
            <v>0</v>
          </cell>
        </row>
        <row r="2335">
          <cell r="A2335">
            <v>0</v>
          </cell>
          <cell r="C2335">
            <v>0</v>
          </cell>
          <cell r="D2335">
            <v>0</v>
          </cell>
        </row>
        <row r="2336">
          <cell r="A2336">
            <v>0</v>
          </cell>
          <cell r="C2336">
            <v>0</v>
          </cell>
          <cell r="D2336">
            <v>0</v>
          </cell>
        </row>
        <row r="2337">
          <cell r="A2337">
            <v>0</v>
          </cell>
          <cell r="C2337">
            <v>0</v>
          </cell>
          <cell r="D2337">
            <v>0</v>
          </cell>
        </row>
        <row r="2338">
          <cell r="A2338">
            <v>0</v>
          </cell>
          <cell r="C2338">
            <v>0</v>
          </cell>
          <cell r="D2338">
            <v>0</v>
          </cell>
        </row>
        <row r="2339">
          <cell r="A2339">
            <v>0</v>
          </cell>
          <cell r="C2339">
            <v>0</v>
          </cell>
          <cell r="D2339">
            <v>0</v>
          </cell>
        </row>
        <row r="2340">
          <cell r="A2340">
            <v>0</v>
          </cell>
          <cell r="C2340">
            <v>0</v>
          </cell>
          <cell r="D2340">
            <v>0</v>
          </cell>
        </row>
        <row r="2341">
          <cell r="A2341">
            <v>0</v>
          </cell>
          <cell r="C2341">
            <v>0</v>
          </cell>
          <cell r="D2341">
            <v>0</v>
          </cell>
        </row>
        <row r="2342">
          <cell r="A2342">
            <v>0</v>
          </cell>
          <cell r="C2342">
            <v>0</v>
          </cell>
          <cell r="D2342">
            <v>0</v>
          </cell>
        </row>
        <row r="2343">
          <cell r="A2343">
            <v>0</v>
          </cell>
          <cell r="C2343">
            <v>0</v>
          </cell>
          <cell r="D2343">
            <v>0</v>
          </cell>
        </row>
        <row r="2344">
          <cell r="A2344">
            <v>0</v>
          </cell>
          <cell r="C2344">
            <v>0</v>
          </cell>
          <cell r="D2344">
            <v>0</v>
          </cell>
        </row>
        <row r="2345">
          <cell r="A2345">
            <v>0</v>
          </cell>
          <cell r="C2345">
            <v>0</v>
          </cell>
          <cell r="D2345">
            <v>0</v>
          </cell>
        </row>
        <row r="2346">
          <cell r="A2346">
            <v>0</v>
          </cell>
          <cell r="C2346">
            <v>0</v>
          </cell>
          <cell r="D2346">
            <v>0</v>
          </cell>
        </row>
        <row r="2347">
          <cell r="A2347">
            <v>0</v>
          </cell>
          <cell r="C2347">
            <v>0</v>
          </cell>
          <cell r="D2347">
            <v>0</v>
          </cell>
        </row>
        <row r="2348">
          <cell r="A2348">
            <v>0</v>
          </cell>
          <cell r="C2348">
            <v>0</v>
          </cell>
          <cell r="D2348">
            <v>0</v>
          </cell>
        </row>
        <row r="2349">
          <cell r="A2349">
            <v>0</v>
          </cell>
          <cell r="C2349">
            <v>0</v>
          </cell>
          <cell r="D2349">
            <v>0</v>
          </cell>
        </row>
        <row r="2350">
          <cell r="A2350">
            <v>0</v>
          </cell>
          <cell r="C2350">
            <v>0</v>
          </cell>
          <cell r="D2350">
            <v>0</v>
          </cell>
        </row>
        <row r="2351">
          <cell r="A2351">
            <v>0</v>
          </cell>
          <cell r="C2351">
            <v>0</v>
          </cell>
          <cell r="D2351">
            <v>0</v>
          </cell>
        </row>
        <row r="2352">
          <cell r="A2352">
            <v>0</v>
          </cell>
          <cell r="C2352">
            <v>0</v>
          </cell>
          <cell r="D2352">
            <v>0</v>
          </cell>
        </row>
        <row r="2353">
          <cell r="A2353">
            <v>0</v>
          </cell>
          <cell r="C2353">
            <v>0</v>
          </cell>
          <cell r="D2353">
            <v>0</v>
          </cell>
        </row>
        <row r="2354">
          <cell r="A2354">
            <v>0</v>
          </cell>
          <cell r="C2354">
            <v>0</v>
          </cell>
          <cell r="D2354">
            <v>0</v>
          </cell>
        </row>
        <row r="2355">
          <cell r="A2355">
            <v>0</v>
          </cell>
          <cell r="C2355">
            <v>0</v>
          </cell>
          <cell r="D2355">
            <v>0</v>
          </cell>
        </row>
        <row r="2356">
          <cell r="A2356">
            <v>0</v>
          </cell>
          <cell r="C2356">
            <v>0</v>
          </cell>
          <cell r="D2356">
            <v>0</v>
          </cell>
        </row>
        <row r="2357">
          <cell r="A2357">
            <v>0</v>
          </cell>
          <cell r="C2357">
            <v>0</v>
          </cell>
          <cell r="D2357">
            <v>0</v>
          </cell>
        </row>
        <row r="2358">
          <cell r="A2358">
            <v>0</v>
          </cell>
          <cell r="C2358">
            <v>0</v>
          </cell>
          <cell r="D2358">
            <v>0</v>
          </cell>
        </row>
        <row r="2359">
          <cell r="A2359">
            <v>0</v>
          </cell>
          <cell r="C2359">
            <v>0</v>
          </cell>
          <cell r="D2359">
            <v>0</v>
          </cell>
        </row>
        <row r="2360">
          <cell r="A2360">
            <v>0</v>
          </cell>
          <cell r="C2360">
            <v>0</v>
          </cell>
          <cell r="D2360">
            <v>0</v>
          </cell>
        </row>
        <row r="2361">
          <cell r="A2361">
            <v>0</v>
          </cell>
          <cell r="C2361">
            <v>0</v>
          </cell>
          <cell r="D2361">
            <v>0</v>
          </cell>
        </row>
        <row r="2362">
          <cell r="A2362">
            <v>0</v>
          </cell>
          <cell r="C2362">
            <v>0</v>
          </cell>
          <cell r="D2362">
            <v>0</v>
          </cell>
        </row>
        <row r="2363">
          <cell r="A2363">
            <v>0</v>
          </cell>
          <cell r="C2363">
            <v>0</v>
          </cell>
          <cell r="D2363">
            <v>0</v>
          </cell>
        </row>
        <row r="2364">
          <cell r="A2364">
            <v>0</v>
          </cell>
          <cell r="C2364">
            <v>0</v>
          </cell>
          <cell r="D2364">
            <v>0</v>
          </cell>
        </row>
        <row r="2365">
          <cell r="A2365">
            <v>0</v>
          </cell>
          <cell r="C2365">
            <v>0</v>
          </cell>
          <cell r="D2365">
            <v>0</v>
          </cell>
        </row>
        <row r="2366">
          <cell r="A2366">
            <v>0</v>
          </cell>
          <cell r="C2366">
            <v>0</v>
          </cell>
          <cell r="D2366">
            <v>0</v>
          </cell>
        </row>
        <row r="2367">
          <cell r="A2367">
            <v>0</v>
          </cell>
          <cell r="C2367">
            <v>0</v>
          </cell>
          <cell r="D2367">
            <v>0</v>
          </cell>
        </row>
        <row r="2368">
          <cell r="A2368">
            <v>0</v>
          </cell>
          <cell r="C2368">
            <v>0</v>
          </cell>
          <cell r="D2368">
            <v>0</v>
          </cell>
        </row>
        <row r="2369">
          <cell r="A2369">
            <v>0</v>
          </cell>
          <cell r="C2369">
            <v>0</v>
          </cell>
          <cell r="D2369">
            <v>0</v>
          </cell>
        </row>
        <row r="2370">
          <cell r="A2370">
            <v>0</v>
          </cell>
          <cell r="C2370">
            <v>0</v>
          </cell>
          <cell r="D2370">
            <v>0</v>
          </cell>
        </row>
        <row r="2371">
          <cell r="A2371">
            <v>0</v>
          </cell>
          <cell r="C2371">
            <v>0</v>
          </cell>
          <cell r="D2371">
            <v>0</v>
          </cell>
        </row>
        <row r="2372">
          <cell r="A2372">
            <v>0</v>
          </cell>
          <cell r="C2372">
            <v>0</v>
          </cell>
          <cell r="D2372">
            <v>0</v>
          </cell>
        </row>
        <row r="2373">
          <cell r="A2373">
            <v>0</v>
          </cell>
          <cell r="C2373">
            <v>0</v>
          </cell>
          <cell r="D2373">
            <v>0</v>
          </cell>
        </row>
        <row r="2374">
          <cell r="A2374">
            <v>0</v>
          </cell>
          <cell r="C2374">
            <v>0</v>
          </cell>
          <cell r="D2374">
            <v>0</v>
          </cell>
        </row>
        <row r="2375">
          <cell r="A2375">
            <v>0</v>
          </cell>
          <cell r="C2375">
            <v>0</v>
          </cell>
          <cell r="D2375">
            <v>0</v>
          </cell>
        </row>
        <row r="2376">
          <cell r="A2376">
            <v>0</v>
          </cell>
          <cell r="C2376">
            <v>0</v>
          </cell>
          <cell r="D2376">
            <v>0</v>
          </cell>
        </row>
        <row r="2377">
          <cell r="A2377">
            <v>0</v>
          </cell>
          <cell r="C2377">
            <v>0</v>
          </cell>
          <cell r="D2377">
            <v>0</v>
          </cell>
        </row>
        <row r="2378">
          <cell r="A2378">
            <v>0</v>
          </cell>
          <cell r="C2378">
            <v>0</v>
          </cell>
          <cell r="D2378">
            <v>0</v>
          </cell>
        </row>
        <row r="2379">
          <cell r="A2379">
            <v>0</v>
          </cell>
          <cell r="C2379">
            <v>0</v>
          </cell>
          <cell r="D2379">
            <v>0</v>
          </cell>
        </row>
        <row r="2380">
          <cell r="A2380">
            <v>0</v>
          </cell>
          <cell r="C2380">
            <v>0</v>
          </cell>
          <cell r="D2380">
            <v>0</v>
          </cell>
        </row>
        <row r="2381">
          <cell r="A2381">
            <v>0</v>
          </cell>
          <cell r="C2381">
            <v>0</v>
          </cell>
          <cell r="D2381">
            <v>0</v>
          </cell>
        </row>
        <row r="2382">
          <cell r="A2382">
            <v>0</v>
          </cell>
          <cell r="C2382">
            <v>0</v>
          </cell>
          <cell r="D2382">
            <v>0</v>
          </cell>
        </row>
        <row r="2383">
          <cell r="A2383">
            <v>0</v>
          </cell>
          <cell r="C2383">
            <v>0</v>
          </cell>
          <cell r="D2383">
            <v>0</v>
          </cell>
        </row>
        <row r="2384">
          <cell r="A2384">
            <v>0</v>
          </cell>
          <cell r="C2384">
            <v>0</v>
          </cell>
          <cell r="D2384">
            <v>0</v>
          </cell>
        </row>
        <row r="2385">
          <cell r="A2385">
            <v>0</v>
          </cell>
          <cell r="C2385">
            <v>0</v>
          </cell>
          <cell r="D2385">
            <v>0</v>
          </cell>
        </row>
        <row r="2386">
          <cell r="A2386">
            <v>0</v>
          </cell>
          <cell r="C2386">
            <v>0</v>
          </cell>
          <cell r="D2386">
            <v>0</v>
          </cell>
        </row>
        <row r="2387">
          <cell r="A2387">
            <v>0</v>
          </cell>
          <cell r="C2387">
            <v>0</v>
          </cell>
          <cell r="D2387">
            <v>0</v>
          </cell>
        </row>
        <row r="2388">
          <cell r="A2388">
            <v>0</v>
          </cell>
          <cell r="C2388">
            <v>0</v>
          </cell>
          <cell r="D2388">
            <v>0</v>
          </cell>
        </row>
        <row r="2389">
          <cell r="A2389">
            <v>0</v>
          </cell>
          <cell r="C2389">
            <v>0</v>
          </cell>
          <cell r="D2389">
            <v>0</v>
          </cell>
        </row>
        <row r="2390">
          <cell r="A2390">
            <v>0</v>
          </cell>
          <cell r="C2390">
            <v>0</v>
          </cell>
          <cell r="D2390">
            <v>0</v>
          </cell>
        </row>
        <row r="2391">
          <cell r="A2391">
            <v>0</v>
          </cell>
          <cell r="C2391">
            <v>0</v>
          </cell>
          <cell r="D2391">
            <v>0</v>
          </cell>
        </row>
        <row r="2392">
          <cell r="A2392">
            <v>0</v>
          </cell>
          <cell r="C2392">
            <v>0</v>
          </cell>
          <cell r="D2392">
            <v>0</v>
          </cell>
        </row>
        <row r="2393">
          <cell r="A2393">
            <v>0</v>
          </cell>
          <cell r="C2393">
            <v>0</v>
          </cell>
          <cell r="D2393">
            <v>0</v>
          </cell>
        </row>
        <row r="2394">
          <cell r="A2394">
            <v>0</v>
          </cell>
          <cell r="C2394">
            <v>0</v>
          </cell>
          <cell r="D2394">
            <v>0</v>
          </cell>
        </row>
        <row r="2395">
          <cell r="A2395">
            <v>0</v>
          </cell>
          <cell r="C2395">
            <v>0</v>
          </cell>
          <cell r="D2395">
            <v>0</v>
          </cell>
        </row>
        <row r="2396">
          <cell r="A2396">
            <v>0</v>
          </cell>
          <cell r="C2396">
            <v>0</v>
          </cell>
          <cell r="D2396">
            <v>0</v>
          </cell>
        </row>
        <row r="2397">
          <cell r="A2397">
            <v>0</v>
          </cell>
          <cell r="C2397">
            <v>0</v>
          </cell>
          <cell r="D2397">
            <v>0</v>
          </cell>
        </row>
        <row r="2398">
          <cell r="A2398">
            <v>0</v>
          </cell>
          <cell r="C2398">
            <v>0</v>
          </cell>
          <cell r="D2398">
            <v>0</v>
          </cell>
        </row>
        <row r="2399">
          <cell r="A2399">
            <v>0</v>
          </cell>
          <cell r="C2399">
            <v>0</v>
          </cell>
          <cell r="D2399">
            <v>0</v>
          </cell>
        </row>
        <row r="2400">
          <cell r="A2400">
            <v>0</v>
          </cell>
          <cell r="C2400">
            <v>0</v>
          </cell>
          <cell r="D2400">
            <v>0</v>
          </cell>
        </row>
        <row r="2401">
          <cell r="A2401">
            <v>0</v>
          </cell>
          <cell r="C2401">
            <v>0</v>
          </cell>
          <cell r="D2401">
            <v>0</v>
          </cell>
        </row>
        <row r="2402">
          <cell r="A2402">
            <v>0</v>
          </cell>
          <cell r="C2402">
            <v>0</v>
          </cell>
          <cell r="D2402">
            <v>0</v>
          </cell>
        </row>
        <row r="2403">
          <cell r="A2403">
            <v>0</v>
          </cell>
          <cell r="C2403">
            <v>0</v>
          </cell>
          <cell r="D2403">
            <v>0</v>
          </cell>
        </row>
        <row r="2404">
          <cell r="A2404">
            <v>0</v>
          </cell>
          <cell r="C2404">
            <v>0</v>
          </cell>
          <cell r="D2404">
            <v>0</v>
          </cell>
        </row>
        <row r="2405">
          <cell r="A2405">
            <v>0</v>
          </cell>
          <cell r="C2405">
            <v>0</v>
          </cell>
          <cell r="D2405">
            <v>0</v>
          </cell>
        </row>
        <row r="2406">
          <cell r="A2406">
            <v>0</v>
          </cell>
          <cell r="C2406">
            <v>0</v>
          </cell>
          <cell r="D2406">
            <v>0</v>
          </cell>
        </row>
        <row r="2407">
          <cell r="A2407">
            <v>0</v>
          </cell>
          <cell r="C2407">
            <v>0</v>
          </cell>
          <cell r="D2407">
            <v>0</v>
          </cell>
        </row>
        <row r="2408">
          <cell r="A2408">
            <v>0</v>
          </cell>
          <cell r="C2408">
            <v>0</v>
          </cell>
          <cell r="D2408">
            <v>0</v>
          </cell>
        </row>
        <row r="2409">
          <cell r="A2409">
            <v>0</v>
          </cell>
          <cell r="C2409">
            <v>0</v>
          </cell>
          <cell r="D2409">
            <v>0</v>
          </cell>
        </row>
        <row r="2410">
          <cell r="A2410">
            <v>0</v>
          </cell>
          <cell r="C2410">
            <v>0</v>
          </cell>
          <cell r="D2410">
            <v>0</v>
          </cell>
        </row>
        <row r="2411">
          <cell r="A2411">
            <v>0</v>
          </cell>
          <cell r="C2411">
            <v>0</v>
          </cell>
          <cell r="D2411">
            <v>0</v>
          </cell>
        </row>
        <row r="2412">
          <cell r="A2412">
            <v>0</v>
          </cell>
          <cell r="C2412">
            <v>0</v>
          </cell>
          <cell r="D2412">
            <v>0</v>
          </cell>
        </row>
        <row r="2413">
          <cell r="A2413">
            <v>0</v>
          </cell>
          <cell r="C2413">
            <v>0</v>
          </cell>
          <cell r="D2413">
            <v>0</v>
          </cell>
        </row>
        <row r="2414">
          <cell r="A2414">
            <v>0</v>
          </cell>
          <cell r="C2414">
            <v>0</v>
          </cell>
          <cell r="D2414">
            <v>0</v>
          </cell>
        </row>
        <row r="2415">
          <cell r="A2415">
            <v>0</v>
          </cell>
          <cell r="C2415">
            <v>0</v>
          </cell>
          <cell r="D2415">
            <v>0</v>
          </cell>
        </row>
        <row r="2416">
          <cell r="A2416">
            <v>0</v>
          </cell>
          <cell r="C2416">
            <v>0</v>
          </cell>
          <cell r="D2416">
            <v>0</v>
          </cell>
        </row>
        <row r="2417">
          <cell r="A2417">
            <v>0</v>
          </cell>
          <cell r="C2417">
            <v>0</v>
          </cell>
          <cell r="D2417">
            <v>0</v>
          </cell>
        </row>
        <row r="2418">
          <cell r="A2418">
            <v>0</v>
          </cell>
          <cell r="C2418">
            <v>0</v>
          </cell>
          <cell r="D2418">
            <v>0</v>
          </cell>
        </row>
        <row r="2419">
          <cell r="A2419">
            <v>0</v>
          </cell>
          <cell r="C2419">
            <v>0</v>
          </cell>
          <cell r="D2419">
            <v>0</v>
          </cell>
        </row>
        <row r="2420">
          <cell r="A2420">
            <v>0</v>
          </cell>
          <cell r="C2420">
            <v>0</v>
          </cell>
          <cell r="D2420">
            <v>0</v>
          </cell>
        </row>
        <row r="2421">
          <cell r="A2421">
            <v>0</v>
          </cell>
          <cell r="C2421">
            <v>0</v>
          </cell>
          <cell r="D2421">
            <v>0</v>
          </cell>
        </row>
        <row r="2422">
          <cell r="A2422">
            <v>0</v>
          </cell>
          <cell r="C2422">
            <v>0</v>
          </cell>
          <cell r="D2422">
            <v>0</v>
          </cell>
        </row>
        <row r="2423">
          <cell r="A2423">
            <v>0</v>
          </cell>
          <cell r="C2423">
            <v>0</v>
          </cell>
          <cell r="D2423">
            <v>0</v>
          </cell>
        </row>
        <row r="2424">
          <cell r="A2424">
            <v>0</v>
          </cell>
          <cell r="C2424">
            <v>0</v>
          </cell>
          <cell r="D2424">
            <v>0</v>
          </cell>
        </row>
        <row r="2425">
          <cell r="A2425">
            <v>0</v>
          </cell>
          <cell r="C2425">
            <v>0</v>
          </cell>
          <cell r="D2425">
            <v>0</v>
          </cell>
        </row>
        <row r="2426">
          <cell r="A2426">
            <v>0</v>
          </cell>
          <cell r="C2426">
            <v>0</v>
          </cell>
          <cell r="D2426">
            <v>0</v>
          </cell>
        </row>
        <row r="2427">
          <cell r="A2427">
            <v>0</v>
          </cell>
          <cell r="C2427">
            <v>0</v>
          </cell>
          <cell r="D2427">
            <v>0</v>
          </cell>
        </row>
        <row r="2428">
          <cell r="A2428">
            <v>0</v>
          </cell>
          <cell r="C2428">
            <v>0</v>
          </cell>
          <cell r="D2428">
            <v>0</v>
          </cell>
        </row>
        <row r="2429">
          <cell r="A2429">
            <v>0</v>
          </cell>
          <cell r="C2429">
            <v>0</v>
          </cell>
          <cell r="D2429">
            <v>0</v>
          </cell>
        </row>
        <row r="2430">
          <cell r="A2430">
            <v>0</v>
          </cell>
          <cell r="C2430">
            <v>0</v>
          </cell>
          <cell r="D2430">
            <v>0</v>
          </cell>
        </row>
        <row r="2431">
          <cell r="A2431">
            <v>0</v>
          </cell>
          <cell r="C2431">
            <v>0</v>
          </cell>
          <cell r="D2431">
            <v>0</v>
          </cell>
        </row>
        <row r="2432">
          <cell r="A2432">
            <v>0</v>
          </cell>
          <cell r="C2432">
            <v>0</v>
          </cell>
          <cell r="D2432">
            <v>0</v>
          </cell>
        </row>
        <row r="2433">
          <cell r="A2433">
            <v>0</v>
          </cell>
          <cell r="C2433">
            <v>0</v>
          </cell>
          <cell r="D2433">
            <v>0</v>
          </cell>
        </row>
        <row r="2434">
          <cell r="A2434">
            <v>0</v>
          </cell>
          <cell r="C2434">
            <v>0</v>
          </cell>
          <cell r="D2434">
            <v>0</v>
          </cell>
        </row>
        <row r="2435">
          <cell r="A2435">
            <v>0</v>
          </cell>
          <cell r="C2435">
            <v>0</v>
          </cell>
          <cell r="D2435">
            <v>0</v>
          </cell>
        </row>
        <row r="2436">
          <cell r="A2436">
            <v>0</v>
          </cell>
          <cell r="C2436">
            <v>0</v>
          </cell>
          <cell r="D2436">
            <v>0</v>
          </cell>
        </row>
        <row r="2437">
          <cell r="A2437">
            <v>0</v>
          </cell>
          <cell r="C2437">
            <v>0</v>
          </cell>
          <cell r="D2437">
            <v>0</v>
          </cell>
        </row>
        <row r="2438">
          <cell r="A2438">
            <v>0</v>
          </cell>
          <cell r="C2438">
            <v>0</v>
          </cell>
          <cell r="D2438">
            <v>0</v>
          </cell>
        </row>
        <row r="2439">
          <cell r="A2439">
            <v>0</v>
          </cell>
          <cell r="C2439">
            <v>0</v>
          </cell>
          <cell r="D2439">
            <v>0</v>
          </cell>
        </row>
        <row r="2440">
          <cell r="A2440">
            <v>0</v>
          </cell>
          <cell r="C2440">
            <v>0</v>
          </cell>
          <cell r="D2440">
            <v>0</v>
          </cell>
        </row>
        <row r="2441">
          <cell r="A2441">
            <v>0</v>
          </cell>
          <cell r="C2441">
            <v>0</v>
          </cell>
          <cell r="D2441">
            <v>0</v>
          </cell>
        </row>
        <row r="2442">
          <cell r="A2442">
            <v>0</v>
          </cell>
          <cell r="C2442">
            <v>0</v>
          </cell>
          <cell r="D2442">
            <v>0</v>
          </cell>
        </row>
        <row r="2443">
          <cell r="A2443">
            <v>0</v>
          </cell>
          <cell r="C2443">
            <v>0</v>
          </cell>
          <cell r="D2443">
            <v>0</v>
          </cell>
        </row>
        <row r="2444">
          <cell r="A2444">
            <v>0</v>
          </cell>
          <cell r="C2444">
            <v>0</v>
          </cell>
          <cell r="D2444">
            <v>0</v>
          </cell>
        </row>
        <row r="2445">
          <cell r="A2445">
            <v>0</v>
          </cell>
          <cell r="C2445">
            <v>0</v>
          </cell>
          <cell r="D2445">
            <v>0</v>
          </cell>
        </row>
        <row r="2446">
          <cell r="A2446">
            <v>0</v>
          </cell>
          <cell r="C2446">
            <v>0</v>
          </cell>
          <cell r="D2446">
            <v>0</v>
          </cell>
        </row>
        <row r="2447">
          <cell r="A2447">
            <v>0</v>
          </cell>
          <cell r="C2447">
            <v>0</v>
          </cell>
          <cell r="D2447">
            <v>0</v>
          </cell>
        </row>
        <row r="2448">
          <cell r="A2448">
            <v>0</v>
          </cell>
          <cell r="C2448">
            <v>0</v>
          </cell>
          <cell r="D2448">
            <v>0</v>
          </cell>
        </row>
        <row r="2449">
          <cell r="A2449">
            <v>0</v>
          </cell>
          <cell r="C2449">
            <v>0</v>
          </cell>
          <cell r="D2449">
            <v>0</v>
          </cell>
        </row>
        <row r="2450">
          <cell r="A2450">
            <v>0</v>
          </cell>
          <cell r="C2450">
            <v>0</v>
          </cell>
          <cell r="D2450">
            <v>0</v>
          </cell>
        </row>
        <row r="2451">
          <cell r="A2451">
            <v>0</v>
          </cell>
          <cell r="C2451">
            <v>0</v>
          </cell>
          <cell r="D2451">
            <v>0</v>
          </cell>
        </row>
        <row r="2452">
          <cell r="A2452">
            <v>0</v>
          </cell>
          <cell r="C2452">
            <v>0</v>
          </cell>
          <cell r="D2452">
            <v>0</v>
          </cell>
        </row>
        <row r="2453">
          <cell r="A2453">
            <v>0</v>
          </cell>
          <cell r="C2453">
            <v>0</v>
          </cell>
          <cell r="D2453">
            <v>0</v>
          </cell>
        </row>
        <row r="2454">
          <cell r="A2454">
            <v>0</v>
          </cell>
          <cell r="C2454">
            <v>0</v>
          </cell>
          <cell r="D2454">
            <v>0</v>
          </cell>
        </row>
        <row r="2455">
          <cell r="A2455">
            <v>0</v>
          </cell>
          <cell r="C2455">
            <v>0</v>
          </cell>
          <cell r="D2455">
            <v>0</v>
          </cell>
        </row>
        <row r="2456">
          <cell r="A2456">
            <v>0</v>
          </cell>
          <cell r="C2456">
            <v>0</v>
          </cell>
          <cell r="D2456">
            <v>0</v>
          </cell>
        </row>
        <row r="2457">
          <cell r="A2457">
            <v>0</v>
          </cell>
          <cell r="C2457">
            <v>0</v>
          </cell>
          <cell r="D2457">
            <v>0</v>
          </cell>
        </row>
        <row r="2458">
          <cell r="A2458">
            <v>0</v>
          </cell>
          <cell r="C2458">
            <v>0</v>
          </cell>
          <cell r="D2458">
            <v>0</v>
          </cell>
        </row>
        <row r="2459">
          <cell r="A2459">
            <v>0</v>
          </cell>
          <cell r="C2459">
            <v>0</v>
          </cell>
          <cell r="D2459">
            <v>0</v>
          </cell>
        </row>
        <row r="2460">
          <cell r="A2460">
            <v>0</v>
          </cell>
          <cell r="C2460">
            <v>0</v>
          </cell>
          <cell r="D2460">
            <v>0</v>
          </cell>
        </row>
        <row r="2461">
          <cell r="A2461">
            <v>0</v>
          </cell>
          <cell r="C2461">
            <v>0</v>
          </cell>
          <cell r="D2461">
            <v>0</v>
          </cell>
        </row>
        <row r="2462">
          <cell r="A2462">
            <v>0</v>
          </cell>
          <cell r="C2462">
            <v>0</v>
          </cell>
          <cell r="D2462">
            <v>0</v>
          </cell>
        </row>
        <row r="2463">
          <cell r="A2463">
            <v>0</v>
          </cell>
          <cell r="C2463">
            <v>0</v>
          </cell>
          <cell r="D2463">
            <v>0</v>
          </cell>
        </row>
        <row r="2464">
          <cell r="A2464">
            <v>0</v>
          </cell>
          <cell r="C2464">
            <v>0</v>
          </cell>
          <cell r="D2464">
            <v>0</v>
          </cell>
        </row>
        <row r="2465">
          <cell r="A2465">
            <v>0</v>
          </cell>
          <cell r="C2465">
            <v>0</v>
          </cell>
          <cell r="D2465">
            <v>0</v>
          </cell>
        </row>
        <row r="2466">
          <cell r="A2466">
            <v>0</v>
          </cell>
          <cell r="C2466">
            <v>0</v>
          </cell>
          <cell r="D2466">
            <v>0</v>
          </cell>
        </row>
        <row r="2467">
          <cell r="A2467">
            <v>0</v>
          </cell>
          <cell r="C2467">
            <v>0</v>
          </cell>
          <cell r="D2467">
            <v>0</v>
          </cell>
        </row>
        <row r="2468">
          <cell r="A2468">
            <v>0</v>
          </cell>
          <cell r="C2468">
            <v>0</v>
          </cell>
          <cell r="D2468">
            <v>0</v>
          </cell>
        </row>
        <row r="2469">
          <cell r="A2469">
            <v>0</v>
          </cell>
          <cell r="C2469">
            <v>0</v>
          </cell>
          <cell r="D2469">
            <v>0</v>
          </cell>
        </row>
        <row r="2470">
          <cell r="A2470">
            <v>0</v>
          </cell>
          <cell r="C2470">
            <v>0</v>
          </cell>
          <cell r="D2470">
            <v>0</v>
          </cell>
        </row>
        <row r="2471">
          <cell r="A2471">
            <v>0</v>
          </cell>
          <cell r="C2471">
            <v>0</v>
          </cell>
          <cell r="D2471">
            <v>0</v>
          </cell>
        </row>
        <row r="2472">
          <cell r="A2472">
            <v>0</v>
          </cell>
          <cell r="C2472">
            <v>0</v>
          </cell>
          <cell r="D2472">
            <v>0</v>
          </cell>
        </row>
        <row r="2473">
          <cell r="A2473">
            <v>0</v>
          </cell>
          <cell r="C2473">
            <v>0</v>
          </cell>
          <cell r="D2473">
            <v>0</v>
          </cell>
        </row>
        <row r="2474">
          <cell r="A2474">
            <v>0</v>
          </cell>
          <cell r="C2474">
            <v>0</v>
          </cell>
          <cell r="D2474">
            <v>0</v>
          </cell>
        </row>
        <row r="2475">
          <cell r="A2475">
            <v>0</v>
          </cell>
          <cell r="C2475">
            <v>0</v>
          </cell>
          <cell r="D2475">
            <v>0</v>
          </cell>
        </row>
        <row r="2476">
          <cell r="A2476">
            <v>0</v>
          </cell>
          <cell r="C2476">
            <v>0</v>
          </cell>
          <cell r="D2476">
            <v>0</v>
          </cell>
        </row>
        <row r="2477">
          <cell r="A2477">
            <v>0</v>
          </cell>
          <cell r="C2477">
            <v>0</v>
          </cell>
          <cell r="D2477">
            <v>0</v>
          </cell>
        </row>
        <row r="2478">
          <cell r="A2478">
            <v>0</v>
          </cell>
          <cell r="C2478">
            <v>0</v>
          </cell>
          <cell r="D2478">
            <v>0</v>
          </cell>
        </row>
        <row r="2479">
          <cell r="A2479">
            <v>0</v>
          </cell>
          <cell r="C2479">
            <v>0</v>
          </cell>
          <cell r="D2479">
            <v>0</v>
          </cell>
        </row>
        <row r="2480">
          <cell r="A2480">
            <v>0</v>
          </cell>
          <cell r="C2480">
            <v>0</v>
          </cell>
          <cell r="D2480">
            <v>0</v>
          </cell>
        </row>
        <row r="2481">
          <cell r="A2481">
            <v>0</v>
          </cell>
          <cell r="C2481">
            <v>0</v>
          </cell>
          <cell r="D2481">
            <v>0</v>
          </cell>
        </row>
        <row r="2482">
          <cell r="A2482">
            <v>0</v>
          </cell>
          <cell r="C2482">
            <v>0</v>
          </cell>
          <cell r="D2482">
            <v>0</v>
          </cell>
        </row>
        <row r="2483">
          <cell r="A2483">
            <v>0</v>
          </cell>
          <cell r="C2483">
            <v>0</v>
          </cell>
          <cell r="D2483">
            <v>0</v>
          </cell>
        </row>
        <row r="2484">
          <cell r="A2484">
            <v>0</v>
          </cell>
          <cell r="C2484">
            <v>0</v>
          </cell>
          <cell r="D2484">
            <v>0</v>
          </cell>
        </row>
        <row r="2485">
          <cell r="A2485">
            <v>0</v>
          </cell>
          <cell r="C2485">
            <v>0</v>
          </cell>
          <cell r="D2485">
            <v>0</v>
          </cell>
        </row>
        <row r="2486">
          <cell r="A2486">
            <v>0</v>
          </cell>
          <cell r="C2486">
            <v>0</v>
          </cell>
          <cell r="D2486">
            <v>0</v>
          </cell>
        </row>
        <row r="2487">
          <cell r="A2487">
            <v>0</v>
          </cell>
          <cell r="C2487">
            <v>0</v>
          </cell>
          <cell r="D2487">
            <v>0</v>
          </cell>
        </row>
        <row r="2488">
          <cell r="A2488">
            <v>0</v>
          </cell>
          <cell r="C2488">
            <v>0</v>
          </cell>
          <cell r="D2488">
            <v>0</v>
          </cell>
        </row>
        <row r="2489">
          <cell r="A2489">
            <v>0</v>
          </cell>
          <cell r="C2489">
            <v>0</v>
          </cell>
          <cell r="D2489">
            <v>0</v>
          </cell>
        </row>
        <row r="2490">
          <cell r="A2490">
            <v>0</v>
          </cell>
          <cell r="C2490">
            <v>0</v>
          </cell>
          <cell r="D2490">
            <v>0</v>
          </cell>
        </row>
        <row r="2491">
          <cell r="A2491">
            <v>0</v>
          </cell>
          <cell r="C2491">
            <v>0</v>
          </cell>
          <cell r="D2491">
            <v>0</v>
          </cell>
        </row>
        <row r="2492">
          <cell r="A2492">
            <v>0</v>
          </cell>
          <cell r="C2492">
            <v>0</v>
          </cell>
          <cell r="D2492">
            <v>0</v>
          </cell>
        </row>
        <row r="2493">
          <cell r="A2493">
            <v>0</v>
          </cell>
          <cell r="C2493">
            <v>0</v>
          </cell>
          <cell r="D2493">
            <v>0</v>
          </cell>
        </row>
        <row r="2494">
          <cell r="A2494">
            <v>0</v>
          </cell>
          <cell r="C2494">
            <v>0</v>
          </cell>
          <cell r="D2494">
            <v>0</v>
          </cell>
        </row>
        <row r="2495">
          <cell r="A2495">
            <v>0</v>
          </cell>
          <cell r="C2495">
            <v>0</v>
          </cell>
          <cell r="D2495">
            <v>0</v>
          </cell>
        </row>
        <row r="2496">
          <cell r="A2496">
            <v>0</v>
          </cell>
          <cell r="C2496">
            <v>0</v>
          </cell>
          <cell r="D2496">
            <v>0</v>
          </cell>
        </row>
        <row r="2497">
          <cell r="A2497">
            <v>0</v>
          </cell>
          <cell r="C2497">
            <v>0</v>
          </cell>
          <cell r="D2497">
            <v>0</v>
          </cell>
        </row>
        <row r="2498">
          <cell r="A2498">
            <v>0</v>
          </cell>
          <cell r="C2498">
            <v>0</v>
          </cell>
          <cell r="D2498">
            <v>0</v>
          </cell>
        </row>
        <row r="2499">
          <cell r="A2499">
            <v>0</v>
          </cell>
          <cell r="C2499">
            <v>0</v>
          </cell>
          <cell r="D2499">
            <v>0</v>
          </cell>
        </row>
        <row r="2500">
          <cell r="A2500">
            <v>0</v>
          </cell>
          <cell r="C2500">
            <v>0</v>
          </cell>
          <cell r="D2500">
            <v>0</v>
          </cell>
        </row>
        <row r="2501">
          <cell r="A2501">
            <v>0</v>
          </cell>
          <cell r="C2501">
            <v>0</v>
          </cell>
          <cell r="D2501">
            <v>0</v>
          </cell>
        </row>
        <row r="2502">
          <cell r="A2502">
            <v>0</v>
          </cell>
          <cell r="C2502">
            <v>0</v>
          </cell>
          <cell r="D2502">
            <v>0</v>
          </cell>
        </row>
        <row r="2503">
          <cell r="A2503">
            <v>0</v>
          </cell>
          <cell r="C2503">
            <v>0</v>
          </cell>
          <cell r="D2503">
            <v>0</v>
          </cell>
        </row>
        <row r="2504">
          <cell r="A2504">
            <v>0</v>
          </cell>
          <cell r="C2504">
            <v>0</v>
          </cell>
          <cell r="D2504">
            <v>0</v>
          </cell>
        </row>
        <row r="2505">
          <cell r="A2505">
            <v>0</v>
          </cell>
          <cell r="C2505">
            <v>0</v>
          </cell>
          <cell r="D2505">
            <v>0</v>
          </cell>
        </row>
        <row r="2506">
          <cell r="A2506">
            <v>0</v>
          </cell>
          <cell r="C2506">
            <v>0</v>
          </cell>
          <cell r="D2506">
            <v>0</v>
          </cell>
        </row>
        <row r="2507">
          <cell r="A2507">
            <v>0</v>
          </cell>
          <cell r="C2507">
            <v>0</v>
          </cell>
          <cell r="D2507">
            <v>0</v>
          </cell>
        </row>
        <row r="2508">
          <cell r="A2508">
            <v>0</v>
          </cell>
          <cell r="C2508">
            <v>0</v>
          </cell>
          <cell r="D2508">
            <v>0</v>
          </cell>
        </row>
        <row r="2509">
          <cell r="A2509">
            <v>0</v>
          </cell>
          <cell r="C2509">
            <v>0</v>
          </cell>
          <cell r="D2509">
            <v>0</v>
          </cell>
        </row>
        <row r="2510">
          <cell r="A2510">
            <v>0</v>
          </cell>
          <cell r="C2510">
            <v>0</v>
          </cell>
          <cell r="D2510">
            <v>0</v>
          </cell>
        </row>
        <row r="2511">
          <cell r="A2511">
            <v>0</v>
          </cell>
          <cell r="C2511">
            <v>0</v>
          </cell>
          <cell r="D2511">
            <v>0</v>
          </cell>
        </row>
        <row r="2512">
          <cell r="A2512">
            <v>0</v>
          </cell>
          <cell r="C2512">
            <v>0</v>
          </cell>
          <cell r="D2512">
            <v>0</v>
          </cell>
        </row>
        <row r="2513">
          <cell r="A2513">
            <v>0</v>
          </cell>
          <cell r="C2513">
            <v>0</v>
          </cell>
          <cell r="D2513">
            <v>0</v>
          </cell>
        </row>
        <row r="2514">
          <cell r="A2514">
            <v>0</v>
          </cell>
          <cell r="C2514">
            <v>0</v>
          </cell>
          <cell r="D2514">
            <v>0</v>
          </cell>
        </row>
        <row r="2515">
          <cell r="A2515">
            <v>0</v>
          </cell>
          <cell r="C2515">
            <v>0</v>
          </cell>
          <cell r="D2515">
            <v>0</v>
          </cell>
        </row>
        <row r="2516">
          <cell r="A2516">
            <v>0</v>
          </cell>
          <cell r="C2516">
            <v>0</v>
          </cell>
          <cell r="D2516">
            <v>0</v>
          </cell>
        </row>
        <row r="2517">
          <cell r="A2517">
            <v>0</v>
          </cell>
          <cell r="C2517">
            <v>0</v>
          </cell>
          <cell r="D2517">
            <v>0</v>
          </cell>
        </row>
        <row r="2518">
          <cell r="A2518">
            <v>0</v>
          </cell>
          <cell r="C2518">
            <v>0</v>
          </cell>
          <cell r="D2518">
            <v>0</v>
          </cell>
        </row>
        <row r="2519">
          <cell r="A2519">
            <v>0</v>
          </cell>
          <cell r="C2519">
            <v>0</v>
          </cell>
          <cell r="D2519">
            <v>0</v>
          </cell>
        </row>
        <row r="2520">
          <cell r="A2520">
            <v>0</v>
          </cell>
          <cell r="C2520">
            <v>0</v>
          </cell>
          <cell r="D2520">
            <v>0</v>
          </cell>
        </row>
        <row r="2521">
          <cell r="A2521">
            <v>0</v>
          </cell>
          <cell r="C2521">
            <v>0</v>
          </cell>
          <cell r="D2521">
            <v>0</v>
          </cell>
        </row>
        <row r="2522">
          <cell r="A2522">
            <v>0</v>
          </cell>
          <cell r="C2522">
            <v>0</v>
          </cell>
          <cell r="D2522">
            <v>0</v>
          </cell>
        </row>
        <row r="2523">
          <cell r="A2523">
            <v>0</v>
          </cell>
          <cell r="C2523">
            <v>0</v>
          </cell>
          <cell r="D2523">
            <v>0</v>
          </cell>
        </row>
        <row r="2524">
          <cell r="A2524">
            <v>0</v>
          </cell>
          <cell r="C2524">
            <v>0</v>
          </cell>
          <cell r="D2524">
            <v>0</v>
          </cell>
        </row>
        <row r="2525">
          <cell r="A2525">
            <v>0</v>
          </cell>
          <cell r="C2525">
            <v>0</v>
          </cell>
          <cell r="D2525">
            <v>0</v>
          </cell>
        </row>
        <row r="2526">
          <cell r="A2526">
            <v>0</v>
          </cell>
          <cell r="C2526">
            <v>0</v>
          </cell>
          <cell r="D2526">
            <v>0</v>
          </cell>
        </row>
        <row r="2527">
          <cell r="A2527">
            <v>0</v>
          </cell>
          <cell r="C2527">
            <v>0</v>
          </cell>
          <cell r="D2527">
            <v>0</v>
          </cell>
        </row>
        <row r="2528">
          <cell r="A2528">
            <v>0</v>
          </cell>
          <cell r="C2528">
            <v>0</v>
          </cell>
          <cell r="D2528">
            <v>0</v>
          </cell>
        </row>
        <row r="2529">
          <cell r="A2529">
            <v>0</v>
          </cell>
          <cell r="C2529">
            <v>0</v>
          </cell>
          <cell r="D2529">
            <v>0</v>
          </cell>
        </row>
        <row r="2530">
          <cell r="A2530">
            <v>0</v>
          </cell>
          <cell r="C2530">
            <v>0</v>
          </cell>
          <cell r="D2530">
            <v>0</v>
          </cell>
        </row>
        <row r="2531">
          <cell r="A2531">
            <v>0</v>
          </cell>
          <cell r="C2531">
            <v>0</v>
          </cell>
          <cell r="D2531">
            <v>0</v>
          </cell>
        </row>
        <row r="2532">
          <cell r="A2532">
            <v>0</v>
          </cell>
          <cell r="C2532">
            <v>0</v>
          </cell>
          <cell r="D2532">
            <v>0</v>
          </cell>
        </row>
        <row r="2533">
          <cell r="A2533">
            <v>0</v>
          </cell>
          <cell r="C2533">
            <v>0</v>
          </cell>
          <cell r="D2533">
            <v>0</v>
          </cell>
        </row>
        <row r="2534">
          <cell r="A2534">
            <v>0</v>
          </cell>
          <cell r="C2534">
            <v>0</v>
          </cell>
          <cell r="D2534">
            <v>0</v>
          </cell>
        </row>
        <row r="2535">
          <cell r="A2535">
            <v>0</v>
          </cell>
          <cell r="C2535">
            <v>0</v>
          </cell>
          <cell r="D2535">
            <v>0</v>
          </cell>
        </row>
        <row r="2536">
          <cell r="A2536">
            <v>0</v>
          </cell>
          <cell r="C2536">
            <v>0</v>
          </cell>
          <cell r="D2536">
            <v>0</v>
          </cell>
        </row>
        <row r="2537">
          <cell r="A2537">
            <v>0</v>
          </cell>
          <cell r="C2537">
            <v>0</v>
          </cell>
          <cell r="D2537">
            <v>0</v>
          </cell>
        </row>
        <row r="2538">
          <cell r="A2538">
            <v>0</v>
          </cell>
          <cell r="C2538">
            <v>0</v>
          </cell>
          <cell r="D2538">
            <v>0</v>
          </cell>
        </row>
        <row r="2539">
          <cell r="A2539">
            <v>0</v>
          </cell>
          <cell r="C2539">
            <v>0</v>
          </cell>
          <cell r="D2539">
            <v>0</v>
          </cell>
        </row>
        <row r="2540">
          <cell r="A2540">
            <v>0</v>
          </cell>
          <cell r="C2540">
            <v>0</v>
          </cell>
          <cell r="D2540">
            <v>0</v>
          </cell>
        </row>
        <row r="2541">
          <cell r="A2541">
            <v>0</v>
          </cell>
          <cell r="C2541">
            <v>0</v>
          </cell>
          <cell r="D2541">
            <v>0</v>
          </cell>
        </row>
        <row r="2542">
          <cell r="A2542">
            <v>0</v>
          </cell>
          <cell r="C2542">
            <v>0</v>
          </cell>
          <cell r="D2542">
            <v>0</v>
          </cell>
        </row>
        <row r="2543">
          <cell r="A2543">
            <v>0</v>
          </cell>
          <cell r="C2543">
            <v>0</v>
          </cell>
          <cell r="D2543">
            <v>0</v>
          </cell>
        </row>
        <row r="2544">
          <cell r="A2544">
            <v>0</v>
          </cell>
          <cell r="C2544">
            <v>0</v>
          </cell>
          <cell r="D2544">
            <v>0</v>
          </cell>
        </row>
        <row r="2545">
          <cell r="A2545">
            <v>0</v>
          </cell>
          <cell r="C2545">
            <v>0</v>
          </cell>
          <cell r="D2545">
            <v>0</v>
          </cell>
        </row>
        <row r="2546">
          <cell r="A2546">
            <v>0</v>
          </cell>
          <cell r="C2546">
            <v>0</v>
          </cell>
          <cell r="D2546">
            <v>0</v>
          </cell>
        </row>
        <row r="2547">
          <cell r="A2547">
            <v>0</v>
          </cell>
          <cell r="C2547">
            <v>0</v>
          </cell>
          <cell r="D2547">
            <v>0</v>
          </cell>
        </row>
        <row r="2548">
          <cell r="A2548">
            <v>0</v>
          </cell>
          <cell r="C2548">
            <v>0</v>
          </cell>
          <cell r="D2548">
            <v>0</v>
          </cell>
        </row>
        <row r="2549">
          <cell r="A2549">
            <v>0</v>
          </cell>
          <cell r="C2549">
            <v>0</v>
          </cell>
          <cell r="D2549">
            <v>0</v>
          </cell>
        </row>
        <row r="2550">
          <cell r="A2550">
            <v>0</v>
          </cell>
          <cell r="C2550">
            <v>0</v>
          </cell>
          <cell r="D2550">
            <v>0</v>
          </cell>
        </row>
        <row r="2551">
          <cell r="A2551">
            <v>0</v>
          </cell>
          <cell r="C2551">
            <v>0</v>
          </cell>
          <cell r="D2551">
            <v>0</v>
          </cell>
        </row>
        <row r="2552">
          <cell r="A2552">
            <v>0</v>
          </cell>
          <cell r="C2552">
            <v>0</v>
          </cell>
          <cell r="D2552">
            <v>0</v>
          </cell>
        </row>
        <row r="2553">
          <cell r="A2553">
            <v>0</v>
          </cell>
          <cell r="C2553">
            <v>0</v>
          </cell>
          <cell r="D2553">
            <v>0</v>
          </cell>
        </row>
        <row r="2554">
          <cell r="A2554">
            <v>0</v>
          </cell>
          <cell r="C2554">
            <v>0</v>
          </cell>
          <cell r="D2554">
            <v>0</v>
          </cell>
        </row>
        <row r="2555">
          <cell r="A2555">
            <v>0</v>
          </cell>
          <cell r="C2555">
            <v>0</v>
          </cell>
          <cell r="D2555">
            <v>0</v>
          </cell>
        </row>
        <row r="2556">
          <cell r="A2556">
            <v>0</v>
          </cell>
          <cell r="C2556">
            <v>0</v>
          </cell>
          <cell r="D2556">
            <v>0</v>
          </cell>
        </row>
        <row r="2557">
          <cell r="A2557">
            <v>0</v>
          </cell>
          <cell r="C2557">
            <v>0</v>
          </cell>
          <cell r="D2557">
            <v>0</v>
          </cell>
        </row>
        <row r="2558">
          <cell r="A2558">
            <v>0</v>
          </cell>
          <cell r="C2558">
            <v>0</v>
          </cell>
          <cell r="D2558">
            <v>0</v>
          </cell>
        </row>
        <row r="2559">
          <cell r="A2559">
            <v>0</v>
          </cell>
          <cell r="C2559">
            <v>0</v>
          </cell>
          <cell r="D2559">
            <v>0</v>
          </cell>
        </row>
        <row r="2560">
          <cell r="A2560">
            <v>0</v>
          </cell>
          <cell r="C2560">
            <v>0</v>
          </cell>
          <cell r="D2560">
            <v>0</v>
          </cell>
        </row>
        <row r="2561">
          <cell r="A2561">
            <v>0</v>
          </cell>
          <cell r="C2561">
            <v>0</v>
          </cell>
          <cell r="D2561">
            <v>0</v>
          </cell>
        </row>
        <row r="2562">
          <cell r="A2562">
            <v>0</v>
          </cell>
          <cell r="C2562">
            <v>0</v>
          </cell>
          <cell r="D2562">
            <v>0</v>
          </cell>
        </row>
        <row r="2563">
          <cell r="A2563">
            <v>0</v>
          </cell>
          <cell r="C2563">
            <v>0</v>
          </cell>
          <cell r="D2563">
            <v>0</v>
          </cell>
        </row>
        <row r="2564">
          <cell r="A2564">
            <v>0</v>
          </cell>
          <cell r="C2564">
            <v>0</v>
          </cell>
          <cell r="D2564">
            <v>0</v>
          </cell>
        </row>
        <row r="2565">
          <cell r="A2565">
            <v>0</v>
          </cell>
          <cell r="C2565">
            <v>0</v>
          </cell>
          <cell r="D2565">
            <v>0</v>
          </cell>
        </row>
        <row r="2566">
          <cell r="A2566">
            <v>0</v>
          </cell>
          <cell r="C2566">
            <v>0</v>
          </cell>
          <cell r="D2566">
            <v>0</v>
          </cell>
        </row>
        <row r="2567">
          <cell r="A2567">
            <v>0</v>
          </cell>
          <cell r="C2567">
            <v>0</v>
          </cell>
          <cell r="D2567">
            <v>0</v>
          </cell>
        </row>
        <row r="2568">
          <cell r="A2568">
            <v>0</v>
          </cell>
          <cell r="C2568">
            <v>0</v>
          </cell>
          <cell r="D2568">
            <v>0</v>
          </cell>
        </row>
        <row r="2569">
          <cell r="A2569">
            <v>0</v>
          </cell>
          <cell r="C2569">
            <v>0</v>
          </cell>
          <cell r="D2569">
            <v>0</v>
          </cell>
        </row>
        <row r="2570">
          <cell r="A2570">
            <v>0</v>
          </cell>
          <cell r="C2570">
            <v>0</v>
          </cell>
          <cell r="D2570">
            <v>0</v>
          </cell>
        </row>
        <row r="2571">
          <cell r="A2571">
            <v>0</v>
          </cell>
          <cell r="C2571">
            <v>0</v>
          </cell>
          <cell r="D2571">
            <v>0</v>
          </cell>
        </row>
        <row r="2572">
          <cell r="A2572">
            <v>0</v>
          </cell>
          <cell r="C2572">
            <v>0</v>
          </cell>
          <cell r="D2572">
            <v>0</v>
          </cell>
        </row>
        <row r="2573">
          <cell r="A2573">
            <v>0</v>
          </cell>
          <cell r="C2573">
            <v>0</v>
          </cell>
          <cell r="D2573">
            <v>0</v>
          </cell>
        </row>
        <row r="2574">
          <cell r="A2574">
            <v>0</v>
          </cell>
          <cell r="C2574">
            <v>0</v>
          </cell>
          <cell r="D2574">
            <v>0</v>
          </cell>
        </row>
        <row r="2575">
          <cell r="A2575">
            <v>0</v>
          </cell>
          <cell r="C2575">
            <v>0</v>
          </cell>
          <cell r="D2575">
            <v>0</v>
          </cell>
        </row>
        <row r="2576">
          <cell r="A2576">
            <v>0</v>
          </cell>
          <cell r="C2576">
            <v>0</v>
          </cell>
          <cell r="D2576">
            <v>0</v>
          </cell>
        </row>
        <row r="2577">
          <cell r="A2577">
            <v>0</v>
          </cell>
          <cell r="C2577">
            <v>0</v>
          </cell>
          <cell r="D2577">
            <v>0</v>
          </cell>
        </row>
        <row r="2578">
          <cell r="A2578">
            <v>0</v>
          </cell>
          <cell r="C2578">
            <v>0</v>
          </cell>
          <cell r="D2578">
            <v>0</v>
          </cell>
        </row>
        <row r="2579">
          <cell r="A2579">
            <v>0</v>
          </cell>
          <cell r="C2579">
            <v>0</v>
          </cell>
          <cell r="D2579">
            <v>0</v>
          </cell>
        </row>
        <row r="2580">
          <cell r="A2580">
            <v>0</v>
          </cell>
          <cell r="C2580">
            <v>0</v>
          </cell>
          <cell r="D2580">
            <v>0</v>
          </cell>
        </row>
        <row r="2581">
          <cell r="A2581">
            <v>0</v>
          </cell>
          <cell r="C2581">
            <v>0</v>
          </cell>
          <cell r="D2581">
            <v>0</v>
          </cell>
        </row>
        <row r="2582">
          <cell r="A2582">
            <v>0</v>
          </cell>
          <cell r="C2582">
            <v>0</v>
          </cell>
          <cell r="D2582">
            <v>0</v>
          </cell>
        </row>
        <row r="2583">
          <cell r="A2583">
            <v>0</v>
          </cell>
          <cell r="C2583">
            <v>0</v>
          </cell>
          <cell r="D2583">
            <v>0</v>
          </cell>
        </row>
        <row r="2584">
          <cell r="A2584">
            <v>0</v>
          </cell>
          <cell r="C2584">
            <v>0</v>
          </cell>
          <cell r="D2584">
            <v>0</v>
          </cell>
        </row>
        <row r="2585">
          <cell r="A2585">
            <v>0</v>
          </cell>
          <cell r="C2585">
            <v>0</v>
          </cell>
          <cell r="D2585">
            <v>0</v>
          </cell>
        </row>
        <row r="2586">
          <cell r="A2586">
            <v>0</v>
          </cell>
          <cell r="C2586">
            <v>0</v>
          </cell>
          <cell r="D2586">
            <v>0</v>
          </cell>
        </row>
        <row r="2587">
          <cell r="A2587">
            <v>0</v>
          </cell>
          <cell r="C2587">
            <v>0</v>
          </cell>
          <cell r="D2587">
            <v>0</v>
          </cell>
        </row>
        <row r="2588">
          <cell r="A2588">
            <v>0</v>
          </cell>
          <cell r="C2588">
            <v>0</v>
          </cell>
          <cell r="D2588">
            <v>0</v>
          </cell>
        </row>
        <row r="2589">
          <cell r="A2589">
            <v>0</v>
          </cell>
          <cell r="C2589">
            <v>0</v>
          </cell>
          <cell r="D2589">
            <v>0</v>
          </cell>
        </row>
        <row r="2590">
          <cell r="A2590">
            <v>0</v>
          </cell>
          <cell r="C2590">
            <v>0</v>
          </cell>
          <cell r="D2590">
            <v>0</v>
          </cell>
        </row>
        <row r="2591">
          <cell r="A2591">
            <v>0</v>
          </cell>
          <cell r="C2591">
            <v>0</v>
          </cell>
          <cell r="D2591">
            <v>0</v>
          </cell>
        </row>
        <row r="2592">
          <cell r="A2592">
            <v>0</v>
          </cell>
          <cell r="C2592">
            <v>0</v>
          </cell>
          <cell r="D2592">
            <v>0</v>
          </cell>
        </row>
        <row r="2593">
          <cell r="A2593">
            <v>0</v>
          </cell>
          <cell r="C2593">
            <v>0</v>
          </cell>
          <cell r="D2593">
            <v>0</v>
          </cell>
        </row>
        <row r="2594">
          <cell r="A2594">
            <v>0</v>
          </cell>
          <cell r="C2594">
            <v>0</v>
          </cell>
          <cell r="D2594">
            <v>0</v>
          </cell>
        </row>
        <row r="2595">
          <cell r="A2595">
            <v>0</v>
          </cell>
          <cell r="C2595">
            <v>0</v>
          </cell>
          <cell r="D2595">
            <v>0</v>
          </cell>
        </row>
        <row r="2596">
          <cell r="A2596">
            <v>0</v>
          </cell>
          <cell r="C2596">
            <v>0</v>
          </cell>
          <cell r="D2596">
            <v>0</v>
          </cell>
        </row>
        <row r="2597">
          <cell r="A2597">
            <v>0</v>
          </cell>
          <cell r="C2597">
            <v>0</v>
          </cell>
          <cell r="D2597">
            <v>0</v>
          </cell>
        </row>
        <row r="2598">
          <cell r="A2598">
            <v>0</v>
          </cell>
          <cell r="C2598">
            <v>0</v>
          </cell>
          <cell r="D2598">
            <v>0</v>
          </cell>
        </row>
        <row r="2599">
          <cell r="A2599">
            <v>0</v>
          </cell>
          <cell r="C2599">
            <v>0</v>
          </cell>
          <cell r="D2599">
            <v>0</v>
          </cell>
        </row>
        <row r="2600">
          <cell r="A2600">
            <v>0</v>
          </cell>
          <cell r="C2600">
            <v>0</v>
          </cell>
          <cell r="D2600">
            <v>0</v>
          </cell>
        </row>
        <row r="2601">
          <cell r="A2601">
            <v>0</v>
          </cell>
          <cell r="C2601">
            <v>0</v>
          </cell>
          <cell r="D2601">
            <v>0</v>
          </cell>
        </row>
        <row r="2602">
          <cell r="A2602">
            <v>0</v>
          </cell>
          <cell r="C2602">
            <v>0</v>
          </cell>
          <cell r="D2602">
            <v>0</v>
          </cell>
        </row>
        <row r="2603">
          <cell r="A2603">
            <v>0</v>
          </cell>
          <cell r="C2603">
            <v>0</v>
          </cell>
          <cell r="D2603">
            <v>0</v>
          </cell>
        </row>
        <row r="2604">
          <cell r="A2604">
            <v>0</v>
          </cell>
          <cell r="C2604">
            <v>0</v>
          </cell>
          <cell r="D2604">
            <v>0</v>
          </cell>
        </row>
        <row r="2605">
          <cell r="A2605">
            <v>0</v>
          </cell>
          <cell r="C2605">
            <v>0</v>
          </cell>
          <cell r="D2605">
            <v>0</v>
          </cell>
        </row>
        <row r="2606">
          <cell r="A2606">
            <v>0</v>
          </cell>
          <cell r="C2606">
            <v>0</v>
          </cell>
          <cell r="D2606">
            <v>0</v>
          </cell>
        </row>
        <row r="2607">
          <cell r="A2607">
            <v>0</v>
          </cell>
          <cell r="C2607">
            <v>0</v>
          </cell>
          <cell r="D2607">
            <v>0</v>
          </cell>
        </row>
        <row r="2608">
          <cell r="A2608">
            <v>0</v>
          </cell>
          <cell r="C2608">
            <v>0</v>
          </cell>
          <cell r="D2608">
            <v>0</v>
          </cell>
        </row>
        <row r="2609">
          <cell r="A2609">
            <v>0</v>
          </cell>
          <cell r="C2609">
            <v>0</v>
          </cell>
          <cell r="D2609">
            <v>0</v>
          </cell>
        </row>
        <row r="2610">
          <cell r="A2610">
            <v>0</v>
          </cell>
          <cell r="C2610">
            <v>0</v>
          </cell>
          <cell r="D2610">
            <v>0</v>
          </cell>
        </row>
        <row r="2611">
          <cell r="A2611">
            <v>0</v>
          </cell>
          <cell r="C2611">
            <v>0</v>
          </cell>
          <cell r="D2611">
            <v>0</v>
          </cell>
        </row>
        <row r="2612">
          <cell r="A2612">
            <v>0</v>
          </cell>
          <cell r="C2612">
            <v>0</v>
          </cell>
          <cell r="D2612">
            <v>0</v>
          </cell>
        </row>
        <row r="2613">
          <cell r="A2613">
            <v>0</v>
          </cell>
          <cell r="C2613">
            <v>0</v>
          </cell>
          <cell r="D2613">
            <v>0</v>
          </cell>
        </row>
        <row r="2614">
          <cell r="A2614">
            <v>0</v>
          </cell>
          <cell r="C2614">
            <v>0</v>
          </cell>
          <cell r="D2614">
            <v>0</v>
          </cell>
        </row>
        <row r="2615">
          <cell r="A2615">
            <v>0</v>
          </cell>
          <cell r="C2615">
            <v>0</v>
          </cell>
          <cell r="D2615">
            <v>0</v>
          </cell>
        </row>
        <row r="2616">
          <cell r="A2616">
            <v>0</v>
          </cell>
          <cell r="C2616">
            <v>0</v>
          </cell>
          <cell r="D2616">
            <v>0</v>
          </cell>
        </row>
        <row r="2617">
          <cell r="A2617">
            <v>0</v>
          </cell>
          <cell r="C2617">
            <v>0</v>
          </cell>
          <cell r="D2617">
            <v>0</v>
          </cell>
        </row>
        <row r="2618">
          <cell r="A2618">
            <v>0</v>
          </cell>
          <cell r="C2618">
            <v>0</v>
          </cell>
          <cell r="D2618">
            <v>0</v>
          </cell>
        </row>
        <row r="2619">
          <cell r="A2619">
            <v>0</v>
          </cell>
          <cell r="C2619">
            <v>0</v>
          </cell>
          <cell r="D2619">
            <v>0</v>
          </cell>
        </row>
        <row r="2620">
          <cell r="A2620">
            <v>0</v>
          </cell>
          <cell r="C2620">
            <v>0</v>
          </cell>
          <cell r="D2620">
            <v>0</v>
          </cell>
        </row>
        <row r="2621">
          <cell r="A2621">
            <v>0</v>
          </cell>
          <cell r="C2621">
            <v>0</v>
          </cell>
          <cell r="D2621">
            <v>0</v>
          </cell>
        </row>
        <row r="2622">
          <cell r="A2622">
            <v>0</v>
          </cell>
          <cell r="C2622">
            <v>0</v>
          </cell>
          <cell r="D2622">
            <v>0</v>
          </cell>
        </row>
        <row r="2623">
          <cell r="A2623">
            <v>0</v>
          </cell>
          <cell r="C2623">
            <v>0</v>
          </cell>
          <cell r="D2623">
            <v>0</v>
          </cell>
        </row>
        <row r="2624">
          <cell r="A2624">
            <v>0</v>
          </cell>
          <cell r="C2624">
            <v>0</v>
          </cell>
          <cell r="D2624">
            <v>0</v>
          </cell>
        </row>
        <row r="2625">
          <cell r="A2625">
            <v>0</v>
          </cell>
          <cell r="C2625">
            <v>0</v>
          </cell>
          <cell r="D2625">
            <v>0</v>
          </cell>
        </row>
        <row r="2626">
          <cell r="A2626">
            <v>0</v>
          </cell>
          <cell r="C2626">
            <v>0</v>
          </cell>
          <cell r="D2626">
            <v>0</v>
          </cell>
        </row>
        <row r="2627">
          <cell r="A2627">
            <v>0</v>
          </cell>
          <cell r="C2627">
            <v>0</v>
          </cell>
          <cell r="D2627">
            <v>0</v>
          </cell>
        </row>
        <row r="2628">
          <cell r="A2628">
            <v>0</v>
          </cell>
          <cell r="C2628">
            <v>0</v>
          </cell>
          <cell r="D2628">
            <v>0</v>
          </cell>
        </row>
        <row r="2629">
          <cell r="A2629">
            <v>0</v>
          </cell>
          <cell r="C2629">
            <v>0</v>
          </cell>
          <cell r="D2629">
            <v>0</v>
          </cell>
        </row>
        <row r="2630">
          <cell r="A2630">
            <v>0</v>
          </cell>
          <cell r="C2630">
            <v>0</v>
          </cell>
          <cell r="D2630">
            <v>0</v>
          </cell>
        </row>
        <row r="2631">
          <cell r="A2631">
            <v>0</v>
          </cell>
          <cell r="C2631">
            <v>0</v>
          </cell>
          <cell r="D2631">
            <v>0</v>
          </cell>
        </row>
        <row r="2632">
          <cell r="A2632">
            <v>0</v>
          </cell>
          <cell r="C2632">
            <v>0</v>
          </cell>
          <cell r="D2632">
            <v>0</v>
          </cell>
        </row>
        <row r="2633">
          <cell r="A2633">
            <v>0</v>
          </cell>
          <cell r="C2633">
            <v>0</v>
          </cell>
          <cell r="D2633">
            <v>0</v>
          </cell>
        </row>
        <row r="2634">
          <cell r="A2634">
            <v>0</v>
          </cell>
          <cell r="B2634">
            <v>0</v>
          </cell>
          <cell r="C2634">
            <v>0</v>
          </cell>
          <cell r="D2634">
            <v>0</v>
          </cell>
        </row>
        <row r="2635">
          <cell r="A2635">
            <v>0</v>
          </cell>
          <cell r="C2635">
            <v>0</v>
          </cell>
          <cell r="D2635">
            <v>0</v>
          </cell>
        </row>
        <row r="2636">
          <cell r="A2636">
            <v>0</v>
          </cell>
          <cell r="C2636">
            <v>0</v>
          </cell>
          <cell r="D2636">
            <v>0</v>
          </cell>
        </row>
        <row r="2637">
          <cell r="A2637">
            <v>0</v>
          </cell>
          <cell r="B2637">
            <v>0</v>
          </cell>
          <cell r="C2637">
            <v>0</v>
          </cell>
          <cell r="D2637">
            <v>0</v>
          </cell>
        </row>
        <row r="2638">
          <cell r="A2638">
            <v>0</v>
          </cell>
          <cell r="C2638">
            <v>0</v>
          </cell>
          <cell r="D2638">
            <v>0</v>
          </cell>
        </row>
        <row r="2639">
          <cell r="A2639">
            <v>0</v>
          </cell>
          <cell r="C2639">
            <v>0</v>
          </cell>
          <cell r="D2639">
            <v>0</v>
          </cell>
        </row>
        <row r="2640">
          <cell r="A2640">
            <v>0</v>
          </cell>
          <cell r="B2640">
            <v>0</v>
          </cell>
          <cell r="C2640">
            <v>0</v>
          </cell>
          <cell r="D2640">
            <v>0</v>
          </cell>
        </row>
        <row r="2641">
          <cell r="A2641">
            <v>0</v>
          </cell>
          <cell r="C2641">
            <v>0</v>
          </cell>
          <cell r="D2641">
            <v>0</v>
          </cell>
        </row>
        <row r="2642">
          <cell r="A2642">
            <v>0</v>
          </cell>
          <cell r="C2642">
            <v>0</v>
          </cell>
          <cell r="D2642">
            <v>0</v>
          </cell>
        </row>
        <row r="2643">
          <cell r="A2643">
            <v>0</v>
          </cell>
          <cell r="C2643">
            <v>0</v>
          </cell>
          <cell r="D2643">
            <v>0</v>
          </cell>
        </row>
        <row r="2644">
          <cell r="A2644">
            <v>0</v>
          </cell>
          <cell r="B2644">
            <v>0</v>
          </cell>
          <cell r="C2644">
            <v>0</v>
          </cell>
          <cell r="D2644">
            <v>0</v>
          </cell>
        </row>
        <row r="2645">
          <cell r="A2645">
            <v>0</v>
          </cell>
          <cell r="C2645">
            <v>0</v>
          </cell>
          <cell r="D2645">
            <v>0</v>
          </cell>
        </row>
        <row r="2646">
          <cell r="A2646">
            <v>0</v>
          </cell>
          <cell r="C2646">
            <v>0</v>
          </cell>
          <cell r="D2646">
            <v>0</v>
          </cell>
        </row>
        <row r="2647">
          <cell r="A2647">
            <v>0</v>
          </cell>
          <cell r="C2647">
            <v>0</v>
          </cell>
          <cell r="D2647">
            <v>0</v>
          </cell>
        </row>
        <row r="2648">
          <cell r="A2648">
            <v>0</v>
          </cell>
          <cell r="C2648">
            <v>0</v>
          </cell>
          <cell r="D2648">
            <v>0</v>
          </cell>
        </row>
        <row r="2649">
          <cell r="A2649">
            <v>0</v>
          </cell>
          <cell r="C2649">
            <v>0</v>
          </cell>
          <cell r="D2649">
            <v>0</v>
          </cell>
        </row>
        <row r="2650">
          <cell r="A2650">
            <v>0</v>
          </cell>
          <cell r="C2650">
            <v>0</v>
          </cell>
          <cell r="D2650">
            <v>0</v>
          </cell>
        </row>
        <row r="2651">
          <cell r="A2651">
            <v>0</v>
          </cell>
          <cell r="C2651">
            <v>0</v>
          </cell>
          <cell r="D2651">
            <v>0</v>
          </cell>
        </row>
        <row r="2652">
          <cell r="A2652">
            <v>0</v>
          </cell>
          <cell r="C2652">
            <v>0</v>
          </cell>
          <cell r="D2652">
            <v>0</v>
          </cell>
        </row>
        <row r="2653">
          <cell r="A2653">
            <v>0</v>
          </cell>
          <cell r="C2653">
            <v>0</v>
          </cell>
          <cell r="D2653">
            <v>0</v>
          </cell>
        </row>
        <row r="2654">
          <cell r="A2654">
            <v>0</v>
          </cell>
          <cell r="C2654">
            <v>0</v>
          </cell>
          <cell r="D2654">
            <v>0</v>
          </cell>
        </row>
        <row r="2655">
          <cell r="A2655">
            <v>0</v>
          </cell>
          <cell r="C2655">
            <v>0</v>
          </cell>
          <cell r="D2655">
            <v>0</v>
          </cell>
        </row>
        <row r="2656">
          <cell r="A2656">
            <v>0</v>
          </cell>
          <cell r="C2656">
            <v>0</v>
          </cell>
          <cell r="D2656">
            <v>0</v>
          </cell>
        </row>
        <row r="2657">
          <cell r="A2657">
            <v>0</v>
          </cell>
          <cell r="C2657">
            <v>0</v>
          </cell>
          <cell r="D2657">
            <v>0</v>
          </cell>
        </row>
        <row r="2658">
          <cell r="A2658">
            <v>0</v>
          </cell>
          <cell r="C2658">
            <v>0</v>
          </cell>
          <cell r="D2658">
            <v>0</v>
          </cell>
        </row>
        <row r="2659">
          <cell r="A2659">
            <v>0</v>
          </cell>
          <cell r="C2659">
            <v>0</v>
          </cell>
          <cell r="D2659">
            <v>0</v>
          </cell>
        </row>
        <row r="2660">
          <cell r="A2660">
            <v>0</v>
          </cell>
          <cell r="B2660">
            <v>0</v>
          </cell>
          <cell r="C2660">
            <v>0</v>
          </cell>
          <cell r="D2660">
            <v>0</v>
          </cell>
        </row>
        <row r="2661">
          <cell r="A2661">
            <v>0</v>
          </cell>
          <cell r="B2661">
            <v>0</v>
          </cell>
          <cell r="C2661">
            <v>0</v>
          </cell>
          <cell r="D2661">
            <v>0</v>
          </cell>
        </row>
        <row r="2662">
          <cell r="A2662">
            <v>0</v>
          </cell>
          <cell r="B2662">
            <v>0</v>
          </cell>
          <cell r="C2662">
            <v>0</v>
          </cell>
          <cell r="D2662">
            <v>0</v>
          </cell>
        </row>
        <row r="2663">
          <cell r="A2663">
            <v>0</v>
          </cell>
          <cell r="B2663">
            <v>0</v>
          </cell>
          <cell r="C2663">
            <v>0</v>
          </cell>
          <cell r="D2663">
            <v>0</v>
          </cell>
        </row>
        <row r="2664">
          <cell r="A2664">
            <v>0</v>
          </cell>
          <cell r="B2664">
            <v>0</v>
          </cell>
          <cell r="C2664">
            <v>0</v>
          </cell>
          <cell r="D2664">
            <v>0</v>
          </cell>
        </row>
        <row r="2665">
          <cell r="A2665">
            <v>0</v>
          </cell>
          <cell r="C2665">
            <v>0</v>
          </cell>
          <cell r="D2665">
            <v>0</v>
          </cell>
        </row>
        <row r="2666">
          <cell r="A2666">
            <v>0</v>
          </cell>
          <cell r="B2666">
            <v>0</v>
          </cell>
          <cell r="C2666">
            <v>0</v>
          </cell>
          <cell r="D2666">
            <v>0</v>
          </cell>
        </row>
        <row r="2667">
          <cell r="A2667">
            <v>0</v>
          </cell>
          <cell r="C2667">
            <v>0</v>
          </cell>
          <cell r="D2667">
            <v>0</v>
          </cell>
        </row>
        <row r="2668">
          <cell r="A2668">
            <v>0</v>
          </cell>
          <cell r="C2668">
            <v>0</v>
          </cell>
          <cell r="D2668">
            <v>0</v>
          </cell>
        </row>
        <row r="2669">
          <cell r="A2669">
            <v>0</v>
          </cell>
          <cell r="C2669">
            <v>0</v>
          </cell>
          <cell r="D2669">
            <v>0</v>
          </cell>
        </row>
        <row r="2670">
          <cell r="A2670">
            <v>0</v>
          </cell>
          <cell r="B2670">
            <v>0</v>
          </cell>
          <cell r="C2670">
            <v>0</v>
          </cell>
          <cell r="D2670">
            <v>0</v>
          </cell>
        </row>
        <row r="2671">
          <cell r="A2671">
            <v>0</v>
          </cell>
          <cell r="C2671">
            <v>0</v>
          </cell>
          <cell r="D2671">
            <v>0</v>
          </cell>
        </row>
        <row r="2672">
          <cell r="A2672">
            <v>0</v>
          </cell>
          <cell r="C2672">
            <v>0</v>
          </cell>
          <cell r="D2672">
            <v>0</v>
          </cell>
        </row>
        <row r="2673">
          <cell r="A2673">
            <v>0</v>
          </cell>
          <cell r="C2673">
            <v>0</v>
          </cell>
          <cell r="D2673">
            <v>0</v>
          </cell>
        </row>
        <row r="2674">
          <cell r="A2674">
            <v>0</v>
          </cell>
          <cell r="C2674">
            <v>0</v>
          </cell>
          <cell r="D2674">
            <v>0</v>
          </cell>
        </row>
        <row r="2675">
          <cell r="A2675">
            <v>0</v>
          </cell>
          <cell r="C2675">
            <v>0</v>
          </cell>
          <cell r="D2675">
            <v>0</v>
          </cell>
        </row>
        <row r="2676">
          <cell r="A2676">
            <v>0</v>
          </cell>
          <cell r="C2676">
            <v>0</v>
          </cell>
          <cell r="D2676">
            <v>0</v>
          </cell>
        </row>
        <row r="2677">
          <cell r="A2677">
            <v>0</v>
          </cell>
          <cell r="C2677">
            <v>0</v>
          </cell>
          <cell r="D2677">
            <v>0</v>
          </cell>
        </row>
        <row r="2678">
          <cell r="A2678">
            <v>0</v>
          </cell>
          <cell r="C2678">
            <v>0</v>
          </cell>
          <cell r="D2678">
            <v>0</v>
          </cell>
        </row>
        <row r="2679">
          <cell r="A2679">
            <v>0</v>
          </cell>
          <cell r="C2679">
            <v>0</v>
          </cell>
          <cell r="D2679">
            <v>0</v>
          </cell>
        </row>
        <row r="2680">
          <cell r="A2680">
            <v>0</v>
          </cell>
          <cell r="C2680">
            <v>0</v>
          </cell>
          <cell r="D2680">
            <v>0</v>
          </cell>
        </row>
        <row r="2681">
          <cell r="A2681">
            <v>0</v>
          </cell>
          <cell r="C2681">
            <v>0</v>
          </cell>
          <cell r="D2681">
            <v>0</v>
          </cell>
        </row>
        <row r="2682">
          <cell r="A2682">
            <v>0</v>
          </cell>
          <cell r="C2682">
            <v>0</v>
          </cell>
          <cell r="D2682">
            <v>0</v>
          </cell>
        </row>
        <row r="2683">
          <cell r="A2683">
            <v>0</v>
          </cell>
          <cell r="C2683">
            <v>0</v>
          </cell>
          <cell r="D2683">
            <v>0</v>
          </cell>
        </row>
        <row r="2684">
          <cell r="A2684">
            <v>0</v>
          </cell>
          <cell r="C2684">
            <v>0</v>
          </cell>
          <cell r="D2684">
            <v>0</v>
          </cell>
        </row>
        <row r="2685">
          <cell r="A2685">
            <v>0</v>
          </cell>
          <cell r="C2685">
            <v>0</v>
          </cell>
          <cell r="D2685">
            <v>0</v>
          </cell>
        </row>
        <row r="2686">
          <cell r="A2686">
            <v>0</v>
          </cell>
          <cell r="C2686">
            <v>0</v>
          </cell>
          <cell r="D2686">
            <v>0</v>
          </cell>
        </row>
        <row r="2687">
          <cell r="A2687">
            <v>0</v>
          </cell>
          <cell r="B2687">
            <v>0</v>
          </cell>
          <cell r="C2687">
            <v>0</v>
          </cell>
          <cell r="D2687">
            <v>0</v>
          </cell>
        </row>
        <row r="2688">
          <cell r="A2688">
            <v>0</v>
          </cell>
          <cell r="B2688">
            <v>0</v>
          </cell>
          <cell r="C2688">
            <v>0</v>
          </cell>
          <cell r="D2688">
            <v>0</v>
          </cell>
        </row>
        <row r="2689">
          <cell r="A2689">
            <v>0</v>
          </cell>
          <cell r="B2689">
            <v>0</v>
          </cell>
          <cell r="C2689">
            <v>0</v>
          </cell>
          <cell r="D2689">
            <v>0</v>
          </cell>
        </row>
        <row r="2690">
          <cell r="A2690">
            <v>0</v>
          </cell>
          <cell r="B2690">
            <v>0</v>
          </cell>
          <cell r="C2690">
            <v>0</v>
          </cell>
          <cell r="D2690">
            <v>0</v>
          </cell>
        </row>
        <row r="2691">
          <cell r="A2691">
            <v>0</v>
          </cell>
          <cell r="C2691">
            <v>0</v>
          </cell>
          <cell r="D2691">
            <v>0</v>
          </cell>
        </row>
        <row r="2692">
          <cell r="A2692">
            <v>0</v>
          </cell>
          <cell r="C2692">
            <v>0</v>
          </cell>
          <cell r="D2692">
            <v>0</v>
          </cell>
        </row>
        <row r="2693">
          <cell r="A2693">
            <v>0</v>
          </cell>
          <cell r="C2693">
            <v>0</v>
          </cell>
          <cell r="D2693">
            <v>0</v>
          </cell>
        </row>
        <row r="2694">
          <cell r="A2694">
            <v>0</v>
          </cell>
          <cell r="C2694">
            <v>0</v>
          </cell>
          <cell r="D2694">
            <v>0</v>
          </cell>
        </row>
        <row r="2695">
          <cell r="A2695">
            <v>0</v>
          </cell>
          <cell r="C2695">
            <v>0</v>
          </cell>
          <cell r="D2695">
            <v>0</v>
          </cell>
        </row>
        <row r="2696">
          <cell r="A2696">
            <v>0</v>
          </cell>
          <cell r="C2696">
            <v>0</v>
          </cell>
          <cell r="D2696">
            <v>0</v>
          </cell>
        </row>
        <row r="2697">
          <cell r="A2697">
            <v>0</v>
          </cell>
          <cell r="C2697">
            <v>0</v>
          </cell>
          <cell r="D2697">
            <v>0</v>
          </cell>
        </row>
        <row r="2698">
          <cell r="A2698">
            <v>0</v>
          </cell>
          <cell r="C2698">
            <v>0</v>
          </cell>
          <cell r="D2698">
            <v>0</v>
          </cell>
        </row>
        <row r="2699">
          <cell r="A2699">
            <v>0</v>
          </cell>
          <cell r="C2699">
            <v>0</v>
          </cell>
          <cell r="D2699">
            <v>0</v>
          </cell>
        </row>
        <row r="2700">
          <cell r="A2700">
            <v>0</v>
          </cell>
          <cell r="C2700">
            <v>0</v>
          </cell>
          <cell r="D2700">
            <v>0</v>
          </cell>
        </row>
        <row r="2701">
          <cell r="A2701">
            <v>0</v>
          </cell>
          <cell r="C2701">
            <v>0</v>
          </cell>
          <cell r="D2701">
            <v>0</v>
          </cell>
        </row>
        <row r="2702">
          <cell r="A2702">
            <v>0</v>
          </cell>
          <cell r="C2702">
            <v>0</v>
          </cell>
          <cell r="D2702">
            <v>0</v>
          </cell>
        </row>
        <row r="2703">
          <cell r="A2703">
            <v>0</v>
          </cell>
          <cell r="C2703">
            <v>0</v>
          </cell>
          <cell r="D2703">
            <v>0</v>
          </cell>
        </row>
        <row r="2704">
          <cell r="A2704">
            <v>0</v>
          </cell>
          <cell r="C2704">
            <v>0</v>
          </cell>
          <cell r="D2704">
            <v>0</v>
          </cell>
        </row>
        <row r="2705">
          <cell r="A2705">
            <v>0</v>
          </cell>
          <cell r="C2705">
            <v>0</v>
          </cell>
          <cell r="D2705">
            <v>0</v>
          </cell>
        </row>
        <row r="2706">
          <cell r="A2706">
            <v>0</v>
          </cell>
          <cell r="C2706">
            <v>0</v>
          </cell>
          <cell r="D2706">
            <v>0</v>
          </cell>
        </row>
        <row r="2707">
          <cell r="A2707">
            <v>0</v>
          </cell>
          <cell r="C2707">
            <v>0</v>
          </cell>
          <cell r="D2707">
            <v>0</v>
          </cell>
        </row>
        <row r="2708">
          <cell r="A2708">
            <v>0</v>
          </cell>
          <cell r="C2708">
            <v>0</v>
          </cell>
          <cell r="D2708">
            <v>0</v>
          </cell>
        </row>
        <row r="2709">
          <cell r="A2709">
            <v>0</v>
          </cell>
          <cell r="C2709">
            <v>0</v>
          </cell>
          <cell r="D2709">
            <v>0</v>
          </cell>
        </row>
        <row r="2710">
          <cell r="A2710">
            <v>0</v>
          </cell>
          <cell r="C2710">
            <v>0</v>
          </cell>
          <cell r="D2710">
            <v>0</v>
          </cell>
        </row>
        <row r="2711">
          <cell r="A2711">
            <v>0</v>
          </cell>
          <cell r="C2711">
            <v>0</v>
          </cell>
          <cell r="D2711">
            <v>0</v>
          </cell>
        </row>
        <row r="2712">
          <cell r="A2712">
            <v>0</v>
          </cell>
          <cell r="C2712">
            <v>0</v>
          </cell>
          <cell r="D2712">
            <v>0</v>
          </cell>
        </row>
        <row r="2713">
          <cell r="A2713">
            <v>0</v>
          </cell>
          <cell r="C2713">
            <v>0</v>
          </cell>
          <cell r="D2713">
            <v>0</v>
          </cell>
        </row>
        <row r="2714">
          <cell r="A2714">
            <v>0</v>
          </cell>
          <cell r="C2714">
            <v>0</v>
          </cell>
          <cell r="D2714">
            <v>0</v>
          </cell>
        </row>
        <row r="2715">
          <cell r="A2715">
            <v>0</v>
          </cell>
          <cell r="C2715">
            <v>0</v>
          </cell>
          <cell r="D2715">
            <v>0</v>
          </cell>
        </row>
        <row r="2716">
          <cell r="A2716">
            <v>0</v>
          </cell>
          <cell r="C2716">
            <v>0</v>
          </cell>
          <cell r="D2716">
            <v>0</v>
          </cell>
        </row>
        <row r="2717">
          <cell r="A2717">
            <v>0</v>
          </cell>
          <cell r="C2717">
            <v>0</v>
          </cell>
          <cell r="D2717">
            <v>0</v>
          </cell>
        </row>
        <row r="2718">
          <cell r="A2718">
            <v>0</v>
          </cell>
          <cell r="C2718">
            <v>0</v>
          </cell>
          <cell r="D2718">
            <v>0</v>
          </cell>
        </row>
        <row r="2719">
          <cell r="A2719">
            <v>0</v>
          </cell>
          <cell r="C2719">
            <v>0</v>
          </cell>
          <cell r="D2719">
            <v>0</v>
          </cell>
        </row>
        <row r="2720">
          <cell r="A2720">
            <v>0</v>
          </cell>
          <cell r="C2720">
            <v>0</v>
          </cell>
          <cell r="D2720">
            <v>0</v>
          </cell>
        </row>
        <row r="2721">
          <cell r="A2721">
            <v>0</v>
          </cell>
          <cell r="C2721">
            <v>0</v>
          </cell>
          <cell r="D2721">
            <v>0</v>
          </cell>
        </row>
        <row r="2722">
          <cell r="A2722">
            <v>0</v>
          </cell>
          <cell r="C2722">
            <v>0</v>
          </cell>
          <cell r="D2722">
            <v>0</v>
          </cell>
        </row>
        <row r="2723">
          <cell r="A2723">
            <v>0</v>
          </cell>
          <cell r="C2723">
            <v>0</v>
          </cell>
          <cell r="D2723">
            <v>0</v>
          </cell>
        </row>
        <row r="2724">
          <cell r="A2724">
            <v>0</v>
          </cell>
          <cell r="C2724">
            <v>0</v>
          </cell>
          <cell r="D2724">
            <v>0</v>
          </cell>
        </row>
        <row r="2725">
          <cell r="A2725">
            <v>0</v>
          </cell>
          <cell r="C2725">
            <v>0</v>
          </cell>
          <cell r="D2725">
            <v>0</v>
          </cell>
        </row>
        <row r="2726">
          <cell r="A2726">
            <v>0</v>
          </cell>
          <cell r="C2726">
            <v>0</v>
          </cell>
          <cell r="D2726">
            <v>0</v>
          </cell>
        </row>
        <row r="2727">
          <cell r="A2727">
            <v>0</v>
          </cell>
          <cell r="C2727">
            <v>0</v>
          </cell>
          <cell r="D2727">
            <v>0</v>
          </cell>
        </row>
        <row r="2728">
          <cell r="A2728">
            <v>0</v>
          </cell>
          <cell r="C2728">
            <v>0</v>
          </cell>
          <cell r="D2728">
            <v>0</v>
          </cell>
        </row>
        <row r="2729">
          <cell r="A2729">
            <v>0</v>
          </cell>
          <cell r="C2729">
            <v>0</v>
          </cell>
          <cell r="D2729">
            <v>0</v>
          </cell>
        </row>
        <row r="2730">
          <cell r="A2730">
            <v>0</v>
          </cell>
          <cell r="C2730">
            <v>0</v>
          </cell>
          <cell r="D2730">
            <v>0</v>
          </cell>
        </row>
        <row r="2731">
          <cell r="A2731">
            <v>0</v>
          </cell>
          <cell r="C2731">
            <v>0</v>
          </cell>
          <cell r="D2731">
            <v>0</v>
          </cell>
        </row>
        <row r="2732">
          <cell r="A2732">
            <v>0</v>
          </cell>
          <cell r="C2732">
            <v>0</v>
          </cell>
          <cell r="D2732">
            <v>0</v>
          </cell>
        </row>
        <row r="2733">
          <cell r="A2733">
            <v>0</v>
          </cell>
          <cell r="C2733">
            <v>0</v>
          </cell>
          <cell r="D2733">
            <v>0</v>
          </cell>
        </row>
        <row r="2734">
          <cell r="A2734">
            <v>0</v>
          </cell>
          <cell r="C2734">
            <v>0</v>
          </cell>
          <cell r="D2734">
            <v>0</v>
          </cell>
        </row>
        <row r="2735">
          <cell r="A2735">
            <v>0</v>
          </cell>
          <cell r="C2735">
            <v>0</v>
          </cell>
          <cell r="D2735">
            <v>0</v>
          </cell>
        </row>
        <row r="2736">
          <cell r="A2736">
            <v>0</v>
          </cell>
          <cell r="C2736">
            <v>0</v>
          </cell>
          <cell r="D2736">
            <v>0</v>
          </cell>
        </row>
        <row r="2737">
          <cell r="A2737">
            <v>0</v>
          </cell>
          <cell r="C2737">
            <v>0</v>
          </cell>
          <cell r="D2737">
            <v>0</v>
          </cell>
        </row>
        <row r="2738">
          <cell r="A2738">
            <v>0</v>
          </cell>
          <cell r="C2738">
            <v>0</v>
          </cell>
          <cell r="D2738">
            <v>0</v>
          </cell>
        </row>
        <row r="2739">
          <cell r="A2739">
            <v>0</v>
          </cell>
          <cell r="C2739">
            <v>0</v>
          </cell>
          <cell r="D2739">
            <v>0</v>
          </cell>
        </row>
        <row r="2740">
          <cell r="A2740">
            <v>0</v>
          </cell>
          <cell r="C2740">
            <v>0</v>
          </cell>
          <cell r="D2740">
            <v>0</v>
          </cell>
        </row>
        <row r="2741">
          <cell r="A2741">
            <v>0</v>
          </cell>
          <cell r="C2741">
            <v>0</v>
          </cell>
          <cell r="D2741">
            <v>0</v>
          </cell>
        </row>
        <row r="2742">
          <cell r="A2742">
            <v>0</v>
          </cell>
          <cell r="C2742">
            <v>0</v>
          </cell>
          <cell r="D2742">
            <v>0</v>
          </cell>
        </row>
        <row r="2743">
          <cell r="A2743">
            <v>0</v>
          </cell>
          <cell r="C2743">
            <v>0</v>
          </cell>
          <cell r="D2743">
            <v>0</v>
          </cell>
        </row>
        <row r="2744">
          <cell r="A2744">
            <v>0</v>
          </cell>
          <cell r="C2744">
            <v>0</v>
          </cell>
          <cell r="D2744">
            <v>0</v>
          </cell>
        </row>
        <row r="2745">
          <cell r="A2745">
            <v>0</v>
          </cell>
          <cell r="C2745">
            <v>0</v>
          </cell>
          <cell r="D2745">
            <v>0</v>
          </cell>
        </row>
        <row r="2746">
          <cell r="A2746">
            <v>0</v>
          </cell>
          <cell r="C2746">
            <v>0</v>
          </cell>
          <cell r="D2746">
            <v>0</v>
          </cell>
        </row>
        <row r="2747">
          <cell r="A2747">
            <v>0</v>
          </cell>
          <cell r="C2747">
            <v>0</v>
          </cell>
          <cell r="D2747">
            <v>0</v>
          </cell>
        </row>
        <row r="2748">
          <cell r="A2748">
            <v>0</v>
          </cell>
          <cell r="C2748">
            <v>0</v>
          </cell>
          <cell r="D2748">
            <v>0</v>
          </cell>
        </row>
        <row r="2749">
          <cell r="A2749">
            <v>0</v>
          </cell>
          <cell r="C2749">
            <v>0</v>
          </cell>
          <cell r="D2749">
            <v>0</v>
          </cell>
        </row>
        <row r="2750">
          <cell r="A2750">
            <v>0</v>
          </cell>
          <cell r="C2750">
            <v>0</v>
          </cell>
          <cell r="D2750">
            <v>0</v>
          </cell>
        </row>
        <row r="2751">
          <cell r="A2751">
            <v>0</v>
          </cell>
          <cell r="C2751">
            <v>0</v>
          </cell>
          <cell r="D2751">
            <v>0</v>
          </cell>
        </row>
        <row r="2752">
          <cell r="A2752">
            <v>0</v>
          </cell>
          <cell r="C2752">
            <v>0</v>
          </cell>
          <cell r="D2752">
            <v>0</v>
          </cell>
        </row>
        <row r="2753">
          <cell r="A2753">
            <v>0</v>
          </cell>
          <cell r="C2753">
            <v>0</v>
          </cell>
          <cell r="D2753">
            <v>0</v>
          </cell>
        </row>
        <row r="2754">
          <cell r="A2754">
            <v>0</v>
          </cell>
          <cell r="C2754">
            <v>0</v>
          </cell>
          <cell r="D2754">
            <v>0</v>
          </cell>
        </row>
        <row r="2755">
          <cell r="A2755">
            <v>0</v>
          </cell>
          <cell r="C2755">
            <v>0</v>
          </cell>
          <cell r="D2755">
            <v>0</v>
          </cell>
        </row>
        <row r="2756">
          <cell r="A2756">
            <v>0</v>
          </cell>
          <cell r="C2756">
            <v>0</v>
          </cell>
          <cell r="D2756">
            <v>0</v>
          </cell>
        </row>
        <row r="2757">
          <cell r="A2757">
            <v>0</v>
          </cell>
          <cell r="C2757">
            <v>0</v>
          </cell>
          <cell r="D2757">
            <v>0</v>
          </cell>
        </row>
        <row r="2758">
          <cell r="A2758">
            <v>0</v>
          </cell>
          <cell r="C2758">
            <v>0</v>
          </cell>
          <cell r="D2758">
            <v>0</v>
          </cell>
        </row>
        <row r="2759">
          <cell r="A2759">
            <v>0</v>
          </cell>
          <cell r="C2759">
            <v>0</v>
          </cell>
          <cell r="D2759">
            <v>0</v>
          </cell>
        </row>
        <row r="2760">
          <cell r="A2760">
            <v>0</v>
          </cell>
          <cell r="C2760">
            <v>0</v>
          </cell>
          <cell r="D2760">
            <v>0</v>
          </cell>
        </row>
        <row r="2761">
          <cell r="A2761">
            <v>0</v>
          </cell>
          <cell r="C2761">
            <v>0</v>
          </cell>
          <cell r="D2761">
            <v>0</v>
          </cell>
        </row>
        <row r="2762">
          <cell r="A2762">
            <v>0</v>
          </cell>
          <cell r="C2762">
            <v>0</v>
          </cell>
          <cell r="D2762">
            <v>0</v>
          </cell>
        </row>
        <row r="2763">
          <cell r="A2763">
            <v>0</v>
          </cell>
          <cell r="C2763">
            <v>0</v>
          </cell>
          <cell r="D2763">
            <v>0</v>
          </cell>
        </row>
        <row r="2764">
          <cell r="A2764">
            <v>0</v>
          </cell>
          <cell r="C2764">
            <v>0</v>
          </cell>
          <cell r="D2764">
            <v>0</v>
          </cell>
        </row>
        <row r="2765">
          <cell r="A2765">
            <v>0</v>
          </cell>
          <cell r="C2765">
            <v>0</v>
          </cell>
          <cell r="D2765">
            <v>0</v>
          </cell>
        </row>
        <row r="2766">
          <cell r="A2766">
            <v>0</v>
          </cell>
          <cell r="C2766">
            <v>0</v>
          </cell>
          <cell r="D2766">
            <v>0</v>
          </cell>
        </row>
        <row r="2767">
          <cell r="A2767">
            <v>0</v>
          </cell>
          <cell r="C2767">
            <v>0</v>
          </cell>
          <cell r="D2767">
            <v>0</v>
          </cell>
        </row>
        <row r="2768">
          <cell r="A2768">
            <v>0</v>
          </cell>
          <cell r="C2768">
            <v>0</v>
          </cell>
          <cell r="D2768">
            <v>0</v>
          </cell>
        </row>
        <row r="2769">
          <cell r="A2769">
            <v>0</v>
          </cell>
          <cell r="C2769">
            <v>0</v>
          </cell>
          <cell r="D2769">
            <v>0</v>
          </cell>
        </row>
        <row r="2770">
          <cell r="A2770">
            <v>0</v>
          </cell>
          <cell r="C2770">
            <v>0</v>
          </cell>
          <cell r="D2770">
            <v>0</v>
          </cell>
        </row>
        <row r="2771">
          <cell r="A2771">
            <v>0</v>
          </cell>
          <cell r="C2771">
            <v>0</v>
          </cell>
          <cell r="D2771">
            <v>0</v>
          </cell>
        </row>
        <row r="2772">
          <cell r="A2772">
            <v>0</v>
          </cell>
          <cell r="C2772">
            <v>0</v>
          </cell>
          <cell r="D2772">
            <v>0</v>
          </cell>
        </row>
        <row r="2773">
          <cell r="A2773">
            <v>0</v>
          </cell>
          <cell r="C2773">
            <v>0</v>
          </cell>
          <cell r="D2773">
            <v>0</v>
          </cell>
        </row>
        <row r="2774">
          <cell r="A2774">
            <v>0</v>
          </cell>
          <cell r="C2774">
            <v>0</v>
          </cell>
          <cell r="D2774">
            <v>0</v>
          </cell>
        </row>
        <row r="2775">
          <cell r="A2775">
            <v>0</v>
          </cell>
          <cell r="C2775">
            <v>0</v>
          </cell>
          <cell r="D2775">
            <v>0</v>
          </cell>
        </row>
        <row r="2776">
          <cell r="A2776">
            <v>0</v>
          </cell>
          <cell r="C2776">
            <v>0</v>
          </cell>
          <cell r="D2776">
            <v>0</v>
          </cell>
        </row>
        <row r="2777">
          <cell r="A2777">
            <v>0</v>
          </cell>
          <cell r="C2777">
            <v>0</v>
          </cell>
          <cell r="D2777">
            <v>0</v>
          </cell>
        </row>
        <row r="2778">
          <cell r="A2778">
            <v>0</v>
          </cell>
          <cell r="C2778">
            <v>0</v>
          </cell>
          <cell r="D2778">
            <v>0</v>
          </cell>
        </row>
        <row r="2779">
          <cell r="A2779">
            <v>0</v>
          </cell>
          <cell r="C2779">
            <v>0</v>
          </cell>
          <cell r="D2779">
            <v>0</v>
          </cell>
        </row>
        <row r="2780">
          <cell r="A2780">
            <v>0</v>
          </cell>
          <cell r="C2780">
            <v>0</v>
          </cell>
          <cell r="D2780">
            <v>0</v>
          </cell>
        </row>
        <row r="2781">
          <cell r="A2781">
            <v>0</v>
          </cell>
          <cell r="C2781">
            <v>0</v>
          </cell>
          <cell r="D2781">
            <v>0</v>
          </cell>
        </row>
        <row r="2782">
          <cell r="A2782">
            <v>0</v>
          </cell>
          <cell r="C2782">
            <v>0</v>
          </cell>
          <cell r="D2782">
            <v>0</v>
          </cell>
        </row>
        <row r="2783">
          <cell r="A2783">
            <v>0</v>
          </cell>
          <cell r="C2783">
            <v>0</v>
          </cell>
          <cell r="D2783">
            <v>0</v>
          </cell>
        </row>
        <row r="2784">
          <cell r="A2784">
            <v>0</v>
          </cell>
          <cell r="C2784">
            <v>0</v>
          </cell>
          <cell r="D2784">
            <v>0</v>
          </cell>
        </row>
        <row r="2785">
          <cell r="A2785">
            <v>0</v>
          </cell>
          <cell r="C2785">
            <v>0</v>
          </cell>
          <cell r="D2785">
            <v>0</v>
          </cell>
        </row>
        <row r="2786">
          <cell r="A2786">
            <v>0</v>
          </cell>
          <cell r="C2786">
            <v>0</v>
          </cell>
          <cell r="D2786">
            <v>0</v>
          </cell>
        </row>
        <row r="2787">
          <cell r="A2787">
            <v>0</v>
          </cell>
          <cell r="C2787">
            <v>0</v>
          </cell>
          <cell r="D2787">
            <v>0</v>
          </cell>
        </row>
        <row r="2788">
          <cell r="A2788">
            <v>0</v>
          </cell>
          <cell r="C2788">
            <v>0</v>
          </cell>
          <cell r="D2788">
            <v>0</v>
          </cell>
        </row>
        <row r="2789">
          <cell r="A2789">
            <v>0</v>
          </cell>
          <cell r="C2789">
            <v>0</v>
          </cell>
          <cell r="D2789">
            <v>0</v>
          </cell>
        </row>
        <row r="2790">
          <cell r="A2790">
            <v>0</v>
          </cell>
          <cell r="C2790">
            <v>0</v>
          </cell>
          <cell r="D2790">
            <v>0</v>
          </cell>
        </row>
        <row r="2791">
          <cell r="A2791">
            <v>0</v>
          </cell>
          <cell r="C2791">
            <v>0</v>
          </cell>
          <cell r="D2791">
            <v>0</v>
          </cell>
        </row>
        <row r="2792">
          <cell r="A2792">
            <v>0</v>
          </cell>
          <cell r="C2792">
            <v>0</v>
          </cell>
          <cell r="D2792">
            <v>0</v>
          </cell>
        </row>
        <row r="2793">
          <cell r="A2793">
            <v>0</v>
          </cell>
          <cell r="C2793">
            <v>0</v>
          </cell>
          <cell r="D2793">
            <v>0</v>
          </cell>
        </row>
        <row r="2794">
          <cell r="A2794">
            <v>0</v>
          </cell>
          <cell r="C2794">
            <v>0</v>
          </cell>
          <cell r="D2794">
            <v>0</v>
          </cell>
        </row>
        <row r="2795">
          <cell r="A2795">
            <v>0</v>
          </cell>
          <cell r="C2795">
            <v>0</v>
          </cell>
          <cell r="D2795">
            <v>0</v>
          </cell>
        </row>
        <row r="2796">
          <cell r="A2796">
            <v>0</v>
          </cell>
          <cell r="C2796">
            <v>0</v>
          </cell>
          <cell r="D2796">
            <v>0</v>
          </cell>
        </row>
        <row r="2797">
          <cell r="A2797">
            <v>0</v>
          </cell>
          <cell r="C2797">
            <v>0</v>
          </cell>
          <cell r="D2797">
            <v>0</v>
          </cell>
        </row>
        <row r="2798">
          <cell r="A2798">
            <v>0</v>
          </cell>
          <cell r="C2798">
            <v>0</v>
          </cell>
          <cell r="D2798">
            <v>0</v>
          </cell>
        </row>
        <row r="2799">
          <cell r="A2799">
            <v>0</v>
          </cell>
          <cell r="C2799">
            <v>0</v>
          </cell>
          <cell r="D2799">
            <v>0</v>
          </cell>
        </row>
        <row r="2800">
          <cell r="A2800">
            <v>0</v>
          </cell>
          <cell r="C2800">
            <v>0</v>
          </cell>
          <cell r="D2800">
            <v>0</v>
          </cell>
        </row>
        <row r="2801">
          <cell r="A2801">
            <v>0</v>
          </cell>
          <cell r="C2801">
            <v>0</v>
          </cell>
          <cell r="D2801">
            <v>0</v>
          </cell>
        </row>
        <row r="2802">
          <cell r="A2802">
            <v>0</v>
          </cell>
          <cell r="C2802">
            <v>0</v>
          </cell>
          <cell r="D2802">
            <v>0</v>
          </cell>
        </row>
        <row r="2803">
          <cell r="A2803">
            <v>0</v>
          </cell>
          <cell r="C2803">
            <v>0</v>
          </cell>
          <cell r="D2803">
            <v>0</v>
          </cell>
        </row>
        <row r="2804">
          <cell r="A2804">
            <v>0</v>
          </cell>
          <cell r="C2804">
            <v>0</v>
          </cell>
          <cell r="D2804">
            <v>0</v>
          </cell>
        </row>
        <row r="2805">
          <cell r="A2805">
            <v>0</v>
          </cell>
          <cell r="C2805">
            <v>0</v>
          </cell>
          <cell r="D2805">
            <v>0</v>
          </cell>
        </row>
        <row r="2806">
          <cell r="A2806">
            <v>0</v>
          </cell>
          <cell r="C2806">
            <v>0</v>
          </cell>
          <cell r="D2806">
            <v>0</v>
          </cell>
        </row>
        <row r="2807">
          <cell r="A2807">
            <v>0</v>
          </cell>
          <cell r="C2807">
            <v>0</v>
          </cell>
          <cell r="D2807">
            <v>0</v>
          </cell>
        </row>
        <row r="2808">
          <cell r="A2808">
            <v>0</v>
          </cell>
          <cell r="C2808">
            <v>0</v>
          </cell>
          <cell r="D2808">
            <v>0</v>
          </cell>
        </row>
        <row r="2809">
          <cell r="A2809">
            <v>0</v>
          </cell>
          <cell r="C2809">
            <v>0</v>
          </cell>
          <cell r="D2809">
            <v>0</v>
          </cell>
        </row>
        <row r="2810">
          <cell r="A2810">
            <v>0</v>
          </cell>
          <cell r="C2810">
            <v>0</v>
          </cell>
          <cell r="D2810">
            <v>0</v>
          </cell>
        </row>
        <row r="2811">
          <cell r="A2811">
            <v>0</v>
          </cell>
          <cell r="C2811">
            <v>0</v>
          </cell>
          <cell r="D2811">
            <v>0</v>
          </cell>
        </row>
        <row r="2812">
          <cell r="A2812">
            <v>0</v>
          </cell>
          <cell r="C2812">
            <v>0</v>
          </cell>
          <cell r="D2812">
            <v>0</v>
          </cell>
        </row>
        <row r="2813">
          <cell r="A2813">
            <v>0</v>
          </cell>
          <cell r="C2813">
            <v>0</v>
          </cell>
          <cell r="D2813">
            <v>0</v>
          </cell>
        </row>
        <row r="2814">
          <cell r="A2814">
            <v>0</v>
          </cell>
          <cell r="C2814">
            <v>0</v>
          </cell>
          <cell r="D2814">
            <v>0</v>
          </cell>
        </row>
        <row r="2815">
          <cell r="A2815">
            <v>0</v>
          </cell>
          <cell r="C2815">
            <v>0</v>
          </cell>
          <cell r="D2815">
            <v>0</v>
          </cell>
        </row>
        <row r="2816">
          <cell r="A2816">
            <v>0</v>
          </cell>
          <cell r="C2816">
            <v>0</v>
          </cell>
          <cell r="D2816">
            <v>0</v>
          </cell>
        </row>
        <row r="2817">
          <cell r="A2817">
            <v>0</v>
          </cell>
          <cell r="C2817">
            <v>0</v>
          </cell>
          <cell r="D2817">
            <v>0</v>
          </cell>
        </row>
        <row r="2818">
          <cell r="A2818">
            <v>0</v>
          </cell>
          <cell r="C2818">
            <v>0</v>
          </cell>
          <cell r="D2818">
            <v>0</v>
          </cell>
        </row>
        <row r="2819">
          <cell r="A2819">
            <v>0</v>
          </cell>
          <cell r="C2819">
            <v>0</v>
          </cell>
          <cell r="D2819">
            <v>0</v>
          </cell>
        </row>
        <row r="2820">
          <cell r="A2820">
            <v>0</v>
          </cell>
          <cell r="C2820">
            <v>0</v>
          </cell>
          <cell r="D2820">
            <v>0</v>
          </cell>
        </row>
        <row r="2821">
          <cell r="A2821">
            <v>0</v>
          </cell>
          <cell r="C2821">
            <v>0</v>
          </cell>
          <cell r="D2821">
            <v>0</v>
          </cell>
        </row>
        <row r="2822">
          <cell r="A2822">
            <v>0</v>
          </cell>
          <cell r="C2822">
            <v>0</v>
          </cell>
          <cell r="D2822">
            <v>0</v>
          </cell>
        </row>
        <row r="2823">
          <cell r="A2823">
            <v>0</v>
          </cell>
          <cell r="C2823">
            <v>0</v>
          </cell>
          <cell r="D2823">
            <v>0</v>
          </cell>
        </row>
        <row r="2824">
          <cell r="A2824">
            <v>0</v>
          </cell>
          <cell r="C2824">
            <v>0</v>
          </cell>
          <cell r="D2824">
            <v>0</v>
          </cell>
        </row>
        <row r="2825">
          <cell r="A2825">
            <v>0</v>
          </cell>
          <cell r="C2825">
            <v>0</v>
          </cell>
          <cell r="D2825">
            <v>0</v>
          </cell>
        </row>
        <row r="2826">
          <cell r="A2826">
            <v>0</v>
          </cell>
          <cell r="C2826">
            <v>0</v>
          </cell>
          <cell r="D2826">
            <v>0</v>
          </cell>
        </row>
        <row r="2827">
          <cell r="A2827">
            <v>0</v>
          </cell>
          <cell r="C2827">
            <v>0</v>
          </cell>
          <cell r="D2827">
            <v>0</v>
          </cell>
        </row>
        <row r="2828">
          <cell r="A2828">
            <v>0</v>
          </cell>
          <cell r="C2828">
            <v>0</v>
          </cell>
          <cell r="D2828">
            <v>0</v>
          </cell>
        </row>
        <row r="2829">
          <cell r="A2829">
            <v>0</v>
          </cell>
          <cell r="C2829">
            <v>0</v>
          </cell>
          <cell r="D2829">
            <v>0</v>
          </cell>
        </row>
        <row r="2830">
          <cell r="A2830">
            <v>0</v>
          </cell>
          <cell r="C2830">
            <v>0</v>
          </cell>
          <cell r="D2830">
            <v>0</v>
          </cell>
        </row>
        <row r="2831">
          <cell r="A2831">
            <v>0</v>
          </cell>
          <cell r="C2831">
            <v>0</v>
          </cell>
          <cell r="D2831">
            <v>0</v>
          </cell>
        </row>
        <row r="2832">
          <cell r="A2832">
            <v>0</v>
          </cell>
          <cell r="C2832">
            <v>0</v>
          </cell>
          <cell r="D2832">
            <v>0</v>
          </cell>
        </row>
        <row r="2833">
          <cell r="A2833">
            <v>0</v>
          </cell>
          <cell r="C2833">
            <v>0</v>
          </cell>
          <cell r="D2833">
            <v>0</v>
          </cell>
        </row>
        <row r="2834">
          <cell r="A2834">
            <v>0</v>
          </cell>
          <cell r="C2834">
            <v>0</v>
          </cell>
          <cell r="D2834">
            <v>0</v>
          </cell>
        </row>
        <row r="2835">
          <cell r="A2835">
            <v>0</v>
          </cell>
          <cell r="C2835">
            <v>0</v>
          </cell>
          <cell r="D2835">
            <v>0</v>
          </cell>
        </row>
        <row r="2836">
          <cell r="A2836">
            <v>0</v>
          </cell>
          <cell r="C2836">
            <v>0</v>
          </cell>
          <cell r="D2836">
            <v>0</v>
          </cell>
        </row>
        <row r="2837">
          <cell r="A2837">
            <v>0</v>
          </cell>
          <cell r="C2837">
            <v>0</v>
          </cell>
          <cell r="D2837">
            <v>0</v>
          </cell>
        </row>
        <row r="2838">
          <cell r="A2838">
            <v>0</v>
          </cell>
          <cell r="C2838">
            <v>0</v>
          </cell>
          <cell r="D2838">
            <v>0</v>
          </cell>
        </row>
        <row r="2839">
          <cell r="A2839">
            <v>0</v>
          </cell>
          <cell r="C2839">
            <v>0</v>
          </cell>
          <cell r="D2839">
            <v>0</v>
          </cell>
        </row>
        <row r="2840">
          <cell r="A2840">
            <v>0</v>
          </cell>
          <cell r="C2840">
            <v>0</v>
          </cell>
          <cell r="D2840">
            <v>0</v>
          </cell>
        </row>
        <row r="2841">
          <cell r="A2841">
            <v>0</v>
          </cell>
          <cell r="C2841">
            <v>0</v>
          </cell>
          <cell r="D2841">
            <v>0</v>
          </cell>
        </row>
        <row r="2842">
          <cell r="A2842">
            <v>0</v>
          </cell>
          <cell r="C2842">
            <v>0</v>
          </cell>
          <cell r="D2842">
            <v>0</v>
          </cell>
        </row>
        <row r="2843">
          <cell r="A2843">
            <v>0</v>
          </cell>
          <cell r="C2843">
            <v>0</v>
          </cell>
          <cell r="D2843">
            <v>0</v>
          </cell>
        </row>
        <row r="2844">
          <cell r="A2844">
            <v>0</v>
          </cell>
          <cell r="C2844">
            <v>0</v>
          </cell>
          <cell r="D2844">
            <v>0</v>
          </cell>
        </row>
        <row r="2845">
          <cell r="A2845">
            <v>0</v>
          </cell>
          <cell r="C2845">
            <v>0</v>
          </cell>
          <cell r="D2845">
            <v>0</v>
          </cell>
        </row>
        <row r="2846">
          <cell r="A2846">
            <v>0</v>
          </cell>
          <cell r="C2846">
            <v>0</v>
          </cell>
          <cell r="D2846">
            <v>0</v>
          </cell>
        </row>
        <row r="2847">
          <cell r="A2847">
            <v>0</v>
          </cell>
          <cell r="C2847">
            <v>0</v>
          </cell>
          <cell r="D2847">
            <v>0</v>
          </cell>
        </row>
        <row r="2848">
          <cell r="A2848">
            <v>0</v>
          </cell>
          <cell r="C2848">
            <v>0</v>
          </cell>
          <cell r="D2848">
            <v>0</v>
          </cell>
        </row>
        <row r="2849">
          <cell r="A2849">
            <v>0</v>
          </cell>
          <cell r="C2849">
            <v>0</v>
          </cell>
          <cell r="D2849">
            <v>0</v>
          </cell>
        </row>
        <row r="2850">
          <cell r="A2850">
            <v>0</v>
          </cell>
          <cell r="C2850">
            <v>0</v>
          </cell>
          <cell r="D2850">
            <v>0</v>
          </cell>
        </row>
        <row r="2851">
          <cell r="A2851">
            <v>0</v>
          </cell>
          <cell r="C2851">
            <v>0</v>
          </cell>
          <cell r="D2851">
            <v>0</v>
          </cell>
        </row>
        <row r="2852">
          <cell r="A2852">
            <v>0</v>
          </cell>
          <cell r="C2852">
            <v>0</v>
          </cell>
          <cell r="D2852">
            <v>0</v>
          </cell>
        </row>
        <row r="2853">
          <cell r="A2853">
            <v>0</v>
          </cell>
          <cell r="C2853">
            <v>0</v>
          </cell>
          <cell r="D2853">
            <v>0</v>
          </cell>
        </row>
        <row r="2854">
          <cell r="A2854">
            <v>0</v>
          </cell>
          <cell r="C2854">
            <v>0</v>
          </cell>
          <cell r="D2854">
            <v>0</v>
          </cell>
        </row>
        <row r="2855">
          <cell r="A2855">
            <v>0</v>
          </cell>
          <cell r="C2855">
            <v>0</v>
          </cell>
          <cell r="D2855">
            <v>0</v>
          </cell>
        </row>
        <row r="2856">
          <cell r="A2856">
            <v>0</v>
          </cell>
          <cell r="C2856">
            <v>0</v>
          </cell>
          <cell r="D2856">
            <v>0</v>
          </cell>
        </row>
        <row r="2857">
          <cell r="A2857">
            <v>0</v>
          </cell>
          <cell r="C2857">
            <v>0</v>
          </cell>
          <cell r="D2857">
            <v>0</v>
          </cell>
        </row>
        <row r="2858">
          <cell r="A2858">
            <v>0</v>
          </cell>
          <cell r="C2858">
            <v>0</v>
          </cell>
          <cell r="D2858">
            <v>0</v>
          </cell>
        </row>
        <row r="2859">
          <cell r="A2859">
            <v>0</v>
          </cell>
          <cell r="C2859">
            <v>0</v>
          </cell>
          <cell r="D2859">
            <v>0</v>
          </cell>
        </row>
        <row r="2860">
          <cell r="A2860">
            <v>0</v>
          </cell>
          <cell r="C2860">
            <v>0</v>
          </cell>
          <cell r="D2860">
            <v>0</v>
          </cell>
        </row>
        <row r="2861">
          <cell r="A2861">
            <v>0</v>
          </cell>
          <cell r="C2861">
            <v>0</v>
          </cell>
          <cell r="D2861">
            <v>0</v>
          </cell>
        </row>
        <row r="2862">
          <cell r="A2862">
            <v>0</v>
          </cell>
          <cell r="C2862">
            <v>0</v>
          </cell>
          <cell r="D2862">
            <v>0</v>
          </cell>
        </row>
        <row r="2863">
          <cell r="A2863">
            <v>0</v>
          </cell>
          <cell r="C2863">
            <v>0</v>
          </cell>
          <cell r="D2863">
            <v>0</v>
          </cell>
        </row>
        <row r="2864">
          <cell r="A2864">
            <v>0</v>
          </cell>
          <cell r="C2864">
            <v>0</v>
          </cell>
          <cell r="D2864">
            <v>0</v>
          </cell>
        </row>
        <row r="2865">
          <cell r="A2865">
            <v>0</v>
          </cell>
          <cell r="C2865">
            <v>0</v>
          </cell>
          <cell r="D2865">
            <v>0</v>
          </cell>
        </row>
        <row r="2866">
          <cell r="A2866">
            <v>0</v>
          </cell>
          <cell r="C2866">
            <v>0</v>
          </cell>
          <cell r="D2866">
            <v>0</v>
          </cell>
        </row>
        <row r="2867">
          <cell r="A2867">
            <v>0</v>
          </cell>
          <cell r="C2867">
            <v>0</v>
          </cell>
          <cell r="D2867">
            <v>0</v>
          </cell>
        </row>
        <row r="2868">
          <cell r="A2868">
            <v>0</v>
          </cell>
          <cell r="C2868">
            <v>0</v>
          </cell>
          <cell r="D2868">
            <v>0</v>
          </cell>
        </row>
        <row r="2869">
          <cell r="A2869">
            <v>0</v>
          </cell>
          <cell r="C2869">
            <v>0</v>
          </cell>
          <cell r="D2869">
            <v>0</v>
          </cell>
        </row>
        <row r="2870">
          <cell r="A2870">
            <v>0</v>
          </cell>
          <cell r="C2870">
            <v>0</v>
          </cell>
          <cell r="D2870">
            <v>0</v>
          </cell>
        </row>
        <row r="2871">
          <cell r="A2871">
            <v>0</v>
          </cell>
          <cell r="C2871">
            <v>0</v>
          </cell>
          <cell r="D2871">
            <v>0</v>
          </cell>
        </row>
        <row r="2872">
          <cell r="A2872">
            <v>0</v>
          </cell>
          <cell r="C2872">
            <v>0</v>
          </cell>
          <cell r="D2872">
            <v>0</v>
          </cell>
        </row>
        <row r="2873">
          <cell r="A2873">
            <v>0</v>
          </cell>
          <cell r="C2873">
            <v>0</v>
          </cell>
          <cell r="D2873">
            <v>0</v>
          </cell>
        </row>
        <row r="2874">
          <cell r="A2874">
            <v>0</v>
          </cell>
          <cell r="C2874">
            <v>0</v>
          </cell>
          <cell r="D2874">
            <v>0</v>
          </cell>
        </row>
        <row r="2875">
          <cell r="A2875">
            <v>0</v>
          </cell>
          <cell r="C2875">
            <v>0</v>
          </cell>
          <cell r="D2875">
            <v>0</v>
          </cell>
        </row>
        <row r="2876">
          <cell r="A2876">
            <v>0</v>
          </cell>
          <cell r="C2876">
            <v>0</v>
          </cell>
          <cell r="D2876">
            <v>0</v>
          </cell>
        </row>
        <row r="2877">
          <cell r="A2877">
            <v>0</v>
          </cell>
          <cell r="C2877">
            <v>0</v>
          </cell>
          <cell r="D2877">
            <v>0</v>
          </cell>
        </row>
        <row r="2878">
          <cell r="A2878">
            <v>0</v>
          </cell>
          <cell r="C2878">
            <v>0</v>
          </cell>
          <cell r="D2878">
            <v>0</v>
          </cell>
        </row>
        <row r="2879">
          <cell r="A2879">
            <v>0</v>
          </cell>
          <cell r="C2879">
            <v>0</v>
          </cell>
          <cell r="D2879">
            <v>0</v>
          </cell>
        </row>
        <row r="2880">
          <cell r="A2880">
            <v>0</v>
          </cell>
          <cell r="C2880">
            <v>0</v>
          </cell>
          <cell r="D2880">
            <v>0</v>
          </cell>
        </row>
        <row r="2881">
          <cell r="A2881">
            <v>0</v>
          </cell>
          <cell r="C2881">
            <v>0</v>
          </cell>
          <cell r="D2881">
            <v>0</v>
          </cell>
        </row>
        <row r="2882">
          <cell r="A2882">
            <v>0</v>
          </cell>
          <cell r="C2882">
            <v>0</v>
          </cell>
          <cell r="D2882">
            <v>0</v>
          </cell>
        </row>
        <row r="2883">
          <cell r="A2883">
            <v>0</v>
          </cell>
          <cell r="C2883">
            <v>0</v>
          </cell>
          <cell r="D2883">
            <v>0</v>
          </cell>
        </row>
        <row r="2884">
          <cell r="A2884">
            <v>0</v>
          </cell>
          <cell r="C2884">
            <v>0</v>
          </cell>
          <cell r="D2884">
            <v>0</v>
          </cell>
        </row>
        <row r="2885">
          <cell r="A2885">
            <v>0</v>
          </cell>
          <cell r="C2885">
            <v>0</v>
          </cell>
          <cell r="D2885">
            <v>0</v>
          </cell>
        </row>
        <row r="2886">
          <cell r="A2886">
            <v>0</v>
          </cell>
          <cell r="C2886">
            <v>0</v>
          </cell>
          <cell r="D2886">
            <v>0</v>
          </cell>
        </row>
        <row r="2887">
          <cell r="A2887">
            <v>0</v>
          </cell>
          <cell r="C2887">
            <v>0</v>
          </cell>
          <cell r="D2887">
            <v>0</v>
          </cell>
        </row>
        <row r="2888">
          <cell r="A2888">
            <v>0</v>
          </cell>
          <cell r="C2888">
            <v>0</v>
          </cell>
          <cell r="D2888">
            <v>0</v>
          </cell>
        </row>
        <row r="2889">
          <cell r="A2889">
            <v>0</v>
          </cell>
          <cell r="C2889">
            <v>0</v>
          </cell>
          <cell r="D2889">
            <v>0</v>
          </cell>
        </row>
        <row r="2890">
          <cell r="A2890">
            <v>0</v>
          </cell>
          <cell r="C2890">
            <v>0</v>
          </cell>
          <cell r="D2890">
            <v>0</v>
          </cell>
        </row>
        <row r="2891">
          <cell r="A2891">
            <v>0</v>
          </cell>
          <cell r="C2891">
            <v>0</v>
          </cell>
          <cell r="D2891">
            <v>0</v>
          </cell>
        </row>
        <row r="2892">
          <cell r="A2892">
            <v>0</v>
          </cell>
          <cell r="C2892">
            <v>0</v>
          </cell>
          <cell r="D2892">
            <v>0</v>
          </cell>
        </row>
        <row r="2893">
          <cell r="A2893">
            <v>0</v>
          </cell>
          <cell r="C2893">
            <v>0</v>
          </cell>
          <cell r="D2893">
            <v>0</v>
          </cell>
        </row>
        <row r="2894">
          <cell r="A2894">
            <v>0</v>
          </cell>
          <cell r="C2894">
            <v>0</v>
          </cell>
          <cell r="D2894">
            <v>0</v>
          </cell>
        </row>
        <row r="2895">
          <cell r="A2895">
            <v>0</v>
          </cell>
          <cell r="C2895">
            <v>0</v>
          </cell>
          <cell r="D2895">
            <v>0</v>
          </cell>
        </row>
        <row r="2896">
          <cell r="A2896">
            <v>0</v>
          </cell>
          <cell r="C2896">
            <v>0</v>
          </cell>
          <cell r="D2896">
            <v>0</v>
          </cell>
        </row>
        <row r="2897">
          <cell r="A2897">
            <v>0</v>
          </cell>
          <cell r="C2897">
            <v>0</v>
          </cell>
          <cell r="D2897">
            <v>0</v>
          </cell>
        </row>
        <row r="2898">
          <cell r="A2898">
            <v>0</v>
          </cell>
          <cell r="C2898">
            <v>0</v>
          </cell>
          <cell r="D2898">
            <v>0</v>
          </cell>
        </row>
        <row r="2899">
          <cell r="A2899">
            <v>0</v>
          </cell>
          <cell r="C2899">
            <v>0</v>
          </cell>
          <cell r="D2899">
            <v>0</v>
          </cell>
        </row>
        <row r="2900">
          <cell r="A2900">
            <v>0</v>
          </cell>
          <cell r="C2900">
            <v>0</v>
          </cell>
          <cell r="D2900">
            <v>0</v>
          </cell>
        </row>
        <row r="2901">
          <cell r="A2901">
            <v>0</v>
          </cell>
          <cell r="C2901">
            <v>0</v>
          </cell>
          <cell r="D2901">
            <v>0</v>
          </cell>
        </row>
        <row r="2902">
          <cell r="A2902">
            <v>0</v>
          </cell>
          <cell r="C2902">
            <v>0</v>
          </cell>
          <cell r="D2902">
            <v>0</v>
          </cell>
        </row>
        <row r="2903">
          <cell r="A2903">
            <v>0</v>
          </cell>
          <cell r="C2903">
            <v>0</v>
          </cell>
          <cell r="D2903">
            <v>0</v>
          </cell>
        </row>
        <row r="2904">
          <cell r="A2904">
            <v>0</v>
          </cell>
          <cell r="C2904">
            <v>0</v>
          </cell>
          <cell r="D2904">
            <v>0</v>
          </cell>
        </row>
        <row r="2905">
          <cell r="A2905">
            <v>0</v>
          </cell>
          <cell r="C2905">
            <v>0</v>
          </cell>
          <cell r="D2905">
            <v>0</v>
          </cell>
        </row>
        <row r="2906">
          <cell r="A2906">
            <v>0</v>
          </cell>
          <cell r="C2906">
            <v>0</v>
          </cell>
          <cell r="D2906">
            <v>0</v>
          </cell>
        </row>
        <row r="2907">
          <cell r="A2907">
            <v>0</v>
          </cell>
          <cell r="C2907">
            <v>0</v>
          </cell>
          <cell r="D2907">
            <v>0</v>
          </cell>
        </row>
        <row r="2908">
          <cell r="A2908">
            <v>0</v>
          </cell>
          <cell r="C2908">
            <v>0</v>
          </cell>
          <cell r="D2908">
            <v>0</v>
          </cell>
        </row>
        <row r="2909">
          <cell r="A2909">
            <v>0</v>
          </cell>
          <cell r="C2909">
            <v>0</v>
          </cell>
          <cell r="D2909">
            <v>0</v>
          </cell>
        </row>
        <row r="2910">
          <cell r="A2910">
            <v>0</v>
          </cell>
          <cell r="C2910">
            <v>0</v>
          </cell>
          <cell r="D2910">
            <v>0</v>
          </cell>
        </row>
        <row r="2911">
          <cell r="A2911">
            <v>0</v>
          </cell>
          <cell r="C2911">
            <v>0</v>
          </cell>
          <cell r="D2911">
            <v>0</v>
          </cell>
        </row>
        <row r="2912">
          <cell r="A2912">
            <v>0</v>
          </cell>
          <cell r="C2912">
            <v>0</v>
          </cell>
          <cell r="D2912">
            <v>0</v>
          </cell>
        </row>
        <row r="2913">
          <cell r="A2913">
            <v>0</v>
          </cell>
          <cell r="C2913">
            <v>0</v>
          </cell>
          <cell r="D2913">
            <v>0</v>
          </cell>
        </row>
        <row r="2914">
          <cell r="A2914">
            <v>0</v>
          </cell>
          <cell r="C2914">
            <v>0</v>
          </cell>
          <cell r="D2914">
            <v>0</v>
          </cell>
        </row>
        <row r="2915">
          <cell r="A2915">
            <v>0</v>
          </cell>
          <cell r="C2915">
            <v>0</v>
          </cell>
          <cell r="D2915">
            <v>0</v>
          </cell>
        </row>
        <row r="2916">
          <cell r="A2916">
            <v>0</v>
          </cell>
          <cell r="C2916">
            <v>0</v>
          </cell>
          <cell r="D2916">
            <v>0</v>
          </cell>
        </row>
        <row r="2917">
          <cell r="A2917">
            <v>0</v>
          </cell>
          <cell r="C2917">
            <v>0</v>
          </cell>
          <cell r="D2917">
            <v>0</v>
          </cell>
        </row>
        <row r="2918">
          <cell r="A2918">
            <v>0</v>
          </cell>
          <cell r="C2918">
            <v>0</v>
          </cell>
          <cell r="D2918">
            <v>0</v>
          </cell>
        </row>
        <row r="2919">
          <cell r="A2919">
            <v>0</v>
          </cell>
          <cell r="C2919">
            <v>0</v>
          </cell>
          <cell r="D2919">
            <v>0</v>
          </cell>
        </row>
        <row r="2920">
          <cell r="A2920">
            <v>0</v>
          </cell>
          <cell r="C2920">
            <v>0</v>
          </cell>
          <cell r="D2920">
            <v>0</v>
          </cell>
        </row>
        <row r="2921">
          <cell r="A2921">
            <v>0</v>
          </cell>
          <cell r="C2921">
            <v>0</v>
          </cell>
          <cell r="D2921">
            <v>0</v>
          </cell>
        </row>
        <row r="2922">
          <cell r="A2922">
            <v>0</v>
          </cell>
          <cell r="C2922">
            <v>0</v>
          </cell>
          <cell r="D2922">
            <v>0</v>
          </cell>
        </row>
        <row r="2923">
          <cell r="A2923">
            <v>0</v>
          </cell>
          <cell r="C2923">
            <v>0</v>
          </cell>
          <cell r="D2923">
            <v>0</v>
          </cell>
        </row>
        <row r="2924">
          <cell r="A2924">
            <v>0</v>
          </cell>
          <cell r="C2924">
            <v>0</v>
          </cell>
          <cell r="D2924">
            <v>0</v>
          </cell>
        </row>
        <row r="2925">
          <cell r="A2925">
            <v>0</v>
          </cell>
          <cell r="C2925">
            <v>0</v>
          </cell>
          <cell r="D2925">
            <v>0</v>
          </cell>
        </row>
        <row r="2926">
          <cell r="A2926">
            <v>0</v>
          </cell>
          <cell r="C2926">
            <v>0</v>
          </cell>
          <cell r="D2926">
            <v>0</v>
          </cell>
        </row>
        <row r="2927">
          <cell r="A2927">
            <v>0</v>
          </cell>
          <cell r="C2927">
            <v>0</v>
          </cell>
          <cell r="D2927">
            <v>0</v>
          </cell>
        </row>
        <row r="2928">
          <cell r="A2928">
            <v>0</v>
          </cell>
          <cell r="C2928">
            <v>0</v>
          </cell>
          <cell r="D2928">
            <v>0</v>
          </cell>
        </row>
        <row r="2929">
          <cell r="A2929">
            <v>0</v>
          </cell>
          <cell r="C2929">
            <v>0</v>
          </cell>
          <cell r="D2929">
            <v>0</v>
          </cell>
        </row>
        <row r="2930">
          <cell r="A2930">
            <v>0</v>
          </cell>
          <cell r="C2930">
            <v>0</v>
          </cell>
          <cell r="D2930">
            <v>0</v>
          </cell>
        </row>
        <row r="2931">
          <cell r="A2931">
            <v>0</v>
          </cell>
          <cell r="C2931">
            <v>0</v>
          </cell>
          <cell r="D2931">
            <v>0</v>
          </cell>
        </row>
        <row r="2932">
          <cell r="A2932">
            <v>0</v>
          </cell>
          <cell r="C2932">
            <v>0</v>
          </cell>
          <cell r="D2932">
            <v>0</v>
          </cell>
        </row>
        <row r="2933">
          <cell r="A2933">
            <v>0</v>
          </cell>
          <cell r="C2933">
            <v>0</v>
          </cell>
          <cell r="D2933">
            <v>0</v>
          </cell>
        </row>
        <row r="2934">
          <cell r="A2934">
            <v>0</v>
          </cell>
          <cell r="C2934">
            <v>0</v>
          </cell>
          <cell r="D2934">
            <v>0</v>
          </cell>
        </row>
        <row r="2935">
          <cell r="A2935">
            <v>0</v>
          </cell>
          <cell r="C2935">
            <v>0</v>
          </cell>
          <cell r="D2935">
            <v>0</v>
          </cell>
        </row>
        <row r="2936">
          <cell r="A2936">
            <v>0</v>
          </cell>
          <cell r="C2936">
            <v>0</v>
          </cell>
          <cell r="D2936">
            <v>0</v>
          </cell>
        </row>
        <row r="2937">
          <cell r="A2937">
            <v>0</v>
          </cell>
          <cell r="C2937">
            <v>0</v>
          </cell>
          <cell r="D2937">
            <v>0</v>
          </cell>
        </row>
        <row r="2938">
          <cell r="A2938">
            <v>0</v>
          </cell>
          <cell r="C2938">
            <v>0</v>
          </cell>
          <cell r="D2938">
            <v>0</v>
          </cell>
        </row>
        <row r="2939">
          <cell r="A2939">
            <v>0</v>
          </cell>
          <cell r="C2939">
            <v>0</v>
          </cell>
          <cell r="D2939">
            <v>0</v>
          </cell>
        </row>
        <row r="2940">
          <cell r="A2940">
            <v>0</v>
          </cell>
          <cell r="C2940">
            <v>0</v>
          </cell>
          <cell r="D2940">
            <v>0</v>
          </cell>
        </row>
        <row r="2941">
          <cell r="A2941">
            <v>0</v>
          </cell>
          <cell r="C2941">
            <v>0</v>
          </cell>
          <cell r="D2941">
            <v>0</v>
          </cell>
        </row>
        <row r="2942">
          <cell r="A2942">
            <v>0</v>
          </cell>
          <cell r="C2942">
            <v>0</v>
          </cell>
          <cell r="D2942">
            <v>0</v>
          </cell>
        </row>
        <row r="2943">
          <cell r="A2943">
            <v>0</v>
          </cell>
          <cell r="C2943">
            <v>0</v>
          </cell>
          <cell r="D2943">
            <v>0</v>
          </cell>
        </row>
        <row r="2944">
          <cell r="A2944">
            <v>0</v>
          </cell>
          <cell r="C2944">
            <v>0</v>
          </cell>
          <cell r="D2944">
            <v>0</v>
          </cell>
        </row>
        <row r="2945">
          <cell r="A2945">
            <v>0</v>
          </cell>
          <cell r="C2945">
            <v>0</v>
          </cell>
          <cell r="D2945">
            <v>0</v>
          </cell>
        </row>
        <row r="2946">
          <cell r="A2946">
            <v>0</v>
          </cell>
          <cell r="C2946">
            <v>0</v>
          </cell>
          <cell r="D2946">
            <v>0</v>
          </cell>
        </row>
        <row r="2947">
          <cell r="A2947">
            <v>0</v>
          </cell>
          <cell r="C2947">
            <v>0</v>
          </cell>
          <cell r="D2947">
            <v>0</v>
          </cell>
        </row>
        <row r="2948">
          <cell r="A2948">
            <v>0</v>
          </cell>
          <cell r="C2948">
            <v>0</v>
          </cell>
          <cell r="D2948">
            <v>0</v>
          </cell>
        </row>
        <row r="2949">
          <cell r="A2949">
            <v>0</v>
          </cell>
          <cell r="C2949">
            <v>0</v>
          </cell>
          <cell r="D2949">
            <v>0</v>
          </cell>
        </row>
        <row r="2950">
          <cell r="A2950">
            <v>0</v>
          </cell>
          <cell r="C2950">
            <v>0</v>
          </cell>
          <cell r="D2950">
            <v>0</v>
          </cell>
        </row>
        <row r="2951">
          <cell r="A2951">
            <v>0</v>
          </cell>
          <cell r="C2951">
            <v>0</v>
          </cell>
          <cell r="D2951">
            <v>0</v>
          </cell>
        </row>
        <row r="2952">
          <cell r="A2952">
            <v>0</v>
          </cell>
          <cell r="C2952">
            <v>0</v>
          </cell>
          <cell r="D2952">
            <v>0</v>
          </cell>
        </row>
        <row r="2953">
          <cell r="A2953">
            <v>0</v>
          </cell>
          <cell r="C2953">
            <v>0</v>
          </cell>
          <cell r="D2953">
            <v>0</v>
          </cell>
        </row>
        <row r="2954">
          <cell r="A2954">
            <v>0</v>
          </cell>
          <cell r="C2954">
            <v>0</v>
          </cell>
          <cell r="D2954">
            <v>0</v>
          </cell>
        </row>
        <row r="2955">
          <cell r="A2955">
            <v>0</v>
          </cell>
          <cell r="C2955">
            <v>0</v>
          </cell>
          <cell r="D2955">
            <v>0</v>
          </cell>
        </row>
        <row r="2956">
          <cell r="A2956">
            <v>0</v>
          </cell>
          <cell r="C2956">
            <v>0</v>
          </cell>
          <cell r="D2956">
            <v>0</v>
          </cell>
        </row>
        <row r="2957">
          <cell r="A2957">
            <v>0</v>
          </cell>
          <cell r="C2957">
            <v>0</v>
          </cell>
          <cell r="D2957">
            <v>0</v>
          </cell>
        </row>
        <row r="2958">
          <cell r="A2958">
            <v>0</v>
          </cell>
          <cell r="C2958">
            <v>0</v>
          </cell>
          <cell r="D2958">
            <v>0</v>
          </cell>
        </row>
        <row r="2959">
          <cell r="A2959">
            <v>0</v>
          </cell>
          <cell r="C2959">
            <v>0</v>
          </cell>
          <cell r="D2959">
            <v>0</v>
          </cell>
        </row>
        <row r="2960">
          <cell r="A2960">
            <v>0</v>
          </cell>
          <cell r="C2960">
            <v>0</v>
          </cell>
          <cell r="D2960">
            <v>0</v>
          </cell>
        </row>
        <row r="2961">
          <cell r="A2961">
            <v>0</v>
          </cell>
          <cell r="C2961">
            <v>0</v>
          </cell>
          <cell r="D2961">
            <v>0</v>
          </cell>
        </row>
        <row r="2962">
          <cell r="A2962">
            <v>0</v>
          </cell>
          <cell r="C2962">
            <v>0</v>
          </cell>
          <cell r="D2962">
            <v>0</v>
          </cell>
        </row>
        <row r="2963">
          <cell r="A2963">
            <v>0</v>
          </cell>
          <cell r="C2963">
            <v>0</v>
          </cell>
          <cell r="D2963">
            <v>0</v>
          </cell>
        </row>
        <row r="2964">
          <cell r="A2964">
            <v>0</v>
          </cell>
          <cell r="C2964">
            <v>0</v>
          </cell>
          <cell r="D2964">
            <v>0</v>
          </cell>
        </row>
        <row r="2965">
          <cell r="A2965">
            <v>0</v>
          </cell>
          <cell r="C2965">
            <v>0</v>
          </cell>
          <cell r="D2965">
            <v>0</v>
          </cell>
        </row>
        <row r="2966">
          <cell r="A2966">
            <v>0</v>
          </cell>
          <cell r="C2966">
            <v>0</v>
          </cell>
          <cell r="D2966">
            <v>0</v>
          </cell>
        </row>
        <row r="2967">
          <cell r="A2967">
            <v>0</v>
          </cell>
          <cell r="C2967">
            <v>0</v>
          </cell>
          <cell r="D2967">
            <v>0</v>
          </cell>
        </row>
        <row r="2968">
          <cell r="A2968">
            <v>0</v>
          </cell>
          <cell r="C2968">
            <v>0</v>
          </cell>
          <cell r="D2968">
            <v>0</v>
          </cell>
        </row>
        <row r="2969">
          <cell r="A2969">
            <v>0</v>
          </cell>
          <cell r="C2969">
            <v>0</v>
          </cell>
          <cell r="D2969">
            <v>0</v>
          </cell>
        </row>
        <row r="2970">
          <cell r="A2970">
            <v>0</v>
          </cell>
          <cell r="C2970">
            <v>0</v>
          </cell>
          <cell r="D2970">
            <v>0</v>
          </cell>
        </row>
        <row r="2971">
          <cell r="A2971">
            <v>0</v>
          </cell>
          <cell r="C2971">
            <v>0</v>
          </cell>
          <cell r="D2971">
            <v>0</v>
          </cell>
        </row>
        <row r="2972">
          <cell r="A2972">
            <v>0</v>
          </cell>
          <cell r="C2972">
            <v>0</v>
          </cell>
          <cell r="D2972">
            <v>0</v>
          </cell>
        </row>
        <row r="2973">
          <cell r="A2973">
            <v>0</v>
          </cell>
          <cell r="C2973">
            <v>0</v>
          </cell>
          <cell r="D2973">
            <v>0</v>
          </cell>
        </row>
        <row r="2974">
          <cell r="A2974">
            <v>0</v>
          </cell>
          <cell r="C2974">
            <v>0</v>
          </cell>
          <cell r="D2974">
            <v>0</v>
          </cell>
        </row>
        <row r="2975">
          <cell r="A2975">
            <v>0</v>
          </cell>
          <cell r="C2975">
            <v>0</v>
          </cell>
          <cell r="D2975">
            <v>0</v>
          </cell>
        </row>
        <row r="2976">
          <cell r="A2976">
            <v>0</v>
          </cell>
          <cell r="C2976">
            <v>0</v>
          </cell>
          <cell r="D2976">
            <v>0</v>
          </cell>
        </row>
        <row r="2977">
          <cell r="A2977">
            <v>0</v>
          </cell>
          <cell r="C2977">
            <v>0</v>
          </cell>
          <cell r="D2977">
            <v>0</v>
          </cell>
        </row>
        <row r="2978">
          <cell r="A2978">
            <v>0</v>
          </cell>
          <cell r="C2978">
            <v>0</v>
          </cell>
          <cell r="D2978">
            <v>0</v>
          </cell>
        </row>
        <row r="2979">
          <cell r="A2979">
            <v>0</v>
          </cell>
          <cell r="C2979">
            <v>0</v>
          </cell>
          <cell r="D2979">
            <v>0</v>
          </cell>
        </row>
        <row r="2980">
          <cell r="A2980">
            <v>0</v>
          </cell>
          <cell r="C2980">
            <v>0</v>
          </cell>
          <cell r="D2980">
            <v>0</v>
          </cell>
        </row>
        <row r="2981">
          <cell r="A2981">
            <v>0</v>
          </cell>
          <cell r="C2981">
            <v>0</v>
          </cell>
          <cell r="D2981">
            <v>0</v>
          </cell>
        </row>
        <row r="2982">
          <cell r="A2982">
            <v>0</v>
          </cell>
          <cell r="C2982">
            <v>0</v>
          </cell>
          <cell r="D2982">
            <v>0</v>
          </cell>
        </row>
        <row r="2983">
          <cell r="A2983">
            <v>0</v>
          </cell>
          <cell r="C2983">
            <v>0</v>
          </cell>
          <cell r="D2983">
            <v>0</v>
          </cell>
        </row>
        <row r="2984">
          <cell r="A2984">
            <v>0</v>
          </cell>
          <cell r="C2984">
            <v>0</v>
          </cell>
          <cell r="D2984">
            <v>0</v>
          </cell>
        </row>
        <row r="2985">
          <cell r="A2985">
            <v>0</v>
          </cell>
          <cell r="C2985">
            <v>0</v>
          </cell>
          <cell r="D2985">
            <v>0</v>
          </cell>
        </row>
        <row r="2986">
          <cell r="A2986">
            <v>0</v>
          </cell>
          <cell r="C2986">
            <v>0</v>
          </cell>
          <cell r="D2986">
            <v>0</v>
          </cell>
        </row>
        <row r="2987">
          <cell r="A2987">
            <v>0</v>
          </cell>
          <cell r="C2987">
            <v>0</v>
          </cell>
          <cell r="D2987">
            <v>0</v>
          </cell>
        </row>
        <row r="2988">
          <cell r="A2988">
            <v>0</v>
          </cell>
          <cell r="C2988">
            <v>0</v>
          </cell>
          <cell r="D2988">
            <v>0</v>
          </cell>
        </row>
        <row r="2989">
          <cell r="A2989">
            <v>0</v>
          </cell>
          <cell r="C2989">
            <v>0</v>
          </cell>
          <cell r="D2989">
            <v>0</v>
          </cell>
        </row>
        <row r="2990">
          <cell r="A2990">
            <v>0</v>
          </cell>
          <cell r="C2990">
            <v>0</v>
          </cell>
          <cell r="D2990">
            <v>0</v>
          </cell>
        </row>
        <row r="2991">
          <cell r="A2991">
            <v>0</v>
          </cell>
          <cell r="C2991">
            <v>0</v>
          </cell>
          <cell r="D2991">
            <v>0</v>
          </cell>
        </row>
        <row r="2992">
          <cell r="A2992">
            <v>0</v>
          </cell>
          <cell r="C2992">
            <v>0</v>
          </cell>
          <cell r="D2992">
            <v>0</v>
          </cell>
        </row>
        <row r="2993">
          <cell r="A2993">
            <v>0</v>
          </cell>
          <cell r="C2993">
            <v>0</v>
          </cell>
          <cell r="D2993">
            <v>0</v>
          </cell>
        </row>
        <row r="2994">
          <cell r="A2994">
            <v>0</v>
          </cell>
          <cell r="C2994">
            <v>0</v>
          </cell>
          <cell r="D2994">
            <v>0</v>
          </cell>
        </row>
        <row r="2995">
          <cell r="A2995">
            <v>0</v>
          </cell>
          <cell r="C2995">
            <v>0</v>
          </cell>
          <cell r="D2995">
            <v>0</v>
          </cell>
        </row>
        <row r="2996">
          <cell r="A2996">
            <v>0</v>
          </cell>
          <cell r="C2996">
            <v>0</v>
          </cell>
          <cell r="D2996">
            <v>0</v>
          </cell>
        </row>
        <row r="2997">
          <cell r="A2997">
            <v>0</v>
          </cell>
          <cell r="C2997">
            <v>0</v>
          </cell>
          <cell r="D2997">
            <v>0</v>
          </cell>
        </row>
        <row r="2998">
          <cell r="A2998">
            <v>0</v>
          </cell>
          <cell r="C2998">
            <v>0</v>
          </cell>
          <cell r="D2998">
            <v>0</v>
          </cell>
        </row>
        <row r="2999">
          <cell r="A2999">
            <v>0</v>
          </cell>
          <cell r="C2999">
            <v>0</v>
          </cell>
          <cell r="D2999">
            <v>0</v>
          </cell>
        </row>
        <row r="3000">
          <cell r="A3000">
            <v>0</v>
          </cell>
          <cell r="C3000">
            <v>0</v>
          </cell>
          <cell r="D3000">
            <v>0</v>
          </cell>
        </row>
        <row r="3001">
          <cell r="A3001">
            <v>0</v>
          </cell>
          <cell r="C3001">
            <v>0</v>
          </cell>
          <cell r="D3001">
            <v>0</v>
          </cell>
        </row>
        <row r="3002">
          <cell r="A3002">
            <v>0</v>
          </cell>
          <cell r="C3002">
            <v>0</v>
          </cell>
          <cell r="D3002">
            <v>0</v>
          </cell>
        </row>
        <row r="3003">
          <cell r="A3003">
            <v>0</v>
          </cell>
          <cell r="C3003">
            <v>0</v>
          </cell>
          <cell r="D3003">
            <v>0</v>
          </cell>
        </row>
        <row r="3004">
          <cell r="A3004">
            <v>0</v>
          </cell>
          <cell r="C3004">
            <v>0</v>
          </cell>
          <cell r="D3004">
            <v>0</v>
          </cell>
        </row>
        <row r="3005">
          <cell r="A3005">
            <v>0</v>
          </cell>
          <cell r="C3005">
            <v>0</v>
          </cell>
          <cell r="D3005">
            <v>0</v>
          </cell>
        </row>
        <row r="3006">
          <cell r="A3006">
            <v>0</v>
          </cell>
          <cell r="C3006">
            <v>0</v>
          </cell>
          <cell r="D3006">
            <v>0</v>
          </cell>
        </row>
        <row r="3007">
          <cell r="A3007">
            <v>0</v>
          </cell>
          <cell r="C3007">
            <v>0</v>
          </cell>
          <cell r="D3007">
            <v>0</v>
          </cell>
        </row>
        <row r="3008">
          <cell r="A3008">
            <v>0</v>
          </cell>
          <cell r="C3008">
            <v>0</v>
          </cell>
          <cell r="D3008">
            <v>0</v>
          </cell>
        </row>
        <row r="3009">
          <cell r="A3009">
            <v>0</v>
          </cell>
          <cell r="C3009">
            <v>0</v>
          </cell>
          <cell r="D3009">
            <v>0</v>
          </cell>
        </row>
        <row r="3010">
          <cell r="A3010">
            <v>0</v>
          </cell>
          <cell r="C3010">
            <v>0</v>
          </cell>
          <cell r="D3010">
            <v>0</v>
          </cell>
        </row>
        <row r="3011">
          <cell r="A3011">
            <v>0</v>
          </cell>
          <cell r="C3011">
            <v>0</v>
          </cell>
          <cell r="D3011">
            <v>0</v>
          </cell>
        </row>
        <row r="3012">
          <cell r="A3012">
            <v>0</v>
          </cell>
          <cell r="C3012">
            <v>0</v>
          </cell>
          <cell r="D3012">
            <v>0</v>
          </cell>
        </row>
        <row r="3013">
          <cell r="A3013">
            <v>0</v>
          </cell>
          <cell r="C3013">
            <v>0</v>
          </cell>
          <cell r="D3013">
            <v>0</v>
          </cell>
        </row>
        <row r="3014">
          <cell r="A3014">
            <v>0</v>
          </cell>
          <cell r="C3014">
            <v>0</v>
          </cell>
          <cell r="D3014">
            <v>0</v>
          </cell>
        </row>
        <row r="3015">
          <cell r="A3015">
            <v>0</v>
          </cell>
          <cell r="C3015">
            <v>0</v>
          </cell>
          <cell r="D3015">
            <v>0</v>
          </cell>
        </row>
        <row r="3016">
          <cell r="A3016">
            <v>0</v>
          </cell>
          <cell r="C3016">
            <v>0</v>
          </cell>
          <cell r="D3016">
            <v>0</v>
          </cell>
        </row>
        <row r="3017">
          <cell r="A3017">
            <v>0</v>
          </cell>
          <cell r="C3017">
            <v>0</v>
          </cell>
          <cell r="D3017">
            <v>0</v>
          </cell>
        </row>
        <row r="3018">
          <cell r="A3018">
            <v>0</v>
          </cell>
          <cell r="C3018">
            <v>0</v>
          </cell>
          <cell r="D3018">
            <v>0</v>
          </cell>
        </row>
        <row r="3019">
          <cell r="A3019">
            <v>0</v>
          </cell>
          <cell r="C3019">
            <v>0</v>
          </cell>
          <cell r="D3019">
            <v>0</v>
          </cell>
        </row>
        <row r="3020">
          <cell r="A3020">
            <v>0</v>
          </cell>
          <cell r="C3020">
            <v>0</v>
          </cell>
          <cell r="D3020">
            <v>0</v>
          </cell>
        </row>
        <row r="3021">
          <cell r="A3021">
            <v>0</v>
          </cell>
          <cell r="C3021">
            <v>0</v>
          </cell>
          <cell r="D3021">
            <v>0</v>
          </cell>
        </row>
        <row r="3022">
          <cell r="A3022">
            <v>0</v>
          </cell>
          <cell r="C3022">
            <v>0</v>
          </cell>
          <cell r="D3022">
            <v>0</v>
          </cell>
        </row>
        <row r="3023">
          <cell r="A3023">
            <v>0</v>
          </cell>
          <cell r="C3023">
            <v>0</v>
          </cell>
          <cell r="D3023">
            <v>0</v>
          </cell>
        </row>
        <row r="3024">
          <cell r="A3024">
            <v>0</v>
          </cell>
          <cell r="C3024">
            <v>0</v>
          </cell>
          <cell r="D3024">
            <v>0</v>
          </cell>
        </row>
        <row r="3025">
          <cell r="A3025">
            <v>0</v>
          </cell>
          <cell r="C3025">
            <v>0</v>
          </cell>
          <cell r="D3025">
            <v>0</v>
          </cell>
        </row>
        <row r="3026">
          <cell r="A3026">
            <v>0</v>
          </cell>
          <cell r="C3026">
            <v>0</v>
          </cell>
          <cell r="D3026">
            <v>0</v>
          </cell>
        </row>
        <row r="3027">
          <cell r="A3027">
            <v>0</v>
          </cell>
          <cell r="C3027">
            <v>0</v>
          </cell>
          <cell r="D3027">
            <v>0</v>
          </cell>
        </row>
        <row r="3028">
          <cell r="A3028">
            <v>0</v>
          </cell>
          <cell r="C3028">
            <v>0</v>
          </cell>
          <cell r="D3028">
            <v>0</v>
          </cell>
        </row>
        <row r="3029">
          <cell r="A3029">
            <v>0</v>
          </cell>
          <cell r="C3029">
            <v>0</v>
          </cell>
          <cell r="D3029">
            <v>0</v>
          </cell>
        </row>
        <row r="3030">
          <cell r="A3030">
            <v>0</v>
          </cell>
          <cell r="C3030">
            <v>0</v>
          </cell>
          <cell r="D3030">
            <v>0</v>
          </cell>
        </row>
        <row r="3031">
          <cell r="A3031">
            <v>0</v>
          </cell>
          <cell r="C3031">
            <v>0</v>
          </cell>
          <cell r="D3031">
            <v>0</v>
          </cell>
        </row>
        <row r="3032">
          <cell r="A3032">
            <v>0</v>
          </cell>
          <cell r="C3032">
            <v>0</v>
          </cell>
          <cell r="D3032">
            <v>0</v>
          </cell>
        </row>
        <row r="3033">
          <cell r="A3033">
            <v>0</v>
          </cell>
          <cell r="C3033">
            <v>0</v>
          </cell>
          <cell r="D3033">
            <v>0</v>
          </cell>
        </row>
        <row r="3034">
          <cell r="A3034">
            <v>0</v>
          </cell>
          <cell r="C3034">
            <v>0</v>
          </cell>
          <cell r="D3034">
            <v>0</v>
          </cell>
        </row>
        <row r="3035">
          <cell r="A3035">
            <v>0</v>
          </cell>
          <cell r="C3035">
            <v>0</v>
          </cell>
          <cell r="D3035">
            <v>0</v>
          </cell>
        </row>
        <row r="3036">
          <cell r="A3036">
            <v>0</v>
          </cell>
          <cell r="C3036">
            <v>0</v>
          </cell>
          <cell r="D3036">
            <v>0</v>
          </cell>
        </row>
        <row r="3037">
          <cell r="A3037">
            <v>0</v>
          </cell>
          <cell r="C3037">
            <v>0</v>
          </cell>
          <cell r="D3037">
            <v>0</v>
          </cell>
        </row>
        <row r="3038">
          <cell r="A3038">
            <v>0</v>
          </cell>
          <cell r="C3038">
            <v>0</v>
          </cell>
          <cell r="D3038">
            <v>0</v>
          </cell>
        </row>
        <row r="3039">
          <cell r="A3039">
            <v>0</v>
          </cell>
          <cell r="C3039">
            <v>0</v>
          </cell>
          <cell r="D3039">
            <v>0</v>
          </cell>
        </row>
        <row r="3040">
          <cell r="A3040">
            <v>0</v>
          </cell>
          <cell r="C3040">
            <v>0</v>
          </cell>
          <cell r="D3040">
            <v>0</v>
          </cell>
        </row>
        <row r="3041">
          <cell r="A3041">
            <v>0</v>
          </cell>
          <cell r="C3041">
            <v>0</v>
          </cell>
          <cell r="D3041">
            <v>0</v>
          </cell>
        </row>
        <row r="3042">
          <cell r="A3042">
            <v>0</v>
          </cell>
          <cell r="C3042">
            <v>0</v>
          </cell>
          <cell r="D3042">
            <v>0</v>
          </cell>
        </row>
        <row r="3043">
          <cell r="A3043">
            <v>0</v>
          </cell>
          <cell r="C3043">
            <v>0</v>
          </cell>
          <cell r="D3043">
            <v>0</v>
          </cell>
        </row>
        <row r="3044">
          <cell r="A3044">
            <v>0</v>
          </cell>
          <cell r="C3044">
            <v>0</v>
          </cell>
          <cell r="D3044">
            <v>0</v>
          </cell>
        </row>
        <row r="3045">
          <cell r="A3045">
            <v>0</v>
          </cell>
          <cell r="C3045">
            <v>0</v>
          </cell>
          <cell r="D3045">
            <v>0</v>
          </cell>
        </row>
        <row r="3046">
          <cell r="A3046">
            <v>0</v>
          </cell>
          <cell r="C3046">
            <v>0</v>
          </cell>
          <cell r="D3046">
            <v>0</v>
          </cell>
        </row>
        <row r="3047">
          <cell r="A3047">
            <v>0</v>
          </cell>
          <cell r="C3047">
            <v>0</v>
          </cell>
          <cell r="D3047">
            <v>0</v>
          </cell>
        </row>
        <row r="3048">
          <cell r="A3048">
            <v>0</v>
          </cell>
          <cell r="C3048">
            <v>0</v>
          </cell>
          <cell r="D3048">
            <v>0</v>
          </cell>
        </row>
        <row r="3049">
          <cell r="A3049">
            <v>0</v>
          </cell>
          <cell r="C3049">
            <v>0</v>
          </cell>
          <cell r="D3049">
            <v>0</v>
          </cell>
        </row>
        <row r="3050">
          <cell r="A3050">
            <v>0</v>
          </cell>
          <cell r="C3050">
            <v>0</v>
          </cell>
          <cell r="D3050">
            <v>0</v>
          </cell>
        </row>
        <row r="3051">
          <cell r="A3051">
            <v>0</v>
          </cell>
          <cell r="C3051">
            <v>0</v>
          </cell>
          <cell r="D3051">
            <v>0</v>
          </cell>
        </row>
        <row r="3052">
          <cell r="A3052">
            <v>0</v>
          </cell>
          <cell r="C3052">
            <v>0</v>
          </cell>
          <cell r="D3052">
            <v>0</v>
          </cell>
        </row>
        <row r="3053">
          <cell r="A3053">
            <v>0</v>
          </cell>
          <cell r="C3053">
            <v>0</v>
          </cell>
          <cell r="D3053">
            <v>0</v>
          </cell>
        </row>
        <row r="3054">
          <cell r="A3054">
            <v>0</v>
          </cell>
          <cell r="C3054">
            <v>0</v>
          </cell>
          <cell r="D3054">
            <v>0</v>
          </cell>
        </row>
        <row r="3055">
          <cell r="A3055">
            <v>0</v>
          </cell>
          <cell r="C3055">
            <v>0</v>
          </cell>
          <cell r="D3055">
            <v>0</v>
          </cell>
        </row>
        <row r="3056">
          <cell r="A3056">
            <v>0</v>
          </cell>
          <cell r="C3056">
            <v>0</v>
          </cell>
          <cell r="D3056">
            <v>0</v>
          </cell>
        </row>
        <row r="3057">
          <cell r="A3057">
            <v>0</v>
          </cell>
          <cell r="C3057">
            <v>0</v>
          </cell>
          <cell r="D3057">
            <v>0</v>
          </cell>
        </row>
        <row r="3058">
          <cell r="A3058">
            <v>0</v>
          </cell>
          <cell r="C3058">
            <v>0</v>
          </cell>
          <cell r="D3058">
            <v>0</v>
          </cell>
        </row>
        <row r="3059">
          <cell r="A3059">
            <v>0</v>
          </cell>
          <cell r="C3059">
            <v>0</v>
          </cell>
          <cell r="D3059">
            <v>0</v>
          </cell>
        </row>
        <row r="3060">
          <cell r="A3060">
            <v>0</v>
          </cell>
          <cell r="C3060">
            <v>0</v>
          </cell>
          <cell r="D3060">
            <v>0</v>
          </cell>
        </row>
        <row r="3061">
          <cell r="A3061">
            <v>0</v>
          </cell>
          <cell r="C3061">
            <v>0</v>
          </cell>
          <cell r="D3061">
            <v>0</v>
          </cell>
        </row>
        <row r="3062">
          <cell r="A3062">
            <v>0</v>
          </cell>
          <cell r="C3062">
            <v>0</v>
          </cell>
          <cell r="D3062">
            <v>0</v>
          </cell>
        </row>
        <row r="3063">
          <cell r="A3063">
            <v>0</v>
          </cell>
          <cell r="C3063">
            <v>0</v>
          </cell>
          <cell r="D3063">
            <v>0</v>
          </cell>
        </row>
        <row r="3064">
          <cell r="A3064">
            <v>0</v>
          </cell>
          <cell r="C3064">
            <v>0</v>
          </cell>
          <cell r="D3064">
            <v>0</v>
          </cell>
        </row>
        <row r="3065">
          <cell r="A3065">
            <v>0</v>
          </cell>
          <cell r="C3065">
            <v>0</v>
          </cell>
          <cell r="D3065">
            <v>0</v>
          </cell>
        </row>
        <row r="3066">
          <cell r="A3066">
            <v>0</v>
          </cell>
          <cell r="C3066">
            <v>0</v>
          </cell>
          <cell r="D3066">
            <v>0</v>
          </cell>
        </row>
        <row r="3067">
          <cell r="A3067">
            <v>0</v>
          </cell>
          <cell r="C3067">
            <v>0</v>
          </cell>
          <cell r="D3067">
            <v>0</v>
          </cell>
        </row>
        <row r="3068">
          <cell r="A3068">
            <v>0</v>
          </cell>
          <cell r="C3068">
            <v>0</v>
          </cell>
          <cell r="D3068">
            <v>0</v>
          </cell>
        </row>
        <row r="3069">
          <cell r="A3069">
            <v>0</v>
          </cell>
          <cell r="C3069">
            <v>0</v>
          </cell>
          <cell r="D3069">
            <v>0</v>
          </cell>
        </row>
        <row r="3070">
          <cell r="A3070">
            <v>0</v>
          </cell>
          <cell r="C3070">
            <v>0</v>
          </cell>
          <cell r="D3070">
            <v>0</v>
          </cell>
        </row>
        <row r="3071">
          <cell r="A3071">
            <v>0</v>
          </cell>
          <cell r="C3071">
            <v>0</v>
          </cell>
          <cell r="D3071">
            <v>0</v>
          </cell>
        </row>
        <row r="3072">
          <cell r="A3072">
            <v>0</v>
          </cell>
          <cell r="C3072">
            <v>0</v>
          </cell>
          <cell r="D3072">
            <v>0</v>
          </cell>
        </row>
        <row r="3073">
          <cell r="A3073">
            <v>0</v>
          </cell>
          <cell r="C3073">
            <v>0</v>
          </cell>
          <cell r="D3073">
            <v>0</v>
          </cell>
        </row>
        <row r="3074">
          <cell r="A3074">
            <v>0</v>
          </cell>
          <cell r="C3074">
            <v>0</v>
          </cell>
          <cell r="D3074">
            <v>0</v>
          </cell>
        </row>
        <row r="3075">
          <cell r="A3075">
            <v>0</v>
          </cell>
          <cell r="C3075">
            <v>0</v>
          </cell>
          <cell r="D3075">
            <v>0</v>
          </cell>
        </row>
        <row r="3076">
          <cell r="A3076">
            <v>0</v>
          </cell>
          <cell r="C3076">
            <v>0</v>
          </cell>
          <cell r="D3076">
            <v>0</v>
          </cell>
        </row>
        <row r="3077">
          <cell r="A3077">
            <v>0</v>
          </cell>
          <cell r="C3077">
            <v>0</v>
          </cell>
          <cell r="D3077">
            <v>0</v>
          </cell>
        </row>
        <row r="3078">
          <cell r="A3078">
            <v>0</v>
          </cell>
          <cell r="C3078">
            <v>0</v>
          </cell>
          <cell r="D3078">
            <v>0</v>
          </cell>
        </row>
        <row r="3079">
          <cell r="A3079">
            <v>0</v>
          </cell>
          <cell r="C3079">
            <v>0</v>
          </cell>
          <cell r="D3079">
            <v>0</v>
          </cell>
        </row>
        <row r="3080">
          <cell r="A3080">
            <v>0</v>
          </cell>
          <cell r="C3080">
            <v>0</v>
          </cell>
          <cell r="D3080">
            <v>0</v>
          </cell>
        </row>
        <row r="3081">
          <cell r="A3081">
            <v>0</v>
          </cell>
          <cell r="C3081">
            <v>0</v>
          </cell>
          <cell r="D3081">
            <v>0</v>
          </cell>
        </row>
        <row r="3082">
          <cell r="A3082">
            <v>0</v>
          </cell>
          <cell r="C3082">
            <v>0</v>
          </cell>
          <cell r="D3082">
            <v>0</v>
          </cell>
        </row>
        <row r="3083">
          <cell r="A3083">
            <v>0</v>
          </cell>
          <cell r="C3083">
            <v>0</v>
          </cell>
          <cell r="D3083">
            <v>0</v>
          </cell>
        </row>
        <row r="3084">
          <cell r="A3084">
            <v>0</v>
          </cell>
          <cell r="C3084">
            <v>0</v>
          </cell>
          <cell r="D3084">
            <v>0</v>
          </cell>
        </row>
        <row r="3085">
          <cell r="A3085">
            <v>0</v>
          </cell>
          <cell r="C3085">
            <v>0</v>
          </cell>
          <cell r="D3085">
            <v>0</v>
          </cell>
        </row>
        <row r="3086">
          <cell r="A3086">
            <v>0</v>
          </cell>
          <cell r="C3086">
            <v>0</v>
          </cell>
          <cell r="D3086">
            <v>0</v>
          </cell>
        </row>
        <row r="3087">
          <cell r="A3087">
            <v>0</v>
          </cell>
          <cell r="C3087">
            <v>0</v>
          </cell>
          <cell r="D3087">
            <v>0</v>
          </cell>
        </row>
        <row r="3088">
          <cell r="A3088">
            <v>0</v>
          </cell>
          <cell r="C3088">
            <v>0</v>
          </cell>
          <cell r="D3088">
            <v>0</v>
          </cell>
        </row>
        <row r="3089">
          <cell r="A3089">
            <v>0</v>
          </cell>
          <cell r="C3089">
            <v>0</v>
          </cell>
          <cell r="D3089">
            <v>0</v>
          </cell>
        </row>
        <row r="3090">
          <cell r="A3090">
            <v>0</v>
          </cell>
          <cell r="C3090">
            <v>0</v>
          </cell>
          <cell r="D3090">
            <v>0</v>
          </cell>
        </row>
        <row r="3091">
          <cell r="A3091">
            <v>0</v>
          </cell>
          <cell r="C3091">
            <v>0</v>
          </cell>
          <cell r="D3091">
            <v>0</v>
          </cell>
        </row>
        <row r="3092">
          <cell r="A3092">
            <v>0</v>
          </cell>
          <cell r="C3092">
            <v>0</v>
          </cell>
          <cell r="D3092">
            <v>0</v>
          </cell>
        </row>
        <row r="3093">
          <cell r="A3093">
            <v>0</v>
          </cell>
          <cell r="C3093">
            <v>0</v>
          </cell>
          <cell r="D3093">
            <v>0</v>
          </cell>
        </row>
        <row r="3094">
          <cell r="A3094">
            <v>0</v>
          </cell>
          <cell r="C3094">
            <v>0</v>
          </cell>
          <cell r="D3094">
            <v>0</v>
          </cell>
        </row>
        <row r="3095">
          <cell r="A3095">
            <v>0</v>
          </cell>
          <cell r="C3095">
            <v>0</v>
          </cell>
          <cell r="D3095">
            <v>0</v>
          </cell>
        </row>
        <row r="3096">
          <cell r="A3096">
            <v>0</v>
          </cell>
          <cell r="C3096">
            <v>0</v>
          </cell>
          <cell r="D3096">
            <v>0</v>
          </cell>
        </row>
        <row r="3097">
          <cell r="A3097">
            <v>0</v>
          </cell>
          <cell r="C3097">
            <v>0</v>
          </cell>
          <cell r="D3097">
            <v>0</v>
          </cell>
        </row>
        <row r="3098">
          <cell r="A3098">
            <v>0</v>
          </cell>
          <cell r="C3098">
            <v>0</v>
          </cell>
          <cell r="D3098">
            <v>0</v>
          </cell>
        </row>
        <row r="3099">
          <cell r="A3099">
            <v>0</v>
          </cell>
          <cell r="C3099">
            <v>0</v>
          </cell>
          <cell r="D3099">
            <v>0</v>
          </cell>
        </row>
        <row r="3100">
          <cell r="A3100">
            <v>0</v>
          </cell>
          <cell r="C3100">
            <v>0</v>
          </cell>
          <cell r="D3100">
            <v>0</v>
          </cell>
        </row>
        <row r="3101">
          <cell r="A3101">
            <v>0</v>
          </cell>
          <cell r="C3101">
            <v>0</v>
          </cell>
          <cell r="D3101">
            <v>0</v>
          </cell>
        </row>
        <row r="3102">
          <cell r="A3102">
            <v>0</v>
          </cell>
          <cell r="C3102">
            <v>0</v>
          </cell>
          <cell r="D3102">
            <v>0</v>
          </cell>
        </row>
        <row r="3103">
          <cell r="A3103">
            <v>0</v>
          </cell>
          <cell r="C3103">
            <v>0</v>
          </cell>
          <cell r="D3103">
            <v>0</v>
          </cell>
        </row>
        <row r="3104">
          <cell r="A3104">
            <v>0</v>
          </cell>
          <cell r="C3104">
            <v>0</v>
          </cell>
          <cell r="D3104">
            <v>0</v>
          </cell>
        </row>
        <row r="3105">
          <cell r="A3105">
            <v>0</v>
          </cell>
          <cell r="C3105">
            <v>0</v>
          </cell>
          <cell r="D3105">
            <v>0</v>
          </cell>
        </row>
        <row r="3106">
          <cell r="A3106">
            <v>0</v>
          </cell>
          <cell r="C3106">
            <v>0</v>
          </cell>
          <cell r="D3106">
            <v>0</v>
          </cell>
        </row>
        <row r="3107">
          <cell r="A3107">
            <v>0</v>
          </cell>
          <cell r="C3107">
            <v>0</v>
          </cell>
          <cell r="D3107">
            <v>0</v>
          </cell>
        </row>
        <row r="3108">
          <cell r="A3108">
            <v>0</v>
          </cell>
          <cell r="C3108">
            <v>0</v>
          </cell>
          <cell r="D3108">
            <v>0</v>
          </cell>
        </row>
        <row r="3109">
          <cell r="A3109">
            <v>0</v>
          </cell>
          <cell r="C3109">
            <v>0</v>
          </cell>
          <cell r="D3109">
            <v>0</v>
          </cell>
        </row>
        <row r="3110">
          <cell r="A3110">
            <v>0</v>
          </cell>
          <cell r="C3110">
            <v>0</v>
          </cell>
          <cell r="D3110">
            <v>0</v>
          </cell>
        </row>
        <row r="3111">
          <cell r="A3111">
            <v>0</v>
          </cell>
          <cell r="C3111">
            <v>0</v>
          </cell>
          <cell r="D3111">
            <v>0</v>
          </cell>
        </row>
        <row r="3112">
          <cell r="A3112">
            <v>0</v>
          </cell>
          <cell r="C3112">
            <v>0</v>
          </cell>
          <cell r="D3112">
            <v>0</v>
          </cell>
        </row>
        <row r="3113">
          <cell r="A3113">
            <v>0</v>
          </cell>
          <cell r="C3113">
            <v>0</v>
          </cell>
          <cell r="D3113">
            <v>0</v>
          </cell>
        </row>
        <row r="3114">
          <cell r="A3114">
            <v>0</v>
          </cell>
          <cell r="C3114">
            <v>0</v>
          </cell>
          <cell r="D3114">
            <v>0</v>
          </cell>
        </row>
        <row r="3115">
          <cell r="A3115">
            <v>0</v>
          </cell>
          <cell r="C3115">
            <v>0</v>
          </cell>
          <cell r="D3115">
            <v>0</v>
          </cell>
        </row>
        <row r="3116">
          <cell r="A3116">
            <v>0</v>
          </cell>
          <cell r="C3116">
            <v>0</v>
          </cell>
          <cell r="D3116">
            <v>0</v>
          </cell>
        </row>
        <row r="3117">
          <cell r="A3117">
            <v>0</v>
          </cell>
          <cell r="C3117">
            <v>0</v>
          </cell>
          <cell r="D3117">
            <v>0</v>
          </cell>
        </row>
        <row r="3118">
          <cell r="A3118">
            <v>0</v>
          </cell>
          <cell r="C3118">
            <v>0</v>
          </cell>
          <cell r="D3118">
            <v>0</v>
          </cell>
        </row>
        <row r="3119">
          <cell r="A3119">
            <v>0</v>
          </cell>
          <cell r="C3119">
            <v>0</v>
          </cell>
          <cell r="D3119">
            <v>0</v>
          </cell>
        </row>
        <row r="3120">
          <cell r="A3120">
            <v>0</v>
          </cell>
          <cell r="C3120">
            <v>0</v>
          </cell>
          <cell r="D3120">
            <v>0</v>
          </cell>
        </row>
        <row r="3121">
          <cell r="A3121">
            <v>0</v>
          </cell>
          <cell r="C3121">
            <v>0</v>
          </cell>
          <cell r="D3121">
            <v>0</v>
          </cell>
        </row>
        <row r="3122">
          <cell r="A3122">
            <v>0</v>
          </cell>
          <cell r="C3122">
            <v>0</v>
          </cell>
          <cell r="D3122">
            <v>0</v>
          </cell>
        </row>
        <row r="3123">
          <cell r="A3123">
            <v>0</v>
          </cell>
          <cell r="C3123">
            <v>0</v>
          </cell>
          <cell r="D3123">
            <v>0</v>
          </cell>
        </row>
        <row r="3124">
          <cell r="A3124">
            <v>0</v>
          </cell>
          <cell r="C3124">
            <v>0</v>
          </cell>
          <cell r="D3124">
            <v>0</v>
          </cell>
        </row>
        <row r="3125">
          <cell r="A3125">
            <v>0</v>
          </cell>
          <cell r="C3125">
            <v>0</v>
          </cell>
          <cell r="D3125">
            <v>0</v>
          </cell>
        </row>
        <row r="3126">
          <cell r="A3126">
            <v>0</v>
          </cell>
          <cell r="C3126">
            <v>0</v>
          </cell>
          <cell r="D3126">
            <v>0</v>
          </cell>
        </row>
        <row r="3127">
          <cell r="A3127">
            <v>0</v>
          </cell>
          <cell r="C3127">
            <v>0</v>
          </cell>
          <cell r="D3127">
            <v>0</v>
          </cell>
        </row>
        <row r="3128">
          <cell r="A3128">
            <v>0</v>
          </cell>
          <cell r="C3128">
            <v>0</v>
          </cell>
          <cell r="D3128">
            <v>0</v>
          </cell>
        </row>
        <row r="3129">
          <cell r="A3129">
            <v>0</v>
          </cell>
          <cell r="C3129">
            <v>0</v>
          </cell>
          <cell r="D3129">
            <v>0</v>
          </cell>
        </row>
        <row r="3130">
          <cell r="A3130">
            <v>0</v>
          </cell>
          <cell r="C3130">
            <v>0</v>
          </cell>
          <cell r="D3130">
            <v>0</v>
          </cell>
        </row>
        <row r="3131">
          <cell r="A3131">
            <v>0</v>
          </cell>
          <cell r="C3131">
            <v>0</v>
          </cell>
          <cell r="D3131">
            <v>0</v>
          </cell>
        </row>
      </sheetData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.1"/>
      <sheetName val="G2.1.1"/>
      <sheetName val="2.1.1.1"/>
      <sheetName val="G2.1.1.1"/>
      <sheetName val="2.1.1.2"/>
      <sheetName val="G2.1.1.2"/>
      <sheetName val="2.1.2.1"/>
      <sheetName val="G2.1.2.1"/>
      <sheetName val="2.1.3.1"/>
      <sheetName val="G2.1.3.1"/>
      <sheetName val="2.1.3.2"/>
      <sheetName val="G2.1.3.2"/>
      <sheetName val="2.1.3.3"/>
      <sheetName val="G2.1.3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LHO1A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3-03"/>
      <sheetName val="ie3-08 original"/>
      <sheetName val="ie3-14 original"/>
      <sheetName val="ie3-11 original"/>
      <sheetName val="ie3-12 original"/>
      <sheetName val="ie3-02"/>
      <sheetName val="ie3-09 antiga"/>
      <sheetName val="di a termo ie3-05"/>
      <sheetName val="ie3-14 prefixado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>
        <row r="3">
          <cell r="A3" t="str">
            <v>III.5 - Mercado de DI a termo - BM&amp;F</v>
          </cell>
        </row>
        <row r="4">
          <cell r="A4" t="str">
            <v xml:space="preserve">             Taxa e volume negociado1/</v>
          </cell>
        </row>
        <row r="7">
          <cell r="A7" t="str">
            <v>Período</v>
          </cell>
          <cell r="D7" t="str">
            <v xml:space="preserve">Taxa </v>
          </cell>
          <cell r="F7" t="str">
            <v>Volume médio negociado</v>
          </cell>
        </row>
        <row r="8">
          <cell r="D8" t="str">
            <v>% a.a.</v>
          </cell>
        </row>
        <row r="9">
          <cell r="D9" t="str">
            <v>Contrato de 360 dias</v>
          </cell>
          <cell r="E9" t="str">
            <v>Contrato de 720 dias</v>
          </cell>
          <cell r="F9" t="str">
            <v>Contratos em aberto2/</v>
          </cell>
          <cell r="G9" t="str">
            <v>Contratos negociados</v>
          </cell>
          <cell r="H9" t="str">
            <v>Volume financeiro</v>
          </cell>
        </row>
        <row r="11">
          <cell r="F11" t="str">
            <v>milhares</v>
          </cell>
          <cell r="G11" t="str">
            <v>milhares</v>
          </cell>
          <cell r="H11" t="str">
            <v>R$ milhões</v>
          </cell>
        </row>
        <row r="24">
          <cell r="A24">
            <v>2001</v>
          </cell>
          <cell r="B24" t="str">
            <v>Jan</v>
          </cell>
        </row>
        <row r="25">
          <cell r="B25" t="str">
            <v>Fev</v>
          </cell>
        </row>
        <row r="26">
          <cell r="B26" t="str">
            <v>Mar</v>
          </cell>
        </row>
        <row r="27">
          <cell r="B27" t="str">
            <v>Abr</v>
          </cell>
        </row>
        <row r="28">
          <cell r="B28" t="str">
            <v>Mai</v>
          </cell>
        </row>
        <row r="29">
          <cell r="B29" t="str">
            <v>Jun</v>
          </cell>
        </row>
        <row r="30">
          <cell r="B30" t="str">
            <v>Jul</v>
          </cell>
        </row>
        <row r="31">
          <cell r="B31" t="str">
            <v>Ago</v>
          </cell>
        </row>
        <row r="32">
          <cell r="B32" t="str">
            <v>Set</v>
          </cell>
        </row>
        <row r="33">
          <cell r="B33" t="str">
            <v>Out</v>
          </cell>
        </row>
        <row r="34">
          <cell r="B34" t="str">
            <v>Nov</v>
          </cell>
        </row>
        <row r="35">
          <cell r="B35" t="str">
            <v>Dez</v>
          </cell>
        </row>
        <row r="49">
          <cell r="A49">
            <v>2002</v>
          </cell>
          <cell r="B49" t="str">
            <v>Jan</v>
          </cell>
        </row>
        <row r="50">
          <cell r="B50" t="str">
            <v>Fev</v>
          </cell>
        </row>
        <row r="51">
          <cell r="B51" t="str">
            <v>Mar</v>
          </cell>
        </row>
        <row r="52">
          <cell r="B52" t="str">
            <v>Abr</v>
          </cell>
        </row>
        <row r="53">
          <cell r="B53" t="str">
            <v>Mai</v>
          </cell>
        </row>
        <row r="54">
          <cell r="B54" t="str">
            <v>Jun</v>
          </cell>
        </row>
        <row r="55">
          <cell r="B55" t="str">
            <v>Jul</v>
          </cell>
        </row>
        <row r="56">
          <cell r="B56" t="str">
            <v>Ago</v>
          </cell>
        </row>
        <row r="57">
          <cell r="B57" t="str">
            <v>Set</v>
          </cell>
        </row>
        <row r="58">
          <cell r="B58" t="str">
            <v>Out</v>
          </cell>
        </row>
        <row r="59">
          <cell r="B59" t="str">
            <v>Nov</v>
          </cell>
        </row>
        <row r="60">
          <cell r="B60" t="str">
            <v>Dez</v>
          </cell>
        </row>
        <row r="62">
          <cell r="B62" t="str">
            <v>Fev</v>
          </cell>
          <cell r="C62">
            <v>1</v>
          </cell>
        </row>
        <row r="63">
          <cell r="C63">
            <v>2</v>
          </cell>
        </row>
        <row r="64">
          <cell r="C64">
            <v>3</v>
          </cell>
        </row>
        <row r="65">
          <cell r="C65">
            <v>4</v>
          </cell>
        </row>
        <row r="66">
          <cell r="C66">
            <v>5</v>
          </cell>
        </row>
        <row r="67">
          <cell r="C67">
            <v>6</v>
          </cell>
        </row>
        <row r="68">
          <cell r="C68">
            <v>7</v>
          </cell>
        </row>
        <row r="69">
          <cell r="C69">
            <v>8</v>
          </cell>
        </row>
        <row r="70">
          <cell r="C70">
            <v>9</v>
          </cell>
        </row>
        <row r="71">
          <cell r="C71">
            <v>10</v>
          </cell>
        </row>
        <row r="72">
          <cell r="C72">
            <v>11</v>
          </cell>
        </row>
        <row r="73">
          <cell r="C73">
            <v>12</v>
          </cell>
        </row>
        <row r="74">
          <cell r="C74">
            <v>13</v>
          </cell>
        </row>
        <row r="75">
          <cell r="C75">
            <v>14</v>
          </cell>
        </row>
        <row r="76">
          <cell r="C76">
            <v>15</v>
          </cell>
        </row>
        <row r="77">
          <cell r="C77">
            <v>16</v>
          </cell>
        </row>
        <row r="78">
          <cell r="C78">
            <v>17</v>
          </cell>
        </row>
        <row r="79">
          <cell r="C79">
            <v>18</v>
          </cell>
        </row>
        <row r="80">
          <cell r="C80">
            <v>19</v>
          </cell>
        </row>
        <row r="81">
          <cell r="C81">
            <v>20</v>
          </cell>
        </row>
        <row r="82">
          <cell r="C82">
            <v>21</v>
          </cell>
        </row>
        <row r="83">
          <cell r="C83">
            <v>22</v>
          </cell>
        </row>
        <row r="84">
          <cell r="C84">
            <v>23</v>
          </cell>
        </row>
        <row r="85">
          <cell r="C85">
            <v>24</v>
          </cell>
        </row>
        <row r="86">
          <cell r="C86">
            <v>25</v>
          </cell>
        </row>
        <row r="87">
          <cell r="C87">
            <v>26</v>
          </cell>
        </row>
        <row r="88">
          <cell r="C88">
            <v>27</v>
          </cell>
        </row>
        <row r="89">
          <cell r="C89">
            <v>28</v>
          </cell>
        </row>
        <row r="90">
          <cell r="C90">
            <v>29</v>
          </cell>
        </row>
        <row r="91">
          <cell r="C91">
            <v>30</v>
          </cell>
        </row>
        <row r="92">
          <cell r="C92">
            <v>31</v>
          </cell>
        </row>
        <row r="93">
          <cell r="B93" t="str">
            <v>Média</v>
          </cell>
          <cell r="D93" t="e">
            <v>#DIV/0!</v>
          </cell>
          <cell r="E93" t="e">
            <v>#DIV/0!</v>
          </cell>
          <cell r="F93" t="e">
            <v>#DIV/0!</v>
          </cell>
          <cell r="G93" t="e">
            <v>#DIV/0!</v>
          </cell>
          <cell r="H93" t="e">
            <v>#DIV/0!</v>
          </cell>
        </row>
        <row r="95">
          <cell r="A95" t="str">
            <v>Fonte: BM&amp;F</v>
          </cell>
        </row>
        <row r="97">
          <cell r="A97" t="str">
            <v>1/ Média diária para os meses fechados.</v>
          </cell>
        </row>
        <row r="98">
          <cell r="A98" t="str">
            <v>2/ Posição do último dia do mês.</v>
          </cell>
        </row>
      </sheetData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3-03"/>
      <sheetName val="ie3-08 original"/>
      <sheetName val="ie3-14 original"/>
      <sheetName val="ie3-11 original"/>
      <sheetName val="ie3-12 original"/>
      <sheetName val="ie3-02"/>
      <sheetName val="ie3-09 antiga"/>
      <sheetName val="di a termo ie3-05"/>
      <sheetName val="ie3-14 prefixado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>
        <row r="3">
          <cell r="A3" t="str">
            <v>III.5 - Mercado de DI a termo - BM&amp;F</v>
          </cell>
        </row>
        <row r="4">
          <cell r="A4" t="str">
            <v xml:space="preserve">             Taxa e volume negociado1/</v>
          </cell>
        </row>
        <row r="7">
          <cell r="A7" t="str">
            <v>Período</v>
          </cell>
          <cell r="D7" t="str">
            <v xml:space="preserve">Taxa </v>
          </cell>
          <cell r="F7" t="str">
            <v>Volume médio negociado</v>
          </cell>
        </row>
        <row r="8">
          <cell r="D8" t="str">
            <v>% a.a.</v>
          </cell>
        </row>
        <row r="9">
          <cell r="D9" t="str">
            <v>Contrato de 360 dias</v>
          </cell>
          <cell r="E9" t="str">
            <v>Contrato de 720 dias</v>
          </cell>
          <cell r="F9" t="str">
            <v>Contratos em aberto2/</v>
          </cell>
          <cell r="G9" t="str">
            <v>Contratos negociados</v>
          </cell>
          <cell r="H9" t="str">
            <v>Volume financeiro</v>
          </cell>
        </row>
        <row r="11">
          <cell r="F11" t="str">
            <v>milhares</v>
          </cell>
          <cell r="G11" t="str">
            <v>milhares</v>
          </cell>
          <cell r="H11" t="str">
            <v>R$ milhões</v>
          </cell>
        </row>
        <row r="24">
          <cell r="A24">
            <v>2001</v>
          </cell>
          <cell r="B24" t="str">
            <v>Jan</v>
          </cell>
        </row>
        <row r="25">
          <cell r="B25" t="str">
            <v>Fev</v>
          </cell>
        </row>
        <row r="26">
          <cell r="B26" t="str">
            <v>Mar</v>
          </cell>
        </row>
        <row r="27">
          <cell r="B27" t="str">
            <v>Abr</v>
          </cell>
        </row>
        <row r="28">
          <cell r="B28" t="str">
            <v>Mai</v>
          </cell>
        </row>
        <row r="29">
          <cell r="B29" t="str">
            <v>Jun</v>
          </cell>
        </row>
        <row r="30">
          <cell r="B30" t="str">
            <v>Jul</v>
          </cell>
        </row>
        <row r="31">
          <cell r="B31" t="str">
            <v>Ago</v>
          </cell>
        </row>
        <row r="32">
          <cell r="B32" t="str">
            <v>Set</v>
          </cell>
        </row>
        <row r="33">
          <cell r="B33" t="str">
            <v>Out</v>
          </cell>
        </row>
        <row r="34">
          <cell r="B34" t="str">
            <v>Nov</v>
          </cell>
        </row>
        <row r="35">
          <cell r="B35" t="str">
            <v>Dez</v>
          </cell>
        </row>
        <row r="49">
          <cell r="A49">
            <v>2002</v>
          </cell>
          <cell r="B49" t="str">
            <v>Jan</v>
          </cell>
        </row>
        <row r="50">
          <cell r="B50" t="str">
            <v>Fev</v>
          </cell>
        </row>
        <row r="51">
          <cell r="B51" t="str">
            <v>Mar</v>
          </cell>
        </row>
        <row r="52">
          <cell r="B52" t="str">
            <v>Abr</v>
          </cell>
        </row>
        <row r="53">
          <cell r="B53" t="str">
            <v>Mai</v>
          </cell>
        </row>
        <row r="54">
          <cell r="B54" t="str">
            <v>Jun</v>
          </cell>
        </row>
        <row r="55">
          <cell r="B55" t="str">
            <v>Jul</v>
          </cell>
        </row>
        <row r="56">
          <cell r="B56" t="str">
            <v>Ago</v>
          </cell>
        </row>
        <row r="57">
          <cell r="B57" t="str">
            <v>Set</v>
          </cell>
        </row>
        <row r="58">
          <cell r="B58" t="str">
            <v>Out</v>
          </cell>
        </row>
        <row r="59">
          <cell r="B59" t="str">
            <v>Nov</v>
          </cell>
        </row>
        <row r="60">
          <cell r="B60" t="str">
            <v>Dez</v>
          </cell>
        </row>
        <row r="62">
          <cell r="B62" t="str">
            <v>Fev</v>
          </cell>
          <cell r="C62">
            <v>1</v>
          </cell>
        </row>
        <row r="63">
          <cell r="C63">
            <v>2</v>
          </cell>
        </row>
        <row r="64">
          <cell r="C64">
            <v>3</v>
          </cell>
        </row>
        <row r="65">
          <cell r="C65">
            <v>4</v>
          </cell>
        </row>
        <row r="66">
          <cell r="C66">
            <v>5</v>
          </cell>
        </row>
        <row r="67">
          <cell r="C67">
            <v>6</v>
          </cell>
        </row>
        <row r="68">
          <cell r="C68">
            <v>7</v>
          </cell>
        </row>
        <row r="69">
          <cell r="C69">
            <v>8</v>
          </cell>
        </row>
        <row r="70">
          <cell r="C70">
            <v>9</v>
          </cell>
        </row>
        <row r="71">
          <cell r="C71">
            <v>10</v>
          </cell>
        </row>
        <row r="72">
          <cell r="C72">
            <v>11</v>
          </cell>
        </row>
        <row r="73">
          <cell r="C73">
            <v>12</v>
          </cell>
        </row>
        <row r="74">
          <cell r="C74">
            <v>13</v>
          </cell>
        </row>
        <row r="75">
          <cell r="C75">
            <v>14</v>
          </cell>
        </row>
        <row r="76">
          <cell r="C76">
            <v>15</v>
          </cell>
        </row>
        <row r="77">
          <cell r="C77">
            <v>16</v>
          </cell>
        </row>
        <row r="78">
          <cell r="C78">
            <v>17</v>
          </cell>
        </row>
        <row r="79">
          <cell r="C79">
            <v>18</v>
          </cell>
        </row>
        <row r="80">
          <cell r="C80">
            <v>19</v>
          </cell>
        </row>
        <row r="81">
          <cell r="C81">
            <v>20</v>
          </cell>
        </row>
        <row r="82">
          <cell r="C82">
            <v>21</v>
          </cell>
        </row>
        <row r="83">
          <cell r="C83">
            <v>22</v>
          </cell>
        </row>
        <row r="84">
          <cell r="C84">
            <v>23</v>
          </cell>
        </row>
        <row r="85">
          <cell r="C85">
            <v>24</v>
          </cell>
        </row>
        <row r="86">
          <cell r="C86">
            <v>25</v>
          </cell>
        </row>
        <row r="87">
          <cell r="C87">
            <v>26</v>
          </cell>
        </row>
        <row r="88">
          <cell r="C88">
            <v>27</v>
          </cell>
        </row>
        <row r="89">
          <cell r="C89">
            <v>28</v>
          </cell>
        </row>
        <row r="90">
          <cell r="C90">
            <v>29</v>
          </cell>
        </row>
        <row r="91">
          <cell r="C91">
            <v>30</v>
          </cell>
        </row>
        <row r="92">
          <cell r="C92">
            <v>31</v>
          </cell>
        </row>
        <row r="93">
          <cell r="B93" t="str">
            <v>Média</v>
          </cell>
          <cell r="D93" t="e">
            <v>#DIV/0!</v>
          </cell>
          <cell r="E93" t="e">
            <v>#DIV/0!</v>
          </cell>
          <cell r="F93" t="e">
            <v>#DIV/0!</v>
          </cell>
          <cell r="G93" t="e">
            <v>#DIV/0!</v>
          </cell>
          <cell r="H93" t="e">
            <v>#DIV/0!</v>
          </cell>
        </row>
        <row r="95">
          <cell r="A95" t="str">
            <v>Fonte: BM&amp;F</v>
          </cell>
        </row>
        <row r="97">
          <cell r="A97" t="str">
            <v>1/ Média diária para os meses fechados.</v>
          </cell>
        </row>
        <row r="98">
          <cell r="A98" t="str">
            <v>2/ Posição do último dia do mês.</v>
          </cell>
        </row>
      </sheetData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padrão"/>
      <sheetName val="Modelo NTT"/>
      <sheetName val="Modelo desagregado"/>
      <sheetName val="Cenários"/>
      <sheetName val="Séries (2) antigo"/>
      <sheetName val="Séries (2)"/>
      <sheetName val="Séries"/>
      <sheetName val="SériesLog"/>
      <sheetName val="DadosPrev Mensais"/>
      <sheetName val="Hiatos"/>
      <sheetName val="Expectativas"/>
      <sheetName val="Adm_Resumo"/>
      <sheetName val="Adm. Exo."/>
      <sheetName val="Adm. Pesos"/>
      <sheetName val=" Adm com repasse cambial"/>
      <sheetName val="Adm. Def."/>
      <sheetName val="Traj.Cambio"/>
      <sheetName val="Traj Swap Endogeno"/>
      <sheetName val="Mês a mês"/>
      <sheetName val="Simulação"/>
      <sheetName val="Adm.Var.Ac."/>
      <sheetName val="Cide"/>
      <sheetName val="Hipotese Cen.Basico"/>
      <sheetName val="resumo adm."/>
      <sheetName val="Adm. Var. (2)"/>
      <sheetName val="valores swap"/>
      <sheetName val="Gráficos Swap Nominal"/>
      <sheetName val="Expectativas ajustadas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5">
          <cell r="EM75">
            <v>-3.620820081593968E-2</v>
          </cell>
          <cell r="EN75">
            <v>3.8149224791560782E-3</v>
          </cell>
          <cell r="EO75">
            <v>-1.9482002352935695E-3</v>
          </cell>
          <cell r="EP75">
            <v>0</v>
          </cell>
        </row>
        <row r="76">
          <cell r="EM76">
            <v>-5.2601388377289698E-2</v>
          </cell>
          <cell r="EN76">
            <v>7.6746191901133978E-3</v>
          </cell>
          <cell r="EO76">
            <v>-2.1761533808280571E-3</v>
          </cell>
          <cell r="EP76">
            <v>0</v>
          </cell>
        </row>
        <row r="77">
          <cell r="EM77">
            <v>-7.43641716588989E-2</v>
          </cell>
          <cell r="EN77">
            <v>1.2621687070022652E-2</v>
          </cell>
          <cell r="EO77">
            <v>-3.0725037701163829E-3</v>
          </cell>
          <cell r="EP77">
            <v>0</v>
          </cell>
        </row>
        <row r="78">
          <cell r="EM78">
            <v>-0.10439808717811015</v>
          </cell>
          <cell r="EN78">
            <v>1.7811195656471209E-2</v>
          </cell>
          <cell r="EO78">
            <v>-5.1722983954573974E-3</v>
          </cell>
          <cell r="EP78">
            <v>7.3366702205727161E-5</v>
          </cell>
        </row>
        <row r="79">
          <cell r="EM79">
            <v>-0.14212561432693316</v>
          </cell>
          <cell r="EN79">
            <v>2.2092535997036294E-2</v>
          </cell>
          <cell r="EO79">
            <v>-8.1837255777364361E-3</v>
          </cell>
          <cell r="EP79">
            <v>-2.0212710525890861E-3</v>
          </cell>
        </row>
        <row r="80">
          <cell r="EM80">
            <v>-0.17631905352193353</v>
          </cell>
          <cell r="EN80">
            <v>2.43897082122593E-2</v>
          </cell>
          <cell r="EO80">
            <v>-1.0172265836133757E-2</v>
          </cell>
          <cell r="EP80">
            <v>-6.6465311568852286E-3</v>
          </cell>
        </row>
        <row r="81">
          <cell r="EM81">
            <v>-0.17726248138957909</v>
          </cell>
          <cell r="EN81">
            <v>2.3843162583428501E-2</v>
          </cell>
          <cell r="EO81">
            <v>-7.3075054740281411E-3</v>
          </cell>
          <cell r="EP81">
            <v>-1.3368388361255076E-2</v>
          </cell>
        </row>
        <row r="82">
          <cell r="EM82">
            <v>-9.2905077471309938E-2</v>
          </cell>
          <cell r="EN82">
            <v>1.9240781326591089E-2</v>
          </cell>
          <cell r="EO82">
            <v>5.2173115228679994E-3</v>
          </cell>
          <cell r="EP82">
            <v>-2.0001297212224382E-2</v>
          </cell>
        </row>
        <row r="83">
          <cell r="EM83">
            <v>0.14611033593900727</v>
          </cell>
          <cell r="EN83">
            <v>7.6681055251299713E-3</v>
          </cell>
          <cell r="EO83">
            <v>3.1032880315958081E-2</v>
          </cell>
          <cell r="EP83">
            <v>-2.3044674105565672E-2</v>
          </cell>
        </row>
        <row r="84">
          <cell r="EM84">
            <v>0.61090932694458633</v>
          </cell>
          <cell r="EN84">
            <v>-1.6693476594647576E-2</v>
          </cell>
          <cell r="EO84">
            <v>7.0160124537250582E-2</v>
          </cell>
          <cell r="EP84">
            <v>-1.94387961888434E-2</v>
          </cell>
        </row>
        <row r="85">
          <cell r="EM85">
            <v>1.3526707829007405</v>
          </cell>
          <cell r="EN85">
            <v>-6.1446909295746505E-2</v>
          </cell>
          <cell r="EO85">
            <v>0.11815085465624015</v>
          </cell>
          <cell r="EP85">
            <v>-9.0040896161009826E-3</v>
          </cell>
        </row>
        <row r="86">
          <cell r="EM86">
            <v>2.3837824471377718</v>
          </cell>
          <cell r="EN86">
            <v>-0.12984800674307909</v>
          </cell>
          <cell r="EO86">
            <v>0.16852593172968186</v>
          </cell>
          <cell r="EP86">
            <v>4.1880770419335999E-3</v>
          </cell>
        </row>
        <row r="87">
          <cell r="EM87">
            <v>3.6685542850507691</v>
          </cell>
          <cell r="EN87">
            <v>-0.2086476965373554</v>
          </cell>
          <cell r="EO87">
            <v>0.21835460590988096</v>
          </cell>
          <cell r="EP87">
            <v>1.3612267258505572E-2</v>
          </cell>
        </row>
        <row r="88">
          <cell r="EM88">
            <v>5.1177265198306623</v>
          </cell>
          <cell r="EN88">
            <v>-0.25426483448007192</v>
          </cell>
          <cell r="EO88">
            <v>0.27357021824421723</v>
          </cell>
          <cell r="EP88">
            <v>1.5950581182413239E-2</v>
          </cell>
        </row>
        <row r="89">
          <cell r="EM89">
            <v>6.5650415458046387</v>
          </cell>
          <cell r="EN89">
            <v>-0.19179936932945885</v>
          </cell>
          <cell r="EO89">
            <v>0.34806535719969339</v>
          </cell>
          <cell r="EP89">
            <v>1.8027750727539166E-2</v>
          </cell>
        </row>
        <row r="90">
          <cell r="EM90">
            <v>7.7056384796701245</v>
          </cell>
          <cell r="EN90">
            <v>4.2819893374388948E-2</v>
          </cell>
          <cell r="EO90">
            <v>0.45204804868177456</v>
          </cell>
          <cell r="EP90">
            <v>3.8706140014534589E-2</v>
          </cell>
        </row>
        <row r="91">
          <cell r="EM91">
            <v>8.0275622805920985</v>
          </cell>
          <cell r="EN91">
            <v>0.36309365925805082</v>
          </cell>
          <cell r="EO91">
            <v>0.57308926155609197</v>
          </cell>
          <cell r="EP91">
            <v>9.6861075961389501E-2</v>
          </cell>
        </row>
        <row r="92">
          <cell r="EM92">
            <v>6.8976647940992173</v>
          </cell>
          <cell r="EN92">
            <v>0.20747403843069676</v>
          </cell>
          <cell r="EO92">
            <v>0.66623614804147768</v>
          </cell>
          <cell r="EP92">
            <v>0.17875590533735136</v>
          </cell>
        </row>
        <row r="93">
          <cell r="EM93">
            <v>4.1271726718018673</v>
          </cell>
          <cell r="EN93">
            <v>-1.8676874846629792</v>
          </cell>
          <cell r="EO93">
            <v>0.67473243189459375</v>
          </cell>
          <cell r="EP93">
            <v>0.28120423092941271</v>
          </cell>
        </row>
        <row r="94">
          <cell r="EM94">
            <v>0.97539032692711625</v>
          </cell>
          <cell r="EN94">
            <v>-5.858800699026018</v>
          </cell>
          <cell r="EO94">
            <v>0.53652425497347822</v>
          </cell>
          <cell r="EP94">
            <v>0.53652425497347833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"/>
      <sheetName val="UF"/>
      <sheetName val="Planilha1"/>
      <sheetName val="Config"/>
      <sheetName val="semanas"/>
      <sheetName val="Med_Munic"/>
      <sheetName val="Med_UF"/>
      <sheetName val="Med_Regiao"/>
      <sheetName val="Med_BR"/>
      <sheetName val="CAPITAIS"/>
      <sheetName val="MUNICIPIOS"/>
      <sheetName val="ESTADOS"/>
      <sheetName val="REGIOES"/>
      <sheetName val="BRASIL"/>
      <sheetName val="Macro_medias_SL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Relat Inf 0009 - gra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 4.2.1 (E)"/>
      <sheetName val="Tab 4.2.2 (E)"/>
      <sheetName val="Tab 4.2.3 (E)"/>
      <sheetName val="Tab 4.2.4 (E)"/>
      <sheetName val="Tab 4.5.1 (E)"/>
      <sheetName val="Gráfico 4.3.1 (E)"/>
      <sheetName val="Dados graf 4.3.1"/>
      <sheetName val="Gráficos 4.3.2 (E)"/>
      <sheetName val="Dados graf 4.3.2"/>
      <sheetName val="Gráfico 4.3.3 (E)"/>
      <sheetName val="Dados graf 4.3.3"/>
    </sheetNames>
    <sheetDataSet>
      <sheetData sheetId="0">
        <row r="1">
          <cell r="B1" t="str">
            <v>Tabela 4.2.1 – Movimentação orgânica no SFN</v>
          </cell>
        </row>
        <row r="2">
          <cell r="B2" t="str">
            <v>Processos aprovados e publicados no Diário Oficial da União</v>
          </cell>
        </row>
        <row r="3">
          <cell r="B3" t="str">
            <v>Janeiro a Junho de 2015</v>
          </cell>
        </row>
        <row r="5">
          <cell r="B5" t="str">
            <v>Eventos</v>
          </cell>
          <cell r="C5" t="str">
            <v>BM</v>
          </cell>
          <cell r="D5" t="str">
            <v>BC</v>
          </cell>
          <cell r="E5" t="str">
            <v>BI</v>
          </cell>
          <cell r="F5" t="str">
            <v>CFI</v>
          </cell>
          <cell r="G5" t="str">
            <v>DTVM</v>
          </cell>
          <cell r="H5" t="str">
            <v>CTVM</v>
          </cell>
          <cell r="I5" t="str">
            <v>CC</v>
          </cell>
          <cell r="J5" t="str">
            <v>SCI</v>
          </cell>
          <cell r="K5" t="str">
            <v>SCM</v>
          </cell>
          <cell r="L5" t="str">
            <v>SAM</v>
          </cell>
          <cell r="M5" t="str">
            <v>CH</v>
          </cell>
          <cell r="N5" t="str">
            <v>Coop</v>
          </cell>
        </row>
        <row r="7">
          <cell r="B7" t="str">
            <v>Autorização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</v>
          </cell>
        </row>
        <row r="8">
          <cell r="B8" t="str">
            <v>Cancelamento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</row>
        <row r="9">
          <cell r="B9" t="str">
            <v>Incorporação</v>
          </cell>
          <cell r="C9">
            <v>0</v>
          </cell>
          <cell r="D9">
            <v>0</v>
          </cell>
          <cell r="E9">
            <v>0</v>
          </cell>
          <cell r="F9">
            <v>1</v>
          </cell>
          <cell r="G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14</v>
          </cell>
        </row>
        <row r="10">
          <cell r="B10" t="str">
            <v>Cisão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B11" t="str">
            <v>Mudança de</v>
          </cell>
        </row>
        <row r="12">
          <cell r="B12" t="str">
            <v xml:space="preserve">   objeto social</v>
          </cell>
        </row>
        <row r="13">
          <cell r="B13" t="str">
            <v xml:space="preserve">      - entrada</v>
          </cell>
          <cell r="C13">
            <v>3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B14" t="str">
            <v xml:space="preserve">      - saída</v>
          </cell>
          <cell r="C14">
            <v>1</v>
          </cell>
          <cell r="D14">
            <v>2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B15" t="str">
            <v>Liquidação</v>
          </cell>
        </row>
        <row r="16">
          <cell r="B16" t="str">
            <v xml:space="preserve">   extrajudicial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B17" t="str">
            <v>Intervenção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B18" t="str">
            <v>RAET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20">
          <cell r="B20" t="str">
            <v>Fonte: Diário Oficial da União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AD Contínua"/>
      <sheetName val="Sumário"/>
      <sheetName val="1 - Introdução"/>
      <sheetName val="2 - Notas técnicas"/>
      <sheetName val="3 - Glossário"/>
      <sheetName val="Quadro Sintético"/>
      <sheetName val="Quadro Sintético Subutilização"/>
      <sheetName val="Tabelas e gráficos"/>
      <sheetName val="4 - Tabela 1"/>
      <sheetName val="5 - Gráfico 1"/>
      <sheetName val="6 - Tabela 2"/>
      <sheetName val="7 - Gráfico 2"/>
      <sheetName val="8 - Tabela 3"/>
      <sheetName val="9 - Gráfico 3"/>
      <sheetName val="10 - Tabela 4"/>
      <sheetName val="11 - Gráfico 4"/>
      <sheetName val="12 - Tabela 5"/>
      <sheetName val="13 - Gráfico 5"/>
      <sheetName val="14 - Tabela 6"/>
      <sheetName val="15 - Gráfico 6"/>
      <sheetName val="16 - Tabela 7"/>
      <sheetName val="17 - Gráfico 7"/>
      <sheetName val="18 - Tabela 8"/>
      <sheetName val="19 - Gráfico 8"/>
      <sheetName val="20 - Tabela 9"/>
      <sheetName val="21 - Gráfico 9"/>
      <sheetName val="22 - Tabela 10"/>
      <sheetName val="23 - Gráfico 10"/>
      <sheetName val="24 - Tabela 11"/>
      <sheetName val="25 - Gráfico 11"/>
      <sheetName val="26 - Tabela 12"/>
      <sheetName val="27 - Gráfico 12"/>
      <sheetName val="28 - Tabela 13"/>
      <sheetName val="29 - Gráfico 13"/>
      <sheetName val="30 - Tabela 14"/>
      <sheetName val="31 - Gráfico 14"/>
      <sheetName val="32 - Tabela 15"/>
      <sheetName val="33 - Gráfico 15"/>
      <sheetName val="34 - Tabela 16"/>
      <sheetName val="35 - Gráfico 16"/>
      <sheetName val="36 - Tabela 17"/>
      <sheetName val="37 - Gráfico 17"/>
      <sheetName val="38 - Tabela 18"/>
      <sheetName val="39 - Gráfico 18"/>
      <sheetName val="40 - Tabela 19"/>
      <sheetName val="41 - Gráfico 19"/>
      <sheetName val="42 - Tabela 20"/>
      <sheetName val="43 - Gráfico 20"/>
      <sheetName val="44 - Tabela 21"/>
      <sheetName val="45 - Gráfico 21"/>
      <sheetName val="46 - Tabela 22"/>
      <sheetName val="47 - Gráfico 22"/>
      <sheetName val="48 - Tabela 23"/>
      <sheetName val="49 - Gráfico 23"/>
      <sheetName val="50 - Tabela 24"/>
      <sheetName val="51 - Gráfico 24"/>
      <sheetName val="52 - Tabela 25"/>
      <sheetName val="53 - Gráfico 25"/>
      <sheetName val="54 - Tabela 26"/>
      <sheetName val="55 - Gráfico 26"/>
      <sheetName val="56 - Tabela 27"/>
      <sheetName val="57 - Gráfico 27"/>
      <sheetName val="58 - Tabela 28"/>
      <sheetName val="59 - Gráfico 28"/>
      <sheetName val="60 - Tabela 29"/>
      <sheetName val="61 - Gráfico 29"/>
      <sheetName val="62 - Tabela 30"/>
      <sheetName val="63 - Gráfico 30"/>
      <sheetName val="64 - Tabela 31"/>
      <sheetName val="65 - Gráfico 31"/>
      <sheetName val="66 - Tabela 32"/>
      <sheetName val="67 - Gráfico 32"/>
      <sheetName val="68 - Tabela 33"/>
      <sheetName val="69 - Gráfico 33"/>
      <sheetName val="70 - Tabela 34"/>
      <sheetName val="71 - Gráfico 34"/>
      <sheetName val="72 - Tabela 35"/>
      <sheetName val="73 - Gráfico 35"/>
      <sheetName val="74 - Tabela 36"/>
      <sheetName val="75 - Gráfico 36"/>
      <sheetName val="76 - Tabela 37"/>
      <sheetName val="77 - Gráfico 37"/>
      <sheetName val="78 - Tabela 38"/>
      <sheetName val="79 - Gráfico 38"/>
      <sheetName val="80 - Tabela 39"/>
      <sheetName val="81 - Gráfico 39"/>
      <sheetName val="82 - Tabela 40"/>
      <sheetName val="83 - Gráfico 40"/>
      <sheetName val="84 - Tabela 41"/>
      <sheetName val="85 - Gráfico 41"/>
      <sheetName val="86 - Tabela 42"/>
      <sheetName val="87 - Gráfico 42"/>
      <sheetName val="88 - Tabela 43"/>
      <sheetName val="89 - Gráfico 43"/>
      <sheetName val="90 - Tabela 44"/>
      <sheetName val="91 - Gráfico 44"/>
      <sheetName val="92 - Tabela 45"/>
      <sheetName val="93 - Gráfico 45"/>
      <sheetName val="94 - Tabela 46"/>
      <sheetName val="95 - Gráfico 46"/>
      <sheetName val="96 - Tabela 47"/>
      <sheetName val="97 - Gráfico 47"/>
      <sheetName val="98 - Tabela 48"/>
      <sheetName val="99 - Gráfico 48"/>
      <sheetName val="100 - Tabela 49"/>
      <sheetName val="101 - Gráfico 49"/>
      <sheetName val="102 - Tabela 50"/>
      <sheetName val="103 - Gráfico 50"/>
      <sheetName val="104 - Tabela 51"/>
      <sheetName val="105 - Gráfico 51"/>
      <sheetName val="106 - Tabela 52"/>
      <sheetName val="107 - Gráfico 52"/>
      <sheetName val="108 - Tabela 53"/>
      <sheetName val="109 - Gráfico 53"/>
      <sheetName val="110 - Tabela 54"/>
      <sheetName val="111 - Gráfico 54"/>
      <sheetName val="112 - Tabela 55"/>
      <sheetName val="113 - Gráfico 55"/>
      <sheetName val="114 - Tabela 56"/>
      <sheetName val="115 - Gráfico 56"/>
      <sheetName val="116 - Tabela 57"/>
      <sheetName val="117 - Gráfico 57"/>
      <sheetName val="118 - Tabela 58"/>
      <sheetName val="119 - Gráfico 58"/>
      <sheetName val="120 - Tabela 59"/>
      <sheetName val="121 - Gráfico 59"/>
      <sheetName val="122 - Tabela 60"/>
      <sheetName val="123 - Gráfico 60"/>
      <sheetName val="124 - Tabela 61"/>
      <sheetName val="125 - Gráfico 61"/>
      <sheetName val="126 - Tabela 62"/>
      <sheetName val="127 - Gráfico 62"/>
      <sheetName val="128 - Tabela 63"/>
      <sheetName val="129 - Gráfico 63"/>
      <sheetName val="130 - Tabela 64"/>
      <sheetName val="131 - Gráfico 64"/>
      <sheetName val="132 - Tabela 65"/>
      <sheetName val="133 - Gráfico 65"/>
      <sheetName val="134 - Tabela 66"/>
      <sheetName val="135 - Gráfico 66"/>
      <sheetName val="136 - Tabela 67"/>
      <sheetName val="137 - Gráfico 67"/>
      <sheetName val="138 - Tabela 68"/>
      <sheetName val="139 - Gráfico 68"/>
      <sheetName val="140 - Tabela 69"/>
      <sheetName val="141 - Gráfico 69"/>
      <sheetName val="142 - Tabela 70"/>
      <sheetName val="143 - Gráfico 70"/>
      <sheetName val="144 - Tabela 71"/>
      <sheetName val="145 - Gráfico 71"/>
      <sheetName val="146 - Tabela 72"/>
      <sheetName val="147 - Gráfico 72"/>
      <sheetName val="148 - Tabela 73"/>
      <sheetName val="149 - Gráfico 73"/>
      <sheetName val="150 - Tabela 74"/>
      <sheetName val="151 - Gráfico 74"/>
      <sheetName val="152 - Tabela 75"/>
      <sheetName val="153 - Gráfico 75"/>
      <sheetName val="154 - Tabela 76"/>
      <sheetName val="155 - Gráfico 76"/>
      <sheetName val="156 - Tabela 77"/>
      <sheetName val="157 - Gráfico 77"/>
      <sheetName val="158 - Tabela 78"/>
      <sheetName val="159 - Gráfico 78"/>
      <sheetName val="160 - Tabela 79"/>
      <sheetName val="161 - Gráfico 79"/>
      <sheetName val="162 - Tabela 80"/>
      <sheetName val="163 - Gráfico 80"/>
      <sheetName val="164 - Tabela 81"/>
      <sheetName val="165 - Gráfico 81"/>
      <sheetName val="166 - Tabela 82"/>
      <sheetName val="167 - Gráfico 82"/>
      <sheetName val="168 - Tabela 83"/>
      <sheetName val="169 - Gráfico 83"/>
      <sheetName val="170 - Tabela 84"/>
      <sheetName val="171 - Gráfico 84"/>
      <sheetName val="172 - Tabela 85"/>
      <sheetName val="173 - Gráfico 85"/>
      <sheetName val="174 - Tabela 86"/>
      <sheetName val="175 - Gráfico 86"/>
      <sheetName val="176 - Tabela 87"/>
      <sheetName val="177 - Gráfico 87"/>
      <sheetName val="178 - Tabela 88"/>
      <sheetName val="179 - Gráfico 88"/>
      <sheetName val="180 - Tabela 89"/>
      <sheetName val="181 - Gráfico 89"/>
      <sheetName val="182 - Tabela 90"/>
      <sheetName val="183 - Gráfico 90"/>
      <sheetName val="184 - Tabela 91"/>
      <sheetName val="185 - Gráfico 91"/>
      <sheetName val="186 - Tabela 92"/>
      <sheetName val="187 - Gráfico 9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197971</v>
          </cell>
        </row>
        <row r="10">
          <cell r="D10">
            <v>2</v>
          </cell>
          <cell r="E10">
            <v>198124</v>
          </cell>
        </row>
        <row r="11">
          <cell r="D11">
            <v>3</v>
          </cell>
          <cell r="E11">
            <v>198277</v>
          </cell>
        </row>
        <row r="12">
          <cell r="D12">
            <v>1</v>
          </cell>
          <cell r="E12">
            <v>198429</v>
          </cell>
        </row>
        <row r="13">
          <cell r="D13">
            <v>2</v>
          </cell>
          <cell r="E13">
            <v>198581</v>
          </cell>
        </row>
        <row r="14">
          <cell r="D14">
            <v>3</v>
          </cell>
          <cell r="E14">
            <v>198733</v>
          </cell>
        </row>
        <row r="15">
          <cell r="D15">
            <v>1</v>
          </cell>
          <cell r="E15">
            <v>198884</v>
          </cell>
        </row>
        <row r="16">
          <cell r="D16">
            <v>2</v>
          </cell>
          <cell r="E16">
            <v>199035</v>
          </cell>
        </row>
        <row r="17">
          <cell r="D17">
            <v>3</v>
          </cell>
          <cell r="E17">
            <v>199186</v>
          </cell>
        </row>
        <row r="18">
          <cell r="D18">
            <v>1</v>
          </cell>
          <cell r="E18">
            <v>199336</v>
          </cell>
        </row>
        <row r="19">
          <cell r="D19">
            <v>2</v>
          </cell>
          <cell r="E19">
            <v>199486</v>
          </cell>
        </row>
        <row r="20">
          <cell r="D20">
            <v>3</v>
          </cell>
          <cell r="E20">
            <v>199635</v>
          </cell>
        </row>
        <row r="21">
          <cell r="D21">
            <v>1</v>
          </cell>
          <cell r="E21">
            <v>199784</v>
          </cell>
        </row>
        <row r="22">
          <cell r="D22">
            <v>2</v>
          </cell>
          <cell r="E22">
            <v>199933</v>
          </cell>
        </row>
        <row r="23">
          <cell r="D23">
            <v>3</v>
          </cell>
          <cell r="E23">
            <v>200081</v>
          </cell>
        </row>
        <row r="24">
          <cell r="D24">
            <v>1</v>
          </cell>
          <cell r="E24">
            <v>200229</v>
          </cell>
        </row>
        <row r="25">
          <cell r="D25">
            <v>2</v>
          </cell>
          <cell r="E25">
            <v>200377</v>
          </cell>
        </row>
        <row r="26">
          <cell r="D26">
            <v>3</v>
          </cell>
          <cell r="E26">
            <v>200524</v>
          </cell>
        </row>
        <row r="27">
          <cell r="D27">
            <v>1</v>
          </cell>
          <cell r="E27">
            <v>200670</v>
          </cell>
        </row>
        <row r="28">
          <cell r="D28">
            <v>2</v>
          </cell>
          <cell r="E28">
            <v>200817</v>
          </cell>
        </row>
        <row r="29">
          <cell r="D29">
            <v>3</v>
          </cell>
          <cell r="E29">
            <v>200963</v>
          </cell>
        </row>
        <row r="30">
          <cell r="D30">
            <v>1</v>
          </cell>
          <cell r="E30">
            <v>201109</v>
          </cell>
        </row>
        <row r="31">
          <cell r="D31">
            <v>2</v>
          </cell>
          <cell r="E31">
            <v>201254</v>
          </cell>
        </row>
        <row r="32">
          <cell r="D32">
            <v>3</v>
          </cell>
          <cell r="E32">
            <v>201399</v>
          </cell>
        </row>
        <row r="33">
          <cell r="D33">
            <v>1</v>
          </cell>
          <cell r="E33">
            <v>201543</v>
          </cell>
        </row>
        <row r="34">
          <cell r="D34">
            <v>2</v>
          </cell>
          <cell r="E34">
            <v>201687</v>
          </cell>
        </row>
        <row r="35">
          <cell r="D35">
            <v>3</v>
          </cell>
          <cell r="E35">
            <v>201831</v>
          </cell>
        </row>
        <row r="36">
          <cell r="D36">
            <v>1</v>
          </cell>
          <cell r="E36">
            <v>201974</v>
          </cell>
        </row>
        <row r="37">
          <cell r="D37">
            <v>2</v>
          </cell>
          <cell r="E37">
            <v>202117</v>
          </cell>
        </row>
        <row r="38">
          <cell r="D38">
            <v>3</v>
          </cell>
          <cell r="E38">
            <v>202260</v>
          </cell>
        </row>
        <row r="39">
          <cell r="D39">
            <v>1</v>
          </cell>
          <cell r="E39">
            <v>202402</v>
          </cell>
        </row>
        <row r="40">
          <cell r="D40">
            <v>2</v>
          </cell>
          <cell r="E40">
            <v>202544</v>
          </cell>
        </row>
        <row r="41">
          <cell r="D41">
            <v>3</v>
          </cell>
          <cell r="E41">
            <v>202685</v>
          </cell>
        </row>
        <row r="42">
          <cell r="D42">
            <v>1</v>
          </cell>
          <cell r="E42">
            <v>202827</v>
          </cell>
        </row>
        <row r="43">
          <cell r="D43">
            <v>2</v>
          </cell>
          <cell r="E43">
            <v>202967</v>
          </cell>
        </row>
        <row r="44">
          <cell r="D44">
            <v>3</v>
          </cell>
          <cell r="E44">
            <v>203108</v>
          </cell>
        </row>
        <row r="45">
          <cell r="D45">
            <v>1</v>
          </cell>
          <cell r="E45">
            <v>203248</v>
          </cell>
        </row>
        <row r="46">
          <cell r="D46">
            <v>2</v>
          </cell>
          <cell r="E46">
            <v>203387</v>
          </cell>
        </row>
        <row r="47">
          <cell r="D47">
            <v>3</v>
          </cell>
          <cell r="E47">
            <v>203526</v>
          </cell>
        </row>
        <row r="48">
          <cell r="D48">
            <v>1</v>
          </cell>
          <cell r="E48">
            <v>203665</v>
          </cell>
        </row>
        <row r="49">
          <cell r="D49">
            <v>2</v>
          </cell>
          <cell r="E49">
            <v>203803</v>
          </cell>
        </row>
        <row r="50">
          <cell r="D50">
            <v>3</v>
          </cell>
          <cell r="E50">
            <v>203942</v>
          </cell>
        </row>
        <row r="51">
          <cell r="D51">
            <v>1</v>
          </cell>
          <cell r="E51">
            <v>204079</v>
          </cell>
        </row>
        <row r="52">
          <cell r="D52">
            <v>2</v>
          </cell>
          <cell r="E52">
            <v>204216</v>
          </cell>
        </row>
        <row r="53">
          <cell r="D53">
            <v>3</v>
          </cell>
          <cell r="E53">
            <v>204353</v>
          </cell>
        </row>
        <row r="54">
          <cell r="D54">
            <v>1</v>
          </cell>
          <cell r="E54">
            <v>204490</v>
          </cell>
        </row>
        <row r="55">
          <cell r="D55">
            <v>2</v>
          </cell>
          <cell r="E55">
            <v>204626</v>
          </cell>
        </row>
        <row r="56">
          <cell r="D56">
            <v>3</v>
          </cell>
          <cell r="E56">
            <v>204762</v>
          </cell>
        </row>
        <row r="57">
          <cell r="D57">
            <v>1</v>
          </cell>
          <cell r="E57">
            <v>204898</v>
          </cell>
        </row>
        <row r="58">
          <cell r="D58">
            <v>2</v>
          </cell>
          <cell r="E58">
            <v>205033</v>
          </cell>
        </row>
        <row r="59">
          <cell r="D59">
            <v>3</v>
          </cell>
          <cell r="E59">
            <v>205167</v>
          </cell>
        </row>
        <row r="60">
          <cell r="D60">
            <v>1</v>
          </cell>
          <cell r="E60">
            <v>205301</v>
          </cell>
        </row>
        <row r="61">
          <cell r="D61">
            <v>2</v>
          </cell>
          <cell r="E61">
            <v>205435</v>
          </cell>
        </row>
        <row r="62">
          <cell r="D62">
            <v>3</v>
          </cell>
          <cell r="E62">
            <v>205569</v>
          </cell>
        </row>
        <row r="63">
          <cell r="D63">
            <v>1</v>
          </cell>
          <cell r="E63">
            <v>205702</v>
          </cell>
        </row>
        <row r="64">
          <cell r="D64">
            <v>2</v>
          </cell>
          <cell r="E64">
            <v>205835</v>
          </cell>
        </row>
        <row r="65">
          <cell r="D65">
            <v>3</v>
          </cell>
          <cell r="E65">
            <v>205967</v>
          </cell>
        </row>
        <row r="66">
          <cell r="D66">
            <v>1</v>
          </cell>
          <cell r="E66">
            <v>206099</v>
          </cell>
        </row>
        <row r="67">
          <cell r="D67">
            <v>2</v>
          </cell>
          <cell r="E67">
            <v>206231</v>
          </cell>
        </row>
        <row r="68">
          <cell r="D68">
            <v>3</v>
          </cell>
          <cell r="E68">
            <v>206362</v>
          </cell>
        </row>
        <row r="69">
          <cell r="D69">
            <v>1</v>
          </cell>
          <cell r="E69">
            <v>206493</v>
          </cell>
        </row>
        <row r="70">
          <cell r="D70">
            <v>2</v>
          </cell>
          <cell r="E70">
            <v>206623</v>
          </cell>
        </row>
        <row r="71">
          <cell r="D71">
            <v>3</v>
          </cell>
          <cell r="E71">
            <v>206753</v>
          </cell>
        </row>
        <row r="72">
          <cell r="D72">
            <v>1</v>
          </cell>
          <cell r="E72">
            <v>206883</v>
          </cell>
        </row>
        <row r="73">
          <cell r="D73">
            <v>2</v>
          </cell>
          <cell r="E73">
            <v>207012</v>
          </cell>
        </row>
        <row r="74">
          <cell r="D74">
            <v>3</v>
          </cell>
          <cell r="E74">
            <v>207141</v>
          </cell>
        </row>
        <row r="75">
          <cell r="D75">
            <v>1</v>
          </cell>
          <cell r="E75">
            <v>207270</v>
          </cell>
        </row>
        <row r="76">
          <cell r="D76">
            <v>2</v>
          </cell>
          <cell r="E76">
            <v>207398</v>
          </cell>
        </row>
        <row r="77">
          <cell r="D77">
            <v>3</v>
          </cell>
          <cell r="E77">
            <v>207525</v>
          </cell>
        </row>
        <row r="78">
          <cell r="D78">
            <v>1</v>
          </cell>
          <cell r="E78">
            <v>207653</v>
          </cell>
        </row>
        <row r="79">
          <cell r="D79">
            <v>2</v>
          </cell>
          <cell r="E79">
            <v>207780</v>
          </cell>
        </row>
        <row r="80">
          <cell r="D80">
            <v>3</v>
          </cell>
          <cell r="E80">
            <v>207907</v>
          </cell>
        </row>
        <row r="81">
          <cell r="D81">
            <v>1</v>
          </cell>
          <cell r="E81">
            <v>208033</v>
          </cell>
        </row>
        <row r="82">
          <cell r="D82">
            <v>2</v>
          </cell>
          <cell r="E82">
            <v>208159</v>
          </cell>
        </row>
        <row r="83">
          <cell r="D83">
            <v>3</v>
          </cell>
          <cell r="E83">
            <v>208284</v>
          </cell>
        </row>
        <row r="84">
          <cell r="D84">
            <v>1</v>
          </cell>
          <cell r="E84">
            <v>208409</v>
          </cell>
        </row>
        <row r="85">
          <cell r="D85">
            <v>2</v>
          </cell>
          <cell r="E85">
            <v>208534</v>
          </cell>
        </row>
        <row r="86">
          <cell r="D86">
            <v>3</v>
          </cell>
          <cell r="E86">
            <v>208658</v>
          </cell>
        </row>
        <row r="87">
          <cell r="D87">
            <v>1</v>
          </cell>
          <cell r="E87">
            <v>208782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9" refreshError="1"/>
      <sheetData sheetId="1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2</v>
          </cell>
          <cell r="E5">
            <v>3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156384</v>
          </cell>
        </row>
        <row r="10">
          <cell r="D10">
            <v>2</v>
          </cell>
          <cell r="E10">
            <v>156532</v>
          </cell>
        </row>
        <row r="11">
          <cell r="D11">
            <v>3</v>
          </cell>
          <cell r="E11">
            <v>156649</v>
          </cell>
        </row>
        <row r="12">
          <cell r="D12">
            <v>1</v>
          </cell>
          <cell r="E12">
            <v>156951</v>
          </cell>
        </row>
        <row r="13">
          <cell r="D13">
            <v>2</v>
          </cell>
          <cell r="E13">
            <v>157087</v>
          </cell>
        </row>
        <row r="14">
          <cell r="D14">
            <v>3</v>
          </cell>
          <cell r="E14">
            <v>157293</v>
          </cell>
        </row>
        <row r="15">
          <cell r="D15">
            <v>1</v>
          </cell>
          <cell r="E15">
            <v>157532</v>
          </cell>
        </row>
        <row r="16">
          <cell r="D16">
            <v>2</v>
          </cell>
          <cell r="E16">
            <v>157746</v>
          </cell>
        </row>
        <row r="17">
          <cell r="D17">
            <v>3</v>
          </cell>
          <cell r="E17">
            <v>158010</v>
          </cell>
        </row>
        <row r="18">
          <cell r="D18">
            <v>1</v>
          </cell>
          <cell r="E18">
            <v>158201</v>
          </cell>
        </row>
        <row r="19">
          <cell r="D19">
            <v>2</v>
          </cell>
          <cell r="E19">
            <v>158339</v>
          </cell>
        </row>
        <row r="20">
          <cell r="D20">
            <v>3</v>
          </cell>
          <cell r="E20">
            <v>158518</v>
          </cell>
        </row>
        <row r="21">
          <cell r="D21">
            <v>1</v>
          </cell>
          <cell r="E21">
            <v>158859</v>
          </cell>
        </row>
        <row r="22">
          <cell r="D22">
            <v>2</v>
          </cell>
          <cell r="E22">
            <v>159034</v>
          </cell>
        </row>
        <row r="23">
          <cell r="D23">
            <v>3</v>
          </cell>
          <cell r="E23">
            <v>159090</v>
          </cell>
        </row>
        <row r="24">
          <cell r="D24">
            <v>1</v>
          </cell>
          <cell r="E24">
            <v>159090</v>
          </cell>
        </row>
        <row r="25">
          <cell r="D25">
            <v>2</v>
          </cell>
          <cell r="E25">
            <v>159259</v>
          </cell>
        </row>
        <row r="26">
          <cell r="D26">
            <v>3</v>
          </cell>
          <cell r="E26">
            <v>159465</v>
          </cell>
        </row>
        <row r="27">
          <cell r="D27">
            <v>1</v>
          </cell>
          <cell r="E27">
            <v>159685</v>
          </cell>
        </row>
        <row r="28">
          <cell r="D28">
            <v>2</v>
          </cell>
          <cell r="E28">
            <v>159884</v>
          </cell>
        </row>
        <row r="29">
          <cell r="D29">
            <v>3</v>
          </cell>
          <cell r="E29">
            <v>160046</v>
          </cell>
        </row>
        <row r="30">
          <cell r="D30">
            <v>1</v>
          </cell>
          <cell r="E30">
            <v>160408</v>
          </cell>
        </row>
        <row r="31">
          <cell r="D31">
            <v>2</v>
          </cell>
          <cell r="E31">
            <v>160523</v>
          </cell>
        </row>
        <row r="32">
          <cell r="D32">
            <v>3</v>
          </cell>
          <cell r="E32">
            <v>160610</v>
          </cell>
        </row>
        <row r="33">
          <cell r="D33">
            <v>1</v>
          </cell>
          <cell r="E33">
            <v>160784</v>
          </cell>
        </row>
        <row r="34">
          <cell r="D34">
            <v>2</v>
          </cell>
          <cell r="E34">
            <v>161163</v>
          </cell>
        </row>
        <row r="35">
          <cell r="D35">
            <v>3</v>
          </cell>
          <cell r="E35">
            <v>161527</v>
          </cell>
        </row>
        <row r="36">
          <cell r="D36">
            <v>1</v>
          </cell>
          <cell r="E36">
            <v>161734</v>
          </cell>
        </row>
        <row r="37">
          <cell r="D37">
            <v>2</v>
          </cell>
          <cell r="E37">
            <v>161942</v>
          </cell>
        </row>
        <row r="38">
          <cell r="D38">
            <v>3</v>
          </cell>
          <cell r="E38">
            <v>162208</v>
          </cell>
        </row>
        <row r="39">
          <cell r="D39">
            <v>1</v>
          </cell>
          <cell r="E39">
            <v>162446</v>
          </cell>
        </row>
        <row r="40">
          <cell r="D40">
            <v>2</v>
          </cell>
          <cell r="E40">
            <v>162681</v>
          </cell>
        </row>
        <row r="41">
          <cell r="D41">
            <v>3</v>
          </cell>
          <cell r="E41">
            <v>162875</v>
          </cell>
        </row>
        <row r="42">
          <cell r="D42">
            <v>1</v>
          </cell>
          <cell r="E42">
            <v>163151</v>
          </cell>
        </row>
        <row r="43">
          <cell r="D43">
            <v>2</v>
          </cell>
          <cell r="E43">
            <v>163431</v>
          </cell>
        </row>
        <row r="44">
          <cell r="D44">
            <v>3</v>
          </cell>
          <cell r="E44">
            <v>163709</v>
          </cell>
        </row>
        <row r="45">
          <cell r="D45">
            <v>1</v>
          </cell>
          <cell r="E45">
            <v>163806</v>
          </cell>
        </row>
        <row r="46">
          <cell r="D46">
            <v>2</v>
          </cell>
          <cell r="E46">
            <v>163834</v>
          </cell>
        </row>
        <row r="47">
          <cell r="D47">
            <v>3</v>
          </cell>
          <cell r="E47">
            <v>163957</v>
          </cell>
        </row>
        <row r="48">
          <cell r="D48">
            <v>1</v>
          </cell>
          <cell r="E48">
            <v>164108</v>
          </cell>
        </row>
        <row r="49">
          <cell r="D49">
            <v>2</v>
          </cell>
          <cell r="E49">
            <v>164248</v>
          </cell>
        </row>
        <row r="50">
          <cell r="D50">
            <v>3</v>
          </cell>
          <cell r="E50">
            <v>164403</v>
          </cell>
        </row>
        <row r="51">
          <cell r="D51">
            <v>1</v>
          </cell>
          <cell r="E51">
            <v>164507</v>
          </cell>
        </row>
        <row r="52">
          <cell r="D52">
            <v>2</v>
          </cell>
          <cell r="E52">
            <v>164620</v>
          </cell>
        </row>
        <row r="53">
          <cell r="D53">
            <v>3</v>
          </cell>
          <cell r="E53">
            <v>164785</v>
          </cell>
        </row>
        <row r="54">
          <cell r="D54">
            <v>1</v>
          </cell>
          <cell r="E54">
            <v>164955</v>
          </cell>
        </row>
        <row r="55">
          <cell r="D55">
            <v>2</v>
          </cell>
          <cell r="E55">
            <v>165102</v>
          </cell>
        </row>
        <row r="56">
          <cell r="D56">
            <v>3</v>
          </cell>
          <cell r="E56">
            <v>165334</v>
          </cell>
        </row>
        <row r="57">
          <cell r="D57">
            <v>1</v>
          </cell>
          <cell r="E57">
            <v>165567</v>
          </cell>
        </row>
        <row r="58">
          <cell r="D58">
            <v>2</v>
          </cell>
          <cell r="E58">
            <v>165908</v>
          </cell>
        </row>
        <row r="59">
          <cell r="D59">
            <v>3</v>
          </cell>
          <cell r="E59">
            <v>166131</v>
          </cell>
        </row>
        <row r="60">
          <cell r="D60">
            <v>1</v>
          </cell>
          <cell r="E60">
            <v>166270</v>
          </cell>
        </row>
        <row r="61">
          <cell r="D61">
            <v>2</v>
          </cell>
          <cell r="E61">
            <v>166392</v>
          </cell>
        </row>
        <row r="62">
          <cell r="D62">
            <v>3</v>
          </cell>
          <cell r="E62">
            <v>166441</v>
          </cell>
        </row>
        <row r="63">
          <cell r="D63">
            <v>1</v>
          </cell>
          <cell r="E63">
            <v>166499</v>
          </cell>
        </row>
        <row r="64">
          <cell r="D64">
            <v>2</v>
          </cell>
          <cell r="E64">
            <v>166651</v>
          </cell>
        </row>
        <row r="65">
          <cell r="D65">
            <v>3</v>
          </cell>
          <cell r="E65">
            <v>166828</v>
          </cell>
        </row>
        <row r="66">
          <cell r="D66">
            <v>1</v>
          </cell>
          <cell r="E66">
            <v>167148</v>
          </cell>
        </row>
        <row r="67">
          <cell r="D67">
            <v>2</v>
          </cell>
          <cell r="E67">
            <v>167382</v>
          </cell>
        </row>
        <row r="68">
          <cell r="D68">
            <v>3</v>
          </cell>
          <cell r="E68">
            <v>167452</v>
          </cell>
        </row>
        <row r="69">
          <cell r="D69">
            <v>1</v>
          </cell>
          <cell r="E69">
            <v>167535</v>
          </cell>
        </row>
        <row r="70">
          <cell r="D70">
            <v>2</v>
          </cell>
          <cell r="E70">
            <v>167705</v>
          </cell>
        </row>
        <row r="71">
          <cell r="D71">
            <v>3</v>
          </cell>
          <cell r="E71">
            <v>167870</v>
          </cell>
        </row>
        <row r="72">
          <cell r="D72">
            <v>1</v>
          </cell>
          <cell r="E72">
            <v>168136</v>
          </cell>
        </row>
        <row r="73">
          <cell r="D73">
            <v>2</v>
          </cell>
          <cell r="E73">
            <v>168412</v>
          </cell>
        </row>
        <row r="74">
          <cell r="D74">
            <v>3</v>
          </cell>
          <cell r="E74">
            <v>168553</v>
          </cell>
        </row>
        <row r="75">
          <cell r="D75">
            <v>1</v>
          </cell>
          <cell r="E75">
            <v>168722</v>
          </cell>
        </row>
        <row r="76">
          <cell r="D76">
            <v>2</v>
          </cell>
          <cell r="E76">
            <v>168782</v>
          </cell>
        </row>
        <row r="77">
          <cell r="D77">
            <v>3</v>
          </cell>
          <cell r="E77">
            <v>168920</v>
          </cell>
        </row>
        <row r="78">
          <cell r="D78">
            <v>1</v>
          </cell>
          <cell r="E78">
            <v>169054</v>
          </cell>
        </row>
        <row r="79">
          <cell r="D79">
            <v>2</v>
          </cell>
          <cell r="E79">
            <v>169140</v>
          </cell>
        </row>
        <row r="80">
          <cell r="D80">
            <v>3</v>
          </cell>
          <cell r="E80">
            <v>169149</v>
          </cell>
        </row>
        <row r="81">
          <cell r="D81">
            <v>1</v>
          </cell>
          <cell r="E81">
            <v>169138</v>
          </cell>
        </row>
        <row r="82">
          <cell r="D82">
            <v>2</v>
          </cell>
          <cell r="E82">
            <v>169321</v>
          </cell>
        </row>
        <row r="83">
          <cell r="D83">
            <v>3</v>
          </cell>
          <cell r="E83">
            <v>169535</v>
          </cell>
        </row>
        <row r="84">
          <cell r="D84">
            <v>1</v>
          </cell>
          <cell r="E84">
            <v>169846</v>
          </cell>
        </row>
        <row r="85">
          <cell r="D85">
            <v>2</v>
          </cell>
          <cell r="E85">
            <v>170020</v>
          </cell>
        </row>
        <row r="86">
          <cell r="D86">
            <v>3</v>
          </cell>
          <cell r="E86">
            <v>170176</v>
          </cell>
        </row>
        <row r="87">
          <cell r="D87">
            <v>1</v>
          </cell>
          <cell r="E87">
            <v>170311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1" refreshError="1"/>
      <sheetData sheetId="1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95644</v>
          </cell>
        </row>
        <row r="10">
          <cell r="D10">
            <v>2</v>
          </cell>
          <cell r="E10">
            <v>96293</v>
          </cell>
        </row>
        <row r="11">
          <cell r="D11">
            <v>3</v>
          </cell>
          <cell r="E11">
            <v>96645</v>
          </cell>
        </row>
        <row r="12">
          <cell r="D12">
            <v>1</v>
          </cell>
          <cell r="E12">
            <v>96844</v>
          </cell>
        </row>
        <row r="13">
          <cell r="D13">
            <v>2</v>
          </cell>
          <cell r="E13">
            <v>96815</v>
          </cell>
        </row>
        <row r="14">
          <cell r="D14">
            <v>3</v>
          </cell>
          <cell r="E14">
            <v>96936</v>
          </cell>
        </row>
        <row r="15">
          <cell r="D15">
            <v>1</v>
          </cell>
          <cell r="E15">
            <v>96938</v>
          </cell>
        </row>
        <row r="16">
          <cell r="D16">
            <v>2</v>
          </cell>
          <cell r="E16">
            <v>96847</v>
          </cell>
        </row>
        <row r="17">
          <cell r="D17">
            <v>3</v>
          </cell>
          <cell r="E17">
            <v>96874</v>
          </cell>
        </row>
        <row r="18">
          <cell r="D18">
            <v>1</v>
          </cell>
          <cell r="E18">
            <v>96959</v>
          </cell>
        </row>
        <row r="19">
          <cell r="D19">
            <v>2</v>
          </cell>
          <cell r="E19">
            <v>96965</v>
          </cell>
        </row>
        <row r="20">
          <cell r="D20">
            <v>3</v>
          </cell>
          <cell r="E20">
            <v>97072</v>
          </cell>
        </row>
        <row r="21">
          <cell r="D21">
            <v>1</v>
          </cell>
          <cell r="E21">
            <v>97197</v>
          </cell>
        </row>
        <row r="22">
          <cell r="D22">
            <v>2</v>
          </cell>
          <cell r="E22">
            <v>97531</v>
          </cell>
        </row>
        <row r="23">
          <cell r="D23">
            <v>3</v>
          </cell>
          <cell r="E23">
            <v>97696</v>
          </cell>
        </row>
        <row r="24">
          <cell r="D24">
            <v>1</v>
          </cell>
          <cell r="E24">
            <v>97829</v>
          </cell>
        </row>
        <row r="25">
          <cell r="D25">
            <v>2</v>
          </cell>
          <cell r="E25">
            <v>97989</v>
          </cell>
        </row>
        <row r="26">
          <cell r="D26">
            <v>3</v>
          </cell>
          <cell r="E26">
            <v>97931</v>
          </cell>
        </row>
        <row r="27">
          <cell r="D27">
            <v>1</v>
          </cell>
          <cell r="E27">
            <v>97971</v>
          </cell>
        </row>
        <row r="28">
          <cell r="D28">
            <v>2</v>
          </cell>
          <cell r="E28">
            <v>97871</v>
          </cell>
        </row>
        <row r="29">
          <cell r="D29">
            <v>3</v>
          </cell>
          <cell r="E29">
            <v>98033</v>
          </cell>
        </row>
        <row r="30">
          <cell r="D30">
            <v>1</v>
          </cell>
          <cell r="E30">
            <v>97934</v>
          </cell>
        </row>
        <row r="31">
          <cell r="D31">
            <v>2</v>
          </cell>
          <cell r="E31">
            <v>97846</v>
          </cell>
        </row>
        <row r="32">
          <cell r="D32">
            <v>3</v>
          </cell>
          <cell r="E32">
            <v>98110</v>
          </cell>
        </row>
        <row r="33">
          <cell r="D33">
            <v>1</v>
          </cell>
          <cell r="E33">
            <v>98300</v>
          </cell>
        </row>
        <row r="34">
          <cell r="D34">
            <v>2</v>
          </cell>
          <cell r="E34">
            <v>98593</v>
          </cell>
        </row>
        <row r="35">
          <cell r="D35">
            <v>3</v>
          </cell>
          <cell r="E35">
            <v>98695</v>
          </cell>
        </row>
        <row r="36">
          <cell r="D36">
            <v>1</v>
          </cell>
          <cell r="E36">
            <v>98819</v>
          </cell>
        </row>
        <row r="37">
          <cell r="D37">
            <v>2</v>
          </cell>
          <cell r="E37">
            <v>98742</v>
          </cell>
        </row>
        <row r="38">
          <cell r="D38">
            <v>3</v>
          </cell>
          <cell r="E38">
            <v>98734</v>
          </cell>
        </row>
        <row r="39">
          <cell r="D39">
            <v>1</v>
          </cell>
          <cell r="E39">
            <v>98974</v>
          </cell>
        </row>
        <row r="40">
          <cell r="D40">
            <v>2</v>
          </cell>
          <cell r="E40">
            <v>99156</v>
          </cell>
        </row>
        <row r="41">
          <cell r="D41">
            <v>3</v>
          </cell>
          <cell r="E41">
            <v>99156</v>
          </cell>
        </row>
        <row r="42">
          <cell r="D42">
            <v>1</v>
          </cell>
          <cell r="E42">
            <v>99326</v>
          </cell>
        </row>
        <row r="43">
          <cell r="D43">
            <v>2</v>
          </cell>
          <cell r="E43">
            <v>99453</v>
          </cell>
        </row>
        <row r="44">
          <cell r="D44">
            <v>3</v>
          </cell>
          <cell r="E44">
            <v>99706</v>
          </cell>
        </row>
        <row r="45">
          <cell r="D45">
            <v>1</v>
          </cell>
          <cell r="E45">
            <v>99957</v>
          </cell>
        </row>
        <row r="46">
          <cell r="D46">
            <v>2</v>
          </cell>
          <cell r="E46">
            <v>100207</v>
          </cell>
        </row>
        <row r="47">
          <cell r="D47">
            <v>3</v>
          </cell>
          <cell r="E47">
            <v>100261</v>
          </cell>
        </row>
        <row r="48">
          <cell r="D48">
            <v>1</v>
          </cell>
          <cell r="E48">
            <v>100566</v>
          </cell>
        </row>
        <row r="49">
          <cell r="D49">
            <v>2</v>
          </cell>
          <cell r="E49">
            <v>100807</v>
          </cell>
        </row>
        <row r="50">
          <cell r="D50">
            <v>3</v>
          </cell>
          <cell r="E50">
            <v>100931</v>
          </cell>
        </row>
        <row r="51">
          <cell r="D51">
            <v>1</v>
          </cell>
          <cell r="E51">
            <v>101069</v>
          </cell>
        </row>
        <row r="52">
          <cell r="D52">
            <v>2</v>
          </cell>
          <cell r="E52">
            <v>101356</v>
          </cell>
        </row>
        <row r="53">
          <cell r="D53">
            <v>3</v>
          </cell>
          <cell r="E53">
            <v>101265</v>
          </cell>
        </row>
        <row r="54">
          <cell r="D54">
            <v>1</v>
          </cell>
          <cell r="E54">
            <v>101318</v>
          </cell>
        </row>
        <row r="55">
          <cell r="D55">
            <v>2</v>
          </cell>
          <cell r="E55">
            <v>101220</v>
          </cell>
        </row>
        <row r="56">
          <cell r="D56">
            <v>3</v>
          </cell>
          <cell r="E56">
            <v>101505</v>
          </cell>
        </row>
        <row r="57">
          <cell r="D57">
            <v>1</v>
          </cell>
          <cell r="E57">
            <v>101728</v>
          </cell>
        </row>
        <row r="58">
          <cell r="D58">
            <v>2</v>
          </cell>
          <cell r="E58">
            <v>102044</v>
          </cell>
        </row>
        <row r="59">
          <cell r="D59">
            <v>3</v>
          </cell>
          <cell r="E59">
            <v>102289</v>
          </cell>
        </row>
        <row r="60">
          <cell r="D60">
            <v>1</v>
          </cell>
          <cell r="E60">
            <v>102384</v>
          </cell>
        </row>
        <row r="61">
          <cell r="D61">
            <v>2</v>
          </cell>
          <cell r="E61">
            <v>102334</v>
          </cell>
        </row>
        <row r="62">
          <cell r="D62">
            <v>3</v>
          </cell>
          <cell r="E62">
            <v>102161</v>
          </cell>
        </row>
        <row r="63">
          <cell r="D63">
            <v>1</v>
          </cell>
          <cell r="E63">
            <v>101857</v>
          </cell>
        </row>
        <row r="64">
          <cell r="D64">
            <v>2</v>
          </cell>
          <cell r="E64">
            <v>101925</v>
          </cell>
        </row>
        <row r="65">
          <cell r="D65">
            <v>3</v>
          </cell>
          <cell r="E65">
            <v>102342</v>
          </cell>
        </row>
        <row r="66">
          <cell r="D66">
            <v>1</v>
          </cell>
          <cell r="E66">
            <v>102604</v>
          </cell>
        </row>
        <row r="67">
          <cell r="D67">
            <v>2</v>
          </cell>
          <cell r="E67">
            <v>102774</v>
          </cell>
        </row>
        <row r="68">
          <cell r="D68">
            <v>3</v>
          </cell>
          <cell r="E68">
            <v>102892</v>
          </cell>
        </row>
        <row r="69">
          <cell r="D69">
            <v>1</v>
          </cell>
          <cell r="E69">
            <v>103123</v>
          </cell>
        </row>
        <row r="70">
          <cell r="D70">
            <v>2</v>
          </cell>
          <cell r="E70">
            <v>103286</v>
          </cell>
        </row>
        <row r="71">
          <cell r="D71">
            <v>3</v>
          </cell>
          <cell r="E71">
            <v>103459</v>
          </cell>
        </row>
        <row r="72">
          <cell r="D72">
            <v>1</v>
          </cell>
          <cell r="E72">
            <v>103722</v>
          </cell>
        </row>
        <row r="73">
          <cell r="D73">
            <v>2</v>
          </cell>
          <cell r="E73">
            <v>104004</v>
          </cell>
        </row>
        <row r="74">
          <cell r="D74">
            <v>3</v>
          </cell>
          <cell r="E74">
            <v>104175</v>
          </cell>
        </row>
        <row r="75">
          <cell r="D75">
            <v>1</v>
          </cell>
          <cell r="E75">
            <v>104258</v>
          </cell>
        </row>
        <row r="76">
          <cell r="D76">
            <v>2</v>
          </cell>
          <cell r="E76">
            <v>104285</v>
          </cell>
        </row>
        <row r="77">
          <cell r="D77">
            <v>3</v>
          </cell>
          <cell r="E77">
            <v>104519</v>
          </cell>
        </row>
        <row r="78">
          <cell r="D78">
            <v>1</v>
          </cell>
          <cell r="E78">
            <v>104419</v>
          </cell>
        </row>
        <row r="79">
          <cell r="D79">
            <v>2</v>
          </cell>
          <cell r="E79">
            <v>104391</v>
          </cell>
        </row>
        <row r="80">
          <cell r="D80">
            <v>3</v>
          </cell>
          <cell r="E80">
            <v>104212</v>
          </cell>
        </row>
        <row r="81">
          <cell r="D81">
            <v>1</v>
          </cell>
          <cell r="E81">
            <v>104270</v>
          </cell>
        </row>
        <row r="82">
          <cell r="D82">
            <v>2</v>
          </cell>
          <cell r="E82">
            <v>104146</v>
          </cell>
        </row>
        <row r="83">
          <cell r="D83">
            <v>3</v>
          </cell>
          <cell r="E83">
            <v>104122</v>
          </cell>
        </row>
        <row r="84">
          <cell r="D84">
            <v>1</v>
          </cell>
          <cell r="E84">
            <v>104203</v>
          </cell>
        </row>
        <row r="85">
          <cell r="D85">
            <v>2</v>
          </cell>
          <cell r="E85">
            <v>104529</v>
          </cell>
        </row>
        <row r="86">
          <cell r="D86">
            <v>3</v>
          </cell>
          <cell r="E86">
            <v>104788</v>
          </cell>
        </row>
        <row r="87">
          <cell r="D87">
            <v>1</v>
          </cell>
          <cell r="E87">
            <v>105114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3" refreshError="1"/>
      <sheetData sheetId="1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88041</v>
          </cell>
        </row>
        <row r="10">
          <cell r="D10">
            <v>2</v>
          </cell>
          <cell r="E10">
            <v>88824</v>
          </cell>
        </row>
        <row r="11">
          <cell r="D11">
            <v>3</v>
          </cell>
          <cell r="E11">
            <v>89286</v>
          </cell>
        </row>
        <row r="12">
          <cell r="D12">
            <v>1</v>
          </cell>
          <cell r="E12">
            <v>89557</v>
          </cell>
        </row>
        <row r="13">
          <cell r="D13">
            <v>2</v>
          </cell>
          <cell r="E13">
            <v>89612</v>
          </cell>
        </row>
        <row r="14">
          <cell r="D14">
            <v>3</v>
          </cell>
          <cell r="E14">
            <v>89864</v>
          </cell>
        </row>
        <row r="15">
          <cell r="D15">
            <v>1</v>
          </cell>
          <cell r="E15">
            <v>90082</v>
          </cell>
        </row>
        <row r="16">
          <cell r="D16">
            <v>2</v>
          </cell>
          <cell r="E16">
            <v>90168</v>
          </cell>
        </row>
        <row r="17">
          <cell r="D17">
            <v>3</v>
          </cell>
          <cell r="E17">
            <v>90314</v>
          </cell>
        </row>
        <row r="18">
          <cell r="D18">
            <v>1</v>
          </cell>
          <cell r="E18">
            <v>90306</v>
          </cell>
        </row>
        <row r="19">
          <cell r="D19">
            <v>2</v>
          </cell>
          <cell r="E19">
            <v>89967</v>
          </cell>
        </row>
        <row r="20">
          <cell r="D20">
            <v>3</v>
          </cell>
          <cell r="E20">
            <v>89579</v>
          </cell>
        </row>
        <row r="21">
          <cell r="D21">
            <v>1</v>
          </cell>
          <cell r="E21">
            <v>89443</v>
          </cell>
        </row>
        <row r="22">
          <cell r="D22">
            <v>2</v>
          </cell>
          <cell r="E22">
            <v>89885</v>
          </cell>
        </row>
        <row r="23">
          <cell r="D23">
            <v>3</v>
          </cell>
          <cell r="E23">
            <v>90292</v>
          </cell>
        </row>
        <row r="24">
          <cell r="D24">
            <v>1</v>
          </cell>
          <cell r="E24">
            <v>90557</v>
          </cell>
        </row>
        <row r="25">
          <cell r="D25">
            <v>2</v>
          </cell>
          <cell r="E25">
            <v>90851</v>
          </cell>
        </row>
        <row r="26">
          <cell r="D26">
            <v>3</v>
          </cell>
          <cell r="E26">
            <v>90970</v>
          </cell>
        </row>
        <row r="27">
          <cell r="D27">
            <v>1</v>
          </cell>
          <cell r="E27">
            <v>91175</v>
          </cell>
        </row>
        <row r="28">
          <cell r="D28">
            <v>2</v>
          </cell>
          <cell r="E28">
            <v>91301</v>
          </cell>
        </row>
        <row r="29">
          <cell r="D29">
            <v>3</v>
          </cell>
          <cell r="E29">
            <v>91684</v>
          </cell>
        </row>
        <row r="30">
          <cell r="D30">
            <v>1</v>
          </cell>
          <cell r="E30">
            <v>91881</v>
          </cell>
        </row>
        <row r="31">
          <cell r="D31">
            <v>2</v>
          </cell>
          <cell r="E31">
            <v>91588</v>
          </cell>
        </row>
        <row r="32">
          <cell r="D32">
            <v>3</v>
          </cell>
          <cell r="E32">
            <v>91487</v>
          </cell>
        </row>
        <row r="33">
          <cell r="D33">
            <v>1</v>
          </cell>
          <cell r="E33">
            <v>91252</v>
          </cell>
        </row>
        <row r="34">
          <cell r="D34">
            <v>2</v>
          </cell>
          <cell r="E34">
            <v>91550</v>
          </cell>
        </row>
        <row r="35">
          <cell r="D35">
            <v>3</v>
          </cell>
          <cell r="E35">
            <v>91807</v>
          </cell>
        </row>
        <row r="36">
          <cell r="D36">
            <v>1</v>
          </cell>
          <cell r="E36">
            <v>92052</v>
          </cell>
        </row>
        <row r="37">
          <cell r="D37">
            <v>2</v>
          </cell>
          <cell r="E37">
            <v>91930</v>
          </cell>
        </row>
        <row r="38">
          <cell r="D38">
            <v>3</v>
          </cell>
          <cell r="E38">
            <v>91939</v>
          </cell>
        </row>
        <row r="39">
          <cell r="D39">
            <v>1</v>
          </cell>
          <cell r="E39">
            <v>92269</v>
          </cell>
        </row>
        <row r="40">
          <cell r="D40">
            <v>2</v>
          </cell>
          <cell r="E40">
            <v>92592</v>
          </cell>
        </row>
        <row r="41">
          <cell r="D41">
            <v>3</v>
          </cell>
          <cell r="E41">
            <v>92706</v>
          </cell>
        </row>
        <row r="42">
          <cell r="D42">
            <v>1</v>
          </cell>
          <cell r="E42">
            <v>92875</v>
          </cell>
        </row>
        <row r="43">
          <cell r="D43">
            <v>2</v>
          </cell>
          <cell r="E43">
            <v>92690</v>
          </cell>
        </row>
        <row r="44">
          <cell r="D44">
            <v>3</v>
          </cell>
          <cell r="E44">
            <v>92305</v>
          </cell>
        </row>
        <row r="45">
          <cell r="D45">
            <v>1</v>
          </cell>
          <cell r="E45">
            <v>92023</v>
          </cell>
        </row>
        <row r="46">
          <cell r="D46">
            <v>2</v>
          </cell>
          <cell r="E46">
            <v>92179</v>
          </cell>
        </row>
        <row r="47">
          <cell r="D47">
            <v>3</v>
          </cell>
          <cell r="E47">
            <v>92104</v>
          </cell>
        </row>
        <row r="48">
          <cell r="D48">
            <v>1</v>
          </cell>
          <cell r="E48">
            <v>92211</v>
          </cell>
        </row>
        <row r="49">
          <cell r="D49">
            <v>2</v>
          </cell>
          <cell r="E49">
            <v>92185</v>
          </cell>
        </row>
        <row r="50">
          <cell r="D50">
            <v>3</v>
          </cell>
          <cell r="E50">
            <v>92128</v>
          </cell>
        </row>
        <row r="51">
          <cell r="D51">
            <v>1</v>
          </cell>
          <cell r="E51">
            <v>92090</v>
          </cell>
        </row>
        <row r="52">
          <cell r="D52">
            <v>2</v>
          </cell>
          <cell r="E52">
            <v>92285</v>
          </cell>
        </row>
        <row r="53">
          <cell r="D53">
            <v>3</v>
          </cell>
          <cell r="E53">
            <v>92151</v>
          </cell>
        </row>
        <row r="54">
          <cell r="D54">
            <v>1</v>
          </cell>
          <cell r="E54">
            <v>92245</v>
          </cell>
        </row>
        <row r="55">
          <cell r="D55">
            <v>2</v>
          </cell>
          <cell r="E55">
            <v>91601</v>
          </cell>
        </row>
        <row r="56">
          <cell r="D56">
            <v>3</v>
          </cell>
          <cell r="E56">
            <v>91134</v>
          </cell>
        </row>
        <row r="57">
          <cell r="D57">
            <v>1</v>
          </cell>
          <cell r="E57">
            <v>90639</v>
          </cell>
        </row>
        <row r="58">
          <cell r="D58">
            <v>2</v>
          </cell>
          <cell r="E58">
            <v>90633</v>
          </cell>
        </row>
        <row r="59">
          <cell r="D59">
            <v>3</v>
          </cell>
          <cell r="E59">
            <v>90849</v>
          </cell>
        </row>
        <row r="60">
          <cell r="D60">
            <v>1</v>
          </cell>
          <cell r="E60">
            <v>90798</v>
          </cell>
        </row>
        <row r="61">
          <cell r="D61">
            <v>2</v>
          </cell>
          <cell r="E61">
            <v>90487</v>
          </cell>
        </row>
        <row r="62">
          <cell r="D62">
            <v>3</v>
          </cell>
          <cell r="E62">
            <v>90137</v>
          </cell>
        </row>
        <row r="63">
          <cell r="D63">
            <v>1</v>
          </cell>
          <cell r="E63">
            <v>89835</v>
          </cell>
        </row>
        <row r="64">
          <cell r="D64">
            <v>2</v>
          </cell>
          <cell r="E64">
            <v>89883</v>
          </cell>
        </row>
        <row r="65">
          <cell r="D65">
            <v>3</v>
          </cell>
          <cell r="E65">
            <v>90210</v>
          </cell>
        </row>
        <row r="66">
          <cell r="D66">
            <v>1</v>
          </cell>
          <cell r="E66">
            <v>90262</v>
          </cell>
        </row>
        <row r="67">
          <cell r="D67">
            <v>2</v>
          </cell>
          <cell r="E67">
            <v>89854</v>
          </cell>
        </row>
        <row r="68">
          <cell r="D68">
            <v>3</v>
          </cell>
          <cell r="E68">
            <v>89346</v>
          </cell>
        </row>
        <row r="69">
          <cell r="D69">
            <v>1</v>
          </cell>
          <cell r="E69">
            <v>88947</v>
          </cell>
        </row>
        <row r="70">
          <cell r="D70">
            <v>2</v>
          </cell>
          <cell r="E70">
            <v>89238</v>
          </cell>
        </row>
        <row r="71">
          <cell r="D71">
            <v>3</v>
          </cell>
          <cell r="E71">
            <v>89687</v>
          </cell>
        </row>
        <row r="72">
          <cell r="D72">
            <v>1</v>
          </cell>
          <cell r="E72">
            <v>90236</v>
          </cell>
        </row>
        <row r="73">
          <cell r="D73">
            <v>2</v>
          </cell>
          <cell r="E73">
            <v>90677</v>
          </cell>
        </row>
        <row r="74">
          <cell r="D74">
            <v>3</v>
          </cell>
          <cell r="E74">
            <v>91061</v>
          </cell>
        </row>
        <row r="75">
          <cell r="D75">
            <v>1</v>
          </cell>
          <cell r="E75">
            <v>91297</v>
          </cell>
        </row>
        <row r="76">
          <cell r="D76">
            <v>2</v>
          </cell>
          <cell r="E76">
            <v>91545</v>
          </cell>
        </row>
        <row r="77">
          <cell r="D77">
            <v>3</v>
          </cell>
          <cell r="E77">
            <v>91949</v>
          </cell>
        </row>
        <row r="78">
          <cell r="D78">
            <v>1</v>
          </cell>
          <cell r="E78">
            <v>92108</v>
          </cell>
        </row>
        <row r="79">
          <cell r="D79">
            <v>2</v>
          </cell>
          <cell r="E79">
            <v>91702</v>
          </cell>
        </row>
        <row r="80">
          <cell r="D80">
            <v>3</v>
          </cell>
          <cell r="E80">
            <v>91091</v>
          </cell>
        </row>
        <row r="81">
          <cell r="D81">
            <v>1</v>
          </cell>
          <cell r="E81">
            <v>90581</v>
          </cell>
        </row>
        <row r="82">
          <cell r="D82">
            <v>2</v>
          </cell>
          <cell r="E82">
            <v>90733</v>
          </cell>
        </row>
        <row r="83">
          <cell r="D83">
            <v>3</v>
          </cell>
          <cell r="E83">
            <v>90887</v>
          </cell>
        </row>
        <row r="84">
          <cell r="D84">
            <v>1</v>
          </cell>
          <cell r="E84">
            <v>91237</v>
          </cell>
        </row>
        <row r="85">
          <cell r="D85">
            <v>2</v>
          </cell>
          <cell r="E85">
            <v>91661</v>
          </cell>
        </row>
        <row r="86">
          <cell r="D86">
            <v>3</v>
          </cell>
          <cell r="E86">
            <v>92081</v>
          </cell>
        </row>
        <row r="87">
          <cell r="D87">
            <v>1</v>
          </cell>
          <cell r="E87">
            <v>92622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5" refreshError="1"/>
      <sheetData sheetId="1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7602</v>
          </cell>
        </row>
        <row r="10">
          <cell r="D10">
            <v>2</v>
          </cell>
          <cell r="E10">
            <v>7469</v>
          </cell>
        </row>
        <row r="11">
          <cell r="D11">
            <v>3</v>
          </cell>
          <cell r="E11">
            <v>7359</v>
          </cell>
        </row>
        <row r="12">
          <cell r="D12">
            <v>1</v>
          </cell>
          <cell r="E12">
            <v>7287</v>
          </cell>
        </row>
        <row r="13">
          <cell r="D13">
            <v>2</v>
          </cell>
          <cell r="E13">
            <v>7204</v>
          </cell>
        </row>
        <row r="14">
          <cell r="D14">
            <v>3</v>
          </cell>
          <cell r="E14">
            <v>7071</v>
          </cell>
        </row>
        <row r="15">
          <cell r="D15">
            <v>1</v>
          </cell>
          <cell r="E15">
            <v>6856</v>
          </cell>
        </row>
        <row r="16">
          <cell r="D16">
            <v>2</v>
          </cell>
          <cell r="E16">
            <v>6679</v>
          </cell>
        </row>
        <row r="17">
          <cell r="D17">
            <v>3</v>
          </cell>
          <cell r="E17">
            <v>6559</v>
          </cell>
        </row>
        <row r="18">
          <cell r="D18">
            <v>1</v>
          </cell>
          <cell r="E18">
            <v>6653</v>
          </cell>
        </row>
        <row r="19">
          <cell r="D19">
            <v>2</v>
          </cell>
          <cell r="E19">
            <v>6998</v>
          </cell>
        </row>
        <row r="20">
          <cell r="D20">
            <v>3</v>
          </cell>
          <cell r="E20">
            <v>7493</v>
          </cell>
        </row>
        <row r="21">
          <cell r="D21">
            <v>1</v>
          </cell>
          <cell r="E21">
            <v>7755</v>
          </cell>
        </row>
        <row r="22">
          <cell r="D22">
            <v>2</v>
          </cell>
          <cell r="E22">
            <v>7645</v>
          </cell>
        </row>
        <row r="23">
          <cell r="D23">
            <v>3</v>
          </cell>
          <cell r="E23">
            <v>7404</v>
          </cell>
        </row>
        <row r="24">
          <cell r="D24">
            <v>1</v>
          </cell>
          <cell r="E24">
            <v>7271</v>
          </cell>
        </row>
        <row r="25">
          <cell r="D25">
            <v>2</v>
          </cell>
          <cell r="E25">
            <v>7138</v>
          </cell>
        </row>
        <row r="26">
          <cell r="D26">
            <v>3</v>
          </cell>
          <cell r="E26">
            <v>6961</v>
          </cell>
        </row>
        <row r="27">
          <cell r="D27">
            <v>1</v>
          </cell>
          <cell r="E27">
            <v>6796</v>
          </cell>
        </row>
        <row r="28">
          <cell r="D28">
            <v>2</v>
          </cell>
          <cell r="E28">
            <v>6570</v>
          </cell>
        </row>
        <row r="29">
          <cell r="D29">
            <v>3</v>
          </cell>
          <cell r="E29">
            <v>6349</v>
          </cell>
        </row>
        <row r="30">
          <cell r="D30">
            <v>1</v>
          </cell>
          <cell r="E30">
            <v>6052</v>
          </cell>
        </row>
        <row r="31">
          <cell r="D31">
            <v>2</v>
          </cell>
          <cell r="E31">
            <v>6258</v>
          </cell>
        </row>
        <row r="32">
          <cell r="D32">
            <v>3</v>
          </cell>
          <cell r="E32">
            <v>6623</v>
          </cell>
        </row>
        <row r="33">
          <cell r="D33">
            <v>1</v>
          </cell>
          <cell r="E33">
            <v>7049</v>
          </cell>
        </row>
        <row r="34">
          <cell r="D34">
            <v>2</v>
          </cell>
          <cell r="E34">
            <v>7044</v>
          </cell>
        </row>
        <row r="35">
          <cell r="D35">
            <v>3</v>
          </cell>
          <cell r="E35">
            <v>6888</v>
          </cell>
        </row>
        <row r="36">
          <cell r="D36">
            <v>1</v>
          </cell>
          <cell r="E36">
            <v>6767</v>
          </cell>
        </row>
        <row r="37">
          <cell r="D37">
            <v>2</v>
          </cell>
          <cell r="E37">
            <v>6812</v>
          </cell>
        </row>
        <row r="38">
          <cell r="D38">
            <v>3</v>
          </cell>
          <cell r="E38">
            <v>6795</v>
          </cell>
        </row>
        <row r="39">
          <cell r="D39">
            <v>1</v>
          </cell>
          <cell r="E39">
            <v>6705</v>
          </cell>
        </row>
        <row r="40">
          <cell r="D40">
            <v>2</v>
          </cell>
          <cell r="E40">
            <v>6565</v>
          </cell>
        </row>
        <row r="41">
          <cell r="D41">
            <v>3</v>
          </cell>
          <cell r="E41">
            <v>6450</v>
          </cell>
        </row>
        <row r="42">
          <cell r="D42">
            <v>1</v>
          </cell>
          <cell r="E42">
            <v>6452</v>
          </cell>
        </row>
        <row r="43">
          <cell r="D43">
            <v>2</v>
          </cell>
          <cell r="E43">
            <v>6763</v>
          </cell>
        </row>
        <row r="44">
          <cell r="D44">
            <v>3</v>
          </cell>
          <cell r="E44">
            <v>7401</v>
          </cell>
        </row>
        <row r="45">
          <cell r="D45">
            <v>1</v>
          </cell>
          <cell r="E45">
            <v>7934</v>
          </cell>
        </row>
        <row r="46">
          <cell r="D46">
            <v>2</v>
          </cell>
          <cell r="E46">
            <v>8029</v>
          </cell>
        </row>
        <row r="47">
          <cell r="D47">
            <v>3</v>
          </cell>
          <cell r="E47">
            <v>8157</v>
          </cell>
        </row>
        <row r="48">
          <cell r="D48">
            <v>1</v>
          </cell>
          <cell r="E48">
            <v>8354</v>
          </cell>
        </row>
        <row r="49">
          <cell r="D49">
            <v>2</v>
          </cell>
          <cell r="E49">
            <v>8622</v>
          </cell>
        </row>
        <row r="50">
          <cell r="D50">
            <v>3</v>
          </cell>
          <cell r="E50">
            <v>8804</v>
          </cell>
        </row>
        <row r="51">
          <cell r="D51">
            <v>1</v>
          </cell>
          <cell r="E51">
            <v>8979</v>
          </cell>
        </row>
        <row r="52">
          <cell r="D52">
            <v>2</v>
          </cell>
          <cell r="E52">
            <v>9071</v>
          </cell>
        </row>
        <row r="53">
          <cell r="D53">
            <v>3</v>
          </cell>
          <cell r="E53">
            <v>9114</v>
          </cell>
        </row>
        <row r="54">
          <cell r="D54">
            <v>1</v>
          </cell>
          <cell r="E54">
            <v>9073</v>
          </cell>
        </row>
        <row r="55">
          <cell r="D55">
            <v>2</v>
          </cell>
          <cell r="E55">
            <v>9619</v>
          </cell>
        </row>
        <row r="56">
          <cell r="D56">
            <v>3</v>
          </cell>
          <cell r="E56">
            <v>10371</v>
          </cell>
        </row>
        <row r="57">
          <cell r="D57">
            <v>1</v>
          </cell>
          <cell r="E57">
            <v>11089</v>
          </cell>
        </row>
        <row r="58">
          <cell r="D58">
            <v>2</v>
          </cell>
          <cell r="E58">
            <v>11411</v>
          </cell>
        </row>
        <row r="59">
          <cell r="D59">
            <v>3</v>
          </cell>
          <cell r="E59">
            <v>11440</v>
          </cell>
        </row>
        <row r="60">
          <cell r="D60">
            <v>1</v>
          </cell>
          <cell r="E60">
            <v>11586</v>
          </cell>
        </row>
        <row r="61">
          <cell r="D61">
            <v>2</v>
          </cell>
          <cell r="E61">
            <v>11847</v>
          </cell>
        </row>
        <row r="62">
          <cell r="D62">
            <v>3</v>
          </cell>
          <cell r="E62">
            <v>12024</v>
          </cell>
        </row>
        <row r="63">
          <cell r="D63">
            <v>1</v>
          </cell>
          <cell r="E63">
            <v>12022</v>
          </cell>
        </row>
        <row r="64">
          <cell r="D64">
            <v>2</v>
          </cell>
          <cell r="E64">
            <v>12042</v>
          </cell>
        </row>
        <row r="65">
          <cell r="D65">
            <v>3</v>
          </cell>
          <cell r="E65">
            <v>12132</v>
          </cell>
        </row>
        <row r="66">
          <cell r="D66">
            <v>1</v>
          </cell>
          <cell r="E66">
            <v>12342</v>
          </cell>
        </row>
        <row r="67">
          <cell r="D67">
            <v>2</v>
          </cell>
          <cell r="E67">
            <v>12921</v>
          </cell>
        </row>
        <row r="68">
          <cell r="D68">
            <v>3</v>
          </cell>
          <cell r="E68">
            <v>13547</v>
          </cell>
        </row>
        <row r="69">
          <cell r="D69">
            <v>1</v>
          </cell>
          <cell r="E69">
            <v>14176</v>
          </cell>
        </row>
        <row r="70">
          <cell r="D70">
            <v>2</v>
          </cell>
          <cell r="E70">
            <v>14048</v>
          </cell>
        </row>
        <row r="71">
          <cell r="D71">
            <v>3</v>
          </cell>
          <cell r="E71">
            <v>13771</v>
          </cell>
        </row>
        <row r="72">
          <cell r="D72">
            <v>1</v>
          </cell>
          <cell r="E72">
            <v>13486</v>
          </cell>
        </row>
        <row r="73">
          <cell r="D73">
            <v>2</v>
          </cell>
          <cell r="E73">
            <v>13326</v>
          </cell>
        </row>
        <row r="74">
          <cell r="D74">
            <v>3</v>
          </cell>
          <cell r="E74">
            <v>13113</v>
          </cell>
        </row>
        <row r="75">
          <cell r="D75">
            <v>1</v>
          </cell>
          <cell r="E75">
            <v>12961</v>
          </cell>
        </row>
        <row r="76">
          <cell r="D76">
            <v>2</v>
          </cell>
          <cell r="E76">
            <v>12740</v>
          </cell>
        </row>
        <row r="77">
          <cell r="D77">
            <v>3</v>
          </cell>
          <cell r="E77">
            <v>12571</v>
          </cell>
        </row>
        <row r="78">
          <cell r="D78">
            <v>1</v>
          </cell>
          <cell r="E78">
            <v>12311</v>
          </cell>
        </row>
        <row r="79">
          <cell r="D79">
            <v>2</v>
          </cell>
          <cell r="E79">
            <v>12689</v>
          </cell>
        </row>
        <row r="80">
          <cell r="D80">
            <v>3</v>
          </cell>
          <cell r="E80">
            <v>13121</v>
          </cell>
        </row>
        <row r="81">
          <cell r="D81">
            <v>1</v>
          </cell>
          <cell r="E81">
            <v>13689</v>
          </cell>
        </row>
        <row r="82">
          <cell r="D82">
            <v>2</v>
          </cell>
          <cell r="E82">
            <v>13413</v>
          </cell>
        </row>
        <row r="83">
          <cell r="D83">
            <v>3</v>
          </cell>
          <cell r="E83">
            <v>13235</v>
          </cell>
        </row>
        <row r="84">
          <cell r="D84">
            <v>1</v>
          </cell>
          <cell r="E84">
            <v>12966</v>
          </cell>
        </row>
        <row r="85">
          <cell r="D85">
            <v>2</v>
          </cell>
          <cell r="E85">
            <v>12868</v>
          </cell>
        </row>
        <row r="86">
          <cell r="D86">
            <v>3</v>
          </cell>
          <cell r="E86">
            <v>12707</v>
          </cell>
        </row>
        <row r="87">
          <cell r="D87">
            <v>1</v>
          </cell>
          <cell r="E87">
            <v>12492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7" refreshError="1"/>
      <sheetData sheetId="1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60741</v>
          </cell>
        </row>
        <row r="10">
          <cell r="D10">
            <v>2</v>
          </cell>
          <cell r="E10">
            <v>60239</v>
          </cell>
        </row>
        <row r="11">
          <cell r="D11">
            <v>3</v>
          </cell>
          <cell r="E11">
            <v>60004</v>
          </cell>
        </row>
        <row r="12">
          <cell r="D12">
            <v>1</v>
          </cell>
          <cell r="E12">
            <v>60107</v>
          </cell>
        </row>
        <row r="13">
          <cell r="D13">
            <v>2</v>
          </cell>
          <cell r="E13">
            <v>60272</v>
          </cell>
        </row>
        <row r="14">
          <cell r="D14">
            <v>3</v>
          </cell>
          <cell r="E14">
            <v>60358</v>
          </cell>
        </row>
        <row r="15">
          <cell r="D15">
            <v>1</v>
          </cell>
          <cell r="E15">
            <v>60594</v>
          </cell>
        </row>
        <row r="16">
          <cell r="D16">
            <v>2</v>
          </cell>
          <cell r="E16">
            <v>60899</v>
          </cell>
        </row>
        <row r="17">
          <cell r="D17">
            <v>3</v>
          </cell>
          <cell r="E17">
            <v>61137</v>
          </cell>
        </row>
        <row r="18">
          <cell r="D18">
            <v>1</v>
          </cell>
          <cell r="E18">
            <v>61242</v>
          </cell>
        </row>
        <row r="19">
          <cell r="D19">
            <v>2</v>
          </cell>
          <cell r="E19">
            <v>61373</v>
          </cell>
        </row>
        <row r="20">
          <cell r="D20">
            <v>3</v>
          </cell>
          <cell r="E20">
            <v>61446</v>
          </cell>
        </row>
        <row r="21">
          <cell r="D21">
            <v>1</v>
          </cell>
          <cell r="E21">
            <v>61662</v>
          </cell>
        </row>
        <row r="22">
          <cell r="D22">
            <v>2</v>
          </cell>
          <cell r="E22">
            <v>61503</v>
          </cell>
        </row>
        <row r="23">
          <cell r="D23">
            <v>3</v>
          </cell>
          <cell r="E23">
            <v>61394</v>
          </cell>
        </row>
        <row r="24">
          <cell r="D24">
            <v>1</v>
          </cell>
          <cell r="E24">
            <v>61261</v>
          </cell>
        </row>
        <row r="25">
          <cell r="D25">
            <v>2</v>
          </cell>
          <cell r="E25">
            <v>61270</v>
          </cell>
        </row>
        <row r="26">
          <cell r="D26">
            <v>3</v>
          </cell>
          <cell r="E26">
            <v>61534</v>
          </cell>
        </row>
        <row r="27">
          <cell r="D27">
            <v>1</v>
          </cell>
          <cell r="E27">
            <v>61714</v>
          </cell>
        </row>
        <row r="28">
          <cell r="D28">
            <v>2</v>
          </cell>
          <cell r="E28">
            <v>62013</v>
          </cell>
        </row>
        <row r="29">
          <cell r="D29">
            <v>3</v>
          </cell>
          <cell r="E29">
            <v>62014</v>
          </cell>
        </row>
        <row r="30">
          <cell r="D30">
            <v>1</v>
          </cell>
          <cell r="E30">
            <v>62475</v>
          </cell>
        </row>
        <row r="31">
          <cell r="D31">
            <v>2</v>
          </cell>
          <cell r="E31">
            <v>62677</v>
          </cell>
        </row>
        <row r="32">
          <cell r="D32">
            <v>3</v>
          </cell>
          <cell r="E32">
            <v>62500</v>
          </cell>
        </row>
        <row r="33">
          <cell r="D33">
            <v>1</v>
          </cell>
          <cell r="E33">
            <v>62484</v>
          </cell>
        </row>
        <row r="34">
          <cell r="D34">
            <v>2</v>
          </cell>
          <cell r="E34">
            <v>62569</v>
          </cell>
        </row>
        <row r="35">
          <cell r="D35">
            <v>3</v>
          </cell>
          <cell r="E35">
            <v>62832</v>
          </cell>
        </row>
        <row r="36">
          <cell r="D36">
            <v>1</v>
          </cell>
          <cell r="E36">
            <v>62914</v>
          </cell>
        </row>
        <row r="37">
          <cell r="D37">
            <v>2</v>
          </cell>
          <cell r="E37">
            <v>63200</v>
          </cell>
        </row>
        <row r="38">
          <cell r="D38">
            <v>3</v>
          </cell>
          <cell r="E38">
            <v>63474</v>
          </cell>
        </row>
        <row r="39">
          <cell r="D39">
            <v>1</v>
          </cell>
          <cell r="E39">
            <v>63472</v>
          </cell>
        </row>
        <row r="40">
          <cell r="D40">
            <v>2</v>
          </cell>
          <cell r="E40">
            <v>63525</v>
          </cell>
        </row>
        <row r="41">
          <cell r="D41">
            <v>3</v>
          </cell>
          <cell r="E41">
            <v>63719</v>
          </cell>
        </row>
        <row r="42">
          <cell r="D42">
            <v>1</v>
          </cell>
          <cell r="E42">
            <v>63824</v>
          </cell>
        </row>
        <row r="43">
          <cell r="D43">
            <v>2</v>
          </cell>
          <cell r="E43">
            <v>63978</v>
          </cell>
        </row>
        <row r="44">
          <cell r="D44">
            <v>3</v>
          </cell>
          <cell r="E44">
            <v>64004</v>
          </cell>
        </row>
        <row r="45">
          <cell r="D45">
            <v>1</v>
          </cell>
          <cell r="E45">
            <v>63849</v>
          </cell>
        </row>
        <row r="46">
          <cell r="D46">
            <v>2</v>
          </cell>
          <cell r="E46">
            <v>63627</v>
          </cell>
        </row>
        <row r="47">
          <cell r="D47">
            <v>3</v>
          </cell>
          <cell r="E47">
            <v>63696</v>
          </cell>
        </row>
        <row r="48">
          <cell r="D48">
            <v>1</v>
          </cell>
          <cell r="E48">
            <v>63543</v>
          </cell>
        </row>
        <row r="49">
          <cell r="D49">
            <v>2</v>
          </cell>
          <cell r="E49">
            <v>63442</v>
          </cell>
        </row>
        <row r="50">
          <cell r="D50">
            <v>3</v>
          </cell>
          <cell r="E50">
            <v>63472</v>
          </cell>
        </row>
        <row r="51">
          <cell r="D51">
            <v>1</v>
          </cell>
          <cell r="E51">
            <v>63438</v>
          </cell>
        </row>
        <row r="52">
          <cell r="D52">
            <v>2</v>
          </cell>
          <cell r="E52">
            <v>63265</v>
          </cell>
        </row>
        <row r="53">
          <cell r="D53">
            <v>3</v>
          </cell>
          <cell r="E53">
            <v>63519</v>
          </cell>
        </row>
        <row r="54">
          <cell r="D54">
            <v>1</v>
          </cell>
          <cell r="E54">
            <v>63637</v>
          </cell>
        </row>
        <row r="55">
          <cell r="D55">
            <v>2</v>
          </cell>
          <cell r="E55">
            <v>63882</v>
          </cell>
        </row>
        <row r="56">
          <cell r="D56">
            <v>3</v>
          </cell>
          <cell r="E56">
            <v>63830</v>
          </cell>
        </row>
        <row r="57">
          <cell r="D57">
            <v>1</v>
          </cell>
          <cell r="E57">
            <v>63839</v>
          </cell>
        </row>
        <row r="58">
          <cell r="D58">
            <v>2</v>
          </cell>
          <cell r="E58">
            <v>63863</v>
          </cell>
        </row>
        <row r="59">
          <cell r="D59">
            <v>3</v>
          </cell>
          <cell r="E59">
            <v>63842</v>
          </cell>
        </row>
        <row r="60">
          <cell r="D60">
            <v>1</v>
          </cell>
          <cell r="E60">
            <v>63886</v>
          </cell>
        </row>
        <row r="61">
          <cell r="D61">
            <v>2</v>
          </cell>
          <cell r="E61">
            <v>64058</v>
          </cell>
        </row>
        <row r="62">
          <cell r="D62">
            <v>3</v>
          </cell>
          <cell r="E62">
            <v>64280</v>
          </cell>
        </row>
        <row r="63">
          <cell r="D63">
            <v>1</v>
          </cell>
          <cell r="E63">
            <v>64642</v>
          </cell>
        </row>
        <row r="64">
          <cell r="D64">
            <v>2</v>
          </cell>
          <cell r="E64">
            <v>64727</v>
          </cell>
        </row>
        <row r="65">
          <cell r="D65">
            <v>3</v>
          </cell>
          <cell r="E65">
            <v>64486</v>
          </cell>
        </row>
        <row r="66">
          <cell r="D66">
            <v>1</v>
          </cell>
          <cell r="E66">
            <v>64544</v>
          </cell>
        </row>
        <row r="67">
          <cell r="D67">
            <v>2</v>
          </cell>
          <cell r="E67">
            <v>64608</v>
          </cell>
        </row>
        <row r="68">
          <cell r="D68">
            <v>3</v>
          </cell>
          <cell r="E68">
            <v>64560</v>
          </cell>
        </row>
        <row r="69">
          <cell r="D69">
            <v>1</v>
          </cell>
          <cell r="E69">
            <v>64413</v>
          </cell>
        </row>
        <row r="70">
          <cell r="D70">
            <v>2</v>
          </cell>
          <cell r="E70">
            <v>64420</v>
          </cell>
        </row>
        <row r="71">
          <cell r="D71">
            <v>3</v>
          </cell>
          <cell r="E71">
            <v>64412</v>
          </cell>
        </row>
        <row r="72">
          <cell r="D72">
            <v>1</v>
          </cell>
          <cell r="E72">
            <v>64415</v>
          </cell>
        </row>
        <row r="73">
          <cell r="D73">
            <v>2</v>
          </cell>
          <cell r="E73">
            <v>64408</v>
          </cell>
        </row>
        <row r="74">
          <cell r="D74">
            <v>3</v>
          </cell>
          <cell r="E74">
            <v>64379</v>
          </cell>
        </row>
        <row r="75">
          <cell r="D75">
            <v>1</v>
          </cell>
          <cell r="E75">
            <v>64464</v>
          </cell>
        </row>
        <row r="76">
          <cell r="D76">
            <v>2</v>
          </cell>
          <cell r="E76">
            <v>64497</v>
          </cell>
        </row>
        <row r="77">
          <cell r="D77">
            <v>3</v>
          </cell>
          <cell r="E77">
            <v>64401</v>
          </cell>
        </row>
        <row r="78">
          <cell r="D78">
            <v>1</v>
          </cell>
          <cell r="E78">
            <v>64635</v>
          </cell>
        </row>
        <row r="79">
          <cell r="D79">
            <v>2</v>
          </cell>
          <cell r="E79">
            <v>64748</v>
          </cell>
        </row>
        <row r="80">
          <cell r="D80">
            <v>3</v>
          </cell>
          <cell r="E80">
            <v>64937</v>
          </cell>
        </row>
        <row r="81">
          <cell r="D81">
            <v>1</v>
          </cell>
          <cell r="E81">
            <v>64868</v>
          </cell>
        </row>
        <row r="82">
          <cell r="D82">
            <v>2</v>
          </cell>
          <cell r="E82">
            <v>65176</v>
          </cell>
        </row>
        <row r="83">
          <cell r="D83">
            <v>3</v>
          </cell>
          <cell r="E83">
            <v>65413</v>
          </cell>
        </row>
        <row r="84">
          <cell r="D84">
            <v>1</v>
          </cell>
          <cell r="E84">
            <v>65642</v>
          </cell>
        </row>
        <row r="85">
          <cell r="D85">
            <v>2</v>
          </cell>
          <cell r="E85">
            <v>65491</v>
          </cell>
        </row>
        <row r="86">
          <cell r="D86">
            <v>3</v>
          </cell>
          <cell r="E86">
            <v>65388</v>
          </cell>
        </row>
        <row r="87">
          <cell r="D87">
            <v>1</v>
          </cell>
          <cell r="E87">
            <v>65198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9" refreshError="1"/>
      <sheetData sheetId="2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61611</v>
          </cell>
        </row>
        <row r="10">
          <cell r="D10">
            <v>2</v>
          </cell>
          <cell r="E10">
            <v>62041</v>
          </cell>
        </row>
        <row r="11">
          <cell r="D11">
            <v>3</v>
          </cell>
          <cell r="E11">
            <v>62340</v>
          </cell>
        </row>
        <row r="12">
          <cell r="D12">
            <v>1</v>
          </cell>
          <cell r="E12">
            <v>62708</v>
          </cell>
        </row>
        <row r="13">
          <cell r="D13">
            <v>2</v>
          </cell>
          <cell r="E13">
            <v>62866</v>
          </cell>
        </row>
        <row r="14">
          <cell r="D14">
            <v>3</v>
          </cell>
          <cell r="E14">
            <v>63102</v>
          </cell>
        </row>
        <row r="15">
          <cell r="D15">
            <v>1</v>
          </cell>
          <cell r="E15">
            <v>63331</v>
          </cell>
        </row>
        <row r="16">
          <cell r="D16">
            <v>2</v>
          </cell>
          <cell r="E16">
            <v>63372</v>
          </cell>
        </row>
        <row r="17">
          <cell r="D17">
            <v>3</v>
          </cell>
          <cell r="E17">
            <v>63332</v>
          </cell>
        </row>
        <row r="18">
          <cell r="D18">
            <v>1</v>
          </cell>
          <cell r="E18">
            <v>63152</v>
          </cell>
        </row>
        <row r="19">
          <cell r="D19">
            <v>2</v>
          </cell>
          <cell r="E19">
            <v>62859</v>
          </cell>
        </row>
        <row r="20">
          <cell r="D20">
            <v>3</v>
          </cell>
          <cell r="E20">
            <v>62680</v>
          </cell>
        </row>
        <row r="21">
          <cell r="D21">
            <v>1</v>
          </cell>
          <cell r="E21">
            <v>62456</v>
          </cell>
        </row>
        <row r="22">
          <cell r="D22">
            <v>2</v>
          </cell>
          <cell r="E22">
            <v>62742</v>
          </cell>
        </row>
        <row r="23">
          <cell r="D23">
            <v>3</v>
          </cell>
          <cell r="E23">
            <v>62964</v>
          </cell>
        </row>
        <row r="24">
          <cell r="D24">
            <v>1</v>
          </cell>
          <cell r="E24">
            <v>63144</v>
          </cell>
        </row>
        <row r="25">
          <cell r="D25">
            <v>2</v>
          </cell>
          <cell r="E25">
            <v>63374</v>
          </cell>
        </row>
        <row r="26">
          <cell r="D26">
            <v>3</v>
          </cell>
          <cell r="E26">
            <v>63589</v>
          </cell>
        </row>
        <row r="27">
          <cell r="D27">
            <v>1</v>
          </cell>
          <cell r="E27">
            <v>63813</v>
          </cell>
        </row>
        <row r="28">
          <cell r="D28">
            <v>2</v>
          </cell>
          <cell r="E28">
            <v>63975</v>
          </cell>
        </row>
        <row r="29">
          <cell r="D29">
            <v>3</v>
          </cell>
          <cell r="E29">
            <v>64077</v>
          </cell>
        </row>
        <row r="30">
          <cell r="D30">
            <v>1</v>
          </cell>
          <cell r="E30">
            <v>63976</v>
          </cell>
        </row>
        <row r="31">
          <cell r="D31">
            <v>2</v>
          </cell>
          <cell r="E31">
            <v>63727</v>
          </cell>
        </row>
        <row r="32">
          <cell r="D32">
            <v>3</v>
          </cell>
          <cell r="E32">
            <v>63809</v>
          </cell>
        </row>
        <row r="33">
          <cell r="D33">
            <v>1</v>
          </cell>
          <cell r="E33">
            <v>63978</v>
          </cell>
        </row>
        <row r="34">
          <cell r="D34">
            <v>2</v>
          </cell>
          <cell r="E34">
            <v>64324</v>
          </cell>
        </row>
        <row r="35">
          <cell r="D35">
            <v>3</v>
          </cell>
          <cell r="E35">
            <v>64443</v>
          </cell>
        </row>
        <row r="36">
          <cell r="D36">
            <v>1</v>
          </cell>
          <cell r="E36">
            <v>64587</v>
          </cell>
        </row>
        <row r="37">
          <cell r="D37">
            <v>2</v>
          </cell>
          <cell r="E37">
            <v>64361</v>
          </cell>
        </row>
        <row r="38">
          <cell r="D38">
            <v>3</v>
          </cell>
          <cell r="E38">
            <v>64297</v>
          </cell>
        </row>
        <row r="39">
          <cell r="D39">
            <v>1</v>
          </cell>
          <cell r="E39">
            <v>64445</v>
          </cell>
        </row>
        <row r="40">
          <cell r="D40">
            <v>2</v>
          </cell>
          <cell r="E40">
            <v>64638</v>
          </cell>
        </row>
        <row r="41">
          <cell r="D41">
            <v>3</v>
          </cell>
          <cell r="E41">
            <v>64642</v>
          </cell>
        </row>
        <row r="42">
          <cell r="D42">
            <v>1</v>
          </cell>
          <cell r="E42">
            <v>64579</v>
          </cell>
        </row>
        <row r="43">
          <cell r="D43">
            <v>2</v>
          </cell>
          <cell r="E43">
            <v>64320</v>
          </cell>
        </row>
        <row r="44">
          <cell r="D44">
            <v>3</v>
          </cell>
          <cell r="E44">
            <v>63859</v>
          </cell>
        </row>
        <row r="45">
          <cell r="D45">
            <v>1</v>
          </cell>
          <cell r="E45">
            <v>63479</v>
          </cell>
        </row>
        <row r="46">
          <cell r="D46">
            <v>2</v>
          </cell>
          <cell r="E46">
            <v>63544</v>
          </cell>
        </row>
        <row r="47">
          <cell r="D47">
            <v>3</v>
          </cell>
          <cell r="E47">
            <v>63441</v>
          </cell>
        </row>
        <row r="48">
          <cell r="D48">
            <v>1</v>
          </cell>
          <cell r="E48">
            <v>63431</v>
          </cell>
        </row>
        <row r="49">
          <cell r="D49">
            <v>2</v>
          </cell>
          <cell r="E49">
            <v>63335</v>
          </cell>
        </row>
        <row r="50">
          <cell r="D50">
            <v>3</v>
          </cell>
          <cell r="E50">
            <v>63214</v>
          </cell>
        </row>
        <row r="51">
          <cell r="D51">
            <v>1</v>
          </cell>
          <cell r="E51">
            <v>63151</v>
          </cell>
        </row>
        <row r="52">
          <cell r="D52">
            <v>2</v>
          </cell>
          <cell r="E52">
            <v>63217</v>
          </cell>
        </row>
        <row r="53">
          <cell r="D53">
            <v>3</v>
          </cell>
          <cell r="E53">
            <v>63112</v>
          </cell>
        </row>
        <row r="54">
          <cell r="D54">
            <v>1</v>
          </cell>
          <cell r="E54">
            <v>63040</v>
          </cell>
        </row>
        <row r="55">
          <cell r="D55">
            <v>2</v>
          </cell>
          <cell r="E55">
            <v>62357</v>
          </cell>
        </row>
        <row r="56">
          <cell r="D56">
            <v>3</v>
          </cell>
          <cell r="E56">
            <v>61817</v>
          </cell>
        </row>
        <row r="57">
          <cell r="D57">
            <v>1</v>
          </cell>
          <cell r="E57">
            <v>61547</v>
          </cell>
        </row>
        <row r="58">
          <cell r="D58">
            <v>2</v>
          </cell>
          <cell r="E58">
            <v>61785</v>
          </cell>
        </row>
        <row r="59">
          <cell r="D59">
            <v>3</v>
          </cell>
          <cell r="E59">
            <v>61968</v>
          </cell>
        </row>
        <row r="60">
          <cell r="D60">
            <v>1</v>
          </cell>
          <cell r="E60">
            <v>62032</v>
          </cell>
        </row>
        <row r="61">
          <cell r="D61">
            <v>2</v>
          </cell>
          <cell r="E61">
            <v>61918</v>
          </cell>
        </row>
        <row r="62">
          <cell r="D62">
            <v>3</v>
          </cell>
          <cell r="E62">
            <v>61863</v>
          </cell>
        </row>
        <row r="63">
          <cell r="D63">
            <v>1</v>
          </cell>
          <cell r="E63">
            <v>61831</v>
          </cell>
        </row>
        <row r="64">
          <cell r="D64">
            <v>2</v>
          </cell>
          <cell r="E64">
            <v>61934</v>
          </cell>
        </row>
        <row r="65">
          <cell r="D65">
            <v>3</v>
          </cell>
          <cell r="E65">
            <v>62013</v>
          </cell>
        </row>
        <row r="66">
          <cell r="D66">
            <v>1</v>
          </cell>
          <cell r="E66">
            <v>61880</v>
          </cell>
        </row>
        <row r="67">
          <cell r="D67">
            <v>2</v>
          </cell>
          <cell r="E67">
            <v>61305</v>
          </cell>
        </row>
        <row r="68">
          <cell r="D68">
            <v>3</v>
          </cell>
          <cell r="E68">
            <v>60865</v>
          </cell>
        </row>
        <row r="69">
          <cell r="D69">
            <v>1</v>
          </cell>
          <cell r="E69">
            <v>60516</v>
          </cell>
        </row>
        <row r="70">
          <cell r="D70">
            <v>2</v>
          </cell>
          <cell r="E70">
            <v>60659</v>
          </cell>
        </row>
        <row r="71">
          <cell r="D71">
            <v>3</v>
          </cell>
          <cell r="E71">
            <v>61027</v>
          </cell>
        </row>
        <row r="72">
          <cell r="D72">
            <v>1</v>
          </cell>
          <cell r="E72">
            <v>61357</v>
          </cell>
        </row>
        <row r="73">
          <cell r="D73">
            <v>2</v>
          </cell>
          <cell r="E73">
            <v>61585</v>
          </cell>
        </row>
        <row r="74">
          <cell r="D74">
            <v>3</v>
          </cell>
          <cell r="E74">
            <v>61739</v>
          </cell>
        </row>
        <row r="75">
          <cell r="D75">
            <v>1</v>
          </cell>
          <cell r="E75">
            <v>61877</v>
          </cell>
        </row>
        <row r="76">
          <cell r="D76">
            <v>2</v>
          </cell>
          <cell r="E76">
            <v>62066</v>
          </cell>
        </row>
        <row r="77">
          <cell r="D77">
            <v>3</v>
          </cell>
          <cell r="E77">
            <v>62266</v>
          </cell>
        </row>
        <row r="78">
          <cell r="D78">
            <v>1</v>
          </cell>
          <cell r="E78">
            <v>62277</v>
          </cell>
        </row>
        <row r="79">
          <cell r="D79">
            <v>2</v>
          </cell>
          <cell r="E79">
            <v>61908</v>
          </cell>
        </row>
        <row r="80">
          <cell r="D80">
            <v>3</v>
          </cell>
          <cell r="E80">
            <v>61374</v>
          </cell>
        </row>
        <row r="81">
          <cell r="D81">
            <v>1</v>
          </cell>
          <cell r="E81">
            <v>61046</v>
          </cell>
        </row>
        <row r="82">
          <cell r="D82">
            <v>2</v>
          </cell>
          <cell r="E82">
            <v>61170</v>
          </cell>
        </row>
        <row r="83">
          <cell r="D83">
            <v>3</v>
          </cell>
          <cell r="E83">
            <v>61464</v>
          </cell>
        </row>
        <row r="84">
          <cell r="D84">
            <v>1</v>
          </cell>
          <cell r="E84">
            <v>61664</v>
          </cell>
        </row>
        <row r="85">
          <cell r="D85">
            <v>2</v>
          </cell>
          <cell r="E85">
            <v>62007</v>
          </cell>
        </row>
        <row r="86">
          <cell r="D86">
            <v>3</v>
          </cell>
          <cell r="E86">
            <v>62179</v>
          </cell>
        </row>
        <row r="87">
          <cell r="D87">
            <v>1</v>
          </cell>
          <cell r="E87">
            <v>62475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21" refreshError="1"/>
      <sheetData sheetId="2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44542</v>
          </cell>
        </row>
        <row r="10">
          <cell r="D10">
            <v>2</v>
          </cell>
          <cell r="E10">
            <v>44863</v>
          </cell>
        </row>
        <row r="11">
          <cell r="D11">
            <v>3</v>
          </cell>
          <cell r="E11">
            <v>45068</v>
          </cell>
        </row>
        <row r="12">
          <cell r="D12">
            <v>1</v>
          </cell>
          <cell r="E12">
            <v>45331</v>
          </cell>
        </row>
        <row r="13">
          <cell r="D13">
            <v>2</v>
          </cell>
          <cell r="E13">
            <v>45404</v>
          </cell>
        </row>
        <row r="14">
          <cell r="D14">
            <v>3</v>
          </cell>
          <cell r="E14">
            <v>45544</v>
          </cell>
        </row>
        <row r="15">
          <cell r="D15">
            <v>1</v>
          </cell>
          <cell r="E15">
            <v>45819</v>
          </cell>
        </row>
        <row r="16">
          <cell r="D16">
            <v>2</v>
          </cell>
          <cell r="E16">
            <v>45924</v>
          </cell>
        </row>
        <row r="17">
          <cell r="D17">
            <v>3</v>
          </cell>
          <cell r="E17">
            <v>45949</v>
          </cell>
        </row>
        <row r="18">
          <cell r="D18">
            <v>1</v>
          </cell>
          <cell r="E18">
            <v>45877</v>
          </cell>
        </row>
        <row r="19">
          <cell r="D19">
            <v>2</v>
          </cell>
          <cell r="E19">
            <v>45806</v>
          </cell>
        </row>
        <row r="20">
          <cell r="D20">
            <v>3</v>
          </cell>
          <cell r="E20">
            <v>45731</v>
          </cell>
        </row>
        <row r="21">
          <cell r="D21">
            <v>1</v>
          </cell>
          <cell r="E21">
            <v>45502</v>
          </cell>
        </row>
        <row r="22">
          <cell r="D22">
            <v>2</v>
          </cell>
          <cell r="E22">
            <v>45578</v>
          </cell>
        </row>
        <row r="23">
          <cell r="D23">
            <v>3</v>
          </cell>
          <cell r="E23">
            <v>45775</v>
          </cell>
        </row>
        <row r="24">
          <cell r="D24">
            <v>1</v>
          </cell>
          <cell r="E24">
            <v>45927</v>
          </cell>
        </row>
        <row r="25">
          <cell r="D25">
            <v>2</v>
          </cell>
          <cell r="E25">
            <v>46099</v>
          </cell>
        </row>
        <row r="26">
          <cell r="D26">
            <v>3</v>
          </cell>
          <cell r="E26">
            <v>46364</v>
          </cell>
        </row>
        <row r="27">
          <cell r="D27">
            <v>1</v>
          </cell>
          <cell r="E27">
            <v>46548</v>
          </cell>
        </row>
        <row r="28">
          <cell r="D28">
            <v>2</v>
          </cell>
          <cell r="E28">
            <v>46714</v>
          </cell>
        </row>
        <row r="29">
          <cell r="D29">
            <v>3</v>
          </cell>
          <cell r="E29">
            <v>46781</v>
          </cell>
        </row>
        <row r="30">
          <cell r="D30">
            <v>1</v>
          </cell>
          <cell r="E30">
            <v>46774</v>
          </cell>
        </row>
        <row r="31">
          <cell r="D31">
            <v>2</v>
          </cell>
          <cell r="E31">
            <v>46678</v>
          </cell>
        </row>
        <row r="32">
          <cell r="D32">
            <v>3</v>
          </cell>
          <cell r="E32">
            <v>46774</v>
          </cell>
        </row>
        <row r="33">
          <cell r="D33">
            <v>1</v>
          </cell>
          <cell r="E33">
            <v>46853</v>
          </cell>
        </row>
        <row r="34">
          <cell r="D34">
            <v>2</v>
          </cell>
          <cell r="E34">
            <v>47029</v>
          </cell>
        </row>
        <row r="35">
          <cell r="D35">
            <v>3</v>
          </cell>
          <cell r="E35">
            <v>47054</v>
          </cell>
        </row>
        <row r="36">
          <cell r="D36">
            <v>1</v>
          </cell>
          <cell r="E36">
            <v>47196</v>
          </cell>
        </row>
        <row r="37">
          <cell r="D37">
            <v>2</v>
          </cell>
          <cell r="E37">
            <v>46912</v>
          </cell>
        </row>
        <row r="38">
          <cell r="D38">
            <v>3</v>
          </cell>
          <cell r="E38">
            <v>46828</v>
          </cell>
        </row>
        <row r="39">
          <cell r="D39">
            <v>1</v>
          </cell>
          <cell r="E39">
            <v>46908</v>
          </cell>
        </row>
        <row r="40">
          <cell r="D40">
            <v>2</v>
          </cell>
          <cell r="E40">
            <v>46977</v>
          </cell>
        </row>
        <row r="41">
          <cell r="D41">
            <v>3</v>
          </cell>
          <cell r="E41">
            <v>46991</v>
          </cell>
        </row>
        <row r="42">
          <cell r="D42">
            <v>1</v>
          </cell>
          <cell r="E42">
            <v>46991</v>
          </cell>
        </row>
        <row r="43">
          <cell r="D43">
            <v>2</v>
          </cell>
          <cell r="E43">
            <v>46881</v>
          </cell>
        </row>
        <row r="44">
          <cell r="D44">
            <v>3</v>
          </cell>
          <cell r="E44">
            <v>46450</v>
          </cell>
        </row>
        <row r="45">
          <cell r="D45">
            <v>1</v>
          </cell>
          <cell r="E45">
            <v>46113</v>
          </cell>
        </row>
        <row r="46">
          <cell r="D46">
            <v>2</v>
          </cell>
          <cell r="E46">
            <v>46094</v>
          </cell>
        </row>
        <row r="47">
          <cell r="D47">
            <v>3</v>
          </cell>
          <cell r="E47">
            <v>46036</v>
          </cell>
        </row>
        <row r="48">
          <cell r="D48">
            <v>1</v>
          </cell>
          <cell r="E48">
            <v>45976</v>
          </cell>
        </row>
        <row r="49">
          <cell r="D49">
            <v>2</v>
          </cell>
          <cell r="E49">
            <v>45804</v>
          </cell>
        </row>
        <row r="50">
          <cell r="D50">
            <v>3</v>
          </cell>
          <cell r="E50">
            <v>45621</v>
          </cell>
        </row>
        <row r="51">
          <cell r="D51">
            <v>1</v>
          </cell>
          <cell r="E51">
            <v>45589</v>
          </cell>
        </row>
        <row r="52">
          <cell r="D52">
            <v>2</v>
          </cell>
          <cell r="E52">
            <v>45563</v>
          </cell>
        </row>
        <row r="53">
          <cell r="D53">
            <v>3</v>
          </cell>
          <cell r="E53">
            <v>45498</v>
          </cell>
        </row>
        <row r="54">
          <cell r="D54">
            <v>1</v>
          </cell>
          <cell r="E54">
            <v>45439</v>
          </cell>
        </row>
        <row r="55">
          <cell r="D55">
            <v>2</v>
          </cell>
          <cell r="E55">
            <v>44940</v>
          </cell>
        </row>
        <row r="56">
          <cell r="D56">
            <v>3</v>
          </cell>
          <cell r="E56">
            <v>44590</v>
          </cell>
        </row>
        <row r="57">
          <cell r="D57">
            <v>1</v>
          </cell>
          <cell r="E57">
            <v>44351</v>
          </cell>
        </row>
        <row r="58">
          <cell r="D58">
            <v>2</v>
          </cell>
          <cell r="E58">
            <v>44482</v>
          </cell>
        </row>
        <row r="59">
          <cell r="D59">
            <v>3</v>
          </cell>
          <cell r="E59">
            <v>44506</v>
          </cell>
        </row>
        <row r="60">
          <cell r="D60">
            <v>1</v>
          </cell>
          <cell r="E60">
            <v>44506</v>
          </cell>
        </row>
        <row r="61">
          <cell r="D61">
            <v>2</v>
          </cell>
          <cell r="E61">
            <v>44503</v>
          </cell>
        </row>
        <row r="62">
          <cell r="D62">
            <v>3</v>
          </cell>
          <cell r="E62">
            <v>44381</v>
          </cell>
        </row>
        <row r="63">
          <cell r="D63">
            <v>1</v>
          </cell>
          <cell r="E63">
            <v>44379</v>
          </cell>
        </row>
        <row r="64">
          <cell r="D64">
            <v>2</v>
          </cell>
          <cell r="E64">
            <v>44405</v>
          </cell>
        </row>
        <row r="65">
          <cell r="D65">
            <v>3</v>
          </cell>
          <cell r="E65">
            <v>44525</v>
          </cell>
        </row>
        <row r="66">
          <cell r="D66">
            <v>1</v>
          </cell>
          <cell r="E66">
            <v>44522</v>
          </cell>
        </row>
        <row r="67">
          <cell r="D67">
            <v>2</v>
          </cell>
          <cell r="E67">
            <v>44264</v>
          </cell>
        </row>
        <row r="68">
          <cell r="D68">
            <v>3</v>
          </cell>
          <cell r="E68">
            <v>43988</v>
          </cell>
        </row>
        <row r="69">
          <cell r="D69">
            <v>1</v>
          </cell>
          <cell r="E69">
            <v>43587</v>
          </cell>
        </row>
        <row r="70">
          <cell r="D70">
            <v>2</v>
          </cell>
          <cell r="E70">
            <v>43544</v>
          </cell>
        </row>
        <row r="71">
          <cell r="D71">
            <v>3</v>
          </cell>
          <cell r="E71">
            <v>43729</v>
          </cell>
        </row>
        <row r="72">
          <cell r="D72">
            <v>1</v>
          </cell>
          <cell r="E72">
            <v>43954</v>
          </cell>
        </row>
        <row r="73">
          <cell r="D73">
            <v>2</v>
          </cell>
          <cell r="E73">
            <v>44066</v>
          </cell>
        </row>
        <row r="74">
          <cell r="D74">
            <v>3</v>
          </cell>
          <cell r="E74">
            <v>44168</v>
          </cell>
        </row>
        <row r="75">
          <cell r="D75">
            <v>1</v>
          </cell>
          <cell r="E75">
            <v>44210</v>
          </cell>
        </row>
        <row r="76">
          <cell r="D76">
            <v>2</v>
          </cell>
          <cell r="E76">
            <v>44282</v>
          </cell>
        </row>
        <row r="77">
          <cell r="D77">
            <v>3</v>
          </cell>
          <cell r="E77">
            <v>44386</v>
          </cell>
        </row>
        <row r="78">
          <cell r="D78">
            <v>1</v>
          </cell>
          <cell r="E78">
            <v>44435</v>
          </cell>
        </row>
        <row r="79">
          <cell r="D79">
            <v>2</v>
          </cell>
          <cell r="E79">
            <v>44283</v>
          </cell>
        </row>
        <row r="80">
          <cell r="D80">
            <v>3</v>
          </cell>
          <cell r="E80">
            <v>43887</v>
          </cell>
        </row>
        <row r="81">
          <cell r="D81">
            <v>1</v>
          </cell>
          <cell r="E81">
            <v>43626</v>
          </cell>
        </row>
        <row r="82">
          <cell r="D82">
            <v>2</v>
          </cell>
          <cell r="E82">
            <v>43634</v>
          </cell>
        </row>
        <row r="83">
          <cell r="D83">
            <v>3</v>
          </cell>
          <cell r="E83">
            <v>43843</v>
          </cell>
        </row>
        <row r="84">
          <cell r="D84">
            <v>1</v>
          </cell>
          <cell r="E84">
            <v>43823</v>
          </cell>
        </row>
        <row r="85">
          <cell r="D85">
            <v>2</v>
          </cell>
          <cell r="E85">
            <v>44075</v>
          </cell>
        </row>
        <row r="86">
          <cell r="D86">
            <v>3</v>
          </cell>
          <cell r="E86">
            <v>44159</v>
          </cell>
        </row>
        <row r="87">
          <cell r="D87">
            <v>1</v>
          </cell>
          <cell r="E87">
            <v>44483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23" refreshError="1"/>
      <sheetData sheetId="2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33541</v>
          </cell>
        </row>
        <row r="10">
          <cell r="D10">
            <v>2</v>
          </cell>
          <cell r="E10">
            <v>33831</v>
          </cell>
        </row>
        <row r="11">
          <cell r="D11">
            <v>3</v>
          </cell>
          <cell r="E11">
            <v>33990</v>
          </cell>
        </row>
        <row r="12">
          <cell r="D12">
            <v>1</v>
          </cell>
          <cell r="E12">
            <v>34233</v>
          </cell>
        </row>
        <row r="13">
          <cell r="D13">
            <v>2</v>
          </cell>
          <cell r="E13">
            <v>34288</v>
          </cell>
        </row>
        <row r="14">
          <cell r="D14">
            <v>3</v>
          </cell>
          <cell r="E14">
            <v>34392</v>
          </cell>
        </row>
        <row r="15">
          <cell r="D15">
            <v>1</v>
          </cell>
          <cell r="E15">
            <v>34552</v>
          </cell>
        </row>
        <row r="16">
          <cell r="D16">
            <v>2</v>
          </cell>
          <cell r="E16">
            <v>34658</v>
          </cell>
        </row>
        <row r="17">
          <cell r="D17">
            <v>3</v>
          </cell>
          <cell r="E17">
            <v>34734</v>
          </cell>
        </row>
        <row r="18">
          <cell r="D18">
            <v>1</v>
          </cell>
          <cell r="E18">
            <v>34907</v>
          </cell>
        </row>
        <row r="19">
          <cell r="D19">
            <v>2</v>
          </cell>
          <cell r="E19">
            <v>34932</v>
          </cell>
        </row>
        <row r="20">
          <cell r="D20">
            <v>3</v>
          </cell>
          <cell r="E20">
            <v>34910</v>
          </cell>
        </row>
        <row r="21">
          <cell r="D21">
            <v>1</v>
          </cell>
          <cell r="E21">
            <v>34643</v>
          </cell>
        </row>
        <row r="22">
          <cell r="D22">
            <v>2</v>
          </cell>
          <cell r="E22">
            <v>34736</v>
          </cell>
        </row>
        <row r="23">
          <cell r="D23">
            <v>3</v>
          </cell>
          <cell r="E23">
            <v>34963</v>
          </cell>
        </row>
        <row r="24">
          <cell r="D24">
            <v>1</v>
          </cell>
          <cell r="E24">
            <v>35081</v>
          </cell>
        </row>
        <row r="25">
          <cell r="D25">
            <v>2</v>
          </cell>
          <cell r="E25">
            <v>35332</v>
          </cell>
        </row>
        <row r="26">
          <cell r="D26">
            <v>3</v>
          </cell>
          <cell r="E26">
            <v>35456</v>
          </cell>
        </row>
        <row r="27">
          <cell r="D27">
            <v>1</v>
          </cell>
          <cell r="E27">
            <v>35636</v>
          </cell>
        </row>
        <row r="28">
          <cell r="D28">
            <v>2</v>
          </cell>
          <cell r="E28">
            <v>35863</v>
          </cell>
        </row>
        <row r="29">
          <cell r="D29">
            <v>3</v>
          </cell>
          <cell r="E29">
            <v>35971</v>
          </cell>
        </row>
        <row r="30">
          <cell r="D30">
            <v>1</v>
          </cell>
          <cell r="E30">
            <v>36050</v>
          </cell>
        </row>
        <row r="31">
          <cell r="D31">
            <v>2</v>
          </cell>
          <cell r="E31">
            <v>36058</v>
          </cell>
        </row>
        <row r="32">
          <cell r="D32">
            <v>3</v>
          </cell>
          <cell r="E32">
            <v>36288</v>
          </cell>
        </row>
        <row r="33">
          <cell r="D33">
            <v>1</v>
          </cell>
          <cell r="E33">
            <v>36399</v>
          </cell>
        </row>
        <row r="34">
          <cell r="D34">
            <v>2</v>
          </cell>
          <cell r="E34">
            <v>36628</v>
          </cell>
        </row>
        <row r="35">
          <cell r="D35">
            <v>3</v>
          </cell>
          <cell r="E35">
            <v>36672</v>
          </cell>
        </row>
        <row r="36">
          <cell r="D36">
            <v>1</v>
          </cell>
          <cell r="E36">
            <v>36880</v>
          </cell>
        </row>
        <row r="37">
          <cell r="D37">
            <v>2</v>
          </cell>
          <cell r="E37">
            <v>36666</v>
          </cell>
        </row>
        <row r="38">
          <cell r="D38">
            <v>3</v>
          </cell>
          <cell r="E38">
            <v>36629</v>
          </cell>
        </row>
        <row r="39">
          <cell r="D39">
            <v>1</v>
          </cell>
          <cell r="E39">
            <v>36653</v>
          </cell>
        </row>
        <row r="40">
          <cell r="D40">
            <v>2</v>
          </cell>
          <cell r="E40">
            <v>36564</v>
          </cell>
        </row>
        <row r="41">
          <cell r="D41">
            <v>3</v>
          </cell>
          <cell r="E41">
            <v>36528</v>
          </cell>
        </row>
        <row r="42">
          <cell r="D42">
            <v>1</v>
          </cell>
          <cell r="E42">
            <v>36506</v>
          </cell>
        </row>
        <row r="43">
          <cell r="D43">
            <v>2</v>
          </cell>
          <cell r="E43">
            <v>36493</v>
          </cell>
        </row>
        <row r="44">
          <cell r="D44">
            <v>3</v>
          </cell>
          <cell r="E44">
            <v>36238</v>
          </cell>
        </row>
        <row r="45">
          <cell r="D45">
            <v>1</v>
          </cell>
          <cell r="E45">
            <v>36066</v>
          </cell>
        </row>
        <row r="46">
          <cell r="D46">
            <v>2</v>
          </cell>
          <cell r="E46">
            <v>36077</v>
          </cell>
        </row>
        <row r="47">
          <cell r="D47">
            <v>3</v>
          </cell>
          <cell r="E47">
            <v>35964</v>
          </cell>
        </row>
        <row r="48">
          <cell r="D48">
            <v>1</v>
          </cell>
          <cell r="E48">
            <v>35909</v>
          </cell>
        </row>
        <row r="49">
          <cell r="D49">
            <v>2</v>
          </cell>
          <cell r="E49">
            <v>35739</v>
          </cell>
        </row>
        <row r="50">
          <cell r="D50">
            <v>3</v>
          </cell>
          <cell r="E50">
            <v>35539</v>
          </cell>
        </row>
        <row r="51">
          <cell r="D51">
            <v>1</v>
          </cell>
          <cell r="E51">
            <v>35416</v>
          </cell>
        </row>
        <row r="52">
          <cell r="D52">
            <v>2</v>
          </cell>
          <cell r="E52">
            <v>35364</v>
          </cell>
        </row>
        <row r="53">
          <cell r="D53">
            <v>3</v>
          </cell>
          <cell r="E53">
            <v>35398</v>
          </cell>
        </row>
        <row r="54">
          <cell r="D54">
            <v>1</v>
          </cell>
          <cell r="E54">
            <v>35403</v>
          </cell>
        </row>
        <row r="55">
          <cell r="D55">
            <v>2</v>
          </cell>
          <cell r="E55">
            <v>35160</v>
          </cell>
        </row>
        <row r="56">
          <cell r="D56">
            <v>3</v>
          </cell>
          <cell r="E56">
            <v>34871</v>
          </cell>
        </row>
        <row r="57">
          <cell r="D57">
            <v>1</v>
          </cell>
          <cell r="E57">
            <v>34631</v>
          </cell>
        </row>
        <row r="58">
          <cell r="D58">
            <v>2</v>
          </cell>
          <cell r="E58">
            <v>34529</v>
          </cell>
        </row>
        <row r="59">
          <cell r="D59">
            <v>3</v>
          </cell>
          <cell r="E59">
            <v>34444</v>
          </cell>
        </row>
        <row r="60">
          <cell r="D60">
            <v>1</v>
          </cell>
          <cell r="E60">
            <v>34424</v>
          </cell>
        </row>
        <row r="61">
          <cell r="D61">
            <v>2</v>
          </cell>
          <cell r="E61">
            <v>34343</v>
          </cell>
        </row>
        <row r="62">
          <cell r="D62">
            <v>3</v>
          </cell>
          <cell r="E62">
            <v>34176</v>
          </cell>
        </row>
        <row r="63">
          <cell r="D63">
            <v>1</v>
          </cell>
          <cell r="E63">
            <v>34110</v>
          </cell>
        </row>
        <row r="64">
          <cell r="D64">
            <v>2</v>
          </cell>
          <cell r="E64">
            <v>34041</v>
          </cell>
        </row>
        <row r="65">
          <cell r="D65">
            <v>3</v>
          </cell>
          <cell r="E65">
            <v>34075</v>
          </cell>
        </row>
        <row r="66">
          <cell r="D66">
            <v>1</v>
          </cell>
          <cell r="E66">
            <v>34005</v>
          </cell>
        </row>
        <row r="67">
          <cell r="D67">
            <v>2</v>
          </cell>
          <cell r="E67">
            <v>33858</v>
          </cell>
        </row>
        <row r="68">
          <cell r="D68">
            <v>3</v>
          </cell>
          <cell r="E68">
            <v>33738</v>
          </cell>
        </row>
        <row r="69">
          <cell r="D69">
            <v>1</v>
          </cell>
          <cell r="E69">
            <v>33406</v>
          </cell>
        </row>
        <row r="70">
          <cell r="D70">
            <v>2</v>
          </cell>
          <cell r="E70">
            <v>33286</v>
          </cell>
        </row>
        <row r="71">
          <cell r="D71">
            <v>3</v>
          </cell>
          <cell r="E71">
            <v>33258</v>
          </cell>
        </row>
        <row r="72">
          <cell r="D72">
            <v>1</v>
          </cell>
          <cell r="E72">
            <v>33331</v>
          </cell>
        </row>
        <row r="73">
          <cell r="D73">
            <v>2</v>
          </cell>
          <cell r="E73">
            <v>33340</v>
          </cell>
        </row>
        <row r="74">
          <cell r="D74">
            <v>3</v>
          </cell>
          <cell r="E74">
            <v>33412</v>
          </cell>
        </row>
        <row r="75">
          <cell r="D75">
            <v>1</v>
          </cell>
          <cell r="E75">
            <v>33300</v>
          </cell>
        </row>
        <row r="76">
          <cell r="D76">
            <v>2</v>
          </cell>
          <cell r="E76">
            <v>33303</v>
          </cell>
        </row>
        <row r="77">
          <cell r="D77">
            <v>3</v>
          </cell>
          <cell r="E77">
            <v>33218</v>
          </cell>
        </row>
        <row r="78">
          <cell r="D78">
            <v>1</v>
          </cell>
          <cell r="E78">
            <v>33321</v>
          </cell>
        </row>
        <row r="79">
          <cell r="D79">
            <v>2</v>
          </cell>
          <cell r="E79">
            <v>33296</v>
          </cell>
        </row>
        <row r="80">
          <cell r="D80">
            <v>3</v>
          </cell>
          <cell r="E80">
            <v>33126</v>
          </cell>
        </row>
        <row r="81">
          <cell r="D81">
            <v>1</v>
          </cell>
          <cell r="E81">
            <v>32913</v>
          </cell>
        </row>
        <row r="82">
          <cell r="D82">
            <v>2</v>
          </cell>
          <cell r="E82">
            <v>32729</v>
          </cell>
        </row>
        <row r="83">
          <cell r="D83">
            <v>3</v>
          </cell>
          <cell r="E83">
            <v>32775</v>
          </cell>
        </row>
        <row r="84">
          <cell r="D84">
            <v>1</v>
          </cell>
          <cell r="E84">
            <v>32834</v>
          </cell>
        </row>
        <row r="85">
          <cell r="D85">
            <v>2</v>
          </cell>
          <cell r="E85">
            <v>32981</v>
          </cell>
        </row>
        <row r="86">
          <cell r="D86">
            <v>3</v>
          </cell>
          <cell r="E86">
            <v>32968</v>
          </cell>
        </row>
        <row r="87">
          <cell r="D87">
            <v>1</v>
          </cell>
          <cell r="E87">
            <v>32972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25" refreshError="1"/>
      <sheetData sheetId="2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11000</v>
          </cell>
        </row>
        <row r="10">
          <cell r="D10">
            <v>2</v>
          </cell>
          <cell r="E10">
            <v>11031</v>
          </cell>
        </row>
        <row r="11">
          <cell r="D11">
            <v>3</v>
          </cell>
          <cell r="E11">
            <v>11078</v>
          </cell>
        </row>
        <row r="12">
          <cell r="D12">
            <v>1</v>
          </cell>
          <cell r="E12">
            <v>11098</v>
          </cell>
        </row>
        <row r="13">
          <cell r="D13">
            <v>2</v>
          </cell>
          <cell r="E13">
            <v>11116</v>
          </cell>
        </row>
        <row r="14">
          <cell r="D14">
            <v>3</v>
          </cell>
          <cell r="E14">
            <v>11152</v>
          </cell>
        </row>
        <row r="15">
          <cell r="D15">
            <v>1</v>
          </cell>
          <cell r="E15">
            <v>11267</v>
          </cell>
        </row>
        <row r="16">
          <cell r="D16">
            <v>2</v>
          </cell>
          <cell r="E16">
            <v>11266</v>
          </cell>
        </row>
        <row r="17">
          <cell r="D17">
            <v>3</v>
          </cell>
          <cell r="E17">
            <v>11215</v>
          </cell>
        </row>
        <row r="18">
          <cell r="D18">
            <v>1</v>
          </cell>
          <cell r="E18">
            <v>10970</v>
          </cell>
        </row>
        <row r="19">
          <cell r="D19">
            <v>2</v>
          </cell>
          <cell r="E19">
            <v>10874</v>
          </cell>
        </row>
        <row r="20">
          <cell r="D20">
            <v>3</v>
          </cell>
          <cell r="E20">
            <v>10821</v>
          </cell>
        </row>
        <row r="21">
          <cell r="D21">
            <v>1</v>
          </cell>
          <cell r="E21">
            <v>10859</v>
          </cell>
        </row>
        <row r="22">
          <cell r="D22">
            <v>2</v>
          </cell>
          <cell r="E22">
            <v>10842</v>
          </cell>
        </row>
        <row r="23">
          <cell r="D23">
            <v>3</v>
          </cell>
          <cell r="E23">
            <v>10812</v>
          </cell>
        </row>
        <row r="24">
          <cell r="D24">
            <v>1</v>
          </cell>
          <cell r="E24">
            <v>10846</v>
          </cell>
        </row>
        <row r="25">
          <cell r="D25">
            <v>2</v>
          </cell>
          <cell r="E25">
            <v>10767</v>
          </cell>
        </row>
        <row r="26">
          <cell r="D26">
            <v>3</v>
          </cell>
          <cell r="E26">
            <v>10908</v>
          </cell>
        </row>
        <row r="27">
          <cell r="D27">
            <v>1</v>
          </cell>
          <cell r="E27">
            <v>10912</v>
          </cell>
        </row>
        <row r="28">
          <cell r="D28">
            <v>2</v>
          </cell>
          <cell r="E28">
            <v>10851</v>
          </cell>
        </row>
        <row r="29">
          <cell r="D29">
            <v>3</v>
          </cell>
          <cell r="E29">
            <v>10810</v>
          </cell>
        </row>
        <row r="30">
          <cell r="D30">
            <v>1</v>
          </cell>
          <cell r="E30">
            <v>10723</v>
          </cell>
        </row>
        <row r="31">
          <cell r="D31">
            <v>2</v>
          </cell>
          <cell r="E31">
            <v>10620</v>
          </cell>
        </row>
        <row r="32">
          <cell r="D32">
            <v>3</v>
          </cell>
          <cell r="E32">
            <v>10486</v>
          </cell>
        </row>
        <row r="33">
          <cell r="D33">
            <v>1</v>
          </cell>
          <cell r="E33">
            <v>10454</v>
          </cell>
        </row>
        <row r="34">
          <cell r="D34">
            <v>2</v>
          </cell>
          <cell r="E34">
            <v>10401</v>
          </cell>
        </row>
        <row r="35">
          <cell r="D35">
            <v>3</v>
          </cell>
          <cell r="E35">
            <v>10382</v>
          </cell>
        </row>
        <row r="36">
          <cell r="D36">
            <v>1</v>
          </cell>
          <cell r="E36">
            <v>10316</v>
          </cell>
        </row>
        <row r="37">
          <cell r="D37">
            <v>2</v>
          </cell>
          <cell r="E37">
            <v>10246</v>
          </cell>
        </row>
        <row r="38">
          <cell r="D38">
            <v>3</v>
          </cell>
          <cell r="E38">
            <v>10199</v>
          </cell>
        </row>
        <row r="39">
          <cell r="D39">
            <v>1</v>
          </cell>
          <cell r="E39">
            <v>10255</v>
          </cell>
        </row>
        <row r="40">
          <cell r="D40">
            <v>2</v>
          </cell>
          <cell r="E40">
            <v>10413</v>
          </cell>
        </row>
        <row r="41">
          <cell r="D41">
            <v>3</v>
          </cell>
          <cell r="E41">
            <v>10464</v>
          </cell>
        </row>
        <row r="42">
          <cell r="D42">
            <v>1</v>
          </cell>
          <cell r="E42">
            <v>10485</v>
          </cell>
        </row>
        <row r="43">
          <cell r="D43">
            <v>2</v>
          </cell>
          <cell r="E43">
            <v>10389</v>
          </cell>
        </row>
        <row r="44">
          <cell r="D44">
            <v>3</v>
          </cell>
          <cell r="E44">
            <v>10212</v>
          </cell>
        </row>
        <row r="45">
          <cell r="D45">
            <v>1</v>
          </cell>
          <cell r="E45">
            <v>10047</v>
          </cell>
        </row>
        <row r="46">
          <cell r="D46">
            <v>2</v>
          </cell>
          <cell r="E46">
            <v>10017</v>
          </cell>
        </row>
        <row r="47">
          <cell r="D47">
            <v>3</v>
          </cell>
          <cell r="E47">
            <v>10072</v>
          </cell>
        </row>
        <row r="48">
          <cell r="D48">
            <v>1</v>
          </cell>
          <cell r="E48">
            <v>10067</v>
          </cell>
        </row>
        <row r="49">
          <cell r="D49">
            <v>2</v>
          </cell>
          <cell r="E49">
            <v>10065</v>
          </cell>
        </row>
        <row r="50">
          <cell r="D50">
            <v>3</v>
          </cell>
          <cell r="E50">
            <v>10082</v>
          </cell>
        </row>
        <row r="51">
          <cell r="D51">
            <v>1</v>
          </cell>
          <cell r="E51">
            <v>10174</v>
          </cell>
        </row>
        <row r="52">
          <cell r="D52">
            <v>2</v>
          </cell>
          <cell r="E52">
            <v>10199</v>
          </cell>
        </row>
        <row r="53">
          <cell r="D53">
            <v>3</v>
          </cell>
          <cell r="E53">
            <v>10101</v>
          </cell>
        </row>
        <row r="54">
          <cell r="D54">
            <v>1</v>
          </cell>
          <cell r="E54">
            <v>10036</v>
          </cell>
        </row>
        <row r="55">
          <cell r="D55">
            <v>2</v>
          </cell>
          <cell r="E55">
            <v>9780</v>
          </cell>
        </row>
        <row r="56">
          <cell r="D56">
            <v>3</v>
          </cell>
          <cell r="E56">
            <v>9719</v>
          </cell>
        </row>
        <row r="57">
          <cell r="D57">
            <v>1</v>
          </cell>
          <cell r="E57">
            <v>9720</v>
          </cell>
        </row>
        <row r="58">
          <cell r="D58">
            <v>2</v>
          </cell>
          <cell r="E58">
            <v>9953</v>
          </cell>
        </row>
        <row r="59">
          <cell r="D59">
            <v>3</v>
          </cell>
          <cell r="E59">
            <v>10062</v>
          </cell>
        </row>
        <row r="60">
          <cell r="D60">
            <v>1</v>
          </cell>
          <cell r="E60">
            <v>10083</v>
          </cell>
        </row>
        <row r="61">
          <cell r="D61">
            <v>2</v>
          </cell>
          <cell r="E61">
            <v>10160</v>
          </cell>
        </row>
        <row r="62">
          <cell r="D62">
            <v>3</v>
          </cell>
          <cell r="E62">
            <v>10204</v>
          </cell>
        </row>
        <row r="63">
          <cell r="D63">
            <v>1</v>
          </cell>
          <cell r="E63">
            <v>10269</v>
          </cell>
        </row>
        <row r="64">
          <cell r="D64">
            <v>2</v>
          </cell>
          <cell r="E64">
            <v>10364</v>
          </cell>
        </row>
        <row r="65">
          <cell r="D65">
            <v>3</v>
          </cell>
          <cell r="E65">
            <v>10450</v>
          </cell>
        </row>
        <row r="66">
          <cell r="D66">
            <v>1</v>
          </cell>
          <cell r="E66">
            <v>10517</v>
          </cell>
        </row>
        <row r="67">
          <cell r="D67">
            <v>2</v>
          </cell>
          <cell r="E67">
            <v>10406</v>
          </cell>
        </row>
        <row r="68">
          <cell r="D68">
            <v>3</v>
          </cell>
          <cell r="E68">
            <v>10250</v>
          </cell>
        </row>
        <row r="69">
          <cell r="D69">
            <v>1</v>
          </cell>
          <cell r="E69">
            <v>10181</v>
          </cell>
        </row>
        <row r="70">
          <cell r="D70">
            <v>2</v>
          </cell>
          <cell r="E70">
            <v>10258</v>
          </cell>
        </row>
        <row r="71">
          <cell r="D71">
            <v>3</v>
          </cell>
          <cell r="E71">
            <v>10471</v>
          </cell>
        </row>
        <row r="72">
          <cell r="D72">
            <v>1</v>
          </cell>
          <cell r="E72">
            <v>10623</v>
          </cell>
        </row>
        <row r="73">
          <cell r="D73">
            <v>2</v>
          </cell>
          <cell r="E73">
            <v>10726</v>
          </cell>
        </row>
        <row r="74">
          <cell r="D74">
            <v>3</v>
          </cell>
          <cell r="E74">
            <v>10757</v>
          </cell>
        </row>
        <row r="75">
          <cell r="D75">
            <v>1</v>
          </cell>
          <cell r="E75">
            <v>10910</v>
          </cell>
        </row>
        <row r="76">
          <cell r="D76">
            <v>2</v>
          </cell>
          <cell r="E76">
            <v>10979</v>
          </cell>
        </row>
        <row r="77">
          <cell r="D77">
            <v>3</v>
          </cell>
          <cell r="E77">
            <v>11168</v>
          </cell>
        </row>
        <row r="78">
          <cell r="D78">
            <v>1</v>
          </cell>
          <cell r="E78">
            <v>11115</v>
          </cell>
        </row>
        <row r="79">
          <cell r="D79">
            <v>2</v>
          </cell>
          <cell r="E79">
            <v>10987</v>
          </cell>
        </row>
        <row r="80">
          <cell r="D80">
            <v>3</v>
          </cell>
          <cell r="E80">
            <v>10761</v>
          </cell>
        </row>
        <row r="81">
          <cell r="D81">
            <v>1</v>
          </cell>
          <cell r="E81">
            <v>10713</v>
          </cell>
        </row>
        <row r="82">
          <cell r="D82">
            <v>2</v>
          </cell>
          <cell r="E82">
            <v>10905</v>
          </cell>
        </row>
        <row r="83">
          <cell r="D83">
            <v>3</v>
          </cell>
          <cell r="E83">
            <v>11068</v>
          </cell>
        </row>
        <row r="84">
          <cell r="D84">
            <v>1</v>
          </cell>
          <cell r="E84">
            <v>10989</v>
          </cell>
        </row>
        <row r="85">
          <cell r="D85">
            <v>2</v>
          </cell>
          <cell r="E85">
            <v>11094</v>
          </cell>
        </row>
        <row r="86">
          <cell r="D86">
            <v>3</v>
          </cell>
          <cell r="E86">
            <v>11191</v>
          </cell>
        </row>
        <row r="87">
          <cell r="D87">
            <v>1</v>
          </cell>
          <cell r="E87">
            <v>11511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27" refreshError="1"/>
      <sheetData sheetId="2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6091</v>
          </cell>
        </row>
        <row r="10">
          <cell r="D10">
            <v>2</v>
          </cell>
          <cell r="E10">
            <v>6081</v>
          </cell>
        </row>
        <row r="11">
          <cell r="D11">
            <v>3</v>
          </cell>
          <cell r="E11">
            <v>6140</v>
          </cell>
        </row>
        <row r="12">
          <cell r="D12">
            <v>1</v>
          </cell>
          <cell r="E12">
            <v>6141</v>
          </cell>
        </row>
        <row r="13">
          <cell r="D13">
            <v>2</v>
          </cell>
          <cell r="E13">
            <v>6133</v>
          </cell>
        </row>
        <row r="14">
          <cell r="D14">
            <v>3</v>
          </cell>
          <cell r="E14">
            <v>6137</v>
          </cell>
        </row>
        <row r="15">
          <cell r="D15">
            <v>1</v>
          </cell>
          <cell r="E15">
            <v>6139</v>
          </cell>
        </row>
        <row r="16">
          <cell r="D16">
            <v>2</v>
          </cell>
          <cell r="E16">
            <v>6119</v>
          </cell>
        </row>
        <row r="17">
          <cell r="D17">
            <v>3</v>
          </cell>
          <cell r="E17">
            <v>6135</v>
          </cell>
        </row>
        <row r="18">
          <cell r="D18">
            <v>1</v>
          </cell>
          <cell r="E18">
            <v>6171</v>
          </cell>
        </row>
        <row r="19">
          <cell r="D19">
            <v>2</v>
          </cell>
          <cell r="E19">
            <v>6166</v>
          </cell>
        </row>
        <row r="20">
          <cell r="D20">
            <v>3</v>
          </cell>
          <cell r="E20">
            <v>6128</v>
          </cell>
        </row>
        <row r="21">
          <cell r="D21">
            <v>1</v>
          </cell>
          <cell r="E21">
            <v>6079</v>
          </cell>
        </row>
        <row r="22">
          <cell r="D22">
            <v>2</v>
          </cell>
          <cell r="E22">
            <v>6079</v>
          </cell>
        </row>
        <row r="23">
          <cell r="D23">
            <v>3</v>
          </cell>
          <cell r="E23">
            <v>6062</v>
          </cell>
        </row>
        <row r="24">
          <cell r="D24">
            <v>1</v>
          </cell>
          <cell r="E24">
            <v>5953</v>
          </cell>
        </row>
        <row r="25">
          <cell r="D25">
            <v>2</v>
          </cell>
          <cell r="E25">
            <v>5946</v>
          </cell>
        </row>
        <row r="26">
          <cell r="D26">
            <v>3</v>
          </cell>
          <cell r="E26">
            <v>5861</v>
          </cell>
        </row>
        <row r="27">
          <cell r="D27">
            <v>1</v>
          </cell>
          <cell r="E27">
            <v>5940</v>
          </cell>
        </row>
        <row r="28">
          <cell r="D28">
            <v>2</v>
          </cell>
          <cell r="E28">
            <v>5945</v>
          </cell>
        </row>
        <row r="29">
          <cell r="D29">
            <v>3</v>
          </cell>
          <cell r="E29">
            <v>5983</v>
          </cell>
        </row>
        <row r="30">
          <cell r="D30">
            <v>1</v>
          </cell>
          <cell r="E30">
            <v>5970</v>
          </cell>
        </row>
        <row r="31">
          <cell r="D31">
            <v>2</v>
          </cell>
          <cell r="E31">
            <v>5947</v>
          </cell>
        </row>
        <row r="32">
          <cell r="D32">
            <v>3</v>
          </cell>
          <cell r="E32">
            <v>5953</v>
          </cell>
        </row>
        <row r="33">
          <cell r="D33">
            <v>1</v>
          </cell>
          <cell r="E33">
            <v>5929</v>
          </cell>
        </row>
        <row r="34">
          <cell r="D34">
            <v>2</v>
          </cell>
          <cell r="E34">
            <v>5933</v>
          </cell>
        </row>
        <row r="35">
          <cell r="D35">
            <v>3</v>
          </cell>
          <cell r="E35">
            <v>5945</v>
          </cell>
        </row>
        <row r="36">
          <cell r="D36">
            <v>1</v>
          </cell>
          <cell r="E36">
            <v>6003</v>
          </cell>
        </row>
        <row r="37">
          <cell r="D37">
            <v>2</v>
          </cell>
          <cell r="E37">
            <v>6002</v>
          </cell>
        </row>
        <row r="38">
          <cell r="D38">
            <v>3</v>
          </cell>
          <cell r="E38">
            <v>5951</v>
          </cell>
        </row>
        <row r="39">
          <cell r="D39">
            <v>1</v>
          </cell>
          <cell r="E39">
            <v>5979</v>
          </cell>
        </row>
        <row r="40">
          <cell r="D40">
            <v>2</v>
          </cell>
          <cell r="E40">
            <v>5994</v>
          </cell>
        </row>
        <row r="41">
          <cell r="D41">
            <v>3</v>
          </cell>
          <cell r="E41">
            <v>6002</v>
          </cell>
        </row>
        <row r="42">
          <cell r="D42">
            <v>1</v>
          </cell>
          <cell r="E42">
            <v>5981</v>
          </cell>
        </row>
        <row r="43">
          <cell r="D43">
            <v>2</v>
          </cell>
          <cell r="E43">
            <v>5996</v>
          </cell>
        </row>
        <row r="44">
          <cell r="D44">
            <v>3</v>
          </cell>
          <cell r="E44">
            <v>6038</v>
          </cell>
        </row>
        <row r="45">
          <cell r="D45">
            <v>1</v>
          </cell>
          <cell r="E45">
            <v>6019</v>
          </cell>
        </row>
        <row r="46">
          <cell r="D46">
            <v>2</v>
          </cell>
          <cell r="E46">
            <v>5984</v>
          </cell>
        </row>
        <row r="47">
          <cell r="D47">
            <v>3</v>
          </cell>
          <cell r="E47">
            <v>5973</v>
          </cell>
        </row>
        <row r="48">
          <cell r="D48">
            <v>1</v>
          </cell>
          <cell r="E48">
            <v>6001</v>
          </cell>
        </row>
        <row r="49">
          <cell r="D49">
            <v>2</v>
          </cell>
          <cell r="E49">
            <v>6046</v>
          </cell>
        </row>
        <row r="50">
          <cell r="D50">
            <v>3</v>
          </cell>
          <cell r="E50">
            <v>6037</v>
          </cell>
        </row>
        <row r="51">
          <cell r="D51">
            <v>1</v>
          </cell>
          <cell r="E51">
            <v>6014</v>
          </cell>
        </row>
        <row r="52">
          <cell r="D52">
            <v>2</v>
          </cell>
          <cell r="E52">
            <v>6149</v>
          </cell>
        </row>
        <row r="53">
          <cell r="D53">
            <v>3</v>
          </cell>
          <cell r="E53">
            <v>6234</v>
          </cell>
        </row>
        <row r="54">
          <cell r="D54">
            <v>1</v>
          </cell>
          <cell r="E54">
            <v>6278</v>
          </cell>
        </row>
        <row r="55">
          <cell r="D55">
            <v>2</v>
          </cell>
          <cell r="E55">
            <v>6232</v>
          </cell>
        </row>
        <row r="56">
          <cell r="D56">
            <v>3</v>
          </cell>
          <cell r="E56">
            <v>6202</v>
          </cell>
        </row>
        <row r="57">
          <cell r="D57">
            <v>1</v>
          </cell>
          <cell r="E57">
            <v>6221</v>
          </cell>
        </row>
        <row r="58">
          <cell r="D58">
            <v>2</v>
          </cell>
          <cell r="E58">
            <v>6222</v>
          </cell>
        </row>
        <row r="59">
          <cell r="D59">
            <v>3</v>
          </cell>
          <cell r="E59">
            <v>6279</v>
          </cell>
        </row>
        <row r="60">
          <cell r="D60">
            <v>1</v>
          </cell>
          <cell r="E60">
            <v>6226</v>
          </cell>
        </row>
        <row r="61">
          <cell r="D61">
            <v>2</v>
          </cell>
          <cell r="E61">
            <v>6173</v>
          </cell>
        </row>
        <row r="62">
          <cell r="D62">
            <v>3</v>
          </cell>
          <cell r="E62">
            <v>6122</v>
          </cell>
        </row>
        <row r="63">
          <cell r="D63">
            <v>1</v>
          </cell>
          <cell r="E63">
            <v>6123</v>
          </cell>
        </row>
        <row r="64">
          <cell r="D64">
            <v>2</v>
          </cell>
          <cell r="E64">
            <v>6138</v>
          </cell>
        </row>
        <row r="65">
          <cell r="D65">
            <v>3</v>
          </cell>
          <cell r="E65">
            <v>6077</v>
          </cell>
        </row>
        <row r="66">
          <cell r="D66">
            <v>1</v>
          </cell>
          <cell r="E66">
            <v>6108</v>
          </cell>
        </row>
        <row r="67">
          <cell r="D67">
            <v>2</v>
          </cell>
          <cell r="E67">
            <v>6056</v>
          </cell>
        </row>
        <row r="68">
          <cell r="D68">
            <v>3</v>
          </cell>
          <cell r="E68">
            <v>6041</v>
          </cell>
        </row>
        <row r="69">
          <cell r="D69">
            <v>1</v>
          </cell>
          <cell r="E69">
            <v>6058</v>
          </cell>
        </row>
        <row r="70">
          <cell r="D70">
            <v>2</v>
          </cell>
          <cell r="E70">
            <v>6102</v>
          </cell>
        </row>
        <row r="71">
          <cell r="D71">
            <v>3</v>
          </cell>
          <cell r="E71">
            <v>6133</v>
          </cell>
        </row>
        <row r="72">
          <cell r="D72">
            <v>1</v>
          </cell>
          <cell r="E72">
            <v>6104</v>
          </cell>
        </row>
        <row r="73">
          <cell r="D73">
            <v>2</v>
          </cell>
          <cell r="E73">
            <v>6084</v>
          </cell>
        </row>
        <row r="74">
          <cell r="D74">
            <v>3</v>
          </cell>
          <cell r="E74">
            <v>6111</v>
          </cell>
        </row>
        <row r="75">
          <cell r="D75">
            <v>1</v>
          </cell>
          <cell r="E75">
            <v>6177</v>
          </cell>
        </row>
        <row r="76">
          <cell r="D76">
            <v>2</v>
          </cell>
          <cell r="E76">
            <v>6261</v>
          </cell>
        </row>
        <row r="77">
          <cell r="D77">
            <v>3</v>
          </cell>
          <cell r="E77">
            <v>6327</v>
          </cell>
        </row>
        <row r="78">
          <cell r="D78">
            <v>1</v>
          </cell>
          <cell r="E78">
            <v>6370</v>
          </cell>
        </row>
        <row r="79">
          <cell r="D79">
            <v>2</v>
          </cell>
          <cell r="E79">
            <v>6323</v>
          </cell>
        </row>
        <row r="80">
          <cell r="D80">
            <v>3</v>
          </cell>
          <cell r="E80">
            <v>6292</v>
          </cell>
        </row>
        <row r="81">
          <cell r="D81">
            <v>1</v>
          </cell>
          <cell r="E81">
            <v>6203</v>
          </cell>
        </row>
        <row r="82">
          <cell r="D82">
            <v>2</v>
          </cell>
          <cell r="E82">
            <v>6166</v>
          </cell>
        </row>
        <row r="83">
          <cell r="D83">
            <v>3</v>
          </cell>
          <cell r="E83">
            <v>6137</v>
          </cell>
        </row>
        <row r="84">
          <cell r="D84">
            <v>1</v>
          </cell>
          <cell r="E84">
            <v>6231</v>
          </cell>
        </row>
        <row r="85">
          <cell r="D85">
            <v>2</v>
          </cell>
          <cell r="E85">
            <v>6276</v>
          </cell>
        </row>
        <row r="86">
          <cell r="D86">
            <v>3</v>
          </cell>
          <cell r="E86">
            <v>6302</v>
          </cell>
        </row>
        <row r="87">
          <cell r="D87">
            <v>1</v>
          </cell>
          <cell r="E87">
            <v>6259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29" refreshError="1"/>
      <sheetData sheetId="3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1945</v>
          </cell>
        </row>
        <row r="10">
          <cell r="D10">
            <v>2</v>
          </cell>
          <cell r="E10">
            <v>1935</v>
          </cell>
        </row>
        <row r="11">
          <cell r="D11">
            <v>3</v>
          </cell>
          <cell r="E11">
            <v>1949</v>
          </cell>
        </row>
        <row r="12">
          <cell r="D12">
            <v>1</v>
          </cell>
          <cell r="E12">
            <v>1932</v>
          </cell>
        </row>
        <row r="13">
          <cell r="D13">
            <v>2</v>
          </cell>
          <cell r="E13">
            <v>1920</v>
          </cell>
        </row>
        <row r="14">
          <cell r="D14">
            <v>3</v>
          </cell>
          <cell r="E14">
            <v>1919</v>
          </cell>
        </row>
        <row r="15">
          <cell r="D15">
            <v>1</v>
          </cell>
          <cell r="E15">
            <v>1918</v>
          </cell>
        </row>
        <row r="16">
          <cell r="D16">
            <v>2</v>
          </cell>
          <cell r="E16">
            <v>1902</v>
          </cell>
        </row>
        <row r="17">
          <cell r="D17">
            <v>3</v>
          </cell>
          <cell r="E17">
            <v>1912</v>
          </cell>
        </row>
        <row r="18">
          <cell r="D18">
            <v>1</v>
          </cell>
          <cell r="E18">
            <v>1932</v>
          </cell>
        </row>
        <row r="19">
          <cell r="D19">
            <v>2</v>
          </cell>
          <cell r="E19">
            <v>1946</v>
          </cell>
        </row>
        <row r="20">
          <cell r="D20">
            <v>3</v>
          </cell>
          <cell r="E20">
            <v>1936</v>
          </cell>
        </row>
        <row r="21">
          <cell r="D21">
            <v>1</v>
          </cell>
          <cell r="E21">
            <v>1930</v>
          </cell>
        </row>
        <row r="22">
          <cell r="D22">
            <v>2</v>
          </cell>
          <cell r="E22">
            <v>1913</v>
          </cell>
        </row>
        <row r="23">
          <cell r="D23">
            <v>3</v>
          </cell>
          <cell r="E23">
            <v>1885</v>
          </cell>
        </row>
        <row r="24">
          <cell r="D24">
            <v>1</v>
          </cell>
          <cell r="E24">
            <v>1831</v>
          </cell>
        </row>
        <row r="25">
          <cell r="D25">
            <v>2</v>
          </cell>
          <cell r="E25">
            <v>1814</v>
          </cell>
        </row>
        <row r="26">
          <cell r="D26">
            <v>3</v>
          </cell>
          <cell r="E26">
            <v>1781</v>
          </cell>
        </row>
        <row r="27">
          <cell r="D27">
            <v>1</v>
          </cell>
          <cell r="E27">
            <v>1778</v>
          </cell>
        </row>
        <row r="28">
          <cell r="D28">
            <v>2</v>
          </cell>
          <cell r="E28">
            <v>1781</v>
          </cell>
        </row>
        <row r="29">
          <cell r="D29">
            <v>3</v>
          </cell>
          <cell r="E29">
            <v>1830</v>
          </cell>
        </row>
        <row r="30">
          <cell r="D30">
            <v>1</v>
          </cell>
          <cell r="E30">
            <v>1855</v>
          </cell>
        </row>
        <row r="31">
          <cell r="D31">
            <v>2</v>
          </cell>
          <cell r="E31">
            <v>1880</v>
          </cell>
        </row>
        <row r="32">
          <cell r="D32">
            <v>3</v>
          </cell>
          <cell r="E32">
            <v>1859</v>
          </cell>
        </row>
        <row r="33">
          <cell r="D33">
            <v>1</v>
          </cell>
          <cell r="E33">
            <v>1865</v>
          </cell>
        </row>
        <row r="34">
          <cell r="D34">
            <v>2</v>
          </cell>
          <cell r="E34">
            <v>1872</v>
          </cell>
        </row>
        <row r="35">
          <cell r="D35">
            <v>3</v>
          </cell>
          <cell r="E35">
            <v>1895</v>
          </cell>
        </row>
        <row r="36">
          <cell r="D36">
            <v>1</v>
          </cell>
          <cell r="E36">
            <v>1901</v>
          </cell>
        </row>
        <row r="37">
          <cell r="D37">
            <v>2</v>
          </cell>
          <cell r="E37">
            <v>1920</v>
          </cell>
        </row>
        <row r="38">
          <cell r="D38">
            <v>3</v>
          </cell>
          <cell r="E38">
            <v>1914</v>
          </cell>
        </row>
        <row r="39">
          <cell r="D39">
            <v>1</v>
          </cell>
          <cell r="E39">
            <v>1912</v>
          </cell>
        </row>
        <row r="40">
          <cell r="D40">
            <v>2</v>
          </cell>
          <cell r="E40">
            <v>1930</v>
          </cell>
        </row>
        <row r="41">
          <cell r="D41">
            <v>3</v>
          </cell>
          <cell r="E41">
            <v>1935</v>
          </cell>
        </row>
        <row r="42">
          <cell r="D42">
            <v>1</v>
          </cell>
          <cell r="E42">
            <v>1921</v>
          </cell>
        </row>
        <row r="43">
          <cell r="D43">
            <v>2</v>
          </cell>
          <cell r="E43">
            <v>1896</v>
          </cell>
        </row>
        <row r="44">
          <cell r="D44">
            <v>3</v>
          </cell>
          <cell r="E44">
            <v>1928</v>
          </cell>
        </row>
        <row r="45">
          <cell r="D45">
            <v>1</v>
          </cell>
          <cell r="E45">
            <v>1943</v>
          </cell>
        </row>
        <row r="46">
          <cell r="D46">
            <v>2</v>
          </cell>
          <cell r="E46">
            <v>1945</v>
          </cell>
        </row>
        <row r="47">
          <cell r="D47">
            <v>3</v>
          </cell>
          <cell r="E47">
            <v>1922</v>
          </cell>
        </row>
        <row r="48">
          <cell r="D48">
            <v>1</v>
          </cell>
          <cell r="E48">
            <v>1917</v>
          </cell>
        </row>
        <row r="49">
          <cell r="D49">
            <v>2</v>
          </cell>
          <cell r="E49">
            <v>1916</v>
          </cell>
        </row>
        <row r="50">
          <cell r="D50">
            <v>3</v>
          </cell>
          <cell r="E50">
            <v>1908</v>
          </cell>
        </row>
        <row r="51">
          <cell r="D51">
            <v>1</v>
          </cell>
          <cell r="E51">
            <v>1891</v>
          </cell>
        </row>
        <row r="52">
          <cell r="D52">
            <v>2</v>
          </cell>
          <cell r="E52">
            <v>1953</v>
          </cell>
        </row>
        <row r="53">
          <cell r="D53">
            <v>3</v>
          </cell>
          <cell r="E53">
            <v>2017</v>
          </cell>
        </row>
        <row r="54">
          <cell r="D54">
            <v>1</v>
          </cell>
          <cell r="E54">
            <v>2088</v>
          </cell>
        </row>
        <row r="55">
          <cell r="D55">
            <v>2</v>
          </cell>
          <cell r="E55">
            <v>2142</v>
          </cell>
        </row>
        <row r="56">
          <cell r="D56">
            <v>3</v>
          </cell>
          <cell r="E56">
            <v>2152</v>
          </cell>
        </row>
        <row r="57">
          <cell r="D57">
            <v>1</v>
          </cell>
          <cell r="E57">
            <v>2170</v>
          </cell>
        </row>
        <row r="58">
          <cell r="D58">
            <v>2</v>
          </cell>
          <cell r="E58">
            <v>2120</v>
          </cell>
        </row>
        <row r="59">
          <cell r="D59">
            <v>3</v>
          </cell>
          <cell r="E59">
            <v>2094</v>
          </cell>
        </row>
        <row r="60">
          <cell r="D60">
            <v>1</v>
          </cell>
          <cell r="E60">
            <v>2064</v>
          </cell>
        </row>
        <row r="61">
          <cell r="D61">
            <v>2</v>
          </cell>
          <cell r="E61">
            <v>2041</v>
          </cell>
        </row>
        <row r="62">
          <cell r="D62">
            <v>3</v>
          </cell>
          <cell r="E62">
            <v>2043</v>
          </cell>
        </row>
        <row r="63">
          <cell r="D63">
            <v>1</v>
          </cell>
          <cell r="E63">
            <v>2029</v>
          </cell>
        </row>
        <row r="64">
          <cell r="D64">
            <v>2</v>
          </cell>
          <cell r="E64">
            <v>2013</v>
          </cell>
        </row>
        <row r="65">
          <cell r="D65">
            <v>3</v>
          </cell>
          <cell r="E65">
            <v>1962</v>
          </cell>
        </row>
        <row r="66">
          <cell r="D66">
            <v>1</v>
          </cell>
          <cell r="E66">
            <v>1946</v>
          </cell>
        </row>
        <row r="67">
          <cell r="D67">
            <v>2</v>
          </cell>
          <cell r="E67">
            <v>1924</v>
          </cell>
        </row>
        <row r="68">
          <cell r="D68">
            <v>3</v>
          </cell>
          <cell r="E68">
            <v>1918</v>
          </cell>
        </row>
        <row r="69">
          <cell r="D69">
            <v>1</v>
          </cell>
          <cell r="E69">
            <v>1909</v>
          </cell>
        </row>
        <row r="70">
          <cell r="D70">
            <v>2</v>
          </cell>
          <cell r="E70">
            <v>1877</v>
          </cell>
        </row>
        <row r="71">
          <cell r="D71">
            <v>3</v>
          </cell>
          <cell r="E71">
            <v>1879</v>
          </cell>
        </row>
        <row r="72">
          <cell r="D72">
            <v>1</v>
          </cell>
          <cell r="E72">
            <v>1866</v>
          </cell>
        </row>
        <row r="73">
          <cell r="D73">
            <v>2</v>
          </cell>
          <cell r="E73">
            <v>1866</v>
          </cell>
        </row>
        <row r="74">
          <cell r="D74">
            <v>3</v>
          </cell>
          <cell r="E74">
            <v>1831</v>
          </cell>
        </row>
        <row r="75">
          <cell r="D75">
            <v>1</v>
          </cell>
          <cell r="E75">
            <v>1832</v>
          </cell>
        </row>
        <row r="76">
          <cell r="D76">
            <v>2</v>
          </cell>
          <cell r="E76">
            <v>1840</v>
          </cell>
        </row>
        <row r="77">
          <cell r="D77">
            <v>3</v>
          </cell>
          <cell r="E77">
            <v>1889</v>
          </cell>
        </row>
        <row r="78">
          <cell r="D78">
            <v>1</v>
          </cell>
          <cell r="E78">
            <v>1876</v>
          </cell>
        </row>
        <row r="79">
          <cell r="D79">
            <v>2</v>
          </cell>
          <cell r="E79">
            <v>1864</v>
          </cell>
        </row>
        <row r="80">
          <cell r="D80">
            <v>3</v>
          </cell>
          <cell r="E80">
            <v>1869</v>
          </cell>
        </row>
        <row r="81">
          <cell r="D81">
            <v>1</v>
          </cell>
          <cell r="E81">
            <v>1860</v>
          </cell>
        </row>
        <row r="82">
          <cell r="D82">
            <v>2</v>
          </cell>
          <cell r="E82">
            <v>1826</v>
          </cell>
        </row>
        <row r="83">
          <cell r="D83">
            <v>3</v>
          </cell>
          <cell r="E83">
            <v>1806</v>
          </cell>
        </row>
        <row r="84">
          <cell r="D84">
            <v>1</v>
          </cell>
          <cell r="E84">
            <v>1835</v>
          </cell>
        </row>
        <row r="85">
          <cell r="D85">
            <v>2</v>
          </cell>
          <cell r="E85">
            <v>1855</v>
          </cell>
        </row>
        <row r="86">
          <cell r="D86">
            <v>3</v>
          </cell>
          <cell r="E86">
            <v>1850</v>
          </cell>
        </row>
        <row r="87">
          <cell r="D87">
            <v>1</v>
          </cell>
          <cell r="E87">
            <v>1811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31" refreshError="1"/>
      <sheetData sheetId="3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4146</v>
          </cell>
        </row>
        <row r="10">
          <cell r="D10">
            <v>2</v>
          </cell>
          <cell r="E10">
            <v>4146</v>
          </cell>
        </row>
        <row r="11">
          <cell r="D11">
            <v>3</v>
          </cell>
          <cell r="E11">
            <v>4191</v>
          </cell>
        </row>
        <row r="12">
          <cell r="D12">
            <v>1</v>
          </cell>
          <cell r="E12">
            <v>4209</v>
          </cell>
        </row>
        <row r="13">
          <cell r="D13">
            <v>2</v>
          </cell>
          <cell r="E13">
            <v>4213</v>
          </cell>
        </row>
        <row r="14">
          <cell r="D14">
            <v>3</v>
          </cell>
          <cell r="E14">
            <v>4218</v>
          </cell>
        </row>
        <row r="15">
          <cell r="D15">
            <v>1</v>
          </cell>
          <cell r="E15">
            <v>4221</v>
          </cell>
        </row>
        <row r="16">
          <cell r="D16">
            <v>2</v>
          </cell>
          <cell r="E16">
            <v>4218</v>
          </cell>
        </row>
        <row r="17">
          <cell r="D17">
            <v>3</v>
          </cell>
          <cell r="E17">
            <v>4224</v>
          </cell>
        </row>
        <row r="18">
          <cell r="D18">
            <v>1</v>
          </cell>
          <cell r="E18">
            <v>4240</v>
          </cell>
        </row>
        <row r="19">
          <cell r="D19">
            <v>2</v>
          </cell>
          <cell r="E19">
            <v>4220</v>
          </cell>
        </row>
        <row r="20">
          <cell r="D20">
            <v>3</v>
          </cell>
          <cell r="E20">
            <v>4192</v>
          </cell>
        </row>
        <row r="21">
          <cell r="D21">
            <v>1</v>
          </cell>
          <cell r="E21">
            <v>4149</v>
          </cell>
        </row>
        <row r="22">
          <cell r="D22">
            <v>2</v>
          </cell>
          <cell r="E22">
            <v>4166</v>
          </cell>
        </row>
        <row r="23">
          <cell r="D23">
            <v>3</v>
          </cell>
          <cell r="E23">
            <v>4177</v>
          </cell>
        </row>
        <row r="24">
          <cell r="D24">
            <v>1</v>
          </cell>
          <cell r="E24">
            <v>4122</v>
          </cell>
        </row>
        <row r="25">
          <cell r="D25">
            <v>2</v>
          </cell>
          <cell r="E25">
            <v>4132</v>
          </cell>
        </row>
        <row r="26">
          <cell r="D26">
            <v>3</v>
          </cell>
          <cell r="E26">
            <v>4081</v>
          </cell>
        </row>
        <row r="27">
          <cell r="D27">
            <v>1</v>
          </cell>
          <cell r="E27">
            <v>4162</v>
          </cell>
        </row>
        <row r="28">
          <cell r="D28">
            <v>2</v>
          </cell>
          <cell r="E28">
            <v>4163</v>
          </cell>
        </row>
        <row r="29">
          <cell r="D29">
            <v>3</v>
          </cell>
          <cell r="E29">
            <v>4153</v>
          </cell>
        </row>
        <row r="30">
          <cell r="D30">
            <v>1</v>
          </cell>
          <cell r="E30">
            <v>4115</v>
          </cell>
        </row>
        <row r="31">
          <cell r="D31">
            <v>2</v>
          </cell>
          <cell r="E31">
            <v>4068</v>
          </cell>
        </row>
        <row r="32">
          <cell r="D32">
            <v>3</v>
          </cell>
          <cell r="E32">
            <v>4093</v>
          </cell>
        </row>
        <row r="33">
          <cell r="D33">
            <v>1</v>
          </cell>
          <cell r="E33">
            <v>4064</v>
          </cell>
        </row>
        <row r="34">
          <cell r="D34">
            <v>2</v>
          </cell>
          <cell r="E34">
            <v>4060</v>
          </cell>
        </row>
        <row r="35">
          <cell r="D35">
            <v>3</v>
          </cell>
          <cell r="E35">
            <v>4050</v>
          </cell>
        </row>
        <row r="36">
          <cell r="D36">
            <v>1</v>
          </cell>
          <cell r="E36">
            <v>4101</v>
          </cell>
        </row>
        <row r="37">
          <cell r="D37">
            <v>2</v>
          </cell>
          <cell r="E37">
            <v>4082</v>
          </cell>
        </row>
        <row r="38">
          <cell r="D38">
            <v>3</v>
          </cell>
          <cell r="E38">
            <v>4038</v>
          </cell>
        </row>
        <row r="39">
          <cell r="D39">
            <v>1</v>
          </cell>
          <cell r="E39">
            <v>4066</v>
          </cell>
        </row>
        <row r="40">
          <cell r="D40">
            <v>2</v>
          </cell>
          <cell r="E40">
            <v>4064</v>
          </cell>
        </row>
        <row r="41">
          <cell r="D41">
            <v>3</v>
          </cell>
          <cell r="E41">
            <v>4066</v>
          </cell>
        </row>
        <row r="42">
          <cell r="D42">
            <v>1</v>
          </cell>
          <cell r="E42">
            <v>4060</v>
          </cell>
        </row>
        <row r="43">
          <cell r="D43">
            <v>2</v>
          </cell>
          <cell r="E43">
            <v>4101</v>
          </cell>
        </row>
        <row r="44">
          <cell r="D44">
            <v>3</v>
          </cell>
          <cell r="E44">
            <v>4110</v>
          </cell>
        </row>
        <row r="45">
          <cell r="D45">
            <v>1</v>
          </cell>
          <cell r="E45">
            <v>4076</v>
          </cell>
        </row>
        <row r="46">
          <cell r="D46">
            <v>2</v>
          </cell>
          <cell r="E46">
            <v>4039</v>
          </cell>
        </row>
        <row r="47">
          <cell r="D47">
            <v>3</v>
          </cell>
          <cell r="E47">
            <v>4051</v>
          </cell>
        </row>
        <row r="48">
          <cell r="D48">
            <v>1</v>
          </cell>
          <cell r="E48">
            <v>4084</v>
          </cell>
        </row>
        <row r="49">
          <cell r="D49">
            <v>2</v>
          </cell>
          <cell r="E49">
            <v>4130</v>
          </cell>
        </row>
        <row r="50">
          <cell r="D50">
            <v>3</v>
          </cell>
          <cell r="E50">
            <v>4130</v>
          </cell>
        </row>
        <row r="51">
          <cell r="D51">
            <v>1</v>
          </cell>
          <cell r="E51">
            <v>4124</v>
          </cell>
        </row>
        <row r="52">
          <cell r="D52">
            <v>2</v>
          </cell>
          <cell r="E52">
            <v>4196</v>
          </cell>
        </row>
        <row r="53">
          <cell r="D53">
            <v>3</v>
          </cell>
          <cell r="E53">
            <v>4218</v>
          </cell>
        </row>
        <row r="54">
          <cell r="D54">
            <v>1</v>
          </cell>
          <cell r="E54">
            <v>4190</v>
          </cell>
        </row>
        <row r="55">
          <cell r="D55">
            <v>2</v>
          </cell>
          <cell r="E55">
            <v>4091</v>
          </cell>
        </row>
        <row r="56">
          <cell r="D56">
            <v>3</v>
          </cell>
          <cell r="E56">
            <v>4051</v>
          </cell>
        </row>
        <row r="57">
          <cell r="D57">
            <v>1</v>
          </cell>
          <cell r="E57">
            <v>4051</v>
          </cell>
        </row>
        <row r="58">
          <cell r="D58">
            <v>2</v>
          </cell>
          <cell r="E58">
            <v>4102</v>
          </cell>
        </row>
        <row r="59">
          <cell r="D59">
            <v>3</v>
          </cell>
          <cell r="E59">
            <v>4185</v>
          </cell>
        </row>
        <row r="60">
          <cell r="D60">
            <v>1</v>
          </cell>
          <cell r="E60">
            <v>4162</v>
          </cell>
        </row>
        <row r="61">
          <cell r="D61">
            <v>2</v>
          </cell>
          <cell r="E61">
            <v>4132</v>
          </cell>
        </row>
        <row r="62">
          <cell r="D62">
            <v>3</v>
          </cell>
          <cell r="E62">
            <v>4079</v>
          </cell>
        </row>
        <row r="63">
          <cell r="D63">
            <v>1</v>
          </cell>
          <cell r="E63">
            <v>4094</v>
          </cell>
        </row>
        <row r="64">
          <cell r="D64">
            <v>2</v>
          </cell>
          <cell r="E64">
            <v>4125</v>
          </cell>
        </row>
        <row r="65">
          <cell r="D65">
            <v>3</v>
          </cell>
          <cell r="E65">
            <v>4115</v>
          </cell>
        </row>
        <row r="66">
          <cell r="D66">
            <v>1</v>
          </cell>
          <cell r="E66">
            <v>4162</v>
          </cell>
        </row>
        <row r="67">
          <cell r="D67">
            <v>2</v>
          </cell>
          <cell r="E67">
            <v>4131</v>
          </cell>
        </row>
        <row r="68">
          <cell r="D68">
            <v>3</v>
          </cell>
          <cell r="E68">
            <v>4124</v>
          </cell>
        </row>
        <row r="69">
          <cell r="D69">
            <v>1</v>
          </cell>
          <cell r="E69">
            <v>4149</v>
          </cell>
        </row>
        <row r="70">
          <cell r="D70">
            <v>2</v>
          </cell>
          <cell r="E70">
            <v>4226</v>
          </cell>
        </row>
        <row r="71">
          <cell r="D71">
            <v>3</v>
          </cell>
          <cell r="E71">
            <v>4254</v>
          </cell>
        </row>
        <row r="72">
          <cell r="D72">
            <v>1</v>
          </cell>
          <cell r="E72">
            <v>4238</v>
          </cell>
        </row>
        <row r="73">
          <cell r="D73">
            <v>2</v>
          </cell>
          <cell r="E73">
            <v>4218</v>
          </cell>
        </row>
        <row r="74">
          <cell r="D74">
            <v>3</v>
          </cell>
          <cell r="E74">
            <v>4280</v>
          </cell>
        </row>
        <row r="75">
          <cell r="D75">
            <v>1</v>
          </cell>
          <cell r="E75">
            <v>4344</v>
          </cell>
        </row>
        <row r="76">
          <cell r="D76">
            <v>2</v>
          </cell>
          <cell r="E76">
            <v>4421</v>
          </cell>
        </row>
        <row r="77">
          <cell r="D77">
            <v>3</v>
          </cell>
          <cell r="E77">
            <v>4438</v>
          </cell>
        </row>
        <row r="78">
          <cell r="D78">
            <v>1</v>
          </cell>
          <cell r="E78">
            <v>4494</v>
          </cell>
        </row>
        <row r="79">
          <cell r="D79">
            <v>2</v>
          </cell>
          <cell r="E79">
            <v>4459</v>
          </cell>
        </row>
        <row r="80">
          <cell r="D80">
            <v>3</v>
          </cell>
          <cell r="E80">
            <v>4424</v>
          </cell>
        </row>
        <row r="81">
          <cell r="D81">
            <v>1</v>
          </cell>
          <cell r="E81">
            <v>4343</v>
          </cell>
        </row>
        <row r="82">
          <cell r="D82">
            <v>2</v>
          </cell>
          <cell r="E82">
            <v>4340</v>
          </cell>
        </row>
        <row r="83">
          <cell r="D83">
            <v>3</v>
          </cell>
          <cell r="E83">
            <v>4331</v>
          </cell>
        </row>
        <row r="84">
          <cell r="D84">
            <v>1</v>
          </cell>
          <cell r="E84">
            <v>4396</v>
          </cell>
        </row>
        <row r="85">
          <cell r="D85">
            <v>2</v>
          </cell>
          <cell r="E85">
            <v>4421</v>
          </cell>
        </row>
        <row r="86">
          <cell r="D86">
            <v>3</v>
          </cell>
          <cell r="E86">
            <v>4452</v>
          </cell>
        </row>
        <row r="87">
          <cell r="D87">
            <v>1</v>
          </cell>
          <cell r="E87">
            <v>4448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33" refreshError="1"/>
      <sheetData sheetId="3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10979</v>
          </cell>
        </row>
        <row r="10">
          <cell r="D10">
            <v>2</v>
          </cell>
          <cell r="E10">
            <v>11097</v>
          </cell>
        </row>
        <row r="11">
          <cell r="D11">
            <v>3</v>
          </cell>
          <cell r="E11">
            <v>11131</v>
          </cell>
        </row>
        <row r="12">
          <cell r="D12">
            <v>1</v>
          </cell>
          <cell r="E12">
            <v>11237</v>
          </cell>
        </row>
        <row r="13">
          <cell r="D13">
            <v>2</v>
          </cell>
          <cell r="E13">
            <v>11329</v>
          </cell>
        </row>
        <row r="14">
          <cell r="D14">
            <v>3</v>
          </cell>
          <cell r="E14">
            <v>11421</v>
          </cell>
        </row>
        <row r="15">
          <cell r="D15">
            <v>1</v>
          </cell>
          <cell r="E15">
            <v>11372</v>
          </cell>
        </row>
        <row r="16">
          <cell r="D16">
            <v>2</v>
          </cell>
          <cell r="E16">
            <v>11329</v>
          </cell>
        </row>
        <row r="17">
          <cell r="D17">
            <v>3</v>
          </cell>
          <cell r="E17">
            <v>11248</v>
          </cell>
        </row>
        <row r="18">
          <cell r="D18">
            <v>1</v>
          </cell>
          <cell r="E18">
            <v>11103</v>
          </cell>
        </row>
        <row r="19">
          <cell r="D19">
            <v>2</v>
          </cell>
          <cell r="E19">
            <v>10888</v>
          </cell>
        </row>
        <row r="20">
          <cell r="D20">
            <v>3</v>
          </cell>
          <cell r="E20">
            <v>10821</v>
          </cell>
        </row>
        <row r="21">
          <cell r="D21">
            <v>1</v>
          </cell>
          <cell r="E21">
            <v>10876</v>
          </cell>
        </row>
        <row r="22">
          <cell r="D22">
            <v>2</v>
          </cell>
          <cell r="E22">
            <v>11085</v>
          </cell>
        </row>
        <row r="23">
          <cell r="D23">
            <v>3</v>
          </cell>
          <cell r="E23">
            <v>11127</v>
          </cell>
        </row>
        <row r="24">
          <cell r="D24">
            <v>1</v>
          </cell>
          <cell r="E24">
            <v>11264</v>
          </cell>
        </row>
        <row r="25">
          <cell r="D25">
            <v>2</v>
          </cell>
          <cell r="E25">
            <v>11328</v>
          </cell>
        </row>
        <row r="26">
          <cell r="D26">
            <v>3</v>
          </cell>
          <cell r="E26">
            <v>11364</v>
          </cell>
        </row>
        <row r="27">
          <cell r="D27">
            <v>1</v>
          </cell>
          <cell r="E27">
            <v>11325</v>
          </cell>
        </row>
        <row r="28">
          <cell r="D28">
            <v>2</v>
          </cell>
          <cell r="E28">
            <v>11317</v>
          </cell>
        </row>
        <row r="29">
          <cell r="D29">
            <v>3</v>
          </cell>
          <cell r="E29">
            <v>11313</v>
          </cell>
        </row>
        <row r="30">
          <cell r="D30">
            <v>1</v>
          </cell>
          <cell r="E30">
            <v>11232</v>
          </cell>
        </row>
        <row r="31">
          <cell r="D31">
            <v>2</v>
          </cell>
          <cell r="E31">
            <v>11101</v>
          </cell>
        </row>
        <row r="32">
          <cell r="D32">
            <v>3</v>
          </cell>
          <cell r="E32">
            <v>11082</v>
          </cell>
        </row>
        <row r="33">
          <cell r="D33">
            <v>1</v>
          </cell>
          <cell r="E33">
            <v>11196</v>
          </cell>
        </row>
        <row r="34">
          <cell r="D34">
            <v>2</v>
          </cell>
          <cell r="E34">
            <v>11362</v>
          </cell>
        </row>
        <row r="35">
          <cell r="D35">
            <v>3</v>
          </cell>
          <cell r="E35">
            <v>11444</v>
          </cell>
        </row>
        <row r="36">
          <cell r="D36">
            <v>1</v>
          </cell>
          <cell r="E36">
            <v>11389</v>
          </cell>
        </row>
        <row r="37">
          <cell r="D37">
            <v>2</v>
          </cell>
          <cell r="E37">
            <v>11447</v>
          </cell>
        </row>
        <row r="38">
          <cell r="D38">
            <v>3</v>
          </cell>
          <cell r="E38">
            <v>11518</v>
          </cell>
        </row>
        <row r="39">
          <cell r="D39">
            <v>1</v>
          </cell>
          <cell r="E39">
            <v>11559</v>
          </cell>
        </row>
        <row r="40">
          <cell r="D40">
            <v>2</v>
          </cell>
          <cell r="E40">
            <v>11668</v>
          </cell>
        </row>
        <row r="41">
          <cell r="D41">
            <v>3</v>
          </cell>
          <cell r="E41">
            <v>11650</v>
          </cell>
        </row>
        <row r="42">
          <cell r="D42">
            <v>1</v>
          </cell>
          <cell r="E42">
            <v>11607</v>
          </cell>
        </row>
        <row r="43">
          <cell r="D43">
            <v>2</v>
          </cell>
          <cell r="E43">
            <v>11442</v>
          </cell>
        </row>
        <row r="44">
          <cell r="D44">
            <v>3</v>
          </cell>
          <cell r="E44">
            <v>11371</v>
          </cell>
        </row>
        <row r="45">
          <cell r="D45">
            <v>1</v>
          </cell>
          <cell r="E45">
            <v>11347</v>
          </cell>
        </row>
        <row r="46">
          <cell r="D46">
            <v>2</v>
          </cell>
          <cell r="E46">
            <v>11466</v>
          </cell>
        </row>
        <row r="47">
          <cell r="D47">
            <v>3</v>
          </cell>
          <cell r="E47">
            <v>11433</v>
          </cell>
        </row>
        <row r="48">
          <cell r="D48">
            <v>1</v>
          </cell>
          <cell r="E48">
            <v>11454</v>
          </cell>
        </row>
        <row r="49">
          <cell r="D49">
            <v>2</v>
          </cell>
          <cell r="E49">
            <v>11484</v>
          </cell>
        </row>
        <row r="50">
          <cell r="D50">
            <v>3</v>
          </cell>
          <cell r="E50">
            <v>11555</v>
          </cell>
        </row>
        <row r="51">
          <cell r="D51">
            <v>1</v>
          </cell>
          <cell r="E51">
            <v>11547</v>
          </cell>
        </row>
        <row r="52">
          <cell r="D52">
            <v>2</v>
          </cell>
          <cell r="E52">
            <v>11506</v>
          </cell>
        </row>
        <row r="53">
          <cell r="D53">
            <v>3</v>
          </cell>
          <cell r="E53">
            <v>11380</v>
          </cell>
        </row>
        <row r="54">
          <cell r="D54">
            <v>1</v>
          </cell>
          <cell r="E54">
            <v>11324</v>
          </cell>
        </row>
        <row r="55">
          <cell r="D55">
            <v>2</v>
          </cell>
          <cell r="E55">
            <v>11185</v>
          </cell>
        </row>
        <row r="56">
          <cell r="D56">
            <v>3</v>
          </cell>
          <cell r="E56">
            <v>11025</v>
          </cell>
        </row>
        <row r="57">
          <cell r="D57">
            <v>1</v>
          </cell>
          <cell r="E57">
            <v>10975</v>
          </cell>
        </row>
        <row r="58">
          <cell r="D58">
            <v>2</v>
          </cell>
          <cell r="E58">
            <v>11082</v>
          </cell>
        </row>
        <row r="59">
          <cell r="D59">
            <v>3</v>
          </cell>
          <cell r="E59">
            <v>11183</v>
          </cell>
        </row>
        <row r="60">
          <cell r="D60">
            <v>1</v>
          </cell>
          <cell r="E60">
            <v>11300</v>
          </cell>
        </row>
        <row r="61">
          <cell r="D61">
            <v>2</v>
          </cell>
          <cell r="E61">
            <v>11242</v>
          </cell>
        </row>
        <row r="62">
          <cell r="D62">
            <v>3</v>
          </cell>
          <cell r="E62">
            <v>11361</v>
          </cell>
        </row>
        <row r="63">
          <cell r="D63">
            <v>1</v>
          </cell>
          <cell r="E63">
            <v>11329</v>
          </cell>
        </row>
        <row r="64">
          <cell r="D64">
            <v>2</v>
          </cell>
          <cell r="E64">
            <v>11391</v>
          </cell>
        </row>
        <row r="65">
          <cell r="D65">
            <v>3</v>
          </cell>
          <cell r="E65">
            <v>11411</v>
          </cell>
        </row>
        <row r="66">
          <cell r="D66">
            <v>1</v>
          </cell>
          <cell r="E66">
            <v>11250</v>
          </cell>
        </row>
        <row r="67">
          <cell r="D67">
            <v>2</v>
          </cell>
          <cell r="E67">
            <v>10986</v>
          </cell>
        </row>
        <row r="68">
          <cell r="D68">
            <v>3</v>
          </cell>
          <cell r="E68">
            <v>10836</v>
          </cell>
        </row>
        <row r="69">
          <cell r="D69">
            <v>1</v>
          </cell>
          <cell r="E69">
            <v>10872</v>
          </cell>
        </row>
        <row r="70">
          <cell r="D70">
            <v>2</v>
          </cell>
          <cell r="E70">
            <v>11012</v>
          </cell>
        </row>
        <row r="71">
          <cell r="D71">
            <v>3</v>
          </cell>
          <cell r="E71">
            <v>11165</v>
          </cell>
        </row>
        <row r="72">
          <cell r="D72">
            <v>1</v>
          </cell>
          <cell r="E72">
            <v>11299</v>
          </cell>
        </row>
        <row r="73">
          <cell r="D73">
            <v>2</v>
          </cell>
          <cell r="E73">
            <v>11435</v>
          </cell>
        </row>
        <row r="74">
          <cell r="D74">
            <v>3</v>
          </cell>
          <cell r="E74">
            <v>11460</v>
          </cell>
        </row>
        <row r="75">
          <cell r="D75">
            <v>1</v>
          </cell>
          <cell r="E75">
            <v>11490</v>
          </cell>
        </row>
        <row r="76">
          <cell r="D76">
            <v>2</v>
          </cell>
          <cell r="E76">
            <v>11523</v>
          </cell>
        </row>
        <row r="77">
          <cell r="D77">
            <v>3</v>
          </cell>
          <cell r="E77">
            <v>11553</v>
          </cell>
        </row>
        <row r="78">
          <cell r="D78">
            <v>1</v>
          </cell>
          <cell r="E78">
            <v>11472</v>
          </cell>
        </row>
        <row r="79">
          <cell r="D79">
            <v>2</v>
          </cell>
          <cell r="E79">
            <v>11303</v>
          </cell>
        </row>
        <row r="80">
          <cell r="D80">
            <v>3</v>
          </cell>
          <cell r="E80">
            <v>11195</v>
          </cell>
        </row>
        <row r="81">
          <cell r="D81">
            <v>1</v>
          </cell>
          <cell r="E81">
            <v>11217</v>
          </cell>
        </row>
        <row r="82">
          <cell r="D82">
            <v>2</v>
          </cell>
          <cell r="E82">
            <v>11371</v>
          </cell>
        </row>
        <row r="83">
          <cell r="D83">
            <v>3</v>
          </cell>
          <cell r="E83">
            <v>11485</v>
          </cell>
        </row>
        <row r="84">
          <cell r="D84">
            <v>1</v>
          </cell>
          <cell r="E84">
            <v>11609</v>
          </cell>
        </row>
        <row r="85">
          <cell r="D85">
            <v>2</v>
          </cell>
          <cell r="E85">
            <v>11655</v>
          </cell>
        </row>
        <row r="86">
          <cell r="D86">
            <v>3</v>
          </cell>
          <cell r="E86">
            <v>11718</v>
          </cell>
        </row>
        <row r="87">
          <cell r="D87">
            <v>1</v>
          </cell>
          <cell r="E87">
            <v>11732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35" refreshError="1"/>
      <sheetData sheetId="3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1463</v>
          </cell>
        </row>
        <row r="10">
          <cell r="D10">
            <v>2</v>
          </cell>
          <cell r="E10">
            <v>1451</v>
          </cell>
        </row>
        <row r="11">
          <cell r="D11">
            <v>3</v>
          </cell>
          <cell r="E11">
            <v>1450</v>
          </cell>
        </row>
        <row r="12">
          <cell r="D12">
            <v>1</v>
          </cell>
          <cell r="E12">
            <v>1481</v>
          </cell>
        </row>
        <row r="13">
          <cell r="D13">
            <v>2</v>
          </cell>
          <cell r="E13">
            <v>1436</v>
          </cell>
        </row>
        <row r="14">
          <cell r="D14">
            <v>3</v>
          </cell>
          <cell r="E14">
            <v>1447</v>
          </cell>
        </row>
        <row r="15">
          <cell r="D15">
            <v>1</v>
          </cell>
          <cell r="E15">
            <v>1388</v>
          </cell>
        </row>
        <row r="16">
          <cell r="D16">
            <v>2</v>
          </cell>
          <cell r="E16">
            <v>1397</v>
          </cell>
        </row>
        <row r="17">
          <cell r="D17">
            <v>3</v>
          </cell>
          <cell r="E17">
            <v>1357</v>
          </cell>
        </row>
        <row r="18">
          <cell r="D18">
            <v>1</v>
          </cell>
          <cell r="E18">
            <v>1386</v>
          </cell>
        </row>
        <row r="19">
          <cell r="D19">
            <v>2</v>
          </cell>
          <cell r="E19">
            <v>1377</v>
          </cell>
        </row>
        <row r="20">
          <cell r="D20">
            <v>3</v>
          </cell>
          <cell r="E20">
            <v>1403</v>
          </cell>
        </row>
        <row r="21">
          <cell r="D21">
            <v>1</v>
          </cell>
          <cell r="E21">
            <v>1376</v>
          </cell>
        </row>
        <row r="22">
          <cell r="D22">
            <v>2</v>
          </cell>
          <cell r="E22">
            <v>1419</v>
          </cell>
        </row>
        <row r="23">
          <cell r="D23">
            <v>3</v>
          </cell>
          <cell r="E23">
            <v>1394</v>
          </cell>
        </row>
        <row r="24">
          <cell r="D24">
            <v>1</v>
          </cell>
          <cell r="E24">
            <v>1398</v>
          </cell>
        </row>
        <row r="25">
          <cell r="D25">
            <v>2</v>
          </cell>
          <cell r="E25">
            <v>1359</v>
          </cell>
        </row>
        <row r="26">
          <cell r="D26">
            <v>3</v>
          </cell>
          <cell r="E26">
            <v>1364</v>
          </cell>
        </row>
        <row r="27">
          <cell r="D27">
            <v>1</v>
          </cell>
          <cell r="E27">
            <v>1339</v>
          </cell>
        </row>
        <row r="28">
          <cell r="D28">
            <v>2</v>
          </cell>
          <cell r="E28">
            <v>1358</v>
          </cell>
        </row>
        <row r="29">
          <cell r="D29">
            <v>3</v>
          </cell>
          <cell r="E29">
            <v>1330</v>
          </cell>
        </row>
        <row r="30">
          <cell r="D30">
            <v>1</v>
          </cell>
          <cell r="E30">
            <v>1326</v>
          </cell>
        </row>
        <row r="31">
          <cell r="D31">
            <v>2</v>
          </cell>
          <cell r="E31">
            <v>1298</v>
          </cell>
        </row>
        <row r="32">
          <cell r="D32">
            <v>3</v>
          </cell>
          <cell r="E32">
            <v>1297</v>
          </cell>
        </row>
        <row r="33">
          <cell r="D33">
            <v>1</v>
          </cell>
          <cell r="E33">
            <v>1321</v>
          </cell>
        </row>
        <row r="34">
          <cell r="D34">
            <v>2</v>
          </cell>
          <cell r="E34">
            <v>1331</v>
          </cell>
        </row>
        <row r="35">
          <cell r="D35">
            <v>3</v>
          </cell>
          <cell r="E35">
            <v>1338</v>
          </cell>
        </row>
        <row r="36">
          <cell r="D36">
            <v>1</v>
          </cell>
          <cell r="E36">
            <v>1303</v>
          </cell>
        </row>
        <row r="37">
          <cell r="D37">
            <v>2</v>
          </cell>
          <cell r="E37">
            <v>1323</v>
          </cell>
        </row>
        <row r="38">
          <cell r="D38">
            <v>3</v>
          </cell>
          <cell r="E38">
            <v>1318</v>
          </cell>
        </row>
        <row r="39">
          <cell r="D39">
            <v>1</v>
          </cell>
          <cell r="E39">
            <v>1355</v>
          </cell>
        </row>
        <row r="40">
          <cell r="D40">
            <v>2</v>
          </cell>
          <cell r="E40">
            <v>1370</v>
          </cell>
        </row>
        <row r="41">
          <cell r="D41">
            <v>3</v>
          </cell>
          <cell r="E41">
            <v>1348</v>
          </cell>
        </row>
        <row r="42">
          <cell r="D42">
            <v>1</v>
          </cell>
          <cell r="E42">
            <v>1381</v>
          </cell>
        </row>
        <row r="43">
          <cell r="D43">
            <v>2</v>
          </cell>
          <cell r="E43">
            <v>1368</v>
          </cell>
        </row>
        <row r="44">
          <cell r="D44">
            <v>3</v>
          </cell>
          <cell r="E44">
            <v>1383</v>
          </cell>
        </row>
        <row r="45">
          <cell r="D45">
            <v>1</v>
          </cell>
          <cell r="E45">
            <v>1340</v>
          </cell>
        </row>
        <row r="46">
          <cell r="D46">
            <v>2</v>
          </cell>
          <cell r="E46">
            <v>1318</v>
          </cell>
        </row>
        <row r="47">
          <cell r="D47">
            <v>3</v>
          </cell>
          <cell r="E47">
            <v>1271</v>
          </cell>
        </row>
        <row r="48">
          <cell r="D48">
            <v>1</v>
          </cell>
          <cell r="E48">
            <v>1268</v>
          </cell>
        </row>
        <row r="49">
          <cell r="D49">
            <v>2</v>
          </cell>
          <cell r="E49">
            <v>1250</v>
          </cell>
        </row>
        <row r="50">
          <cell r="D50">
            <v>3</v>
          </cell>
          <cell r="E50">
            <v>1285</v>
          </cell>
        </row>
        <row r="51">
          <cell r="D51">
            <v>1</v>
          </cell>
          <cell r="E51">
            <v>1275</v>
          </cell>
        </row>
        <row r="52">
          <cell r="D52">
            <v>2</v>
          </cell>
          <cell r="E52">
            <v>1277</v>
          </cell>
        </row>
        <row r="53">
          <cell r="D53">
            <v>3</v>
          </cell>
          <cell r="E53">
            <v>1257</v>
          </cell>
        </row>
        <row r="54">
          <cell r="D54">
            <v>1</v>
          </cell>
          <cell r="E54">
            <v>1243</v>
          </cell>
        </row>
        <row r="55">
          <cell r="D55">
            <v>2</v>
          </cell>
          <cell r="E55">
            <v>1234</v>
          </cell>
        </row>
        <row r="56">
          <cell r="D56">
            <v>3</v>
          </cell>
          <cell r="E56">
            <v>1185</v>
          </cell>
        </row>
        <row r="57">
          <cell r="D57">
            <v>1</v>
          </cell>
          <cell r="E57">
            <v>1156</v>
          </cell>
        </row>
        <row r="58">
          <cell r="D58">
            <v>2</v>
          </cell>
          <cell r="E58">
            <v>1125</v>
          </cell>
        </row>
        <row r="59">
          <cell r="D59">
            <v>3</v>
          </cell>
          <cell r="E59">
            <v>1123</v>
          </cell>
        </row>
        <row r="60">
          <cell r="D60">
            <v>1</v>
          </cell>
          <cell r="E60">
            <v>1153</v>
          </cell>
        </row>
        <row r="61">
          <cell r="D61">
            <v>2</v>
          </cell>
          <cell r="E61">
            <v>1140</v>
          </cell>
        </row>
        <row r="62">
          <cell r="D62">
            <v>3</v>
          </cell>
          <cell r="E62">
            <v>1136</v>
          </cell>
        </row>
        <row r="63">
          <cell r="D63">
            <v>1</v>
          </cell>
          <cell r="E63">
            <v>1138</v>
          </cell>
        </row>
        <row r="64">
          <cell r="D64">
            <v>2</v>
          </cell>
          <cell r="E64">
            <v>1156</v>
          </cell>
        </row>
        <row r="65">
          <cell r="D65">
            <v>3</v>
          </cell>
          <cell r="E65">
            <v>1173</v>
          </cell>
        </row>
        <row r="66">
          <cell r="D66">
            <v>1</v>
          </cell>
          <cell r="E66">
            <v>1147</v>
          </cell>
        </row>
        <row r="67">
          <cell r="D67">
            <v>2</v>
          </cell>
          <cell r="E67">
            <v>1138</v>
          </cell>
        </row>
        <row r="68">
          <cell r="D68">
            <v>3</v>
          </cell>
          <cell r="E68">
            <v>1090</v>
          </cell>
        </row>
        <row r="69">
          <cell r="D69">
            <v>1</v>
          </cell>
          <cell r="E69">
            <v>1080</v>
          </cell>
        </row>
        <row r="70">
          <cell r="D70">
            <v>2</v>
          </cell>
          <cell r="E70">
            <v>1102</v>
          </cell>
        </row>
        <row r="71">
          <cell r="D71">
            <v>3</v>
          </cell>
          <cell r="E71">
            <v>1175</v>
          </cell>
        </row>
        <row r="72">
          <cell r="D72">
            <v>1</v>
          </cell>
          <cell r="E72">
            <v>1228</v>
          </cell>
        </row>
        <row r="73">
          <cell r="D73">
            <v>2</v>
          </cell>
          <cell r="E73">
            <v>1281</v>
          </cell>
        </row>
        <row r="74">
          <cell r="D74">
            <v>3</v>
          </cell>
          <cell r="E74">
            <v>1282</v>
          </cell>
        </row>
        <row r="75">
          <cell r="D75">
            <v>1</v>
          </cell>
          <cell r="E75">
            <v>1260</v>
          </cell>
        </row>
        <row r="76">
          <cell r="D76">
            <v>2</v>
          </cell>
          <cell r="E76">
            <v>1198</v>
          </cell>
        </row>
        <row r="77">
          <cell r="D77">
            <v>3</v>
          </cell>
          <cell r="E77">
            <v>1162</v>
          </cell>
        </row>
        <row r="78">
          <cell r="D78">
            <v>1</v>
          </cell>
          <cell r="E78">
            <v>1162</v>
          </cell>
        </row>
        <row r="79">
          <cell r="D79">
            <v>2</v>
          </cell>
          <cell r="E79">
            <v>1157</v>
          </cell>
        </row>
        <row r="80">
          <cell r="D80">
            <v>3</v>
          </cell>
          <cell r="E80">
            <v>1168</v>
          </cell>
        </row>
        <row r="81">
          <cell r="D81">
            <v>1</v>
          </cell>
          <cell r="E81">
            <v>1175</v>
          </cell>
        </row>
        <row r="82">
          <cell r="D82">
            <v>2</v>
          </cell>
          <cell r="E82">
            <v>1221</v>
          </cell>
        </row>
        <row r="83">
          <cell r="D83">
            <v>3</v>
          </cell>
          <cell r="E83">
            <v>1251</v>
          </cell>
        </row>
        <row r="84">
          <cell r="D84">
            <v>1</v>
          </cell>
          <cell r="E84">
            <v>1294</v>
          </cell>
        </row>
        <row r="85">
          <cell r="D85">
            <v>2</v>
          </cell>
          <cell r="E85">
            <v>1300</v>
          </cell>
        </row>
        <row r="86">
          <cell r="D86">
            <v>3</v>
          </cell>
          <cell r="E86">
            <v>1313</v>
          </cell>
        </row>
        <row r="87">
          <cell r="D87">
            <v>1</v>
          </cell>
          <cell r="E87">
            <v>1293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37" refreshError="1"/>
      <sheetData sheetId="3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7445</v>
          </cell>
        </row>
        <row r="10">
          <cell r="D10">
            <v>2</v>
          </cell>
          <cell r="E10">
            <v>7541</v>
          </cell>
        </row>
        <row r="11">
          <cell r="D11">
            <v>3</v>
          </cell>
          <cell r="E11">
            <v>7581</v>
          </cell>
        </row>
        <row r="12">
          <cell r="D12">
            <v>1</v>
          </cell>
          <cell r="E12">
            <v>7598</v>
          </cell>
        </row>
        <row r="13">
          <cell r="D13">
            <v>2</v>
          </cell>
          <cell r="E13">
            <v>7679</v>
          </cell>
        </row>
        <row r="14">
          <cell r="D14">
            <v>3</v>
          </cell>
          <cell r="E14">
            <v>7710</v>
          </cell>
        </row>
        <row r="15">
          <cell r="D15">
            <v>1</v>
          </cell>
          <cell r="E15">
            <v>7759</v>
          </cell>
        </row>
        <row r="16">
          <cell r="D16">
            <v>2</v>
          </cell>
          <cell r="E16">
            <v>7706</v>
          </cell>
        </row>
        <row r="17">
          <cell r="D17">
            <v>3</v>
          </cell>
          <cell r="E17">
            <v>7708</v>
          </cell>
        </row>
        <row r="18">
          <cell r="D18">
            <v>1</v>
          </cell>
          <cell r="E18">
            <v>7611</v>
          </cell>
        </row>
        <row r="19">
          <cell r="D19">
            <v>2</v>
          </cell>
          <cell r="E19">
            <v>7561</v>
          </cell>
        </row>
        <row r="20">
          <cell r="D20">
            <v>3</v>
          </cell>
          <cell r="E20">
            <v>7501</v>
          </cell>
        </row>
        <row r="21">
          <cell r="D21">
            <v>1</v>
          </cell>
          <cell r="E21">
            <v>7580</v>
          </cell>
        </row>
        <row r="22">
          <cell r="D22">
            <v>2</v>
          </cell>
          <cell r="E22">
            <v>7617</v>
          </cell>
        </row>
        <row r="23">
          <cell r="D23">
            <v>3</v>
          </cell>
          <cell r="E23">
            <v>7622</v>
          </cell>
        </row>
        <row r="24">
          <cell r="D24">
            <v>1</v>
          </cell>
          <cell r="E24">
            <v>7677</v>
          </cell>
        </row>
        <row r="25">
          <cell r="D25">
            <v>2</v>
          </cell>
          <cell r="E25">
            <v>7755</v>
          </cell>
        </row>
        <row r="26">
          <cell r="D26">
            <v>3</v>
          </cell>
          <cell r="E26">
            <v>7763</v>
          </cell>
        </row>
        <row r="27">
          <cell r="D27">
            <v>1</v>
          </cell>
          <cell r="E27">
            <v>7747</v>
          </cell>
        </row>
        <row r="28">
          <cell r="D28">
            <v>2</v>
          </cell>
          <cell r="E28">
            <v>7681</v>
          </cell>
        </row>
        <row r="29">
          <cell r="D29">
            <v>3</v>
          </cell>
          <cell r="E29">
            <v>7709</v>
          </cell>
        </row>
        <row r="30">
          <cell r="D30">
            <v>1</v>
          </cell>
          <cell r="E30">
            <v>7650</v>
          </cell>
        </row>
        <row r="31">
          <cell r="D31">
            <v>2</v>
          </cell>
          <cell r="E31">
            <v>7662</v>
          </cell>
        </row>
        <row r="32">
          <cell r="D32">
            <v>3</v>
          </cell>
          <cell r="E32">
            <v>7708</v>
          </cell>
        </row>
        <row r="33">
          <cell r="D33">
            <v>1</v>
          </cell>
          <cell r="E33">
            <v>7787</v>
          </cell>
        </row>
        <row r="34">
          <cell r="D34">
            <v>2</v>
          </cell>
          <cell r="E34">
            <v>7847</v>
          </cell>
        </row>
        <row r="35">
          <cell r="D35">
            <v>3</v>
          </cell>
          <cell r="E35">
            <v>7881</v>
          </cell>
        </row>
        <row r="36">
          <cell r="D36">
            <v>1</v>
          </cell>
          <cell r="E36">
            <v>7860</v>
          </cell>
        </row>
        <row r="37">
          <cell r="D37">
            <v>2</v>
          </cell>
          <cell r="E37">
            <v>7888</v>
          </cell>
        </row>
        <row r="38">
          <cell r="D38">
            <v>3</v>
          </cell>
          <cell r="E38">
            <v>7919</v>
          </cell>
        </row>
        <row r="39">
          <cell r="D39">
            <v>1</v>
          </cell>
          <cell r="E39">
            <v>7885</v>
          </cell>
        </row>
        <row r="40">
          <cell r="D40">
            <v>2</v>
          </cell>
          <cell r="E40">
            <v>7949</v>
          </cell>
        </row>
        <row r="41">
          <cell r="D41">
            <v>3</v>
          </cell>
          <cell r="E41">
            <v>7944</v>
          </cell>
        </row>
        <row r="42">
          <cell r="D42">
            <v>1</v>
          </cell>
          <cell r="E42">
            <v>7919</v>
          </cell>
        </row>
        <row r="43">
          <cell r="D43">
            <v>2</v>
          </cell>
          <cell r="E43">
            <v>7872</v>
          </cell>
        </row>
        <row r="44">
          <cell r="D44">
            <v>3</v>
          </cell>
          <cell r="E44">
            <v>7858</v>
          </cell>
        </row>
        <row r="45">
          <cell r="D45">
            <v>1</v>
          </cell>
          <cell r="E45">
            <v>7878</v>
          </cell>
        </row>
        <row r="46">
          <cell r="D46">
            <v>2</v>
          </cell>
          <cell r="E46">
            <v>7956</v>
          </cell>
        </row>
        <row r="47">
          <cell r="D47">
            <v>3</v>
          </cell>
          <cell r="E47">
            <v>7944</v>
          </cell>
        </row>
        <row r="48">
          <cell r="D48">
            <v>1</v>
          </cell>
          <cell r="E48">
            <v>7923</v>
          </cell>
        </row>
        <row r="49">
          <cell r="D49">
            <v>2</v>
          </cell>
          <cell r="E49">
            <v>7925</v>
          </cell>
        </row>
        <row r="50">
          <cell r="D50">
            <v>3</v>
          </cell>
          <cell r="E50">
            <v>7932</v>
          </cell>
        </row>
        <row r="51">
          <cell r="D51">
            <v>1</v>
          </cell>
          <cell r="E51">
            <v>7931</v>
          </cell>
        </row>
        <row r="52">
          <cell r="D52">
            <v>2</v>
          </cell>
          <cell r="E52">
            <v>7891</v>
          </cell>
        </row>
        <row r="53">
          <cell r="D53">
            <v>3</v>
          </cell>
          <cell r="E53">
            <v>7813</v>
          </cell>
        </row>
        <row r="54">
          <cell r="D54">
            <v>1</v>
          </cell>
          <cell r="E54">
            <v>7822</v>
          </cell>
        </row>
        <row r="55">
          <cell r="D55">
            <v>2</v>
          </cell>
          <cell r="E55">
            <v>7847</v>
          </cell>
        </row>
        <row r="56">
          <cell r="D56">
            <v>3</v>
          </cell>
          <cell r="E56">
            <v>7820</v>
          </cell>
        </row>
        <row r="57">
          <cell r="D57">
            <v>1</v>
          </cell>
          <cell r="E57">
            <v>7814</v>
          </cell>
        </row>
        <row r="58">
          <cell r="D58">
            <v>2</v>
          </cell>
          <cell r="E58">
            <v>7843</v>
          </cell>
        </row>
        <row r="59">
          <cell r="D59">
            <v>3</v>
          </cell>
          <cell r="E59">
            <v>7857</v>
          </cell>
        </row>
        <row r="60">
          <cell r="D60">
            <v>1</v>
          </cell>
          <cell r="E60">
            <v>7905</v>
          </cell>
        </row>
        <row r="61">
          <cell r="D61">
            <v>2</v>
          </cell>
          <cell r="E61">
            <v>7857</v>
          </cell>
        </row>
        <row r="62">
          <cell r="D62">
            <v>3</v>
          </cell>
          <cell r="E62">
            <v>7974</v>
          </cell>
        </row>
        <row r="63">
          <cell r="D63">
            <v>1</v>
          </cell>
          <cell r="E63">
            <v>7979</v>
          </cell>
        </row>
        <row r="64">
          <cell r="D64">
            <v>2</v>
          </cell>
          <cell r="E64">
            <v>8045</v>
          </cell>
        </row>
        <row r="65">
          <cell r="D65">
            <v>3</v>
          </cell>
          <cell r="E65">
            <v>8072</v>
          </cell>
        </row>
        <row r="66">
          <cell r="D66">
            <v>1</v>
          </cell>
          <cell r="E66">
            <v>8062</v>
          </cell>
        </row>
        <row r="67">
          <cell r="D67">
            <v>2</v>
          </cell>
          <cell r="E67">
            <v>7957</v>
          </cell>
        </row>
        <row r="68">
          <cell r="D68">
            <v>3</v>
          </cell>
          <cell r="E68">
            <v>7932</v>
          </cell>
        </row>
        <row r="69">
          <cell r="D69">
            <v>1</v>
          </cell>
          <cell r="E69">
            <v>7955</v>
          </cell>
        </row>
        <row r="70">
          <cell r="D70">
            <v>2</v>
          </cell>
          <cell r="E70">
            <v>7860</v>
          </cell>
        </row>
        <row r="71">
          <cell r="D71">
            <v>3</v>
          </cell>
          <cell r="E71">
            <v>7806</v>
          </cell>
        </row>
        <row r="72">
          <cell r="D72">
            <v>1</v>
          </cell>
          <cell r="E72">
            <v>7729</v>
          </cell>
        </row>
        <row r="73">
          <cell r="D73">
            <v>2</v>
          </cell>
          <cell r="E73">
            <v>7751</v>
          </cell>
        </row>
        <row r="74">
          <cell r="D74">
            <v>3</v>
          </cell>
          <cell r="E74">
            <v>7716</v>
          </cell>
        </row>
        <row r="75">
          <cell r="D75">
            <v>1</v>
          </cell>
          <cell r="E75">
            <v>7762</v>
          </cell>
        </row>
        <row r="76">
          <cell r="D76">
            <v>2</v>
          </cell>
          <cell r="E76">
            <v>7829</v>
          </cell>
        </row>
        <row r="77">
          <cell r="D77">
            <v>3</v>
          </cell>
          <cell r="E77">
            <v>7859</v>
          </cell>
        </row>
        <row r="78">
          <cell r="D78">
            <v>1</v>
          </cell>
          <cell r="E78">
            <v>7819</v>
          </cell>
        </row>
        <row r="79">
          <cell r="D79">
            <v>2</v>
          </cell>
          <cell r="E79">
            <v>7829</v>
          </cell>
        </row>
        <row r="80">
          <cell r="D80">
            <v>3</v>
          </cell>
          <cell r="E80">
            <v>7859</v>
          </cell>
        </row>
        <row r="81">
          <cell r="D81">
            <v>1</v>
          </cell>
          <cell r="E81">
            <v>7858</v>
          </cell>
        </row>
        <row r="82">
          <cell r="D82">
            <v>2</v>
          </cell>
          <cell r="E82">
            <v>7857</v>
          </cell>
        </row>
        <row r="83">
          <cell r="D83">
            <v>3</v>
          </cell>
          <cell r="E83">
            <v>7850</v>
          </cell>
        </row>
        <row r="84">
          <cell r="D84">
            <v>1</v>
          </cell>
          <cell r="E84">
            <v>7843</v>
          </cell>
        </row>
        <row r="85">
          <cell r="D85">
            <v>2</v>
          </cell>
          <cell r="E85">
            <v>7853</v>
          </cell>
        </row>
        <row r="86">
          <cell r="D86">
            <v>3</v>
          </cell>
          <cell r="E86">
            <v>7873</v>
          </cell>
        </row>
        <row r="87">
          <cell r="D87">
            <v>1</v>
          </cell>
          <cell r="E87">
            <v>7879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39" refreshError="1"/>
      <sheetData sheetId="4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2071</v>
          </cell>
        </row>
        <row r="10">
          <cell r="D10">
            <v>2</v>
          </cell>
          <cell r="E10">
            <v>2105</v>
          </cell>
        </row>
        <row r="11">
          <cell r="D11">
            <v>3</v>
          </cell>
          <cell r="E11">
            <v>2100</v>
          </cell>
        </row>
        <row r="12">
          <cell r="D12">
            <v>1</v>
          </cell>
          <cell r="E12">
            <v>2158</v>
          </cell>
        </row>
        <row r="13">
          <cell r="D13">
            <v>2</v>
          </cell>
          <cell r="E13">
            <v>2214</v>
          </cell>
        </row>
        <row r="14">
          <cell r="D14">
            <v>3</v>
          </cell>
          <cell r="E14">
            <v>2264</v>
          </cell>
        </row>
        <row r="15">
          <cell r="D15">
            <v>1</v>
          </cell>
          <cell r="E15">
            <v>2225</v>
          </cell>
        </row>
        <row r="16">
          <cell r="D16">
            <v>2</v>
          </cell>
          <cell r="E16">
            <v>2226</v>
          </cell>
        </row>
        <row r="17">
          <cell r="D17">
            <v>3</v>
          </cell>
          <cell r="E17">
            <v>2182</v>
          </cell>
        </row>
        <row r="18">
          <cell r="D18">
            <v>1</v>
          </cell>
          <cell r="E18">
            <v>2106</v>
          </cell>
        </row>
        <row r="19">
          <cell r="D19">
            <v>2</v>
          </cell>
          <cell r="E19">
            <v>1950</v>
          </cell>
        </row>
        <row r="20">
          <cell r="D20">
            <v>3</v>
          </cell>
          <cell r="E20">
            <v>1917</v>
          </cell>
        </row>
        <row r="21">
          <cell r="D21">
            <v>1</v>
          </cell>
          <cell r="E21">
            <v>1920</v>
          </cell>
        </row>
        <row r="22">
          <cell r="D22">
            <v>2</v>
          </cell>
          <cell r="E22">
            <v>2048</v>
          </cell>
        </row>
        <row r="23">
          <cell r="D23">
            <v>3</v>
          </cell>
          <cell r="E23">
            <v>2110</v>
          </cell>
        </row>
        <row r="24">
          <cell r="D24">
            <v>1</v>
          </cell>
          <cell r="E24">
            <v>2190</v>
          </cell>
        </row>
        <row r="25">
          <cell r="D25">
            <v>2</v>
          </cell>
          <cell r="E25">
            <v>2215</v>
          </cell>
        </row>
        <row r="26">
          <cell r="D26">
            <v>3</v>
          </cell>
          <cell r="E26">
            <v>2236</v>
          </cell>
        </row>
        <row r="27">
          <cell r="D27">
            <v>1</v>
          </cell>
          <cell r="E27">
            <v>2240</v>
          </cell>
        </row>
        <row r="28">
          <cell r="D28">
            <v>2</v>
          </cell>
          <cell r="E28">
            <v>2278</v>
          </cell>
        </row>
        <row r="29">
          <cell r="D29">
            <v>3</v>
          </cell>
          <cell r="E29">
            <v>2274</v>
          </cell>
        </row>
        <row r="30">
          <cell r="D30">
            <v>1</v>
          </cell>
          <cell r="E30">
            <v>2256</v>
          </cell>
        </row>
        <row r="31">
          <cell r="D31">
            <v>2</v>
          </cell>
          <cell r="E31">
            <v>2141</v>
          </cell>
        </row>
        <row r="32">
          <cell r="D32">
            <v>3</v>
          </cell>
          <cell r="E32">
            <v>2077</v>
          </cell>
        </row>
        <row r="33">
          <cell r="D33">
            <v>1</v>
          </cell>
          <cell r="E33">
            <v>2088</v>
          </cell>
        </row>
        <row r="34">
          <cell r="D34">
            <v>2</v>
          </cell>
          <cell r="E34">
            <v>2183</v>
          </cell>
        </row>
        <row r="35">
          <cell r="D35">
            <v>3</v>
          </cell>
          <cell r="E35">
            <v>2225</v>
          </cell>
        </row>
        <row r="36">
          <cell r="D36">
            <v>1</v>
          </cell>
          <cell r="E36">
            <v>2226</v>
          </cell>
        </row>
        <row r="37">
          <cell r="D37">
            <v>2</v>
          </cell>
          <cell r="E37">
            <v>2237</v>
          </cell>
        </row>
        <row r="38">
          <cell r="D38">
            <v>3</v>
          </cell>
          <cell r="E38">
            <v>2281</v>
          </cell>
        </row>
        <row r="39">
          <cell r="D39">
            <v>1</v>
          </cell>
          <cell r="E39">
            <v>2319</v>
          </cell>
        </row>
        <row r="40">
          <cell r="D40">
            <v>2</v>
          </cell>
          <cell r="E40">
            <v>2349</v>
          </cell>
        </row>
        <row r="41">
          <cell r="D41">
            <v>3</v>
          </cell>
          <cell r="E41">
            <v>2358</v>
          </cell>
        </row>
        <row r="42">
          <cell r="D42">
            <v>1</v>
          </cell>
          <cell r="E42">
            <v>2306</v>
          </cell>
        </row>
        <row r="43">
          <cell r="D43">
            <v>2</v>
          </cell>
          <cell r="E43">
            <v>2202</v>
          </cell>
        </row>
        <row r="44">
          <cell r="D44">
            <v>3</v>
          </cell>
          <cell r="E44">
            <v>2130</v>
          </cell>
        </row>
        <row r="45">
          <cell r="D45">
            <v>1</v>
          </cell>
          <cell r="E45">
            <v>2130</v>
          </cell>
        </row>
        <row r="46">
          <cell r="D46">
            <v>2</v>
          </cell>
          <cell r="E46">
            <v>2192</v>
          </cell>
        </row>
        <row r="47">
          <cell r="D47">
            <v>3</v>
          </cell>
          <cell r="E47">
            <v>2218</v>
          </cell>
        </row>
        <row r="48">
          <cell r="D48">
            <v>1</v>
          </cell>
          <cell r="E48">
            <v>2262</v>
          </cell>
        </row>
        <row r="49">
          <cell r="D49">
            <v>2</v>
          </cell>
          <cell r="E49">
            <v>2309</v>
          </cell>
        </row>
        <row r="50">
          <cell r="D50">
            <v>3</v>
          </cell>
          <cell r="E50">
            <v>2338</v>
          </cell>
        </row>
        <row r="51">
          <cell r="D51">
            <v>1</v>
          </cell>
          <cell r="E51">
            <v>2341</v>
          </cell>
        </row>
        <row r="52">
          <cell r="D52">
            <v>2</v>
          </cell>
          <cell r="E52">
            <v>2338</v>
          </cell>
        </row>
        <row r="53">
          <cell r="D53">
            <v>3</v>
          </cell>
          <cell r="E53">
            <v>2310</v>
          </cell>
        </row>
        <row r="54">
          <cell r="D54">
            <v>1</v>
          </cell>
          <cell r="E54">
            <v>2258</v>
          </cell>
        </row>
        <row r="55">
          <cell r="D55">
            <v>2</v>
          </cell>
          <cell r="E55">
            <v>2104</v>
          </cell>
        </row>
        <row r="56">
          <cell r="D56">
            <v>3</v>
          </cell>
          <cell r="E56">
            <v>2020</v>
          </cell>
        </row>
        <row r="57">
          <cell r="D57">
            <v>1</v>
          </cell>
          <cell r="E57">
            <v>2005</v>
          </cell>
        </row>
        <row r="58">
          <cell r="D58">
            <v>2</v>
          </cell>
          <cell r="E58">
            <v>2114</v>
          </cell>
        </row>
        <row r="59">
          <cell r="D59">
            <v>3</v>
          </cell>
          <cell r="E59">
            <v>2203</v>
          </cell>
        </row>
        <row r="60">
          <cell r="D60">
            <v>1</v>
          </cell>
          <cell r="E60">
            <v>2241</v>
          </cell>
        </row>
        <row r="61">
          <cell r="D61">
            <v>2</v>
          </cell>
          <cell r="E61">
            <v>2245</v>
          </cell>
        </row>
        <row r="62">
          <cell r="D62">
            <v>3</v>
          </cell>
          <cell r="E62">
            <v>2251</v>
          </cell>
        </row>
        <row r="63">
          <cell r="D63">
            <v>1</v>
          </cell>
          <cell r="E63">
            <v>2212</v>
          </cell>
        </row>
        <row r="64">
          <cell r="D64">
            <v>2</v>
          </cell>
          <cell r="E64">
            <v>2190</v>
          </cell>
        </row>
        <row r="65">
          <cell r="D65">
            <v>3</v>
          </cell>
          <cell r="E65">
            <v>2165</v>
          </cell>
        </row>
        <row r="66">
          <cell r="D66">
            <v>1</v>
          </cell>
          <cell r="E66">
            <v>2042</v>
          </cell>
        </row>
        <row r="67">
          <cell r="D67">
            <v>2</v>
          </cell>
          <cell r="E67">
            <v>1891</v>
          </cell>
        </row>
        <row r="68">
          <cell r="D68">
            <v>3</v>
          </cell>
          <cell r="E68">
            <v>1814</v>
          </cell>
        </row>
        <row r="69">
          <cell r="D69">
            <v>1</v>
          </cell>
          <cell r="E69">
            <v>1837</v>
          </cell>
        </row>
        <row r="70">
          <cell r="D70">
            <v>2</v>
          </cell>
          <cell r="E70">
            <v>2050</v>
          </cell>
        </row>
        <row r="71">
          <cell r="D71">
            <v>3</v>
          </cell>
          <cell r="E71">
            <v>2184</v>
          </cell>
        </row>
        <row r="72">
          <cell r="D72">
            <v>1</v>
          </cell>
          <cell r="E72">
            <v>2342</v>
          </cell>
        </row>
        <row r="73">
          <cell r="D73">
            <v>2</v>
          </cell>
          <cell r="E73">
            <v>2402</v>
          </cell>
        </row>
        <row r="74">
          <cell r="D74">
            <v>3</v>
          </cell>
          <cell r="E74">
            <v>2462</v>
          </cell>
        </row>
        <row r="75">
          <cell r="D75">
            <v>1</v>
          </cell>
          <cell r="E75">
            <v>2468</v>
          </cell>
        </row>
        <row r="76">
          <cell r="D76">
            <v>2</v>
          </cell>
          <cell r="E76">
            <v>2496</v>
          </cell>
        </row>
        <row r="77">
          <cell r="D77">
            <v>3</v>
          </cell>
          <cell r="E77">
            <v>2532</v>
          </cell>
        </row>
        <row r="78">
          <cell r="D78">
            <v>1</v>
          </cell>
          <cell r="E78">
            <v>2490</v>
          </cell>
        </row>
        <row r="79">
          <cell r="D79">
            <v>2</v>
          </cell>
          <cell r="E79">
            <v>2316</v>
          </cell>
        </row>
        <row r="80">
          <cell r="D80">
            <v>3</v>
          </cell>
          <cell r="E80">
            <v>2167</v>
          </cell>
        </row>
        <row r="81">
          <cell r="D81">
            <v>1</v>
          </cell>
          <cell r="E81">
            <v>2183</v>
          </cell>
        </row>
        <row r="82">
          <cell r="D82">
            <v>2</v>
          </cell>
          <cell r="E82">
            <v>2292</v>
          </cell>
        </row>
        <row r="83">
          <cell r="D83">
            <v>3</v>
          </cell>
          <cell r="E83">
            <v>2384</v>
          </cell>
        </row>
        <row r="84">
          <cell r="D84">
            <v>1</v>
          </cell>
          <cell r="E84">
            <v>2472</v>
          </cell>
        </row>
        <row r="85">
          <cell r="D85">
            <v>2</v>
          </cell>
          <cell r="E85">
            <v>2502</v>
          </cell>
        </row>
        <row r="86">
          <cell r="D86">
            <v>3</v>
          </cell>
          <cell r="E86">
            <v>2531</v>
          </cell>
        </row>
        <row r="87">
          <cell r="D87">
            <v>1</v>
          </cell>
          <cell r="E87">
            <v>2560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41" refreshError="1"/>
      <sheetData sheetId="4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3430</v>
          </cell>
        </row>
        <row r="10">
          <cell r="D10">
            <v>2</v>
          </cell>
          <cell r="E10">
            <v>3539</v>
          </cell>
        </row>
        <row r="11">
          <cell r="D11">
            <v>3</v>
          </cell>
          <cell r="E11">
            <v>3542</v>
          </cell>
        </row>
        <row r="12">
          <cell r="D12">
            <v>1</v>
          </cell>
          <cell r="E12">
            <v>3535</v>
          </cell>
        </row>
        <row r="13">
          <cell r="D13">
            <v>2</v>
          </cell>
          <cell r="E13">
            <v>3534</v>
          </cell>
        </row>
        <row r="14">
          <cell r="D14">
            <v>3</v>
          </cell>
          <cell r="E14">
            <v>3574</v>
          </cell>
        </row>
        <row r="15">
          <cell r="D15">
            <v>1</v>
          </cell>
          <cell r="E15">
            <v>3584</v>
          </cell>
        </row>
        <row r="16">
          <cell r="D16">
            <v>2</v>
          </cell>
          <cell r="E16">
            <v>3592</v>
          </cell>
        </row>
        <row r="17">
          <cell r="D17">
            <v>3</v>
          </cell>
          <cell r="E17">
            <v>3645</v>
          </cell>
        </row>
        <row r="18">
          <cell r="D18">
            <v>1</v>
          </cell>
          <cell r="E18">
            <v>3675</v>
          </cell>
        </row>
        <row r="19">
          <cell r="D19">
            <v>2</v>
          </cell>
          <cell r="E19">
            <v>3674</v>
          </cell>
        </row>
        <row r="20">
          <cell r="D20">
            <v>3</v>
          </cell>
          <cell r="E20">
            <v>3667</v>
          </cell>
        </row>
        <row r="21">
          <cell r="D21">
            <v>1</v>
          </cell>
          <cell r="E21">
            <v>3660</v>
          </cell>
        </row>
        <row r="22">
          <cell r="D22">
            <v>2</v>
          </cell>
          <cell r="E22">
            <v>3722</v>
          </cell>
        </row>
        <row r="23">
          <cell r="D23">
            <v>3</v>
          </cell>
          <cell r="E23">
            <v>3683</v>
          </cell>
        </row>
        <row r="24">
          <cell r="D24">
            <v>1</v>
          </cell>
          <cell r="E24">
            <v>3737</v>
          </cell>
        </row>
        <row r="25">
          <cell r="D25">
            <v>2</v>
          </cell>
          <cell r="E25">
            <v>3756</v>
          </cell>
        </row>
        <row r="26">
          <cell r="D26">
            <v>3</v>
          </cell>
          <cell r="E26">
            <v>3756</v>
          </cell>
        </row>
        <row r="27">
          <cell r="D27">
            <v>1</v>
          </cell>
          <cell r="E27">
            <v>3720</v>
          </cell>
        </row>
        <row r="28">
          <cell r="D28">
            <v>2</v>
          </cell>
          <cell r="E28">
            <v>3753</v>
          </cell>
        </row>
        <row r="29">
          <cell r="D29">
            <v>3</v>
          </cell>
          <cell r="E29">
            <v>3830</v>
          </cell>
        </row>
        <row r="30">
          <cell r="D30">
            <v>1</v>
          </cell>
          <cell r="E30">
            <v>3803</v>
          </cell>
        </row>
        <row r="31">
          <cell r="D31">
            <v>2</v>
          </cell>
          <cell r="E31">
            <v>3720</v>
          </cell>
        </row>
        <row r="32">
          <cell r="D32">
            <v>3</v>
          </cell>
          <cell r="E32">
            <v>3700</v>
          </cell>
        </row>
        <row r="33">
          <cell r="D33">
            <v>1</v>
          </cell>
          <cell r="E33">
            <v>3717</v>
          </cell>
        </row>
        <row r="34">
          <cell r="D34">
            <v>2</v>
          </cell>
          <cell r="E34">
            <v>3706</v>
          </cell>
        </row>
        <row r="35">
          <cell r="D35">
            <v>3</v>
          </cell>
          <cell r="E35">
            <v>3676</v>
          </cell>
        </row>
        <row r="36">
          <cell r="D36">
            <v>1</v>
          </cell>
          <cell r="E36">
            <v>3731</v>
          </cell>
        </row>
        <row r="37">
          <cell r="D37">
            <v>2</v>
          </cell>
          <cell r="E37">
            <v>3707</v>
          </cell>
        </row>
        <row r="38">
          <cell r="D38">
            <v>3</v>
          </cell>
          <cell r="E38">
            <v>3780</v>
          </cell>
        </row>
        <row r="39">
          <cell r="D39">
            <v>1</v>
          </cell>
          <cell r="E39">
            <v>3758</v>
          </cell>
        </row>
        <row r="40">
          <cell r="D40">
            <v>2</v>
          </cell>
          <cell r="E40">
            <v>3828</v>
          </cell>
        </row>
        <row r="41">
          <cell r="D41">
            <v>3</v>
          </cell>
          <cell r="E41">
            <v>3888</v>
          </cell>
        </row>
        <row r="42">
          <cell r="D42">
            <v>1</v>
          </cell>
          <cell r="E42">
            <v>3941</v>
          </cell>
        </row>
        <row r="43">
          <cell r="D43">
            <v>2</v>
          </cell>
          <cell r="E43">
            <v>3950</v>
          </cell>
        </row>
        <row r="44">
          <cell r="D44">
            <v>3</v>
          </cell>
          <cell r="E44">
            <v>3982</v>
          </cell>
        </row>
        <row r="45">
          <cell r="D45">
            <v>1</v>
          </cell>
          <cell r="E45">
            <v>4076</v>
          </cell>
        </row>
        <row r="46">
          <cell r="D46">
            <v>2</v>
          </cell>
          <cell r="E46">
            <v>4039</v>
          </cell>
        </row>
        <row r="47">
          <cell r="D47">
            <v>3</v>
          </cell>
          <cell r="E47">
            <v>3974</v>
          </cell>
        </row>
        <row r="48">
          <cell r="D48">
            <v>1</v>
          </cell>
          <cell r="E48">
            <v>3998</v>
          </cell>
        </row>
        <row r="49">
          <cell r="D49">
            <v>2</v>
          </cell>
          <cell r="E49">
            <v>4006</v>
          </cell>
        </row>
        <row r="50">
          <cell r="D50">
            <v>3</v>
          </cell>
          <cell r="E50">
            <v>4057</v>
          </cell>
        </row>
        <row r="51">
          <cell r="D51">
            <v>1</v>
          </cell>
          <cell r="E51">
            <v>4056</v>
          </cell>
        </row>
        <row r="52">
          <cell r="D52">
            <v>2</v>
          </cell>
          <cell r="E52">
            <v>4045</v>
          </cell>
        </row>
        <row r="53">
          <cell r="D53">
            <v>3</v>
          </cell>
          <cell r="E53">
            <v>4000</v>
          </cell>
        </row>
        <row r="54">
          <cell r="D54">
            <v>1</v>
          </cell>
          <cell r="E54">
            <v>3956</v>
          </cell>
        </row>
        <row r="55">
          <cell r="D55">
            <v>2</v>
          </cell>
          <cell r="E55">
            <v>3854</v>
          </cell>
        </row>
        <row r="56">
          <cell r="D56">
            <v>3</v>
          </cell>
          <cell r="E56">
            <v>3767</v>
          </cell>
        </row>
        <row r="57">
          <cell r="D57">
            <v>1</v>
          </cell>
          <cell r="E57">
            <v>3725</v>
          </cell>
        </row>
        <row r="58">
          <cell r="D58">
            <v>2</v>
          </cell>
          <cell r="E58">
            <v>3727</v>
          </cell>
        </row>
        <row r="59">
          <cell r="D59">
            <v>3</v>
          </cell>
          <cell r="E59">
            <v>3767</v>
          </cell>
        </row>
        <row r="60">
          <cell r="D60">
            <v>1</v>
          </cell>
          <cell r="E60">
            <v>3707</v>
          </cell>
        </row>
        <row r="61">
          <cell r="D61">
            <v>2</v>
          </cell>
          <cell r="E61">
            <v>3822</v>
          </cell>
        </row>
        <row r="62">
          <cell r="D62">
            <v>3</v>
          </cell>
          <cell r="E62">
            <v>3946</v>
          </cell>
        </row>
        <row r="63">
          <cell r="D63">
            <v>1</v>
          </cell>
          <cell r="E63">
            <v>4082</v>
          </cell>
        </row>
        <row r="64">
          <cell r="D64">
            <v>2</v>
          </cell>
          <cell r="E64">
            <v>4130</v>
          </cell>
        </row>
        <row r="65">
          <cell r="D65">
            <v>3</v>
          </cell>
          <cell r="E65">
            <v>4162</v>
          </cell>
        </row>
        <row r="66">
          <cell r="D66">
            <v>1</v>
          </cell>
          <cell r="E66">
            <v>4146</v>
          </cell>
        </row>
        <row r="67">
          <cell r="D67">
            <v>2</v>
          </cell>
          <cell r="E67">
            <v>4187</v>
          </cell>
        </row>
        <row r="68">
          <cell r="D68">
            <v>3</v>
          </cell>
          <cell r="E68">
            <v>4126</v>
          </cell>
        </row>
        <row r="69">
          <cell r="D69">
            <v>1</v>
          </cell>
          <cell r="E69">
            <v>4128</v>
          </cell>
        </row>
        <row r="70">
          <cell r="D70">
            <v>2</v>
          </cell>
          <cell r="E70">
            <v>4122</v>
          </cell>
        </row>
        <row r="71">
          <cell r="D71">
            <v>3</v>
          </cell>
          <cell r="E71">
            <v>4118</v>
          </cell>
        </row>
        <row r="72">
          <cell r="D72">
            <v>1</v>
          </cell>
          <cell r="E72">
            <v>4191</v>
          </cell>
        </row>
        <row r="73">
          <cell r="D73">
            <v>2</v>
          </cell>
          <cell r="E73">
            <v>4234</v>
          </cell>
        </row>
        <row r="74">
          <cell r="D74">
            <v>3</v>
          </cell>
          <cell r="E74">
            <v>4213</v>
          </cell>
        </row>
        <row r="75">
          <cell r="D75">
            <v>1</v>
          </cell>
          <cell r="E75">
            <v>4245</v>
          </cell>
        </row>
        <row r="76">
          <cell r="D76">
            <v>2</v>
          </cell>
          <cell r="E76">
            <v>4309</v>
          </cell>
        </row>
        <row r="77">
          <cell r="D77">
            <v>3</v>
          </cell>
          <cell r="E77">
            <v>4405</v>
          </cell>
        </row>
        <row r="78">
          <cell r="D78">
            <v>1</v>
          </cell>
          <cell r="E78">
            <v>4409</v>
          </cell>
        </row>
        <row r="79">
          <cell r="D79">
            <v>2</v>
          </cell>
          <cell r="E79">
            <v>4368</v>
          </cell>
        </row>
        <row r="80">
          <cell r="D80">
            <v>3</v>
          </cell>
          <cell r="E80">
            <v>4351</v>
          </cell>
        </row>
        <row r="81">
          <cell r="D81">
            <v>1</v>
          </cell>
          <cell r="E81">
            <v>4363</v>
          </cell>
        </row>
        <row r="82">
          <cell r="D82">
            <v>2</v>
          </cell>
          <cell r="E82">
            <v>4358</v>
          </cell>
        </row>
        <row r="83">
          <cell r="D83">
            <v>3</v>
          </cell>
          <cell r="E83">
            <v>4347</v>
          </cell>
        </row>
        <row r="84">
          <cell r="D84">
            <v>1</v>
          </cell>
          <cell r="E84">
            <v>4367</v>
          </cell>
        </row>
        <row r="85">
          <cell r="D85">
            <v>2</v>
          </cell>
          <cell r="E85">
            <v>4402</v>
          </cell>
        </row>
        <row r="86">
          <cell r="D86">
            <v>3</v>
          </cell>
          <cell r="E86">
            <v>4433</v>
          </cell>
        </row>
        <row r="87">
          <cell r="D87">
            <v>1</v>
          </cell>
          <cell r="E87">
            <v>4429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43" refreshError="1"/>
      <sheetData sheetId="4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2015</v>
          </cell>
          <cell r="D9">
            <v>1</v>
          </cell>
          <cell r="E9">
            <v>3284</v>
          </cell>
        </row>
        <row r="10">
          <cell r="D10">
            <v>2</v>
          </cell>
          <cell r="E10">
            <v>3219</v>
          </cell>
        </row>
        <row r="11">
          <cell r="D11">
            <v>3</v>
          </cell>
          <cell r="E11">
            <v>3142</v>
          </cell>
        </row>
        <row r="12">
          <cell r="D12">
            <v>1</v>
          </cell>
          <cell r="E12">
            <v>3133</v>
          </cell>
        </row>
        <row r="13">
          <cell r="D13">
            <v>2</v>
          </cell>
          <cell r="E13">
            <v>3119</v>
          </cell>
        </row>
        <row r="14">
          <cell r="D14">
            <v>3</v>
          </cell>
          <cell r="E14">
            <v>3177</v>
          </cell>
        </row>
        <row r="15">
          <cell r="D15">
            <v>1</v>
          </cell>
          <cell r="E15">
            <v>3123</v>
          </cell>
        </row>
        <row r="16">
          <cell r="D16">
            <v>2</v>
          </cell>
          <cell r="E16">
            <v>3199</v>
          </cell>
        </row>
        <row r="17">
          <cell r="D17">
            <v>3</v>
          </cell>
          <cell r="E17">
            <v>3275</v>
          </cell>
        </row>
        <row r="18">
          <cell r="D18">
            <v>1</v>
          </cell>
          <cell r="E18">
            <v>3366</v>
          </cell>
        </row>
        <row r="19">
          <cell r="D19">
            <v>2</v>
          </cell>
          <cell r="E19">
            <v>3415</v>
          </cell>
        </row>
        <row r="20">
          <cell r="D20">
            <v>3</v>
          </cell>
          <cell r="E20">
            <v>3447</v>
          </cell>
        </row>
        <row r="21">
          <cell r="D21">
            <v>1</v>
          </cell>
          <cell r="E21">
            <v>3424</v>
          </cell>
        </row>
        <row r="22">
          <cell r="D22">
            <v>2</v>
          </cell>
          <cell r="E22">
            <v>3429</v>
          </cell>
        </row>
        <row r="23">
          <cell r="D23">
            <v>3</v>
          </cell>
          <cell r="E23">
            <v>3353</v>
          </cell>
        </row>
        <row r="24">
          <cell r="D24">
            <v>1</v>
          </cell>
          <cell r="E24">
            <v>3370</v>
          </cell>
        </row>
        <row r="25">
          <cell r="D25">
            <v>2</v>
          </cell>
          <cell r="E25">
            <v>3348</v>
          </cell>
        </row>
        <row r="26">
          <cell r="D26">
            <v>3</v>
          </cell>
          <cell r="E26">
            <v>3328</v>
          </cell>
        </row>
        <row r="27">
          <cell r="D27">
            <v>1</v>
          </cell>
          <cell r="E27">
            <v>3367</v>
          </cell>
        </row>
        <row r="28">
          <cell r="D28">
            <v>2</v>
          </cell>
          <cell r="E28">
            <v>3408</v>
          </cell>
        </row>
        <row r="29">
          <cell r="D29">
            <v>3</v>
          </cell>
          <cell r="E29">
            <v>3379</v>
          </cell>
        </row>
        <row r="30">
          <cell r="D30">
            <v>1</v>
          </cell>
          <cell r="E30">
            <v>3391</v>
          </cell>
        </row>
        <row r="31">
          <cell r="D31">
            <v>2</v>
          </cell>
          <cell r="E31">
            <v>3443</v>
          </cell>
        </row>
        <row r="32">
          <cell r="D32">
            <v>3</v>
          </cell>
          <cell r="E32">
            <v>3502</v>
          </cell>
        </row>
        <row r="33">
          <cell r="D33">
            <v>1</v>
          </cell>
          <cell r="E33">
            <v>3512</v>
          </cell>
        </row>
        <row r="34">
          <cell r="D34">
            <v>2</v>
          </cell>
          <cell r="E34">
            <v>3480</v>
          </cell>
        </row>
        <row r="35">
          <cell r="D35">
            <v>3</v>
          </cell>
          <cell r="E35">
            <v>3471</v>
          </cell>
        </row>
        <row r="36">
          <cell r="D36">
            <v>1</v>
          </cell>
          <cell r="E36">
            <v>3466</v>
          </cell>
        </row>
        <row r="37">
          <cell r="D37">
            <v>2</v>
          </cell>
          <cell r="E37">
            <v>3441</v>
          </cell>
        </row>
        <row r="38">
          <cell r="D38">
            <v>3</v>
          </cell>
          <cell r="E38">
            <v>3433</v>
          </cell>
        </row>
        <row r="39">
          <cell r="D39">
            <v>1</v>
          </cell>
          <cell r="E39">
            <v>3455</v>
          </cell>
        </row>
        <row r="40">
          <cell r="D40">
            <v>2</v>
          </cell>
          <cell r="E40">
            <v>3513</v>
          </cell>
        </row>
        <row r="41">
          <cell r="D41">
            <v>3</v>
          </cell>
          <cell r="E41">
            <v>3528</v>
          </cell>
        </row>
        <row r="42">
          <cell r="D42">
            <v>1</v>
          </cell>
          <cell r="E42">
            <v>3525</v>
          </cell>
        </row>
        <row r="43">
          <cell r="D43">
            <v>0</v>
          </cell>
          <cell r="E43">
            <v>0</v>
          </cell>
        </row>
        <row r="44">
          <cell r="D44">
            <v>0</v>
          </cell>
          <cell r="E44">
            <v>0</v>
          </cell>
        </row>
        <row r="45">
          <cell r="D45">
            <v>0</v>
          </cell>
          <cell r="E45">
            <v>0</v>
          </cell>
        </row>
        <row r="46">
          <cell r="D46">
            <v>0</v>
          </cell>
          <cell r="E46">
            <v>0</v>
          </cell>
        </row>
        <row r="47"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</sheetData>
      <sheetData sheetId="45" refreshError="1"/>
      <sheetData sheetId="4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2015</v>
          </cell>
          <cell r="D9">
            <v>1</v>
          </cell>
          <cell r="E9">
            <v>672</v>
          </cell>
        </row>
        <row r="10">
          <cell r="D10">
            <v>2</v>
          </cell>
          <cell r="E10">
            <v>635</v>
          </cell>
        </row>
        <row r="11">
          <cell r="D11">
            <v>3</v>
          </cell>
          <cell r="E11">
            <v>625</v>
          </cell>
        </row>
        <row r="12">
          <cell r="D12">
            <v>1</v>
          </cell>
          <cell r="E12">
            <v>592</v>
          </cell>
        </row>
        <row r="13">
          <cell r="D13">
            <v>2</v>
          </cell>
          <cell r="E13">
            <v>608</v>
          </cell>
        </row>
        <row r="14">
          <cell r="D14">
            <v>3</v>
          </cell>
          <cell r="E14">
            <v>590</v>
          </cell>
        </row>
        <row r="15">
          <cell r="D15">
            <v>1</v>
          </cell>
          <cell r="E15">
            <v>584</v>
          </cell>
        </row>
        <row r="16">
          <cell r="D16">
            <v>2</v>
          </cell>
          <cell r="E16">
            <v>623</v>
          </cell>
        </row>
        <row r="17">
          <cell r="D17">
            <v>3</v>
          </cell>
          <cell r="E17">
            <v>671</v>
          </cell>
        </row>
        <row r="18">
          <cell r="D18">
            <v>1</v>
          </cell>
          <cell r="E18">
            <v>716</v>
          </cell>
        </row>
        <row r="19">
          <cell r="D19">
            <v>2</v>
          </cell>
          <cell r="E19">
            <v>715</v>
          </cell>
        </row>
        <row r="20">
          <cell r="D20">
            <v>3</v>
          </cell>
          <cell r="E20">
            <v>714</v>
          </cell>
        </row>
        <row r="21">
          <cell r="D21">
            <v>1</v>
          </cell>
          <cell r="E21">
            <v>722</v>
          </cell>
        </row>
        <row r="22">
          <cell r="D22">
            <v>2</v>
          </cell>
          <cell r="E22">
            <v>758</v>
          </cell>
        </row>
        <row r="23">
          <cell r="D23">
            <v>3</v>
          </cell>
          <cell r="E23">
            <v>773</v>
          </cell>
        </row>
        <row r="24">
          <cell r="D24">
            <v>1</v>
          </cell>
          <cell r="E24">
            <v>758</v>
          </cell>
        </row>
        <row r="25">
          <cell r="D25">
            <v>2</v>
          </cell>
          <cell r="E25">
            <v>774</v>
          </cell>
        </row>
        <row r="26">
          <cell r="D26">
            <v>3</v>
          </cell>
          <cell r="E26">
            <v>790</v>
          </cell>
        </row>
        <row r="27">
          <cell r="D27">
            <v>1</v>
          </cell>
          <cell r="E27">
            <v>825</v>
          </cell>
        </row>
        <row r="28">
          <cell r="D28">
            <v>2</v>
          </cell>
          <cell r="E28">
            <v>825</v>
          </cell>
        </row>
        <row r="29">
          <cell r="D29">
            <v>3</v>
          </cell>
          <cell r="E29">
            <v>833</v>
          </cell>
        </row>
        <row r="30">
          <cell r="D30">
            <v>1</v>
          </cell>
          <cell r="E30">
            <v>854</v>
          </cell>
        </row>
        <row r="31">
          <cell r="D31">
            <v>2</v>
          </cell>
          <cell r="E31">
            <v>866</v>
          </cell>
        </row>
        <row r="32">
          <cell r="D32">
            <v>3</v>
          </cell>
          <cell r="E32">
            <v>903</v>
          </cell>
        </row>
        <row r="33">
          <cell r="D33">
            <v>1</v>
          </cell>
          <cell r="E33">
            <v>897</v>
          </cell>
        </row>
        <row r="34">
          <cell r="D34">
            <v>2</v>
          </cell>
          <cell r="E34">
            <v>888</v>
          </cell>
        </row>
        <row r="35">
          <cell r="D35">
            <v>3</v>
          </cell>
          <cell r="E35">
            <v>881</v>
          </cell>
        </row>
        <row r="36">
          <cell r="D36">
            <v>1</v>
          </cell>
          <cell r="E36">
            <v>897</v>
          </cell>
        </row>
        <row r="37">
          <cell r="D37">
            <v>2</v>
          </cell>
          <cell r="E37">
            <v>917</v>
          </cell>
        </row>
        <row r="38">
          <cell r="D38">
            <v>3</v>
          </cell>
          <cell r="E38">
            <v>914</v>
          </cell>
        </row>
        <row r="39">
          <cell r="D39">
            <v>1</v>
          </cell>
          <cell r="E39">
            <v>911</v>
          </cell>
        </row>
        <row r="40">
          <cell r="D40">
            <v>2</v>
          </cell>
          <cell r="E40">
            <v>889</v>
          </cell>
        </row>
        <row r="41">
          <cell r="D41">
            <v>3</v>
          </cell>
          <cell r="E41">
            <v>905</v>
          </cell>
        </row>
        <row r="42">
          <cell r="D42">
            <v>1</v>
          </cell>
          <cell r="E42">
            <v>904</v>
          </cell>
        </row>
        <row r="43">
          <cell r="D43">
            <v>0</v>
          </cell>
          <cell r="E43">
            <v>0</v>
          </cell>
        </row>
        <row r="44">
          <cell r="D44">
            <v>0</v>
          </cell>
          <cell r="E44">
            <v>0</v>
          </cell>
        </row>
        <row r="45">
          <cell r="D45">
            <v>0</v>
          </cell>
          <cell r="E45">
            <v>0</v>
          </cell>
        </row>
        <row r="46">
          <cell r="D46">
            <v>0</v>
          </cell>
          <cell r="E46">
            <v>0</v>
          </cell>
        </row>
        <row r="47"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</sheetData>
      <sheetData sheetId="47" refreshError="1"/>
      <sheetData sheetId="4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20593</v>
          </cell>
        </row>
        <row r="10">
          <cell r="D10">
            <v>2</v>
          </cell>
          <cell r="E10">
            <v>20623</v>
          </cell>
        </row>
        <row r="11">
          <cell r="D11">
            <v>3</v>
          </cell>
          <cell r="E11">
            <v>20565</v>
          </cell>
        </row>
        <row r="12">
          <cell r="D12">
            <v>1</v>
          </cell>
          <cell r="E12">
            <v>20329</v>
          </cell>
        </row>
        <row r="13">
          <cell r="D13">
            <v>2</v>
          </cell>
          <cell r="E13">
            <v>20230</v>
          </cell>
        </row>
        <row r="14">
          <cell r="D14">
            <v>3</v>
          </cell>
          <cell r="E14">
            <v>20223</v>
          </cell>
        </row>
        <row r="15">
          <cell r="D15">
            <v>1</v>
          </cell>
          <cell r="E15">
            <v>20258</v>
          </cell>
        </row>
        <row r="16">
          <cell r="D16">
            <v>2</v>
          </cell>
          <cell r="E16">
            <v>20375</v>
          </cell>
        </row>
        <row r="17">
          <cell r="D17">
            <v>3</v>
          </cell>
          <cell r="E17">
            <v>20496</v>
          </cell>
        </row>
        <row r="18">
          <cell r="D18">
            <v>1</v>
          </cell>
          <cell r="E18">
            <v>20615</v>
          </cell>
        </row>
        <row r="19">
          <cell r="D19">
            <v>2</v>
          </cell>
          <cell r="E19">
            <v>20575</v>
          </cell>
        </row>
        <row r="20">
          <cell r="D20">
            <v>3</v>
          </cell>
          <cell r="E20">
            <v>20420</v>
          </cell>
        </row>
        <row r="21">
          <cell r="D21">
            <v>1</v>
          </cell>
          <cell r="E21">
            <v>20515</v>
          </cell>
        </row>
        <row r="22">
          <cell r="D22">
            <v>2</v>
          </cell>
          <cell r="E22">
            <v>20589</v>
          </cell>
        </row>
        <row r="23">
          <cell r="D23">
            <v>3</v>
          </cell>
          <cell r="E23">
            <v>20793</v>
          </cell>
        </row>
        <row r="24">
          <cell r="D24">
            <v>1</v>
          </cell>
          <cell r="E24">
            <v>20835</v>
          </cell>
        </row>
        <row r="25">
          <cell r="D25">
            <v>2</v>
          </cell>
          <cell r="E25">
            <v>20922</v>
          </cell>
        </row>
        <row r="26">
          <cell r="D26">
            <v>3</v>
          </cell>
          <cell r="E26">
            <v>20894</v>
          </cell>
        </row>
        <row r="27">
          <cell r="D27">
            <v>1</v>
          </cell>
          <cell r="E27">
            <v>20951</v>
          </cell>
        </row>
        <row r="28">
          <cell r="D28">
            <v>2</v>
          </cell>
          <cell r="E28">
            <v>20891</v>
          </cell>
        </row>
        <row r="29">
          <cell r="D29">
            <v>3</v>
          </cell>
          <cell r="E29">
            <v>21040</v>
          </cell>
        </row>
        <row r="30">
          <cell r="D30">
            <v>1</v>
          </cell>
          <cell r="E30">
            <v>21288</v>
          </cell>
        </row>
        <row r="31">
          <cell r="D31">
            <v>2</v>
          </cell>
          <cell r="E31">
            <v>21331</v>
          </cell>
        </row>
        <row r="32">
          <cell r="D32">
            <v>3</v>
          </cell>
          <cell r="E32">
            <v>21196</v>
          </cell>
        </row>
        <row r="33">
          <cell r="D33">
            <v>1</v>
          </cell>
          <cell r="E33">
            <v>20905</v>
          </cell>
        </row>
        <row r="34">
          <cell r="D34">
            <v>2</v>
          </cell>
          <cell r="E34">
            <v>20886</v>
          </cell>
        </row>
        <row r="35">
          <cell r="D35">
            <v>3</v>
          </cell>
          <cell r="E35">
            <v>21088</v>
          </cell>
        </row>
        <row r="36">
          <cell r="D36">
            <v>1</v>
          </cell>
          <cell r="E36">
            <v>21077</v>
          </cell>
        </row>
        <row r="37">
          <cell r="D37">
            <v>2</v>
          </cell>
          <cell r="E37">
            <v>21228</v>
          </cell>
        </row>
        <row r="38">
          <cell r="D38">
            <v>3</v>
          </cell>
          <cell r="E38">
            <v>21222</v>
          </cell>
        </row>
        <row r="39">
          <cell r="D39">
            <v>1</v>
          </cell>
          <cell r="E39">
            <v>21472</v>
          </cell>
        </row>
        <row r="40">
          <cell r="D40">
            <v>2</v>
          </cell>
          <cell r="E40">
            <v>21562</v>
          </cell>
        </row>
        <row r="41">
          <cell r="D41">
            <v>3</v>
          </cell>
          <cell r="E41">
            <v>21638</v>
          </cell>
        </row>
        <row r="42">
          <cell r="D42">
            <v>1</v>
          </cell>
          <cell r="E42">
            <v>21765</v>
          </cell>
        </row>
        <row r="43">
          <cell r="D43">
            <v>2</v>
          </cell>
          <cell r="E43">
            <v>21768</v>
          </cell>
        </row>
        <row r="44">
          <cell r="D44">
            <v>3</v>
          </cell>
          <cell r="E44">
            <v>21766</v>
          </cell>
        </row>
        <row r="45">
          <cell r="D45">
            <v>1</v>
          </cell>
          <cell r="E45">
            <v>21773</v>
          </cell>
        </row>
        <row r="46">
          <cell r="D46">
            <v>2</v>
          </cell>
          <cell r="E46">
            <v>21909</v>
          </cell>
        </row>
        <row r="47">
          <cell r="D47">
            <v>3</v>
          </cell>
          <cell r="E47">
            <v>22022</v>
          </cell>
        </row>
        <row r="48">
          <cell r="D48">
            <v>1</v>
          </cell>
          <cell r="E48">
            <v>22066</v>
          </cell>
        </row>
        <row r="49">
          <cell r="D49">
            <v>2</v>
          </cell>
          <cell r="E49">
            <v>22111</v>
          </cell>
        </row>
        <row r="50">
          <cell r="D50">
            <v>3</v>
          </cell>
          <cell r="E50">
            <v>22149</v>
          </cell>
        </row>
        <row r="51">
          <cell r="D51">
            <v>1</v>
          </cell>
          <cell r="E51">
            <v>22232</v>
          </cell>
        </row>
        <row r="52">
          <cell r="D52">
            <v>2</v>
          </cell>
          <cell r="E52">
            <v>22472</v>
          </cell>
        </row>
        <row r="53">
          <cell r="D53">
            <v>3</v>
          </cell>
          <cell r="E53">
            <v>22611</v>
          </cell>
        </row>
        <row r="54">
          <cell r="D54">
            <v>1</v>
          </cell>
          <cell r="E54">
            <v>22913</v>
          </cell>
        </row>
        <row r="55">
          <cell r="D55">
            <v>2</v>
          </cell>
          <cell r="E55">
            <v>23098</v>
          </cell>
        </row>
        <row r="56">
          <cell r="D56">
            <v>3</v>
          </cell>
          <cell r="E56">
            <v>23288</v>
          </cell>
        </row>
        <row r="57">
          <cell r="D57">
            <v>1</v>
          </cell>
          <cell r="E57">
            <v>23187</v>
          </cell>
        </row>
        <row r="58">
          <cell r="D58">
            <v>2</v>
          </cell>
          <cell r="E58">
            <v>22980</v>
          </cell>
        </row>
        <row r="59">
          <cell r="D59">
            <v>3</v>
          </cell>
          <cell r="E59">
            <v>22974</v>
          </cell>
        </row>
        <row r="60">
          <cell r="D60">
            <v>1</v>
          </cell>
          <cell r="E60">
            <v>22923</v>
          </cell>
        </row>
        <row r="61">
          <cell r="D61">
            <v>2</v>
          </cell>
          <cell r="E61">
            <v>22638</v>
          </cell>
        </row>
        <row r="62">
          <cell r="D62">
            <v>3</v>
          </cell>
          <cell r="E62">
            <v>22235</v>
          </cell>
        </row>
        <row r="63">
          <cell r="D63">
            <v>1</v>
          </cell>
          <cell r="E63">
            <v>21854</v>
          </cell>
        </row>
        <row r="64">
          <cell r="D64">
            <v>2</v>
          </cell>
          <cell r="E64">
            <v>21747</v>
          </cell>
        </row>
        <row r="65">
          <cell r="D65">
            <v>3</v>
          </cell>
          <cell r="E65">
            <v>21938</v>
          </cell>
        </row>
        <row r="66">
          <cell r="D66">
            <v>1</v>
          </cell>
          <cell r="E66">
            <v>22129</v>
          </cell>
        </row>
        <row r="67">
          <cell r="D67">
            <v>2</v>
          </cell>
          <cell r="E67">
            <v>22196</v>
          </cell>
        </row>
        <row r="68">
          <cell r="D68">
            <v>3</v>
          </cell>
          <cell r="E68">
            <v>22158</v>
          </cell>
        </row>
        <row r="69">
          <cell r="D69">
            <v>1</v>
          </cell>
          <cell r="E69">
            <v>22112</v>
          </cell>
        </row>
        <row r="70">
          <cell r="D70">
            <v>2</v>
          </cell>
          <cell r="E70">
            <v>22279</v>
          </cell>
        </row>
        <row r="71">
          <cell r="D71">
            <v>3</v>
          </cell>
          <cell r="E71">
            <v>22374</v>
          </cell>
        </row>
        <row r="72">
          <cell r="D72">
            <v>1</v>
          </cell>
          <cell r="E72">
            <v>22509</v>
          </cell>
        </row>
        <row r="73">
          <cell r="D73">
            <v>2</v>
          </cell>
          <cell r="E73">
            <v>22629</v>
          </cell>
        </row>
        <row r="74">
          <cell r="D74">
            <v>3</v>
          </cell>
          <cell r="E74">
            <v>22846</v>
          </cell>
        </row>
        <row r="75">
          <cell r="D75">
            <v>1</v>
          </cell>
          <cell r="E75">
            <v>22911</v>
          </cell>
        </row>
        <row r="76">
          <cell r="D76">
            <v>2</v>
          </cell>
          <cell r="E76">
            <v>22955</v>
          </cell>
        </row>
        <row r="77">
          <cell r="D77">
            <v>3</v>
          </cell>
          <cell r="E77">
            <v>23039</v>
          </cell>
        </row>
        <row r="78">
          <cell r="D78">
            <v>1</v>
          </cell>
          <cell r="E78">
            <v>23198</v>
          </cell>
        </row>
        <row r="79">
          <cell r="D79">
            <v>2</v>
          </cell>
          <cell r="E79">
            <v>23182</v>
          </cell>
        </row>
        <row r="80">
          <cell r="D80">
            <v>3</v>
          </cell>
          <cell r="E80">
            <v>23135</v>
          </cell>
        </row>
        <row r="81">
          <cell r="D81">
            <v>1</v>
          </cell>
          <cell r="E81">
            <v>22951</v>
          </cell>
        </row>
        <row r="82">
          <cell r="D82">
            <v>2</v>
          </cell>
          <cell r="E82">
            <v>23025</v>
          </cell>
        </row>
        <row r="83">
          <cell r="D83">
            <v>3</v>
          </cell>
          <cell r="E83">
            <v>22942</v>
          </cell>
        </row>
        <row r="84">
          <cell r="D84">
            <v>1</v>
          </cell>
          <cell r="E84">
            <v>23064</v>
          </cell>
        </row>
        <row r="85">
          <cell r="D85">
            <v>2</v>
          </cell>
          <cell r="E85">
            <v>23113</v>
          </cell>
        </row>
        <row r="86">
          <cell r="D86">
            <v>3</v>
          </cell>
          <cell r="E86">
            <v>23283</v>
          </cell>
        </row>
        <row r="87">
          <cell r="D87">
            <v>1</v>
          </cell>
          <cell r="E87">
            <v>23496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49" refreshError="1"/>
      <sheetData sheetId="5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2015</v>
          </cell>
          <cell r="D9">
            <v>1</v>
          </cell>
          <cell r="E9">
            <v>4371</v>
          </cell>
        </row>
        <row r="10">
          <cell r="D10">
            <v>2</v>
          </cell>
          <cell r="E10">
            <v>4513</v>
          </cell>
        </row>
        <row r="11">
          <cell r="D11">
            <v>3</v>
          </cell>
          <cell r="E11">
            <v>4633</v>
          </cell>
        </row>
        <row r="12">
          <cell r="D12">
            <v>1</v>
          </cell>
          <cell r="E12">
            <v>4644</v>
          </cell>
        </row>
        <row r="13">
          <cell r="D13">
            <v>2</v>
          </cell>
          <cell r="E13">
            <v>4506</v>
          </cell>
        </row>
        <row r="14">
          <cell r="D14">
            <v>3</v>
          </cell>
          <cell r="E14">
            <v>4442</v>
          </cell>
        </row>
        <row r="15">
          <cell r="D15">
            <v>1</v>
          </cell>
          <cell r="E15">
            <v>4413</v>
          </cell>
        </row>
        <row r="16">
          <cell r="D16">
            <v>2</v>
          </cell>
          <cell r="E16">
            <v>4275</v>
          </cell>
        </row>
        <row r="17">
          <cell r="D17">
            <v>3</v>
          </cell>
          <cell r="E17">
            <v>4268</v>
          </cell>
        </row>
        <row r="18">
          <cell r="D18">
            <v>1</v>
          </cell>
          <cell r="E18">
            <v>4123</v>
          </cell>
        </row>
        <row r="19">
          <cell r="D19">
            <v>2</v>
          </cell>
          <cell r="E19">
            <v>4101</v>
          </cell>
        </row>
        <row r="20">
          <cell r="D20">
            <v>3</v>
          </cell>
          <cell r="E20">
            <v>4063</v>
          </cell>
        </row>
        <row r="21">
          <cell r="D21">
            <v>1</v>
          </cell>
          <cell r="E21">
            <v>4058</v>
          </cell>
        </row>
        <row r="22">
          <cell r="D22">
            <v>2</v>
          </cell>
          <cell r="E22">
            <v>4093</v>
          </cell>
        </row>
        <row r="23">
          <cell r="D23">
            <v>3</v>
          </cell>
          <cell r="E23">
            <v>4104</v>
          </cell>
        </row>
        <row r="24">
          <cell r="D24">
            <v>1</v>
          </cell>
          <cell r="E24">
            <v>4116</v>
          </cell>
        </row>
        <row r="25">
          <cell r="D25">
            <v>2</v>
          </cell>
          <cell r="E25">
            <v>4129</v>
          </cell>
        </row>
        <row r="26">
          <cell r="D26">
            <v>3</v>
          </cell>
          <cell r="E26">
            <v>4145</v>
          </cell>
        </row>
        <row r="27">
          <cell r="D27">
            <v>1</v>
          </cell>
          <cell r="E27">
            <v>4134</v>
          </cell>
        </row>
        <row r="28">
          <cell r="D28">
            <v>2</v>
          </cell>
          <cell r="E28">
            <v>4162</v>
          </cell>
        </row>
        <row r="29">
          <cell r="D29">
            <v>3</v>
          </cell>
          <cell r="E29">
            <v>4201</v>
          </cell>
        </row>
        <row r="30">
          <cell r="D30">
            <v>1</v>
          </cell>
          <cell r="E30">
            <v>4228</v>
          </cell>
        </row>
        <row r="31">
          <cell r="D31">
            <v>2</v>
          </cell>
          <cell r="E31">
            <v>4289</v>
          </cell>
        </row>
        <row r="32">
          <cell r="D32">
            <v>3</v>
          </cell>
          <cell r="E32">
            <v>4369</v>
          </cell>
        </row>
        <row r="33">
          <cell r="D33">
            <v>1</v>
          </cell>
          <cell r="E33">
            <v>4471</v>
          </cell>
        </row>
        <row r="34">
          <cell r="D34">
            <v>2</v>
          </cell>
          <cell r="E34">
            <v>4463</v>
          </cell>
        </row>
        <row r="35">
          <cell r="D35">
            <v>3</v>
          </cell>
          <cell r="E35">
            <v>4427</v>
          </cell>
        </row>
        <row r="36">
          <cell r="D36">
            <v>1</v>
          </cell>
          <cell r="E36">
            <v>4372</v>
          </cell>
        </row>
        <row r="37">
          <cell r="D37">
            <v>2</v>
          </cell>
          <cell r="E37">
            <v>4378</v>
          </cell>
        </row>
        <row r="38">
          <cell r="D38">
            <v>3</v>
          </cell>
          <cell r="E38">
            <v>4361</v>
          </cell>
        </row>
        <row r="39">
          <cell r="D39">
            <v>1</v>
          </cell>
          <cell r="E39">
            <v>4443</v>
          </cell>
        </row>
        <row r="40">
          <cell r="D40">
            <v>2</v>
          </cell>
          <cell r="E40">
            <v>4490</v>
          </cell>
        </row>
        <row r="41">
          <cell r="D41">
            <v>3</v>
          </cell>
          <cell r="E41">
            <v>4534</v>
          </cell>
        </row>
        <row r="42">
          <cell r="D42">
            <v>1</v>
          </cell>
          <cell r="E42">
            <v>4577</v>
          </cell>
        </row>
        <row r="43">
          <cell r="D43">
            <v>0</v>
          </cell>
          <cell r="E43">
            <v>0</v>
          </cell>
        </row>
        <row r="44">
          <cell r="D44">
            <v>0</v>
          </cell>
          <cell r="E44">
            <v>0</v>
          </cell>
        </row>
        <row r="45">
          <cell r="D45">
            <v>0</v>
          </cell>
          <cell r="E45">
            <v>0</v>
          </cell>
        </row>
        <row r="46">
          <cell r="D46">
            <v>0</v>
          </cell>
          <cell r="E46">
            <v>0</v>
          </cell>
        </row>
        <row r="47"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</sheetData>
      <sheetData sheetId="51" refreshError="1"/>
      <sheetData sheetId="5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2015</v>
          </cell>
          <cell r="D9">
            <v>1</v>
          </cell>
          <cell r="E9">
            <v>18541</v>
          </cell>
        </row>
        <row r="10">
          <cell r="D10">
            <v>2</v>
          </cell>
          <cell r="E10">
            <v>18585</v>
          </cell>
        </row>
        <row r="11">
          <cell r="D11">
            <v>3</v>
          </cell>
          <cell r="E11">
            <v>18654</v>
          </cell>
        </row>
        <row r="12">
          <cell r="D12">
            <v>1</v>
          </cell>
          <cell r="E12">
            <v>18543</v>
          </cell>
        </row>
        <row r="13">
          <cell r="D13">
            <v>2</v>
          </cell>
          <cell r="E13">
            <v>18474</v>
          </cell>
        </row>
        <row r="14">
          <cell r="D14">
            <v>3</v>
          </cell>
          <cell r="E14">
            <v>18532</v>
          </cell>
        </row>
        <row r="15">
          <cell r="D15">
            <v>1</v>
          </cell>
          <cell r="E15">
            <v>18511</v>
          </cell>
        </row>
        <row r="16">
          <cell r="D16">
            <v>2</v>
          </cell>
          <cell r="E16">
            <v>18362</v>
          </cell>
        </row>
        <row r="17">
          <cell r="D17">
            <v>3</v>
          </cell>
          <cell r="E17">
            <v>17967</v>
          </cell>
        </row>
        <row r="18">
          <cell r="D18">
            <v>1</v>
          </cell>
          <cell r="E18">
            <v>17732</v>
          </cell>
        </row>
        <row r="19">
          <cell r="D19">
            <v>2</v>
          </cell>
          <cell r="E19">
            <v>17645</v>
          </cell>
        </row>
        <row r="20">
          <cell r="D20">
            <v>3</v>
          </cell>
          <cell r="E20">
            <v>17875</v>
          </cell>
        </row>
        <row r="21">
          <cell r="D21">
            <v>1</v>
          </cell>
          <cell r="E21">
            <v>18071</v>
          </cell>
        </row>
        <row r="22">
          <cell r="D22">
            <v>2</v>
          </cell>
          <cell r="E22">
            <v>18104</v>
          </cell>
        </row>
        <row r="23">
          <cell r="D23">
            <v>3</v>
          </cell>
          <cell r="E23">
            <v>18054</v>
          </cell>
        </row>
        <row r="24">
          <cell r="D24">
            <v>1</v>
          </cell>
          <cell r="E24">
            <v>17996</v>
          </cell>
        </row>
        <row r="25">
          <cell r="D25">
            <v>2</v>
          </cell>
          <cell r="E25">
            <v>18149</v>
          </cell>
        </row>
        <row r="26">
          <cell r="D26">
            <v>3</v>
          </cell>
          <cell r="E26">
            <v>18229</v>
          </cell>
        </row>
        <row r="27">
          <cell r="D27">
            <v>1</v>
          </cell>
          <cell r="E27">
            <v>18374</v>
          </cell>
        </row>
        <row r="28">
          <cell r="D28">
            <v>2</v>
          </cell>
          <cell r="E28">
            <v>18467</v>
          </cell>
        </row>
        <row r="29">
          <cell r="D29">
            <v>3</v>
          </cell>
          <cell r="E29">
            <v>18646</v>
          </cell>
        </row>
        <row r="30">
          <cell r="D30">
            <v>1</v>
          </cell>
          <cell r="E30">
            <v>18683</v>
          </cell>
        </row>
        <row r="31">
          <cell r="D31">
            <v>2</v>
          </cell>
          <cell r="E31">
            <v>18666</v>
          </cell>
        </row>
        <row r="32">
          <cell r="D32">
            <v>3</v>
          </cell>
          <cell r="E32">
            <v>18670</v>
          </cell>
        </row>
        <row r="33">
          <cell r="D33">
            <v>1</v>
          </cell>
          <cell r="E33">
            <v>18727</v>
          </cell>
        </row>
        <row r="34">
          <cell r="D34">
            <v>2</v>
          </cell>
          <cell r="E34">
            <v>18720</v>
          </cell>
        </row>
        <row r="35">
          <cell r="D35">
            <v>3</v>
          </cell>
          <cell r="E35">
            <v>18708</v>
          </cell>
        </row>
        <row r="36">
          <cell r="D36">
            <v>1</v>
          </cell>
          <cell r="E36">
            <v>18579</v>
          </cell>
        </row>
        <row r="37">
          <cell r="D37">
            <v>2</v>
          </cell>
          <cell r="E37">
            <v>18647</v>
          </cell>
        </row>
        <row r="38">
          <cell r="D38">
            <v>3</v>
          </cell>
          <cell r="E38">
            <v>18581</v>
          </cell>
        </row>
        <row r="39">
          <cell r="D39">
            <v>1</v>
          </cell>
          <cell r="E39">
            <v>18621</v>
          </cell>
        </row>
        <row r="40">
          <cell r="D40">
            <v>2</v>
          </cell>
          <cell r="E40">
            <v>18623</v>
          </cell>
        </row>
        <row r="41">
          <cell r="D41">
            <v>3</v>
          </cell>
          <cell r="E41">
            <v>18749</v>
          </cell>
        </row>
        <row r="42">
          <cell r="D42">
            <v>1</v>
          </cell>
          <cell r="E42">
            <v>18919</v>
          </cell>
        </row>
        <row r="43">
          <cell r="D43">
            <v>0</v>
          </cell>
          <cell r="E43">
            <v>0</v>
          </cell>
        </row>
        <row r="44">
          <cell r="D44">
            <v>0</v>
          </cell>
          <cell r="E44">
            <v>0</v>
          </cell>
        </row>
        <row r="45">
          <cell r="D45">
            <v>0</v>
          </cell>
          <cell r="E45">
            <v>0</v>
          </cell>
        </row>
        <row r="46">
          <cell r="D46">
            <v>0</v>
          </cell>
          <cell r="E46">
            <v>0</v>
          </cell>
        </row>
        <row r="47"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</sheetData>
      <sheetData sheetId="53" refreshError="1"/>
      <sheetData sheetId="5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2407</v>
          </cell>
        </row>
        <row r="10">
          <cell r="D10">
            <v>2</v>
          </cell>
          <cell r="E10">
            <v>2622</v>
          </cell>
        </row>
        <row r="11">
          <cell r="D11">
            <v>3</v>
          </cell>
          <cell r="E11">
            <v>2839</v>
          </cell>
        </row>
        <row r="12">
          <cell r="D12">
            <v>1</v>
          </cell>
          <cell r="E12">
            <v>2984</v>
          </cell>
        </row>
        <row r="13">
          <cell r="D13">
            <v>2</v>
          </cell>
          <cell r="E13">
            <v>2981</v>
          </cell>
        </row>
        <row r="14">
          <cell r="D14">
            <v>3</v>
          </cell>
          <cell r="E14">
            <v>2966</v>
          </cell>
        </row>
        <row r="15">
          <cell r="D15">
            <v>1</v>
          </cell>
          <cell r="E15">
            <v>2909</v>
          </cell>
        </row>
        <row r="16">
          <cell r="D16">
            <v>2</v>
          </cell>
          <cell r="E16">
            <v>2829</v>
          </cell>
        </row>
        <row r="17">
          <cell r="D17">
            <v>3</v>
          </cell>
          <cell r="E17">
            <v>2841</v>
          </cell>
        </row>
        <row r="18">
          <cell r="D18">
            <v>1</v>
          </cell>
          <cell r="E18">
            <v>2864</v>
          </cell>
        </row>
        <row r="19">
          <cell r="D19">
            <v>2</v>
          </cell>
          <cell r="E19">
            <v>2859</v>
          </cell>
        </row>
        <row r="20">
          <cell r="D20">
            <v>3</v>
          </cell>
          <cell r="E20">
            <v>2812</v>
          </cell>
        </row>
        <row r="21">
          <cell r="D21">
            <v>1</v>
          </cell>
          <cell r="E21">
            <v>2810</v>
          </cell>
        </row>
        <row r="22">
          <cell r="D22">
            <v>2</v>
          </cell>
          <cell r="E22">
            <v>2832</v>
          </cell>
        </row>
        <row r="23">
          <cell r="D23">
            <v>3</v>
          </cell>
          <cell r="E23">
            <v>2852</v>
          </cell>
        </row>
        <row r="24">
          <cell r="D24">
            <v>1</v>
          </cell>
          <cell r="E24">
            <v>2840</v>
          </cell>
        </row>
        <row r="25">
          <cell r="D25">
            <v>2</v>
          </cell>
          <cell r="E25">
            <v>2799</v>
          </cell>
        </row>
        <row r="26">
          <cell r="D26">
            <v>3</v>
          </cell>
          <cell r="E26">
            <v>2732</v>
          </cell>
        </row>
        <row r="27">
          <cell r="D27">
            <v>1</v>
          </cell>
          <cell r="E27">
            <v>2692</v>
          </cell>
        </row>
        <row r="28">
          <cell r="D28">
            <v>2</v>
          </cell>
          <cell r="E28">
            <v>2681</v>
          </cell>
        </row>
        <row r="29">
          <cell r="D29">
            <v>3</v>
          </cell>
          <cell r="E29">
            <v>2737</v>
          </cell>
        </row>
        <row r="30">
          <cell r="D30">
            <v>1</v>
          </cell>
          <cell r="E30">
            <v>2815</v>
          </cell>
        </row>
        <row r="31">
          <cell r="D31">
            <v>2</v>
          </cell>
          <cell r="E31">
            <v>2810</v>
          </cell>
        </row>
        <row r="32">
          <cell r="D32">
            <v>3</v>
          </cell>
          <cell r="E32">
            <v>2782</v>
          </cell>
        </row>
        <row r="33">
          <cell r="D33">
            <v>1</v>
          </cell>
          <cell r="E33">
            <v>2652</v>
          </cell>
        </row>
        <row r="34">
          <cell r="D34">
            <v>2</v>
          </cell>
          <cell r="E34">
            <v>2635</v>
          </cell>
        </row>
        <row r="35">
          <cell r="D35">
            <v>3</v>
          </cell>
          <cell r="E35">
            <v>2601</v>
          </cell>
        </row>
        <row r="36">
          <cell r="D36">
            <v>1</v>
          </cell>
          <cell r="E36">
            <v>2657</v>
          </cell>
        </row>
        <row r="37">
          <cell r="D37">
            <v>2</v>
          </cell>
          <cell r="E37">
            <v>2634</v>
          </cell>
        </row>
        <row r="38">
          <cell r="D38">
            <v>3</v>
          </cell>
          <cell r="E38">
            <v>2639</v>
          </cell>
        </row>
        <row r="39">
          <cell r="D39">
            <v>1</v>
          </cell>
          <cell r="E39">
            <v>2593</v>
          </cell>
        </row>
        <row r="40">
          <cell r="D40">
            <v>2</v>
          </cell>
          <cell r="E40">
            <v>2564</v>
          </cell>
        </row>
        <row r="41">
          <cell r="D41">
            <v>3</v>
          </cell>
          <cell r="E41">
            <v>2538</v>
          </cell>
        </row>
        <row r="42">
          <cell r="D42">
            <v>1</v>
          </cell>
          <cell r="E42">
            <v>2591</v>
          </cell>
        </row>
        <row r="43">
          <cell r="D43">
            <v>2</v>
          </cell>
          <cell r="E43">
            <v>2651</v>
          </cell>
        </row>
        <row r="44">
          <cell r="D44">
            <v>3</v>
          </cell>
          <cell r="E44">
            <v>2699</v>
          </cell>
        </row>
        <row r="45">
          <cell r="D45">
            <v>1</v>
          </cell>
          <cell r="E45">
            <v>2695</v>
          </cell>
        </row>
        <row r="46">
          <cell r="D46">
            <v>2</v>
          </cell>
          <cell r="E46">
            <v>2686</v>
          </cell>
        </row>
        <row r="47">
          <cell r="D47">
            <v>3</v>
          </cell>
          <cell r="E47">
            <v>2667</v>
          </cell>
        </row>
        <row r="48">
          <cell r="D48">
            <v>1</v>
          </cell>
          <cell r="E48">
            <v>2717</v>
          </cell>
        </row>
        <row r="49">
          <cell r="D49">
            <v>2</v>
          </cell>
          <cell r="E49">
            <v>2733</v>
          </cell>
        </row>
        <row r="50">
          <cell r="D50">
            <v>3</v>
          </cell>
          <cell r="E50">
            <v>2708</v>
          </cell>
        </row>
        <row r="51">
          <cell r="D51">
            <v>1</v>
          </cell>
          <cell r="E51">
            <v>2652</v>
          </cell>
        </row>
        <row r="52">
          <cell r="D52">
            <v>2</v>
          </cell>
          <cell r="E52">
            <v>2551</v>
          </cell>
        </row>
        <row r="53">
          <cell r="D53">
            <v>3</v>
          </cell>
          <cell r="E53">
            <v>2428</v>
          </cell>
        </row>
        <row r="54">
          <cell r="D54">
            <v>1</v>
          </cell>
          <cell r="E54">
            <v>2336</v>
          </cell>
        </row>
        <row r="55">
          <cell r="D55">
            <v>2</v>
          </cell>
          <cell r="E55">
            <v>2292</v>
          </cell>
        </row>
        <row r="56">
          <cell r="D56">
            <v>3</v>
          </cell>
          <cell r="E56">
            <v>2262</v>
          </cell>
        </row>
        <row r="57">
          <cell r="D57">
            <v>1</v>
          </cell>
          <cell r="E57">
            <v>2180</v>
          </cell>
        </row>
        <row r="58">
          <cell r="D58">
            <v>2</v>
          </cell>
          <cell r="E58">
            <v>2141</v>
          </cell>
        </row>
        <row r="59">
          <cell r="D59">
            <v>3</v>
          </cell>
          <cell r="E59">
            <v>2140</v>
          </cell>
        </row>
        <row r="60">
          <cell r="D60">
            <v>1</v>
          </cell>
          <cell r="E60">
            <v>2136</v>
          </cell>
        </row>
        <row r="61">
          <cell r="D61">
            <v>2</v>
          </cell>
          <cell r="E61">
            <v>2110</v>
          </cell>
        </row>
        <row r="62">
          <cell r="D62">
            <v>3</v>
          </cell>
          <cell r="E62">
            <v>2093</v>
          </cell>
        </row>
        <row r="63">
          <cell r="D63">
            <v>1</v>
          </cell>
          <cell r="E63">
            <v>2066</v>
          </cell>
        </row>
        <row r="64">
          <cell r="D64">
            <v>2</v>
          </cell>
          <cell r="E64">
            <v>2073</v>
          </cell>
        </row>
        <row r="65">
          <cell r="D65">
            <v>3</v>
          </cell>
          <cell r="E65">
            <v>2097</v>
          </cell>
        </row>
        <row r="66">
          <cell r="D66">
            <v>1</v>
          </cell>
          <cell r="E66">
            <v>2107</v>
          </cell>
        </row>
        <row r="67">
          <cell r="D67">
            <v>2</v>
          </cell>
          <cell r="E67">
            <v>2165</v>
          </cell>
        </row>
        <row r="68">
          <cell r="D68">
            <v>3</v>
          </cell>
          <cell r="E68">
            <v>2196</v>
          </cell>
        </row>
        <row r="69">
          <cell r="D69">
            <v>1</v>
          </cell>
          <cell r="E69">
            <v>2190</v>
          </cell>
        </row>
        <row r="70">
          <cell r="D70">
            <v>2</v>
          </cell>
          <cell r="E70">
            <v>2179</v>
          </cell>
        </row>
        <row r="71">
          <cell r="D71">
            <v>3</v>
          </cell>
          <cell r="E71">
            <v>2168</v>
          </cell>
        </row>
        <row r="72">
          <cell r="D72">
            <v>1</v>
          </cell>
          <cell r="E72">
            <v>2179</v>
          </cell>
        </row>
        <row r="73">
          <cell r="D73">
            <v>2</v>
          </cell>
          <cell r="E73">
            <v>2229</v>
          </cell>
        </row>
        <row r="74">
          <cell r="D74">
            <v>3</v>
          </cell>
          <cell r="E74">
            <v>2263</v>
          </cell>
        </row>
        <row r="75">
          <cell r="D75">
            <v>1</v>
          </cell>
          <cell r="E75">
            <v>2264</v>
          </cell>
        </row>
        <row r="76">
          <cell r="D76">
            <v>2</v>
          </cell>
          <cell r="E76">
            <v>2215</v>
          </cell>
        </row>
        <row r="77">
          <cell r="D77">
            <v>3</v>
          </cell>
          <cell r="E77">
            <v>2239</v>
          </cell>
        </row>
        <row r="78">
          <cell r="D78">
            <v>1</v>
          </cell>
          <cell r="E78">
            <v>2223</v>
          </cell>
        </row>
        <row r="79">
          <cell r="D79">
            <v>2</v>
          </cell>
          <cell r="E79">
            <v>2244</v>
          </cell>
        </row>
        <row r="80">
          <cell r="D80">
            <v>3</v>
          </cell>
          <cell r="E80">
            <v>2231</v>
          </cell>
        </row>
        <row r="81">
          <cell r="D81">
            <v>1</v>
          </cell>
          <cell r="E81">
            <v>2221</v>
          </cell>
        </row>
        <row r="82">
          <cell r="D82">
            <v>2</v>
          </cell>
          <cell r="E82">
            <v>2179</v>
          </cell>
        </row>
        <row r="83">
          <cell r="D83">
            <v>3</v>
          </cell>
          <cell r="E83">
            <v>2133</v>
          </cell>
        </row>
        <row r="84">
          <cell r="D84">
            <v>1</v>
          </cell>
          <cell r="E84">
            <v>2143</v>
          </cell>
        </row>
        <row r="85">
          <cell r="D85">
            <v>2</v>
          </cell>
          <cell r="E85">
            <v>2139</v>
          </cell>
        </row>
        <row r="86">
          <cell r="D86">
            <v>3</v>
          </cell>
          <cell r="E86">
            <v>2187</v>
          </cell>
        </row>
        <row r="87">
          <cell r="D87">
            <v>1</v>
          </cell>
          <cell r="E87">
            <v>2222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55" refreshError="1"/>
      <sheetData sheetId="5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10307</v>
          </cell>
        </row>
        <row r="10">
          <cell r="D10">
            <v>2</v>
          </cell>
          <cell r="E10">
            <v>10404</v>
          </cell>
        </row>
        <row r="11">
          <cell r="D11">
            <v>3</v>
          </cell>
          <cell r="E11">
            <v>10478</v>
          </cell>
        </row>
        <row r="12">
          <cell r="D12">
            <v>1</v>
          </cell>
          <cell r="E12">
            <v>10522</v>
          </cell>
        </row>
        <row r="13">
          <cell r="D13">
            <v>2</v>
          </cell>
          <cell r="E13">
            <v>10520</v>
          </cell>
        </row>
        <row r="14">
          <cell r="D14">
            <v>3</v>
          </cell>
          <cell r="E14">
            <v>10527</v>
          </cell>
        </row>
        <row r="15">
          <cell r="D15">
            <v>1</v>
          </cell>
          <cell r="E15">
            <v>10356</v>
          </cell>
        </row>
        <row r="16">
          <cell r="D16">
            <v>2</v>
          </cell>
          <cell r="E16">
            <v>10190</v>
          </cell>
        </row>
        <row r="17">
          <cell r="D17">
            <v>3</v>
          </cell>
          <cell r="E17">
            <v>10112</v>
          </cell>
        </row>
        <row r="18">
          <cell r="D18">
            <v>1</v>
          </cell>
          <cell r="E18">
            <v>10192</v>
          </cell>
        </row>
        <row r="19">
          <cell r="D19">
            <v>2</v>
          </cell>
          <cell r="E19">
            <v>10234</v>
          </cell>
        </row>
        <row r="20">
          <cell r="D20">
            <v>3</v>
          </cell>
          <cell r="E20">
            <v>10109</v>
          </cell>
        </row>
        <row r="21">
          <cell r="D21">
            <v>1</v>
          </cell>
          <cell r="E21">
            <v>10018</v>
          </cell>
        </row>
        <row r="22">
          <cell r="D22">
            <v>2</v>
          </cell>
          <cell r="E22">
            <v>10031</v>
          </cell>
        </row>
        <row r="23">
          <cell r="D23">
            <v>3</v>
          </cell>
          <cell r="E23">
            <v>10198</v>
          </cell>
        </row>
        <row r="24">
          <cell r="D24">
            <v>1</v>
          </cell>
          <cell r="E24">
            <v>10280</v>
          </cell>
        </row>
        <row r="25">
          <cell r="D25">
            <v>2</v>
          </cell>
          <cell r="E25">
            <v>10354</v>
          </cell>
        </row>
        <row r="26">
          <cell r="D26">
            <v>3</v>
          </cell>
          <cell r="E26">
            <v>10300</v>
          </cell>
        </row>
        <row r="27">
          <cell r="D27">
            <v>1</v>
          </cell>
          <cell r="E27">
            <v>10244</v>
          </cell>
        </row>
        <row r="28">
          <cell r="D28">
            <v>2</v>
          </cell>
          <cell r="E28">
            <v>10139</v>
          </cell>
        </row>
        <row r="29">
          <cell r="D29">
            <v>3</v>
          </cell>
          <cell r="E29">
            <v>10270</v>
          </cell>
        </row>
        <row r="30">
          <cell r="D30">
            <v>1</v>
          </cell>
          <cell r="E30">
            <v>10346</v>
          </cell>
        </row>
        <row r="31">
          <cell r="D31">
            <v>2</v>
          </cell>
          <cell r="E31">
            <v>10234</v>
          </cell>
        </row>
        <row r="32">
          <cell r="D32">
            <v>3</v>
          </cell>
          <cell r="E32">
            <v>9939</v>
          </cell>
        </row>
        <row r="33">
          <cell r="D33">
            <v>1</v>
          </cell>
          <cell r="E33">
            <v>9631</v>
          </cell>
        </row>
        <row r="34">
          <cell r="D34">
            <v>2</v>
          </cell>
          <cell r="E34">
            <v>9601</v>
          </cell>
        </row>
        <row r="35">
          <cell r="D35">
            <v>3</v>
          </cell>
          <cell r="E35">
            <v>9710</v>
          </cell>
        </row>
        <row r="36">
          <cell r="D36">
            <v>1</v>
          </cell>
          <cell r="E36">
            <v>9768</v>
          </cell>
        </row>
        <row r="37">
          <cell r="D37">
            <v>2</v>
          </cell>
          <cell r="E37">
            <v>9761</v>
          </cell>
        </row>
        <row r="38">
          <cell r="D38">
            <v>3</v>
          </cell>
          <cell r="E38">
            <v>9653</v>
          </cell>
        </row>
        <row r="39">
          <cell r="D39">
            <v>1</v>
          </cell>
          <cell r="E39">
            <v>9597</v>
          </cell>
        </row>
        <row r="40">
          <cell r="D40">
            <v>2</v>
          </cell>
          <cell r="E40">
            <v>9513</v>
          </cell>
        </row>
        <row r="41">
          <cell r="D41">
            <v>3</v>
          </cell>
          <cell r="E41">
            <v>9469</v>
          </cell>
        </row>
        <row r="42">
          <cell r="D42">
            <v>1</v>
          </cell>
          <cell r="E42">
            <v>9416</v>
          </cell>
        </row>
        <row r="43">
          <cell r="D43">
            <v>2</v>
          </cell>
          <cell r="E43">
            <v>9511</v>
          </cell>
        </row>
        <row r="44">
          <cell r="D44">
            <v>3</v>
          </cell>
          <cell r="E44">
            <v>9501</v>
          </cell>
        </row>
        <row r="45">
          <cell r="D45">
            <v>1</v>
          </cell>
          <cell r="E45">
            <v>9548</v>
          </cell>
        </row>
        <row r="46">
          <cell r="D46">
            <v>2</v>
          </cell>
          <cell r="E46">
            <v>9511</v>
          </cell>
        </row>
        <row r="47">
          <cell r="D47">
            <v>3</v>
          </cell>
          <cell r="E47">
            <v>9487</v>
          </cell>
        </row>
        <row r="48">
          <cell r="D48">
            <v>1</v>
          </cell>
          <cell r="E48">
            <v>9561</v>
          </cell>
        </row>
        <row r="49">
          <cell r="D49">
            <v>2</v>
          </cell>
          <cell r="E49">
            <v>9573</v>
          </cell>
        </row>
        <row r="50">
          <cell r="D50">
            <v>3</v>
          </cell>
          <cell r="E50">
            <v>9531</v>
          </cell>
        </row>
        <row r="51">
          <cell r="D51">
            <v>1</v>
          </cell>
          <cell r="E51">
            <v>9463</v>
          </cell>
        </row>
        <row r="52">
          <cell r="D52">
            <v>2</v>
          </cell>
          <cell r="E52">
            <v>9384</v>
          </cell>
        </row>
        <row r="53">
          <cell r="D53">
            <v>3</v>
          </cell>
          <cell r="E53">
            <v>9338</v>
          </cell>
        </row>
        <row r="54">
          <cell r="D54">
            <v>1</v>
          </cell>
          <cell r="E54">
            <v>9339</v>
          </cell>
        </row>
        <row r="55">
          <cell r="D55">
            <v>2</v>
          </cell>
          <cell r="E55">
            <v>9352</v>
          </cell>
        </row>
        <row r="56">
          <cell r="D56">
            <v>3</v>
          </cell>
          <cell r="E56">
            <v>9520</v>
          </cell>
        </row>
        <row r="57">
          <cell r="D57">
            <v>1</v>
          </cell>
          <cell r="E57">
            <v>9440</v>
          </cell>
        </row>
        <row r="58">
          <cell r="D58">
            <v>2</v>
          </cell>
          <cell r="E58">
            <v>9430</v>
          </cell>
        </row>
        <row r="59">
          <cell r="D59">
            <v>3</v>
          </cell>
          <cell r="E59">
            <v>9359</v>
          </cell>
        </row>
        <row r="60">
          <cell r="D60">
            <v>1</v>
          </cell>
          <cell r="E60">
            <v>9417</v>
          </cell>
        </row>
        <row r="61">
          <cell r="D61">
            <v>2</v>
          </cell>
          <cell r="E61">
            <v>9375</v>
          </cell>
        </row>
        <row r="62">
          <cell r="D62">
            <v>3</v>
          </cell>
          <cell r="E62">
            <v>9259</v>
          </cell>
        </row>
        <row r="63">
          <cell r="D63">
            <v>1</v>
          </cell>
          <cell r="E63">
            <v>9021</v>
          </cell>
        </row>
        <row r="64">
          <cell r="D64">
            <v>2</v>
          </cell>
          <cell r="E64">
            <v>8906</v>
          </cell>
        </row>
        <row r="65">
          <cell r="D65">
            <v>3</v>
          </cell>
          <cell r="E65">
            <v>8901</v>
          </cell>
        </row>
        <row r="66">
          <cell r="D66">
            <v>1</v>
          </cell>
          <cell r="E66">
            <v>8922</v>
          </cell>
        </row>
        <row r="67">
          <cell r="D67">
            <v>2</v>
          </cell>
          <cell r="E67">
            <v>8919</v>
          </cell>
        </row>
        <row r="68">
          <cell r="D68">
            <v>3</v>
          </cell>
          <cell r="E68">
            <v>8817</v>
          </cell>
        </row>
        <row r="69">
          <cell r="D69">
            <v>1</v>
          </cell>
          <cell r="E69">
            <v>8682</v>
          </cell>
        </row>
        <row r="70">
          <cell r="D70">
            <v>2</v>
          </cell>
          <cell r="E70">
            <v>8700</v>
          </cell>
        </row>
        <row r="71">
          <cell r="D71">
            <v>3</v>
          </cell>
          <cell r="E71">
            <v>8675</v>
          </cell>
        </row>
        <row r="72">
          <cell r="D72">
            <v>1</v>
          </cell>
          <cell r="E72">
            <v>8652</v>
          </cell>
        </row>
        <row r="73">
          <cell r="D73">
            <v>2</v>
          </cell>
          <cell r="E73">
            <v>8626</v>
          </cell>
        </row>
        <row r="74">
          <cell r="D74">
            <v>3</v>
          </cell>
          <cell r="E74">
            <v>8633</v>
          </cell>
        </row>
        <row r="75">
          <cell r="D75">
            <v>1</v>
          </cell>
          <cell r="E75">
            <v>8621</v>
          </cell>
        </row>
        <row r="76">
          <cell r="D76">
            <v>2</v>
          </cell>
          <cell r="E76">
            <v>8487</v>
          </cell>
        </row>
        <row r="77">
          <cell r="D77">
            <v>3</v>
          </cell>
          <cell r="E77">
            <v>8521</v>
          </cell>
        </row>
        <row r="78">
          <cell r="D78">
            <v>1</v>
          </cell>
          <cell r="E78">
            <v>8463</v>
          </cell>
        </row>
        <row r="79">
          <cell r="D79">
            <v>2</v>
          </cell>
          <cell r="E79">
            <v>8569</v>
          </cell>
        </row>
        <row r="80">
          <cell r="D80">
            <v>3</v>
          </cell>
          <cell r="E80">
            <v>8533</v>
          </cell>
        </row>
        <row r="81">
          <cell r="D81">
            <v>1</v>
          </cell>
          <cell r="E81">
            <v>8486</v>
          </cell>
        </row>
        <row r="82">
          <cell r="D82">
            <v>2</v>
          </cell>
          <cell r="E82">
            <v>8441</v>
          </cell>
        </row>
        <row r="83">
          <cell r="D83">
            <v>3</v>
          </cell>
          <cell r="E83">
            <v>8420</v>
          </cell>
        </row>
        <row r="84">
          <cell r="D84">
            <v>1</v>
          </cell>
          <cell r="E84">
            <v>8494</v>
          </cell>
        </row>
        <row r="85">
          <cell r="D85">
            <v>2</v>
          </cell>
          <cell r="E85">
            <v>8576</v>
          </cell>
        </row>
        <row r="86">
          <cell r="D86">
            <v>3</v>
          </cell>
          <cell r="E86">
            <v>8673</v>
          </cell>
        </row>
        <row r="87">
          <cell r="D87">
            <v>1</v>
          </cell>
          <cell r="E87">
            <v>8758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57" refreshError="1"/>
      <sheetData sheetId="5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12900</v>
          </cell>
        </row>
        <row r="10">
          <cell r="D10">
            <v>2</v>
          </cell>
          <cell r="E10">
            <v>13112</v>
          </cell>
        </row>
        <row r="11">
          <cell r="D11">
            <v>3</v>
          </cell>
          <cell r="E11">
            <v>13143</v>
          </cell>
        </row>
        <row r="12">
          <cell r="D12">
            <v>1</v>
          </cell>
          <cell r="E12">
            <v>13183</v>
          </cell>
        </row>
        <row r="13">
          <cell r="D13">
            <v>2</v>
          </cell>
          <cell r="E13">
            <v>13104</v>
          </cell>
        </row>
        <row r="14">
          <cell r="D14">
            <v>3</v>
          </cell>
          <cell r="E14">
            <v>13014</v>
          </cell>
        </row>
        <row r="15">
          <cell r="D15">
            <v>1</v>
          </cell>
          <cell r="E15">
            <v>13127</v>
          </cell>
        </row>
        <row r="16">
          <cell r="D16">
            <v>2</v>
          </cell>
          <cell r="E16">
            <v>13135</v>
          </cell>
        </row>
        <row r="17">
          <cell r="D17">
            <v>3</v>
          </cell>
          <cell r="E17">
            <v>13176</v>
          </cell>
        </row>
        <row r="18">
          <cell r="D18">
            <v>1</v>
          </cell>
          <cell r="E18">
            <v>13112</v>
          </cell>
        </row>
        <row r="19">
          <cell r="D19">
            <v>2</v>
          </cell>
          <cell r="E19">
            <v>12993</v>
          </cell>
        </row>
        <row r="20">
          <cell r="D20">
            <v>3</v>
          </cell>
          <cell r="E20">
            <v>12927</v>
          </cell>
        </row>
        <row r="21">
          <cell r="D21">
            <v>1</v>
          </cell>
          <cell r="E21">
            <v>12943</v>
          </cell>
        </row>
        <row r="22">
          <cell r="D22">
            <v>2</v>
          </cell>
          <cell r="E22">
            <v>12988</v>
          </cell>
        </row>
        <row r="23">
          <cell r="D23">
            <v>3</v>
          </cell>
          <cell r="E23">
            <v>13061</v>
          </cell>
        </row>
        <row r="24">
          <cell r="D24">
            <v>1</v>
          </cell>
          <cell r="E24">
            <v>13014</v>
          </cell>
        </row>
        <row r="25">
          <cell r="D25">
            <v>2</v>
          </cell>
          <cell r="E25">
            <v>12884</v>
          </cell>
        </row>
        <row r="26">
          <cell r="D26">
            <v>3</v>
          </cell>
          <cell r="E26">
            <v>12776</v>
          </cell>
        </row>
        <row r="27">
          <cell r="D27">
            <v>1</v>
          </cell>
          <cell r="E27">
            <v>12790</v>
          </cell>
        </row>
        <row r="28">
          <cell r="D28">
            <v>2</v>
          </cell>
          <cell r="E28">
            <v>12917</v>
          </cell>
        </row>
        <row r="29">
          <cell r="D29">
            <v>3</v>
          </cell>
          <cell r="E29">
            <v>12879</v>
          </cell>
        </row>
        <row r="30">
          <cell r="D30">
            <v>1</v>
          </cell>
          <cell r="E30">
            <v>12888</v>
          </cell>
        </row>
        <row r="31">
          <cell r="D31">
            <v>2</v>
          </cell>
          <cell r="E31">
            <v>12894</v>
          </cell>
        </row>
        <row r="32">
          <cell r="D32">
            <v>3</v>
          </cell>
          <cell r="E32">
            <v>13046</v>
          </cell>
        </row>
        <row r="33">
          <cell r="D33">
            <v>1</v>
          </cell>
          <cell r="E33">
            <v>12998</v>
          </cell>
        </row>
        <row r="34">
          <cell r="D34">
            <v>2</v>
          </cell>
          <cell r="E34">
            <v>13043</v>
          </cell>
        </row>
        <row r="35">
          <cell r="D35">
            <v>3</v>
          </cell>
          <cell r="E35">
            <v>13068</v>
          </cell>
        </row>
        <row r="36">
          <cell r="D36">
            <v>1</v>
          </cell>
          <cell r="E36">
            <v>13146</v>
          </cell>
        </row>
        <row r="37">
          <cell r="D37">
            <v>2</v>
          </cell>
          <cell r="E37">
            <v>13265</v>
          </cell>
        </row>
        <row r="38">
          <cell r="D38">
            <v>3</v>
          </cell>
          <cell r="E38">
            <v>13415</v>
          </cell>
        </row>
        <row r="39">
          <cell r="D39">
            <v>1</v>
          </cell>
          <cell r="E39">
            <v>13397</v>
          </cell>
        </row>
        <row r="40">
          <cell r="D40">
            <v>2</v>
          </cell>
          <cell r="E40">
            <v>13432</v>
          </cell>
        </row>
        <row r="41">
          <cell r="D41">
            <v>3</v>
          </cell>
          <cell r="E41">
            <v>13384</v>
          </cell>
        </row>
        <row r="42">
          <cell r="D42">
            <v>1</v>
          </cell>
          <cell r="E42">
            <v>13425</v>
          </cell>
        </row>
        <row r="43">
          <cell r="D43">
            <v>2</v>
          </cell>
          <cell r="E43">
            <v>13292</v>
          </cell>
        </row>
        <row r="44">
          <cell r="D44">
            <v>3</v>
          </cell>
          <cell r="E44">
            <v>13200</v>
          </cell>
        </row>
        <row r="45">
          <cell r="D45">
            <v>1</v>
          </cell>
          <cell r="E45">
            <v>13242</v>
          </cell>
        </row>
        <row r="46">
          <cell r="D46">
            <v>2</v>
          </cell>
          <cell r="E46">
            <v>13265</v>
          </cell>
        </row>
        <row r="47">
          <cell r="D47">
            <v>3</v>
          </cell>
          <cell r="E47">
            <v>13166</v>
          </cell>
        </row>
        <row r="48">
          <cell r="D48">
            <v>1</v>
          </cell>
          <cell r="E48">
            <v>13101</v>
          </cell>
        </row>
        <row r="49">
          <cell r="D49">
            <v>2</v>
          </cell>
          <cell r="E49">
            <v>13017</v>
          </cell>
        </row>
        <row r="50">
          <cell r="D50">
            <v>3</v>
          </cell>
          <cell r="E50">
            <v>12943</v>
          </cell>
        </row>
        <row r="51">
          <cell r="D51">
            <v>1</v>
          </cell>
          <cell r="E51">
            <v>12878</v>
          </cell>
        </row>
        <row r="52">
          <cell r="D52">
            <v>2</v>
          </cell>
          <cell r="E52">
            <v>12684</v>
          </cell>
        </row>
        <row r="53">
          <cell r="D53">
            <v>3</v>
          </cell>
          <cell r="E53">
            <v>12568</v>
          </cell>
        </row>
        <row r="54">
          <cell r="D54">
            <v>1</v>
          </cell>
          <cell r="E54">
            <v>12367</v>
          </cell>
        </row>
        <row r="55">
          <cell r="D55">
            <v>2</v>
          </cell>
          <cell r="E55">
            <v>12169</v>
          </cell>
        </row>
        <row r="56">
          <cell r="D56">
            <v>3</v>
          </cell>
          <cell r="E56">
            <v>11828</v>
          </cell>
        </row>
        <row r="57">
          <cell r="D57">
            <v>1</v>
          </cell>
          <cell r="E57">
            <v>11722</v>
          </cell>
        </row>
        <row r="58">
          <cell r="D58">
            <v>2</v>
          </cell>
          <cell r="E58">
            <v>11696</v>
          </cell>
        </row>
        <row r="59">
          <cell r="D59">
            <v>3</v>
          </cell>
          <cell r="E59">
            <v>11752</v>
          </cell>
        </row>
        <row r="60">
          <cell r="D60">
            <v>1</v>
          </cell>
          <cell r="E60">
            <v>11661</v>
          </cell>
        </row>
        <row r="61">
          <cell r="D61">
            <v>2</v>
          </cell>
          <cell r="E61">
            <v>11631</v>
          </cell>
        </row>
        <row r="62">
          <cell r="D62">
            <v>3</v>
          </cell>
          <cell r="E62">
            <v>11523</v>
          </cell>
        </row>
        <row r="63">
          <cell r="D63">
            <v>1</v>
          </cell>
          <cell r="E63">
            <v>11577</v>
          </cell>
        </row>
        <row r="64">
          <cell r="D64">
            <v>2</v>
          </cell>
          <cell r="E64">
            <v>11526</v>
          </cell>
        </row>
        <row r="65">
          <cell r="D65">
            <v>3</v>
          </cell>
          <cell r="E65">
            <v>11542</v>
          </cell>
        </row>
        <row r="66">
          <cell r="D66">
            <v>1</v>
          </cell>
          <cell r="E66">
            <v>11412</v>
          </cell>
        </row>
        <row r="67">
          <cell r="D67">
            <v>2</v>
          </cell>
          <cell r="E67">
            <v>11273</v>
          </cell>
        </row>
        <row r="68">
          <cell r="D68">
            <v>3</v>
          </cell>
          <cell r="E68">
            <v>11317</v>
          </cell>
        </row>
        <row r="69">
          <cell r="D69">
            <v>1</v>
          </cell>
          <cell r="E69">
            <v>11380</v>
          </cell>
        </row>
        <row r="70">
          <cell r="D70">
            <v>2</v>
          </cell>
          <cell r="E70">
            <v>11476</v>
          </cell>
        </row>
        <row r="71">
          <cell r="D71">
            <v>3</v>
          </cell>
          <cell r="E71">
            <v>11661</v>
          </cell>
        </row>
        <row r="72">
          <cell r="D72">
            <v>1</v>
          </cell>
          <cell r="E72">
            <v>11755</v>
          </cell>
        </row>
        <row r="73">
          <cell r="D73">
            <v>2</v>
          </cell>
          <cell r="E73">
            <v>11901</v>
          </cell>
        </row>
        <row r="74">
          <cell r="D74">
            <v>3</v>
          </cell>
          <cell r="E74">
            <v>11888</v>
          </cell>
        </row>
        <row r="75">
          <cell r="D75">
            <v>1</v>
          </cell>
          <cell r="E75">
            <v>11822</v>
          </cell>
        </row>
        <row r="76">
          <cell r="D76">
            <v>2</v>
          </cell>
          <cell r="E76">
            <v>11816</v>
          </cell>
        </row>
        <row r="77">
          <cell r="D77">
            <v>3</v>
          </cell>
          <cell r="E77">
            <v>11936</v>
          </cell>
        </row>
        <row r="78">
          <cell r="D78">
            <v>1</v>
          </cell>
          <cell r="E78">
            <v>11939</v>
          </cell>
        </row>
        <row r="79">
          <cell r="D79">
            <v>2</v>
          </cell>
          <cell r="E79">
            <v>11831</v>
          </cell>
        </row>
        <row r="80">
          <cell r="D80">
            <v>3</v>
          </cell>
          <cell r="E80">
            <v>11692</v>
          </cell>
        </row>
        <row r="81">
          <cell r="D81">
            <v>1</v>
          </cell>
          <cell r="E81">
            <v>11612</v>
          </cell>
        </row>
        <row r="82">
          <cell r="D82">
            <v>2</v>
          </cell>
          <cell r="E82">
            <v>11701</v>
          </cell>
        </row>
        <row r="83">
          <cell r="D83">
            <v>3</v>
          </cell>
          <cell r="E83">
            <v>11795</v>
          </cell>
        </row>
        <row r="84">
          <cell r="D84">
            <v>1</v>
          </cell>
          <cell r="E84">
            <v>11898</v>
          </cell>
        </row>
        <row r="85">
          <cell r="D85">
            <v>2</v>
          </cell>
          <cell r="E85">
            <v>11858</v>
          </cell>
        </row>
        <row r="86">
          <cell r="D86">
            <v>3</v>
          </cell>
          <cell r="E86">
            <v>11907</v>
          </cell>
        </row>
        <row r="87">
          <cell r="D87">
            <v>1</v>
          </cell>
          <cell r="E87">
            <v>11860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59" refreshError="1"/>
      <sheetData sheetId="6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7077</v>
          </cell>
        </row>
        <row r="10">
          <cell r="D10">
            <v>2</v>
          </cell>
          <cell r="E10">
            <v>7164</v>
          </cell>
        </row>
        <row r="11">
          <cell r="D11">
            <v>3</v>
          </cell>
          <cell r="E11">
            <v>7306</v>
          </cell>
        </row>
        <row r="12">
          <cell r="D12">
            <v>1</v>
          </cell>
          <cell r="E12">
            <v>7407</v>
          </cell>
        </row>
        <row r="13">
          <cell r="D13">
            <v>2</v>
          </cell>
          <cell r="E13">
            <v>7525</v>
          </cell>
        </row>
        <row r="14">
          <cell r="D14">
            <v>3</v>
          </cell>
          <cell r="E14">
            <v>7606</v>
          </cell>
        </row>
        <row r="15">
          <cell r="D15">
            <v>1</v>
          </cell>
          <cell r="E15">
            <v>7631</v>
          </cell>
        </row>
        <row r="16">
          <cell r="D16">
            <v>2</v>
          </cell>
          <cell r="E16">
            <v>7715</v>
          </cell>
        </row>
        <row r="17">
          <cell r="D17">
            <v>3</v>
          </cell>
          <cell r="E17">
            <v>7785</v>
          </cell>
        </row>
        <row r="18">
          <cell r="D18">
            <v>1</v>
          </cell>
          <cell r="E18">
            <v>7809</v>
          </cell>
        </row>
        <row r="19">
          <cell r="D19">
            <v>2</v>
          </cell>
          <cell r="E19">
            <v>7780</v>
          </cell>
        </row>
        <row r="20">
          <cell r="D20">
            <v>3</v>
          </cell>
          <cell r="E20">
            <v>7589</v>
          </cell>
        </row>
        <row r="21">
          <cell r="D21">
            <v>1</v>
          </cell>
          <cell r="E21">
            <v>7609</v>
          </cell>
        </row>
        <row r="22">
          <cell r="D22">
            <v>2</v>
          </cell>
          <cell r="E22">
            <v>7733</v>
          </cell>
        </row>
        <row r="23">
          <cell r="D23">
            <v>3</v>
          </cell>
          <cell r="E23">
            <v>7803</v>
          </cell>
        </row>
        <row r="24">
          <cell r="D24">
            <v>1</v>
          </cell>
          <cell r="E24">
            <v>7803</v>
          </cell>
        </row>
        <row r="25">
          <cell r="D25">
            <v>2</v>
          </cell>
          <cell r="E25">
            <v>7773</v>
          </cell>
        </row>
        <row r="26">
          <cell r="D26">
            <v>3</v>
          </cell>
          <cell r="E26">
            <v>7873</v>
          </cell>
        </row>
        <row r="27">
          <cell r="D27">
            <v>1</v>
          </cell>
          <cell r="E27">
            <v>8009</v>
          </cell>
        </row>
        <row r="28">
          <cell r="D28">
            <v>2</v>
          </cell>
          <cell r="E28">
            <v>8035</v>
          </cell>
        </row>
        <row r="29">
          <cell r="D29">
            <v>3</v>
          </cell>
          <cell r="E29">
            <v>8071</v>
          </cell>
        </row>
        <row r="30">
          <cell r="D30">
            <v>1</v>
          </cell>
          <cell r="E30">
            <v>8108</v>
          </cell>
        </row>
        <row r="31">
          <cell r="D31">
            <v>2</v>
          </cell>
          <cell r="E31">
            <v>8114</v>
          </cell>
        </row>
        <row r="32">
          <cell r="D32">
            <v>3</v>
          </cell>
          <cell r="E32">
            <v>8066</v>
          </cell>
        </row>
        <row r="33">
          <cell r="D33">
            <v>1</v>
          </cell>
          <cell r="E33">
            <v>8039</v>
          </cell>
        </row>
        <row r="34">
          <cell r="D34">
            <v>2</v>
          </cell>
          <cell r="E34">
            <v>8057</v>
          </cell>
        </row>
        <row r="35">
          <cell r="D35">
            <v>3</v>
          </cell>
          <cell r="E35">
            <v>7939</v>
          </cell>
        </row>
        <row r="36">
          <cell r="D36">
            <v>1</v>
          </cell>
          <cell r="E36">
            <v>7810</v>
          </cell>
        </row>
        <row r="37">
          <cell r="D37">
            <v>2</v>
          </cell>
          <cell r="E37">
            <v>7548</v>
          </cell>
        </row>
        <row r="38">
          <cell r="D38">
            <v>3</v>
          </cell>
          <cell r="E38">
            <v>7544</v>
          </cell>
        </row>
        <row r="39">
          <cell r="D39">
            <v>1</v>
          </cell>
          <cell r="E39">
            <v>7613</v>
          </cell>
        </row>
        <row r="40">
          <cell r="D40">
            <v>2</v>
          </cell>
          <cell r="E40">
            <v>7733</v>
          </cell>
        </row>
        <row r="41">
          <cell r="D41">
            <v>3</v>
          </cell>
          <cell r="E41">
            <v>7755</v>
          </cell>
        </row>
        <row r="42">
          <cell r="D42">
            <v>1</v>
          </cell>
          <cell r="E42">
            <v>7777</v>
          </cell>
        </row>
        <row r="43">
          <cell r="D43">
            <v>2</v>
          </cell>
          <cell r="E43">
            <v>7735</v>
          </cell>
        </row>
        <row r="44">
          <cell r="D44">
            <v>3</v>
          </cell>
          <cell r="E44">
            <v>7708</v>
          </cell>
        </row>
        <row r="45">
          <cell r="D45">
            <v>1</v>
          </cell>
          <cell r="E45">
            <v>7645</v>
          </cell>
        </row>
        <row r="46">
          <cell r="D46">
            <v>2</v>
          </cell>
          <cell r="E46">
            <v>7447</v>
          </cell>
        </row>
        <row r="47">
          <cell r="D47">
            <v>3</v>
          </cell>
          <cell r="E47">
            <v>7303</v>
          </cell>
        </row>
        <row r="48">
          <cell r="D48">
            <v>1</v>
          </cell>
          <cell r="E48">
            <v>7137</v>
          </cell>
        </row>
        <row r="49">
          <cell r="D49">
            <v>2</v>
          </cell>
          <cell r="E49">
            <v>7183</v>
          </cell>
        </row>
        <row r="50">
          <cell r="D50">
            <v>3</v>
          </cell>
          <cell r="E50">
            <v>7321</v>
          </cell>
        </row>
        <row r="51">
          <cell r="D51">
            <v>1</v>
          </cell>
          <cell r="E51">
            <v>7311</v>
          </cell>
        </row>
        <row r="52">
          <cell r="D52">
            <v>2</v>
          </cell>
          <cell r="E52">
            <v>7572</v>
          </cell>
        </row>
        <row r="53">
          <cell r="D53">
            <v>3</v>
          </cell>
          <cell r="E53">
            <v>7764</v>
          </cell>
        </row>
        <row r="54">
          <cell r="D54">
            <v>1</v>
          </cell>
          <cell r="E54">
            <v>7935</v>
          </cell>
        </row>
        <row r="55">
          <cell r="D55">
            <v>2</v>
          </cell>
          <cell r="E55">
            <v>7833</v>
          </cell>
        </row>
        <row r="56">
          <cell r="D56">
            <v>3</v>
          </cell>
          <cell r="E56">
            <v>7694</v>
          </cell>
        </row>
        <row r="57">
          <cell r="D57">
            <v>1</v>
          </cell>
          <cell r="E57">
            <v>7555</v>
          </cell>
        </row>
        <row r="58">
          <cell r="D58">
            <v>2</v>
          </cell>
          <cell r="E58">
            <v>7433</v>
          </cell>
        </row>
        <row r="59">
          <cell r="D59">
            <v>3</v>
          </cell>
          <cell r="E59">
            <v>7467</v>
          </cell>
        </row>
        <row r="60">
          <cell r="D60">
            <v>1</v>
          </cell>
          <cell r="E60">
            <v>7414</v>
          </cell>
        </row>
        <row r="61">
          <cell r="D61">
            <v>2</v>
          </cell>
          <cell r="E61">
            <v>7365</v>
          </cell>
        </row>
        <row r="62">
          <cell r="D62">
            <v>3</v>
          </cell>
          <cell r="E62">
            <v>7218</v>
          </cell>
        </row>
        <row r="63">
          <cell r="D63">
            <v>1</v>
          </cell>
          <cell r="E63">
            <v>7140</v>
          </cell>
        </row>
        <row r="64">
          <cell r="D64">
            <v>2</v>
          </cell>
          <cell r="E64">
            <v>7071</v>
          </cell>
        </row>
        <row r="65">
          <cell r="D65">
            <v>3</v>
          </cell>
          <cell r="E65">
            <v>7062</v>
          </cell>
        </row>
        <row r="66">
          <cell r="D66">
            <v>1</v>
          </cell>
          <cell r="E66">
            <v>7078</v>
          </cell>
        </row>
        <row r="67">
          <cell r="D67">
            <v>2</v>
          </cell>
          <cell r="E67">
            <v>7078</v>
          </cell>
        </row>
        <row r="68">
          <cell r="D68">
            <v>3</v>
          </cell>
          <cell r="E68">
            <v>6944</v>
          </cell>
        </row>
        <row r="69">
          <cell r="D69">
            <v>1</v>
          </cell>
          <cell r="E69">
            <v>6836</v>
          </cell>
        </row>
        <row r="70">
          <cell r="D70">
            <v>2</v>
          </cell>
          <cell r="E70">
            <v>6787</v>
          </cell>
        </row>
        <row r="71">
          <cell r="D71">
            <v>3</v>
          </cell>
          <cell r="E71">
            <v>6674</v>
          </cell>
        </row>
        <row r="72">
          <cell r="D72">
            <v>1</v>
          </cell>
          <cell r="E72">
            <v>6731</v>
          </cell>
        </row>
        <row r="73">
          <cell r="D73">
            <v>2</v>
          </cell>
          <cell r="E73">
            <v>6742</v>
          </cell>
        </row>
        <row r="74">
          <cell r="D74">
            <v>3</v>
          </cell>
          <cell r="E74">
            <v>6865</v>
          </cell>
        </row>
        <row r="75">
          <cell r="D75">
            <v>1</v>
          </cell>
          <cell r="E75">
            <v>6872</v>
          </cell>
        </row>
        <row r="76">
          <cell r="D76">
            <v>2</v>
          </cell>
          <cell r="E76">
            <v>6910</v>
          </cell>
        </row>
        <row r="77">
          <cell r="D77">
            <v>3</v>
          </cell>
          <cell r="E77">
            <v>6941</v>
          </cell>
        </row>
        <row r="78">
          <cell r="D78">
            <v>1</v>
          </cell>
          <cell r="E78">
            <v>6945</v>
          </cell>
        </row>
        <row r="79">
          <cell r="D79">
            <v>2</v>
          </cell>
          <cell r="E79">
            <v>6798</v>
          </cell>
        </row>
        <row r="80">
          <cell r="D80">
            <v>3</v>
          </cell>
          <cell r="E80">
            <v>6664</v>
          </cell>
        </row>
        <row r="81">
          <cell r="D81">
            <v>1</v>
          </cell>
          <cell r="E81">
            <v>6556</v>
          </cell>
        </row>
        <row r="82">
          <cell r="D82">
            <v>2</v>
          </cell>
          <cell r="E82">
            <v>6612</v>
          </cell>
        </row>
        <row r="83">
          <cell r="D83">
            <v>3</v>
          </cell>
          <cell r="E83">
            <v>6583</v>
          </cell>
        </row>
        <row r="84">
          <cell r="D84">
            <v>1</v>
          </cell>
          <cell r="E84">
            <v>6561</v>
          </cell>
        </row>
        <row r="85">
          <cell r="D85">
            <v>2</v>
          </cell>
          <cell r="E85">
            <v>6633</v>
          </cell>
        </row>
        <row r="86">
          <cell r="D86">
            <v>3</v>
          </cell>
          <cell r="E86">
            <v>6670</v>
          </cell>
        </row>
        <row r="87">
          <cell r="D87">
            <v>1</v>
          </cell>
          <cell r="E87">
            <v>6790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61" refreshError="1"/>
      <sheetData sheetId="6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16437</v>
          </cell>
        </row>
        <row r="10">
          <cell r="D10">
            <v>2</v>
          </cell>
          <cell r="E10">
            <v>16505</v>
          </cell>
        </row>
        <row r="11">
          <cell r="D11">
            <v>3</v>
          </cell>
          <cell r="E11">
            <v>16593</v>
          </cell>
        </row>
        <row r="12">
          <cell r="D12">
            <v>1</v>
          </cell>
          <cell r="E12">
            <v>16578</v>
          </cell>
        </row>
        <row r="13">
          <cell r="D13">
            <v>2</v>
          </cell>
          <cell r="E13">
            <v>16550</v>
          </cell>
        </row>
        <row r="14">
          <cell r="D14">
            <v>3</v>
          </cell>
          <cell r="E14">
            <v>16600</v>
          </cell>
        </row>
        <row r="15">
          <cell r="D15">
            <v>1</v>
          </cell>
          <cell r="E15">
            <v>16494</v>
          </cell>
        </row>
        <row r="16">
          <cell r="D16">
            <v>2</v>
          </cell>
          <cell r="E16">
            <v>16562</v>
          </cell>
        </row>
        <row r="17">
          <cell r="D17">
            <v>3</v>
          </cell>
          <cell r="E17">
            <v>16709</v>
          </cell>
        </row>
        <row r="18">
          <cell r="D18">
            <v>1</v>
          </cell>
          <cell r="E18">
            <v>16905</v>
          </cell>
        </row>
        <row r="19">
          <cell r="D19">
            <v>2</v>
          </cell>
          <cell r="E19">
            <v>16895</v>
          </cell>
        </row>
        <row r="20">
          <cell r="D20">
            <v>3</v>
          </cell>
          <cell r="E20">
            <v>16920</v>
          </cell>
        </row>
        <row r="21">
          <cell r="D21">
            <v>1</v>
          </cell>
          <cell r="E21">
            <v>16851</v>
          </cell>
        </row>
        <row r="22">
          <cell r="D22">
            <v>2</v>
          </cell>
          <cell r="E22">
            <v>16796</v>
          </cell>
        </row>
        <row r="23">
          <cell r="D23">
            <v>3</v>
          </cell>
          <cell r="E23">
            <v>16858</v>
          </cell>
        </row>
        <row r="24">
          <cell r="D24">
            <v>1</v>
          </cell>
          <cell r="E24">
            <v>16894</v>
          </cell>
        </row>
        <row r="25">
          <cell r="D25">
            <v>2</v>
          </cell>
          <cell r="E25">
            <v>17092</v>
          </cell>
        </row>
        <row r="26">
          <cell r="D26">
            <v>3</v>
          </cell>
          <cell r="E26">
            <v>17177</v>
          </cell>
        </row>
        <row r="27">
          <cell r="D27">
            <v>1</v>
          </cell>
          <cell r="E27">
            <v>17263</v>
          </cell>
        </row>
        <row r="28">
          <cell r="D28">
            <v>2</v>
          </cell>
          <cell r="E28">
            <v>17284</v>
          </cell>
        </row>
        <row r="29">
          <cell r="D29">
            <v>3</v>
          </cell>
          <cell r="E29">
            <v>17351</v>
          </cell>
        </row>
        <row r="30">
          <cell r="D30">
            <v>1</v>
          </cell>
          <cell r="E30">
            <v>17512</v>
          </cell>
        </row>
        <row r="31">
          <cell r="D31">
            <v>2</v>
          </cell>
          <cell r="E31">
            <v>17518</v>
          </cell>
        </row>
        <row r="32">
          <cell r="D32">
            <v>3</v>
          </cell>
          <cell r="E32">
            <v>17487</v>
          </cell>
        </row>
        <row r="33">
          <cell r="D33">
            <v>1</v>
          </cell>
          <cell r="E33">
            <v>17479</v>
          </cell>
        </row>
        <row r="34">
          <cell r="D34">
            <v>2</v>
          </cell>
          <cell r="E34">
            <v>17443</v>
          </cell>
        </row>
        <row r="35">
          <cell r="D35">
            <v>3</v>
          </cell>
          <cell r="E35">
            <v>17407</v>
          </cell>
        </row>
        <row r="36">
          <cell r="D36">
            <v>1</v>
          </cell>
          <cell r="E36">
            <v>17401</v>
          </cell>
        </row>
        <row r="37">
          <cell r="D37">
            <v>2</v>
          </cell>
          <cell r="E37">
            <v>17317</v>
          </cell>
        </row>
        <row r="38">
          <cell r="D38">
            <v>3</v>
          </cell>
          <cell r="E38">
            <v>17239</v>
          </cell>
        </row>
        <row r="39">
          <cell r="D39">
            <v>1</v>
          </cell>
          <cell r="E39">
            <v>17237</v>
          </cell>
        </row>
        <row r="40">
          <cell r="D40">
            <v>2</v>
          </cell>
          <cell r="E40">
            <v>17303</v>
          </cell>
        </row>
        <row r="41">
          <cell r="D41">
            <v>3</v>
          </cell>
          <cell r="E41">
            <v>17427</v>
          </cell>
        </row>
        <row r="42">
          <cell r="D42">
            <v>1</v>
          </cell>
          <cell r="E42">
            <v>17551</v>
          </cell>
        </row>
        <row r="43">
          <cell r="D43">
            <v>2</v>
          </cell>
          <cell r="E43">
            <v>17645</v>
          </cell>
        </row>
        <row r="44">
          <cell r="D44">
            <v>3</v>
          </cell>
          <cell r="E44">
            <v>17523</v>
          </cell>
        </row>
        <row r="45">
          <cell r="D45">
            <v>1</v>
          </cell>
          <cell r="E45">
            <v>17439</v>
          </cell>
        </row>
        <row r="46">
          <cell r="D46">
            <v>2</v>
          </cell>
          <cell r="E46">
            <v>17469</v>
          </cell>
        </row>
        <row r="47">
          <cell r="D47">
            <v>3</v>
          </cell>
          <cell r="E47">
            <v>17480</v>
          </cell>
        </row>
        <row r="48">
          <cell r="D48">
            <v>1</v>
          </cell>
          <cell r="E48">
            <v>17578</v>
          </cell>
        </row>
        <row r="49">
          <cell r="D49">
            <v>2</v>
          </cell>
          <cell r="E49">
            <v>17513</v>
          </cell>
        </row>
        <row r="50">
          <cell r="D50">
            <v>3</v>
          </cell>
          <cell r="E50">
            <v>17519</v>
          </cell>
        </row>
        <row r="51">
          <cell r="D51">
            <v>1</v>
          </cell>
          <cell r="E51">
            <v>17593</v>
          </cell>
        </row>
        <row r="52">
          <cell r="D52">
            <v>2</v>
          </cell>
          <cell r="E52">
            <v>17689</v>
          </cell>
        </row>
        <row r="53">
          <cell r="D53">
            <v>3</v>
          </cell>
          <cell r="E53">
            <v>17638</v>
          </cell>
        </row>
        <row r="54">
          <cell r="D54">
            <v>1</v>
          </cell>
          <cell r="E54">
            <v>17727</v>
          </cell>
        </row>
        <row r="55">
          <cell r="D55">
            <v>2</v>
          </cell>
          <cell r="E55">
            <v>17670</v>
          </cell>
        </row>
        <row r="56">
          <cell r="D56">
            <v>3</v>
          </cell>
          <cell r="E56">
            <v>17628</v>
          </cell>
        </row>
        <row r="57">
          <cell r="D57">
            <v>1</v>
          </cell>
          <cell r="E57">
            <v>17447</v>
          </cell>
        </row>
        <row r="58">
          <cell r="D58">
            <v>2</v>
          </cell>
          <cell r="E58">
            <v>17368</v>
          </cell>
        </row>
        <row r="59">
          <cell r="D59">
            <v>3</v>
          </cell>
          <cell r="E59">
            <v>17400</v>
          </cell>
        </row>
        <row r="60">
          <cell r="D60">
            <v>1</v>
          </cell>
          <cell r="E60">
            <v>17405</v>
          </cell>
        </row>
        <row r="61">
          <cell r="D61">
            <v>2</v>
          </cell>
          <cell r="E61">
            <v>17326</v>
          </cell>
        </row>
        <row r="62">
          <cell r="D62">
            <v>3</v>
          </cell>
          <cell r="E62">
            <v>17240</v>
          </cell>
        </row>
        <row r="63">
          <cell r="D63">
            <v>1</v>
          </cell>
          <cell r="E63">
            <v>17093</v>
          </cell>
        </row>
        <row r="64">
          <cell r="D64">
            <v>2</v>
          </cell>
          <cell r="E64">
            <v>17235</v>
          </cell>
        </row>
        <row r="65">
          <cell r="D65">
            <v>3</v>
          </cell>
          <cell r="E65">
            <v>17460</v>
          </cell>
        </row>
        <row r="66">
          <cell r="D66">
            <v>1</v>
          </cell>
          <cell r="E66">
            <v>17652</v>
          </cell>
        </row>
        <row r="67">
          <cell r="D67">
            <v>2</v>
          </cell>
          <cell r="E67">
            <v>17645</v>
          </cell>
        </row>
        <row r="68">
          <cell r="D68">
            <v>3</v>
          </cell>
          <cell r="E68">
            <v>17435</v>
          </cell>
        </row>
        <row r="69">
          <cell r="D69">
            <v>1</v>
          </cell>
          <cell r="E69">
            <v>17214</v>
          </cell>
        </row>
        <row r="70">
          <cell r="D70">
            <v>2</v>
          </cell>
          <cell r="E70">
            <v>17194</v>
          </cell>
        </row>
        <row r="71">
          <cell r="D71">
            <v>3</v>
          </cell>
          <cell r="E71">
            <v>17281</v>
          </cell>
        </row>
        <row r="72">
          <cell r="D72">
            <v>1</v>
          </cell>
          <cell r="E72">
            <v>17412</v>
          </cell>
        </row>
        <row r="73">
          <cell r="D73">
            <v>2</v>
          </cell>
          <cell r="E73">
            <v>17419</v>
          </cell>
        </row>
        <row r="74">
          <cell r="D74">
            <v>3</v>
          </cell>
          <cell r="E74">
            <v>17459</v>
          </cell>
        </row>
        <row r="75">
          <cell r="D75">
            <v>1</v>
          </cell>
          <cell r="E75">
            <v>17503</v>
          </cell>
        </row>
        <row r="76">
          <cell r="D76">
            <v>2</v>
          </cell>
          <cell r="E76">
            <v>17627</v>
          </cell>
        </row>
        <row r="77">
          <cell r="D77">
            <v>3</v>
          </cell>
          <cell r="E77">
            <v>17682</v>
          </cell>
        </row>
        <row r="78">
          <cell r="D78">
            <v>1</v>
          </cell>
          <cell r="E78">
            <v>17871</v>
          </cell>
        </row>
        <row r="79">
          <cell r="D79">
            <v>2</v>
          </cell>
          <cell r="E79">
            <v>17831</v>
          </cell>
        </row>
        <row r="80">
          <cell r="D80">
            <v>3</v>
          </cell>
          <cell r="E80">
            <v>17705</v>
          </cell>
        </row>
        <row r="81">
          <cell r="D81">
            <v>1</v>
          </cell>
          <cell r="E81">
            <v>17474</v>
          </cell>
        </row>
        <row r="82">
          <cell r="D82">
            <v>2</v>
          </cell>
          <cell r="E82">
            <v>17393</v>
          </cell>
        </row>
        <row r="83">
          <cell r="D83">
            <v>3</v>
          </cell>
          <cell r="E83">
            <v>17440</v>
          </cell>
        </row>
        <row r="84">
          <cell r="D84">
            <v>1</v>
          </cell>
          <cell r="E84">
            <v>17388</v>
          </cell>
        </row>
        <row r="85">
          <cell r="D85">
            <v>2</v>
          </cell>
          <cell r="E85">
            <v>17429</v>
          </cell>
        </row>
        <row r="86">
          <cell r="D86">
            <v>3</v>
          </cell>
          <cell r="E86">
            <v>17501</v>
          </cell>
        </row>
        <row r="87">
          <cell r="D87">
            <v>1</v>
          </cell>
          <cell r="E87">
            <v>17522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63" refreshError="1"/>
      <sheetData sheetId="6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4027</v>
          </cell>
        </row>
        <row r="10">
          <cell r="D10">
            <v>2</v>
          </cell>
          <cell r="E10">
            <v>4058</v>
          </cell>
        </row>
        <row r="11">
          <cell r="D11">
            <v>3</v>
          </cell>
          <cell r="E11">
            <v>4092</v>
          </cell>
        </row>
        <row r="12">
          <cell r="D12">
            <v>1</v>
          </cell>
          <cell r="E12">
            <v>4085</v>
          </cell>
        </row>
        <row r="13">
          <cell r="D13">
            <v>2</v>
          </cell>
          <cell r="E13">
            <v>4107</v>
          </cell>
        </row>
        <row r="14">
          <cell r="D14">
            <v>3</v>
          </cell>
          <cell r="E14">
            <v>4043</v>
          </cell>
        </row>
        <row r="15">
          <cell r="D15">
            <v>1</v>
          </cell>
          <cell r="E15">
            <v>4112</v>
          </cell>
        </row>
        <row r="16">
          <cell r="D16">
            <v>2</v>
          </cell>
          <cell r="E16">
            <v>4153</v>
          </cell>
        </row>
        <row r="17">
          <cell r="D17">
            <v>3</v>
          </cell>
          <cell r="E17">
            <v>4269</v>
          </cell>
        </row>
        <row r="18">
          <cell r="D18">
            <v>1</v>
          </cell>
          <cell r="E18">
            <v>4253</v>
          </cell>
        </row>
        <row r="19">
          <cell r="D19">
            <v>2</v>
          </cell>
          <cell r="E19">
            <v>4220</v>
          </cell>
        </row>
        <row r="20">
          <cell r="D20">
            <v>3</v>
          </cell>
          <cell r="E20">
            <v>4209</v>
          </cell>
        </row>
        <row r="21">
          <cell r="D21">
            <v>1</v>
          </cell>
          <cell r="E21">
            <v>4222</v>
          </cell>
        </row>
        <row r="22">
          <cell r="D22">
            <v>2</v>
          </cell>
          <cell r="E22">
            <v>4215</v>
          </cell>
        </row>
        <row r="23">
          <cell r="D23">
            <v>3</v>
          </cell>
          <cell r="E23">
            <v>4275</v>
          </cell>
        </row>
        <row r="24">
          <cell r="D24">
            <v>1</v>
          </cell>
          <cell r="E24">
            <v>4300</v>
          </cell>
        </row>
        <row r="25">
          <cell r="D25">
            <v>2</v>
          </cell>
          <cell r="E25">
            <v>4309</v>
          </cell>
        </row>
        <row r="26">
          <cell r="D26">
            <v>3</v>
          </cell>
          <cell r="E26">
            <v>4299</v>
          </cell>
        </row>
        <row r="27">
          <cell r="D27">
            <v>1</v>
          </cell>
          <cell r="E27">
            <v>4219</v>
          </cell>
        </row>
        <row r="28">
          <cell r="D28">
            <v>2</v>
          </cell>
          <cell r="E28">
            <v>4239</v>
          </cell>
        </row>
        <row r="29">
          <cell r="D29">
            <v>3</v>
          </cell>
          <cell r="E29">
            <v>4223</v>
          </cell>
        </row>
        <row r="30">
          <cell r="D30">
            <v>1</v>
          </cell>
          <cell r="E30">
            <v>4212</v>
          </cell>
        </row>
        <row r="31">
          <cell r="D31">
            <v>2</v>
          </cell>
          <cell r="E31">
            <v>4171</v>
          </cell>
        </row>
        <row r="32">
          <cell r="D32">
            <v>3</v>
          </cell>
          <cell r="E32">
            <v>4140</v>
          </cell>
        </row>
        <row r="33">
          <cell r="D33">
            <v>1</v>
          </cell>
          <cell r="E33">
            <v>4155</v>
          </cell>
        </row>
        <row r="34">
          <cell r="D34">
            <v>2</v>
          </cell>
          <cell r="E34">
            <v>4186</v>
          </cell>
        </row>
        <row r="35">
          <cell r="D35">
            <v>3</v>
          </cell>
          <cell r="E35">
            <v>4259</v>
          </cell>
        </row>
        <row r="36">
          <cell r="D36">
            <v>1</v>
          </cell>
          <cell r="E36">
            <v>4243</v>
          </cell>
        </row>
        <row r="37">
          <cell r="D37">
            <v>2</v>
          </cell>
          <cell r="E37">
            <v>4194</v>
          </cell>
        </row>
        <row r="38">
          <cell r="D38">
            <v>3</v>
          </cell>
          <cell r="E38">
            <v>4128</v>
          </cell>
        </row>
        <row r="39">
          <cell r="D39">
            <v>1</v>
          </cell>
          <cell r="E39">
            <v>4135</v>
          </cell>
        </row>
        <row r="40">
          <cell r="D40">
            <v>2</v>
          </cell>
          <cell r="E40">
            <v>4173</v>
          </cell>
        </row>
        <row r="41">
          <cell r="D41">
            <v>3</v>
          </cell>
          <cell r="E41">
            <v>4222</v>
          </cell>
        </row>
        <row r="42">
          <cell r="D42">
            <v>1</v>
          </cell>
          <cell r="E42">
            <v>4258</v>
          </cell>
        </row>
        <row r="43">
          <cell r="D43">
            <v>2</v>
          </cell>
          <cell r="E43">
            <v>4266</v>
          </cell>
        </row>
        <row r="44">
          <cell r="D44">
            <v>3</v>
          </cell>
          <cell r="E44">
            <v>4279</v>
          </cell>
        </row>
        <row r="45">
          <cell r="D45">
            <v>1</v>
          </cell>
          <cell r="E45">
            <v>4295</v>
          </cell>
        </row>
        <row r="46">
          <cell r="D46">
            <v>2</v>
          </cell>
          <cell r="E46">
            <v>4302</v>
          </cell>
        </row>
        <row r="47">
          <cell r="D47">
            <v>3</v>
          </cell>
          <cell r="E47">
            <v>4282</v>
          </cell>
        </row>
        <row r="48">
          <cell r="D48">
            <v>1</v>
          </cell>
          <cell r="E48">
            <v>4282</v>
          </cell>
        </row>
        <row r="49">
          <cell r="D49">
            <v>2</v>
          </cell>
          <cell r="E49">
            <v>4301</v>
          </cell>
        </row>
        <row r="50">
          <cell r="D50">
            <v>3</v>
          </cell>
          <cell r="E50">
            <v>4286</v>
          </cell>
        </row>
        <row r="51">
          <cell r="D51">
            <v>1</v>
          </cell>
          <cell r="E51">
            <v>4275</v>
          </cell>
        </row>
        <row r="52">
          <cell r="D52">
            <v>2</v>
          </cell>
          <cell r="E52">
            <v>4360</v>
          </cell>
        </row>
        <row r="53">
          <cell r="D53">
            <v>3</v>
          </cell>
          <cell r="E53">
            <v>4415</v>
          </cell>
        </row>
        <row r="54">
          <cell r="D54">
            <v>1</v>
          </cell>
          <cell r="E54">
            <v>4507</v>
          </cell>
        </row>
        <row r="55">
          <cell r="D55">
            <v>2</v>
          </cell>
          <cell r="E55">
            <v>4457</v>
          </cell>
        </row>
        <row r="56">
          <cell r="D56">
            <v>3</v>
          </cell>
          <cell r="E56">
            <v>4504</v>
          </cell>
        </row>
        <row r="57">
          <cell r="D57">
            <v>1</v>
          </cell>
          <cell r="E57">
            <v>4479</v>
          </cell>
        </row>
        <row r="58">
          <cell r="D58">
            <v>2</v>
          </cell>
          <cell r="E58">
            <v>4529</v>
          </cell>
        </row>
        <row r="59">
          <cell r="D59">
            <v>3</v>
          </cell>
          <cell r="E59">
            <v>4518</v>
          </cell>
        </row>
        <row r="60">
          <cell r="D60">
            <v>1</v>
          </cell>
          <cell r="E60">
            <v>4495</v>
          </cell>
        </row>
        <row r="61">
          <cell r="D61">
            <v>2</v>
          </cell>
          <cell r="E61">
            <v>4506</v>
          </cell>
        </row>
        <row r="62">
          <cell r="D62">
            <v>3</v>
          </cell>
          <cell r="E62">
            <v>4474</v>
          </cell>
        </row>
        <row r="63">
          <cell r="D63">
            <v>1</v>
          </cell>
          <cell r="E63">
            <v>4496</v>
          </cell>
        </row>
        <row r="64">
          <cell r="D64">
            <v>2</v>
          </cell>
          <cell r="E64">
            <v>4443</v>
          </cell>
        </row>
        <row r="65">
          <cell r="D65">
            <v>3</v>
          </cell>
          <cell r="E65">
            <v>4518</v>
          </cell>
        </row>
        <row r="66">
          <cell r="D66">
            <v>1</v>
          </cell>
          <cell r="E66">
            <v>4606</v>
          </cell>
        </row>
        <row r="67">
          <cell r="D67">
            <v>2</v>
          </cell>
          <cell r="E67">
            <v>4570</v>
          </cell>
        </row>
        <row r="68">
          <cell r="D68">
            <v>3</v>
          </cell>
          <cell r="E68">
            <v>4576</v>
          </cell>
        </row>
        <row r="69">
          <cell r="D69">
            <v>1</v>
          </cell>
          <cell r="E69">
            <v>4493</v>
          </cell>
        </row>
        <row r="70">
          <cell r="D70">
            <v>2</v>
          </cell>
          <cell r="E70">
            <v>4563</v>
          </cell>
        </row>
        <row r="71">
          <cell r="D71">
            <v>3</v>
          </cell>
          <cell r="E71">
            <v>4533</v>
          </cell>
        </row>
        <row r="72">
          <cell r="D72">
            <v>1</v>
          </cell>
          <cell r="E72">
            <v>4623</v>
          </cell>
        </row>
        <row r="73">
          <cell r="D73">
            <v>2</v>
          </cell>
          <cell r="E73">
            <v>4646</v>
          </cell>
        </row>
        <row r="74">
          <cell r="D74">
            <v>3</v>
          </cell>
          <cell r="E74">
            <v>4648</v>
          </cell>
        </row>
        <row r="75">
          <cell r="D75">
            <v>1</v>
          </cell>
          <cell r="E75">
            <v>4612</v>
          </cell>
        </row>
        <row r="76">
          <cell r="D76">
            <v>2</v>
          </cell>
          <cell r="E76">
            <v>4598</v>
          </cell>
        </row>
        <row r="77">
          <cell r="D77">
            <v>3</v>
          </cell>
          <cell r="E77">
            <v>4560</v>
          </cell>
        </row>
        <row r="78">
          <cell r="D78">
            <v>1</v>
          </cell>
          <cell r="E78">
            <v>4559</v>
          </cell>
        </row>
        <row r="79">
          <cell r="D79">
            <v>2</v>
          </cell>
          <cell r="E79">
            <v>4558</v>
          </cell>
        </row>
        <row r="80">
          <cell r="D80">
            <v>3</v>
          </cell>
          <cell r="E80">
            <v>4561</v>
          </cell>
        </row>
        <row r="81">
          <cell r="D81">
            <v>1</v>
          </cell>
          <cell r="E81">
            <v>4598</v>
          </cell>
        </row>
        <row r="82">
          <cell r="D82">
            <v>2</v>
          </cell>
          <cell r="E82">
            <v>4641</v>
          </cell>
        </row>
        <row r="83">
          <cell r="D83">
            <v>3</v>
          </cell>
          <cell r="E83">
            <v>4634</v>
          </cell>
        </row>
        <row r="84">
          <cell r="D84">
            <v>1</v>
          </cell>
          <cell r="E84">
            <v>4652</v>
          </cell>
        </row>
        <row r="85">
          <cell r="D85">
            <v>2</v>
          </cell>
          <cell r="E85">
            <v>4657</v>
          </cell>
        </row>
        <row r="86">
          <cell r="D86">
            <v>3</v>
          </cell>
          <cell r="E86">
            <v>4629</v>
          </cell>
        </row>
        <row r="87">
          <cell r="D87">
            <v>1</v>
          </cell>
          <cell r="E87">
            <v>4600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65" refreshError="1"/>
      <sheetData sheetId="6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3836</v>
          </cell>
        </row>
        <row r="10">
          <cell r="D10">
            <v>2</v>
          </cell>
          <cell r="E10">
            <v>3851</v>
          </cell>
        </row>
        <row r="11">
          <cell r="D11">
            <v>3</v>
          </cell>
          <cell r="E11">
            <v>3866</v>
          </cell>
        </row>
        <row r="12">
          <cell r="D12">
            <v>1</v>
          </cell>
          <cell r="E12">
            <v>3855</v>
          </cell>
        </row>
        <row r="13">
          <cell r="D13">
            <v>2</v>
          </cell>
          <cell r="E13">
            <v>3839</v>
          </cell>
        </row>
        <row r="14">
          <cell r="D14">
            <v>3</v>
          </cell>
          <cell r="E14">
            <v>3799</v>
          </cell>
        </row>
        <row r="15">
          <cell r="D15">
            <v>1</v>
          </cell>
          <cell r="E15">
            <v>3761</v>
          </cell>
        </row>
        <row r="16">
          <cell r="D16">
            <v>2</v>
          </cell>
          <cell r="E16">
            <v>3794</v>
          </cell>
        </row>
        <row r="17">
          <cell r="D17">
            <v>3</v>
          </cell>
          <cell r="E17">
            <v>3809</v>
          </cell>
        </row>
        <row r="18">
          <cell r="D18">
            <v>1</v>
          </cell>
          <cell r="E18">
            <v>3931</v>
          </cell>
        </row>
        <row r="19">
          <cell r="D19">
            <v>2</v>
          </cell>
          <cell r="E19">
            <v>3934</v>
          </cell>
        </row>
        <row r="20">
          <cell r="D20">
            <v>3</v>
          </cell>
          <cell r="E20">
            <v>3947</v>
          </cell>
        </row>
        <row r="21">
          <cell r="D21">
            <v>1</v>
          </cell>
          <cell r="E21">
            <v>3904</v>
          </cell>
        </row>
        <row r="22">
          <cell r="D22">
            <v>2</v>
          </cell>
          <cell r="E22">
            <v>3884</v>
          </cell>
        </row>
        <row r="23">
          <cell r="D23">
            <v>3</v>
          </cell>
          <cell r="E23">
            <v>3871</v>
          </cell>
        </row>
        <row r="24">
          <cell r="D24">
            <v>1</v>
          </cell>
          <cell r="E24">
            <v>3880</v>
          </cell>
        </row>
        <row r="25">
          <cell r="D25">
            <v>2</v>
          </cell>
          <cell r="E25">
            <v>3929</v>
          </cell>
        </row>
        <row r="26">
          <cell r="D26">
            <v>3</v>
          </cell>
          <cell r="E26">
            <v>3978</v>
          </cell>
        </row>
        <row r="27">
          <cell r="D27">
            <v>1</v>
          </cell>
          <cell r="E27">
            <v>4040</v>
          </cell>
        </row>
        <row r="28">
          <cell r="D28">
            <v>2</v>
          </cell>
          <cell r="E28">
            <v>4101</v>
          </cell>
        </row>
        <row r="29">
          <cell r="D29">
            <v>3</v>
          </cell>
          <cell r="E29">
            <v>4169</v>
          </cell>
        </row>
        <row r="30">
          <cell r="D30">
            <v>1</v>
          </cell>
          <cell r="E30">
            <v>4223</v>
          </cell>
        </row>
        <row r="31">
          <cell r="D31">
            <v>2</v>
          </cell>
          <cell r="E31">
            <v>4224</v>
          </cell>
        </row>
        <row r="32">
          <cell r="D32">
            <v>3</v>
          </cell>
          <cell r="E32">
            <v>4296</v>
          </cell>
        </row>
        <row r="33">
          <cell r="D33">
            <v>1</v>
          </cell>
          <cell r="E33">
            <v>4276</v>
          </cell>
        </row>
        <row r="34">
          <cell r="D34">
            <v>2</v>
          </cell>
          <cell r="E34">
            <v>4232</v>
          </cell>
        </row>
        <row r="35">
          <cell r="D35">
            <v>3</v>
          </cell>
          <cell r="E35">
            <v>4146</v>
          </cell>
        </row>
        <row r="36">
          <cell r="D36">
            <v>1</v>
          </cell>
          <cell r="E36">
            <v>4137</v>
          </cell>
        </row>
        <row r="37">
          <cell r="D37">
            <v>2</v>
          </cell>
          <cell r="E37">
            <v>4106</v>
          </cell>
        </row>
        <row r="38">
          <cell r="D38">
            <v>3</v>
          </cell>
          <cell r="E38">
            <v>4156</v>
          </cell>
        </row>
        <row r="39">
          <cell r="D39">
            <v>1</v>
          </cell>
          <cell r="E39">
            <v>4206</v>
          </cell>
        </row>
        <row r="40">
          <cell r="D40">
            <v>2</v>
          </cell>
          <cell r="E40">
            <v>4238</v>
          </cell>
        </row>
        <row r="41">
          <cell r="D41">
            <v>3</v>
          </cell>
          <cell r="E41">
            <v>4240</v>
          </cell>
        </row>
        <row r="42">
          <cell r="D42">
            <v>1</v>
          </cell>
          <cell r="E42">
            <v>4313</v>
          </cell>
        </row>
        <row r="43">
          <cell r="D43">
            <v>2</v>
          </cell>
          <cell r="E43">
            <v>4356</v>
          </cell>
        </row>
        <row r="44">
          <cell r="D44">
            <v>3</v>
          </cell>
          <cell r="E44">
            <v>4359</v>
          </cell>
        </row>
        <row r="45">
          <cell r="D45">
            <v>1</v>
          </cell>
          <cell r="E45">
            <v>4328</v>
          </cell>
        </row>
        <row r="46">
          <cell r="D46">
            <v>2</v>
          </cell>
          <cell r="E46">
            <v>4368</v>
          </cell>
        </row>
        <row r="47">
          <cell r="D47">
            <v>3</v>
          </cell>
          <cell r="E47">
            <v>4355</v>
          </cell>
        </row>
        <row r="48">
          <cell r="D48">
            <v>1</v>
          </cell>
          <cell r="E48">
            <v>4329</v>
          </cell>
        </row>
        <row r="49">
          <cell r="D49">
            <v>2</v>
          </cell>
          <cell r="E49">
            <v>4343</v>
          </cell>
        </row>
        <row r="50">
          <cell r="D50">
            <v>3</v>
          </cell>
          <cell r="E50">
            <v>4348</v>
          </cell>
        </row>
        <row r="51">
          <cell r="D51">
            <v>1</v>
          </cell>
          <cell r="E51">
            <v>4339</v>
          </cell>
        </row>
        <row r="52">
          <cell r="D52">
            <v>2</v>
          </cell>
          <cell r="E52">
            <v>4431</v>
          </cell>
        </row>
        <row r="53">
          <cell r="D53">
            <v>3</v>
          </cell>
          <cell r="E53">
            <v>4442</v>
          </cell>
        </row>
        <row r="54">
          <cell r="D54">
            <v>1</v>
          </cell>
          <cell r="E54">
            <v>4582</v>
          </cell>
        </row>
        <row r="55">
          <cell r="D55">
            <v>2</v>
          </cell>
          <cell r="E55">
            <v>4524</v>
          </cell>
        </row>
        <row r="56">
          <cell r="D56">
            <v>3</v>
          </cell>
          <cell r="E56">
            <v>4549</v>
          </cell>
        </row>
        <row r="57">
          <cell r="D57">
            <v>1</v>
          </cell>
          <cell r="E57">
            <v>4501</v>
          </cell>
        </row>
        <row r="58">
          <cell r="D58">
            <v>2</v>
          </cell>
          <cell r="E58">
            <v>4520</v>
          </cell>
        </row>
        <row r="59">
          <cell r="D59">
            <v>3</v>
          </cell>
          <cell r="E59">
            <v>4535</v>
          </cell>
        </row>
        <row r="60">
          <cell r="D60">
            <v>1</v>
          </cell>
          <cell r="E60">
            <v>4492</v>
          </cell>
        </row>
        <row r="61">
          <cell r="D61">
            <v>2</v>
          </cell>
          <cell r="E61">
            <v>4481</v>
          </cell>
        </row>
        <row r="62">
          <cell r="D62">
            <v>3</v>
          </cell>
          <cell r="E62">
            <v>4580</v>
          </cell>
        </row>
        <row r="63">
          <cell r="D63">
            <v>1</v>
          </cell>
          <cell r="E63">
            <v>4684</v>
          </cell>
        </row>
        <row r="64">
          <cell r="D64">
            <v>2</v>
          </cell>
          <cell r="E64">
            <v>4757</v>
          </cell>
        </row>
        <row r="65">
          <cell r="D65">
            <v>3</v>
          </cell>
          <cell r="E65">
            <v>4789</v>
          </cell>
        </row>
        <row r="66">
          <cell r="D66">
            <v>1</v>
          </cell>
          <cell r="E66">
            <v>4829</v>
          </cell>
        </row>
        <row r="67">
          <cell r="D67">
            <v>2</v>
          </cell>
          <cell r="E67">
            <v>4917</v>
          </cell>
        </row>
        <row r="68">
          <cell r="D68">
            <v>3</v>
          </cell>
          <cell r="E68">
            <v>4958</v>
          </cell>
        </row>
        <row r="69">
          <cell r="D69">
            <v>1</v>
          </cell>
          <cell r="E69">
            <v>4994</v>
          </cell>
        </row>
        <row r="70">
          <cell r="D70">
            <v>2</v>
          </cell>
          <cell r="E70">
            <v>5067</v>
          </cell>
        </row>
        <row r="71">
          <cell r="D71">
            <v>3</v>
          </cell>
          <cell r="E71">
            <v>5102</v>
          </cell>
        </row>
        <row r="72">
          <cell r="D72">
            <v>1</v>
          </cell>
          <cell r="E72">
            <v>5071</v>
          </cell>
        </row>
        <row r="73">
          <cell r="D73">
            <v>2</v>
          </cell>
          <cell r="E73">
            <v>5164</v>
          </cell>
        </row>
        <row r="74">
          <cell r="D74">
            <v>3</v>
          </cell>
          <cell r="E74">
            <v>5183</v>
          </cell>
        </row>
        <row r="75">
          <cell r="D75">
            <v>1</v>
          </cell>
          <cell r="E75">
            <v>5246</v>
          </cell>
        </row>
        <row r="76">
          <cell r="D76">
            <v>2</v>
          </cell>
          <cell r="E76">
            <v>5251</v>
          </cell>
        </row>
        <row r="77">
          <cell r="D77">
            <v>3</v>
          </cell>
          <cell r="E77">
            <v>5227</v>
          </cell>
        </row>
        <row r="78">
          <cell r="D78">
            <v>1</v>
          </cell>
          <cell r="E78">
            <v>5250</v>
          </cell>
        </row>
        <row r="79">
          <cell r="D79">
            <v>2</v>
          </cell>
          <cell r="E79">
            <v>5234</v>
          </cell>
        </row>
        <row r="80">
          <cell r="D80">
            <v>3</v>
          </cell>
          <cell r="E80">
            <v>5230</v>
          </cell>
        </row>
        <row r="81">
          <cell r="D81">
            <v>1</v>
          </cell>
          <cell r="E81">
            <v>5277</v>
          </cell>
        </row>
        <row r="82">
          <cell r="D82">
            <v>2</v>
          </cell>
          <cell r="E82">
            <v>5223</v>
          </cell>
        </row>
        <row r="83">
          <cell r="D83">
            <v>3</v>
          </cell>
          <cell r="E83">
            <v>5252</v>
          </cell>
        </row>
        <row r="84">
          <cell r="D84">
            <v>1</v>
          </cell>
          <cell r="E84">
            <v>5204</v>
          </cell>
        </row>
        <row r="85">
          <cell r="D85">
            <v>2</v>
          </cell>
          <cell r="E85">
            <v>5243</v>
          </cell>
        </row>
        <row r="86">
          <cell r="D86">
            <v>3</v>
          </cell>
          <cell r="E86">
            <v>5279</v>
          </cell>
        </row>
        <row r="87">
          <cell r="D87">
            <v>1</v>
          </cell>
          <cell r="E87">
            <v>5383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67" refreshError="1"/>
      <sheetData sheetId="6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9448</v>
          </cell>
        </row>
        <row r="10">
          <cell r="D10">
            <v>2</v>
          </cell>
          <cell r="E10">
            <v>9497</v>
          </cell>
        </row>
        <row r="11">
          <cell r="D11">
            <v>3</v>
          </cell>
          <cell r="E11">
            <v>9393</v>
          </cell>
        </row>
        <row r="12">
          <cell r="D12">
            <v>1</v>
          </cell>
          <cell r="E12">
            <v>9346</v>
          </cell>
        </row>
        <row r="13">
          <cell r="D13">
            <v>2</v>
          </cell>
          <cell r="E13">
            <v>9305</v>
          </cell>
        </row>
        <row r="14">
          <cell r="D14">
            <v>3</v>
          </cell>
          <cell r="E14">
            <v>9444</v>
          </cell>
        </row>
        <row r="15">
          <cell r="D15">
            <v>1</v>
          </cell>
          <cell r="E15">
            <v>9654</v>
          </cell>
        </row>
        <row r="16">
          <cell r="D16">
            <v>2</v>
          </cell>
          <cell r="E16">
            <v>9718</v>
          </cell>
        </row>
        <row r="17">
          <cell r="D17">
            <v>3</v>
          </cell>
          <cell r="E17">
            <v>9651</v>
          </cell>
        </row>
        <row r="18">
          <cell r="D18">
            <v>1</v>
          </cell>
          <cell r="E18">
            <v>9586</v>
          </cell>
        </row>
        <row r="19">
          <cell r="D19">
            <v>2</v>
          </cell>
          <cell r="E19">
            <v>9626</v>
          </cell>
        </row>
        <row r="20">
          <cell r="D20">
            <v>3</v>
          </cell>
          <cell r="E20">
            <v>9665</v>
          </cell>
        </row>
        <row r="21">
          <cell r="D21">
            <v>1</v>
          </cell>
          <cell r="E21">
            <v>9654</v>
          </cell>
        </row>
        <row r="22">
          <cell r="D22">
            <v>2</v>
          </cell>
          <cell r="E22">
            <v>9717</v>
          </cell>
        </row>
        <row r="23">
          <cell r="D23">
            <v>3</v>
          </cell>
          <cell r="E23">
            <v>9700</v>
          </cell>
        </row>
        <row r="24">
          <cell r="D24">
            <v>1</v>
          </cell>
          <cell r="E24">
            <v>9804</v>
          </cell>
        </row>
        <row r="25">
          <cell r="D25">
            <v>2</v>
          </cell>
          <cell r="E25">
            <v>9827</v>
          </cell>
        </row>
        <row r="26">
          <cell r="D26">
            <v>3</v>
          </cell>
          <cell r="E26">
            <v>9860</v>
          </cell>
        </row>
        <row r="27">
          <cell r="D27">
            <v>1</v>
          </cell>
          <cell r="E27">
            <v>9783</v>
          </cell>
        </row>
        <row r="28">
          <cell r="D28">
            <v>2</v>
          </cell>
          <cell r="E28">
            <v>9734</v>
          </cell>
        </row>
        <row r="29">
          <cell r="D29">
            <v>3</v>
          </cell>
          <cell r="E29">
            <v>9821</v>
          </cell>
        </row>
        <row r="30">
          <cell r="D30">
            <v>1</v>
          </cell>
          <cell r="E30">
            <v>9724</v>
          </cell>
        </row>
        <row r="31">
          <cell r="D31">
            <v>2</v>
          </cell>
          <cell r="E31">
            <v>9701</v>
          </cell>
        </row>
        <row r="32">
          <cell r="D32">
            <v>3</v>
          </cell>
          <cell r="E32">
            <v>9719</v>
          </cell>
        </row>
        <row r="33">
          <cell r="D33">
            <v>1</v>
          </cell>
          <cell r="E33">
            <v>9821</v>
          </cell>
        </row>
        <row r="34">
          <cell r="D34">
            <v>2</v>
          </cell>
          <cell r="E34">
            <v>9854</v>
          </cell>
        </row>
        <row r="35">
          <cell r="D35">
            <v>3</v>
          </cell>
          <cell r="E35">
            <v>10036</v>
          </cell>
        </row>
        <row r="36">
          <cell r="D36">
            <v>1</v>
          </cell>
          <cell r="E36">
            <v>10265</v>
          </cell>
        </row>
        <row r="37">
          <cell r="D37">
            <v>2</v>
          </cell>
          <cell r="E37">
            <v>10535</v>
          </cell>
        </row>
        <row r="38">
          <cell r="D38">
            <v>3</v>
          </cell>
          <cell r="E38">
            <v>10536</v>
          </cell>
        </row>
        <row r="39">
          <cell r="D39">
            <v>1</v>
          </cell>
          <cell r="E39">
            <v>10683</v>
          </cell>
        </row>
        <row r="40">
          <cell r="D40">
            <v>2</v>
          </cell>
          <cell r="E40">
            <v>10590</v>
          </cell>
        </row>
        <row r="41">
          <cell r="D41">
            <v>3</v>
          </cell>
          <cell r="E41">
            <v>10572</v>
          </cell>
        </row>
        <row r="42">
          <cell r="D42">
            <v>1</v>
          </cell>
          <cell r="E42">
            <v>10520</v>
          </cell>
        </row>
        <row r="43">
          <cell r="D43">
            <v>2</v>
          </cell>
          <cell r="E43">
            <v>10470</v>
          </cell>
        </row>
        <row r="44">
          <cell r="D44">
            <v>3</v>
          </cell>
          <cell r="E44">
            <v>10448</v>
          </cell>
        </row>
        <row r="45">
          <cell r="D45">
            <v>1</v>
          </cell>
          <cell r="E45">
            <v>10351</v>
          </cell>
        </row>
        <row r="46">
          <cell r="D46">
            <v>2</v>
          </cell>
          <cell r="E46">
            <v>10513</v>
          </cell>
        </row>
        <row r="47">
          <cell r="D47">
            <v>3</v>
          </cell>
          <cell r="E47">
            <v>10653</v>
          </cell>
        </row>
        <row r="48">
          <cell r="D48">
            <v>1</v>
          </cell>
          <cell r="E48">
            <v>10768</v>
          </cell>
        </row>
        <row r="49">
          <cell r="D49">
            <v>2</v>
          </cell>
          <cell r="E49">
            <v>10742</v>
          </cell>
        </row>
        <row r="50">
          <cell r="D50">
            <v>3</v>
          </cell>
          <cell r="E50">
            <v>10612</v>
          </cell>
        </row>
        <row r="51">
          <cell r="D51">
            <v>1</v>
          </cell>
          <cell r="E51">
            <v>10550</v>
          </cell>
        </row>
        <row r="52">
          <cell r="D52">
            <v>2</v>
          </cell>
          <cell r="E52">
            <v>10165</v>
          </cell>
        </row>
        <row r="53">
          <cell r="D53">
            <v>3</v>
          </cell>
          <cell r="E53">
            <v>9888</v>
          </cell>
        </row>
        <row r="54">
          <cell r="D54">
            <v>1</v>
          </cell>
          <cell r="E54">
            <v>9565</v>
          </cell>
        </row>
        <row r="55">
          <cell r="D55">
            <v>2</v>
          </cell>
          <cell r="E55">
            <v>9606</v>
          </cell>
        </row>
        <row r="56">
          <cell r="D56">
            <v>3</v>
          </cell>
          <cell r="E56">
            <v>9639</v>
          </cell>
        </row>
        <row r="57">
          <cell r="D57">
            <v>1</v>
          </cell>
          <cell r="E57">
            <v>9695</v>
          </cell>
        </row>
        <row r="58">
          <cell r="D58">
            <v>2</v>
          </cell>
          <cell r="E58">
            <v>9693</v>
          </cell>
        </row>
        <row r="59">
          <cell r="D59">
            <v>3</v>
          </cell>
          <cell r="E59">
            <v>9734</v>
          </cell>
        </row>
        <row r="60">
          <cell r="D60">
            <v>1</v>
          </cell>
          <cell r="E60">
            <v>9689</v>
          </cell>
        </row>
        <row r="61">
          <cell r="D61">
            <v>2</v>
          </cell>
          <cell r="E61">
            <v>9685</v>
          </cell>
        </row>
        <row r="62">
          <cell r="D62">
            <v>3</v>
          </cell>
          <cell r="E62">
            <v>9616</v>
          </cell>
        </row>
        <row r="63">
          <cell r="D63">
            <v>1</v>
          </cell>
          <cell r="E63">
            <v>9574</v>
          </cell>
        </row>
        <row r="64">
          <cell r="D64">
            <v>2</v>
          </cell>
          <cell r="E64">
            <v>9580</v>
          </cell>
        </row>
        <row r="65">
          <cell r="D65">
            <v>3</v>
          </cell>
          <cell r="E65">
            <v>9632</v>
          </cell>
        </row>
        <row r="66">
          <cell r="D66">
            <v>1</v>
          </cell>
          <cell r="E66">
            <v>9739</v>
          </cell>
        </row>
        <row r="67">
          <cell r="D67">
            <v>2</v>
          </cell>
          <cell r="E67">
            <v>9817</v>
          </cell>
        </row>
        <row r="68">
          <cell r="D68">
            <v>3</v>
          </cell>
          <cell r="E68">
            <v>9847</v>
          </cell>
        </row>
        <row r="69">
          <cell r="D69">
            <v>1</v>
          </cell>
          <cell r="E69">
            <v>9940</v>
          </cell>
        </row>
        <row r="70">
          <cell r="D70">
            <v>2</v>
          </cell>
          <cell r="E70">
            <v>9842</v>
          </cell>
        </row>
        <row r="71">
          <cell r="D71">
            <v>3</v>
          </cell>
          <cell r="E71">
            <v>9834</v>
          </cell>
        </row>
        <row r="72">
          <cell r="D72">
            <v>1</v>
          </cell>
          <cell r="E72">
            <v>9820</v>
          </cell>
        </row>
        <row r="73">
          <cell r="D73">
            <v>2</v>
          </cell>
          <cell r="E73">
            <v>9809</v>
          </cell>
        </row>
        <row r="74">
          <cell r="D74">
            <v>3</v>
          </cell>
          <cell r="E74">
            <v>9925</v>
          </cell>
        </row>
        <row r="75">
          <cell r="D75">
            <v>1</v>
          </cell>
          <cell r="E75">
            <v>10061</v>
          </cell>
        </row>
        <row r="76">
          <cell r="D76">
            <v>2</v>
          </cell>
          <cell r="E76">
            <v>10120</v>
          </cell>
        </row>
        <row r="77">
          <cell r="D77">
            <v>3</v>
          </cell>
          <cell r="E77">
            <v>10144</v>
          </cell>
        </row>
        <row r="78">
          <cell r="D78">
            <v>1</v>
          </cell>
          <cell r="E78">
            <v>10147</v>
          </cell>
        </row>
        <row r="79">
          <cell r="D79">
            <v>2</v>
          </cell>
          <cell r="E79">
            <v>10168</v>
          </cell>
        </row>
        <row r="80">
          <cell r="D80">
            <v>3</v>
          </cell>
          <cell r="E80">
            <v>10174</v>
          </cell>
        </row>
        <row r="81">
          <cell r="D81">
            <v>1</v>
          </cell>
          <cell r="E81">
            <v>10069</v>
          </cell>
        </row>
        <row r="82">
          <cell r="D82">
            <v>2</v>
          </cell>
          <cell r="E82">
            <v>10054</v>
          </cell>
        </row>
        <row r="83">
          <cell r="D83">
            <v>3</v>
          </cell>
          <cell r="E83">
            <v>9965</v>
          </cell>
        </row>
        <row r="84">
          <cell r="D84">
            <v>1</v>
          </cell>
          <cell r="E84">
            <v>9908</v>
          </cell>
        </row>
        <row r="85">
          <cell r="D85">
            <v>2</v>
          </cell>
          <cell r="E85">
            <v>10016</v>
          </cell>
        </row>
        <row r="86">
          <cell r="D86">
            <v>3</v>
          </cell>
          <cell r="E86">
            <v>10046</v>
          </cell>
        </row>
        <row r="87">
          <cell r="D87">
            <v>1</v>
          </cell>
          <cell r="E87">
            <v>10171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69" refreshError="1"/>
      <sheetData sheetId="7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14111</v>
          </cell>
        </row>
        <row r="10">
          <cell r="D10">
            <v>2</v>
          </cell>
          <cell r="E10">
            <v>14358</v>
          </cell>
        </row>
        <row r="11">
          <cell r="D11">
            <v>3</v>
          </cell>
          <cell r="E11">
            <v>14517</v>
          </cell>
        </row>
        <row r="12">
          <cell r="D12">
            <v>1</v>
          </cell>
          <cell r="E12">
            <v>14635</v>
          </cell>
        </row>
        <row r="13">
          <cell r="D13">
            <v>2</v>
          </cell>
          <cell r="E13">
            <v>14727</v>
          </cell>
        </row>
        <row r="14">
          <cell r="D14">
            <v>3</v>
          </cell>
          <cell r="E14">
            <v>14837</v>
          </cell>
        </row>
        <row r="15">
          <cell r="D15">
            <v>1</v>
          </cell>
          <cell r="E15">
            <v>14824</v>
          </cell>
        </row>
        <row r="16">
          <cell r="D16">
            <v>2</v>
          </cell>
          <cell r="E16">
            <v>14777</v>
          </cell>
        </row>
        <row r="17">
          <cell r="D17">
            <v>3</v>
          </cell>
          <cell r="E17">
            <v>14684</v>
          </cell>
        </row>
        <row r="18">
          <cell r="D18">
            <v>1</v>
          </cell>
          <cell r="E18">
            <v>14487</v>
          </cell>
        </row>
        <row r="19">
          <cell r="D19">
            <v>2</v>
          </cell>
          <cell r="E19">
            <v>14220</v>
          </cell>
        </row>
        <row r="20">
          <cell r="D20">
            <v>3</v>
          </cell>
          <cell r="E20">
            <v>14143</v>
          </cell>
        </row>
        <row r="21">
          <cell r="D21">
            <v>1</v>
          </cell>
          <cell r="E21">
            <v>14185</v>
          </cell>
        </row>
        <row r="22">
          <cell r="D22">
            <v>2</v>
          </cell>
          <cell r="E22">
            <v>14408</v>
          </cell>
        </row>
        <row r="23">
          <cell r="D23">
            <v>3</v>
          </cell>
          <cell r="E23">
            <v>14471</v>
          </cell>
        </row>
        <row r="24">
          <cell r="D24">
            <v>1</v>
          </cell>
          <cell r="E24">
            <v>14646</v>
          </cell>
        </row>
        <row r="25">
          <cell r="D25">
            <v>2</v>
          </cell>
          <cell r="E25">
            <v>14759</v>
          </cell>
        </row>
        <row r="26">
          <cell r="D26">
            <v>3</v>
          </cell>
          <cell r="E26">
            <v>14806</v>
          </cell>
        </row>
        <row r="27">
          <cell r="D27">
            <v>1</v>
          </cell>
          <cell r="E27">
            <v>14808</v>
          </cell>
        </row>
        <row r="28">
          <cell r="D28">
            <v>2</v>
          </cell>
          <cell r="E28">
            <v>14830</v>
          </cell>
        </row>
        <row r="29">
          <cell r="D29">
            <v>3</v>
          </cell>
          <cell r="E29">
            <v>14811</v>
          </cell>
        </row>
        <row r="30">
          <cell r="D30">
            <v>1</v>
          </cell>
          <cell r="E30">
            <v>14792</v>
          </cell>
        </row>
        <row r="31">
          <cell r="D31">
            <v>2</v>
          </cell>
          <cell r="E31">
            <v>14656</v>
          </cell>
        </row>
        <row r="32">
          <cell r="D32">
            <v>3</v>
          </cell>
          <cell r="E32">
            <v>14694</v>
          </cell>
        </row>
        <row r="33">
          <cell r="D33">
            <v>1</v>
          </cell>
          <cell r="E33">
            <v>14779</v>
          </cell>
        </row>
        <row r="34">
          <cell r="D34">
            <v>2</v>
          </cell>
          <cell r="E34">
            <v>15049</v>
          </cell>
        </row>
        <row r="35">
          <cell r="D35">
            <v>3</v>
          </cell>
          <cell r="E35">
            <v>15147</v>
          </cell>
        </row>
        <row r="36">
          <cell r="D36">
            <v>1</v>
          </cell>
          <cell r="E36">
            <v>15132</v>
          </cell>
        </row>
        <row r="37">
          <cell r="D37">
            <v>2</v>
          </cell>
          <cell r="E37">
            <v>15087</v>
          </cell>
        </row>
        <row r="38">
          <cell r="D38">
            <v>3</v>
          </cell>
          <cell r="E38">
            <v>15131</v>
          </cell>
        </row>
        <row r="39">
          <cell r="D39">
            <v>1</v>
          </cell>
          <cell r="E39">
            <v>15142</v>
          </cell>
        </row>
        <row r="40">
          <cell r="D40">
            <v>2</v>
          </cell>
          <cell r="E40">
            <v>15252</v>
          </cell>
        </row>
        <row r="41">
          <cell r="D41">
            <v>3</v>
          </cell>
          <cell r="E41">
            <v>15356</v>
          </cell>
        </row>
        <row r="42">
          <cell r="D42">
            <v>1</v>
          </cell>
          <cell r="E42">
            <v>15387</v>
          </cell>
        </row>
        <row r="43">
          <cell r="D43">
            <v>2</v>
          </cell>
          <cell r="E43">
            <v>15216</v>
          </cell>
        </row>
        <row r="44">
          <cell r="D44">
            <v>3</v>
          </cell>
          <cell r="E44">
            <v>15053</v>
          </cell>
        </row>
        <row r="45">
          <cell r="D45">
            <v>1</v>
          </cell>
          <cell r="E45">
            <v>15004</v>
          </cell>
        </row>
        <row r="46">
          <cell r="D46">
            <v>2</v>
          </cell>
          <cell r="E46">
            <v>15149</v>
          </cell>
        </row>
        <row r="47">
          <cell r="D47">
            <v>3</v>
          </cell>
          <cell r="E47">
            <v>15203</v>
          </cell>
        </row>
        <row r="48">
          <cell r="D48">
            <v>1</v>
          </cell>
          <cell r="E48">
            <v>15277</v>
          </cell>
        </row>
        <row r="49">
          <cell r="D49">
            <v>2</v>
          </cell>
          <cell r="E49">
            <v>15277</v>
          </cell>
        </row>
        <row r="50">
          <cell r="D50">
            <v>3</v>
          </cell>
          <cell r="E50">
            <v>15340</v>
          </cell>
        </row>
        <row r="51">
          <cell r="D51">
            <v>1</v>
          </cell>
          <cell r="E51">
            <v>15443</v>
          </cell>
        </row>
        <row r="52">
          <cell r="D52">
            <v>2</v>
          </cell>
          <cell r="E52">
            <v>15622</v>
          </cell>
        </row>
        <row r="53">
          <cell r="D53">
            <v>3</v>
          </cell>
          <cell r="E53">
            <v>15652</v>
          </cell>
        </row>
        <row r="54">
          <cell r="D54">
            <v>1</v>
          </cell>
          <cell r="E54">
            <v>15660</v>
          </cell>
        </row>
        <row r="55">
          <cell r="D55">
            <v>2</v>
          </cell>
          <cell r="E55">
            <v>15476</v>
          </cell>
        </row>
        <row r="56">
          <cell r="D56">
            <v>3</v>
          </cell>
          <cell r="E56">
            <v>15317</v>
          </cell>
        </row>
        <row r="57">
          <cell r="D57">
            <v>1</v>
          </cell>
          <cell r="E57">
            <v>15362</v>
          </cell>
        </row>
        <row r="58">
          <cell r="D58">
            <v>2</v>
          </cell>
          <cell r="E58">
            <v>15534</v>
          </cell>
        </row>
        <row r="59">
          <cell r="D59">
            <v>3</v>
          </cell>
          <cell r="E59">
            <v>15585</v>
          </cell>
        </row>
        <row r="60">
          <cell r="D60">
            <v>1</v>
          </cell>
          <cell r="E60">
            <v>15758</v>
          </cell>
        </row>
        <row r="61">
          <cell r="D61">
            <v>2</v>
          </cell>
          <cell r="E61">
            <v>15684</v>
          </cell>
        </row>
        <row r="62">
          <cell r="D62">
            <v>3</v>
          </cell>
          <cell r="E62">
            <v>15878</v>
          </cell>
        </row>
        <row r="63">
          <cell r="D63">
            <v>1</v>
          </cell>
          <cell r="E63">
            <v>15750</v>
          </cell>
        </row>
        <row r="64">
          <cell r="D64">
            <v>2</v>
          </cell>
          <cell r="E64">
            <v>15858</v>
          </cell>
        </row>
        <row r="65">
          <cell r="D65">
            <v>3</v>
          </cell>
          <cell r="E65">
            <v>15777</v>
          </cell>
        </row>
        <row r="66">
          <cell r="D66">
            <v>1</v>
          </cell>
          <cell r="E66">
            <v>15551</v>
          </cell>
        </row>
        <row r="67">
          <cell r="D67">
            <v>2</v>
          </cell>
          <cell r="E67">
            <v>15207</v>
          </cell>
        </row>
        <row r="68">
          <cell r="D68">
            <v>3</v>
          </cell>
          <cell r="E68">
            <v>15075</v>
          </cell>
        </row>
        <row r="69">
          <cell r="D69">
            <v>1</v>
          </cell>
          <cell r="E69">
            <v>15067</v>
          </cell>
        </row>
        <row r="70">
          <cell r="D70">
            <v>2</v>
          </cell>
          <cell r="E70">
            <v>15160</v>
          </cell>
        </row>
        <row r="71">
          <cell r="D71">
            <v>3</v>
          </cell>
          <cell r="E71">
            <v>15362</v>
          </cell>
        </row>
        <row r="72">
          <cell r="D72">
            <v>1</v>
          </cell>
          <cell r="E72">
            <v>15552</v>
          </cell>
        </row>
        <row r="73">
          <cell r="D73">
            <v>2</v>
          </cell>
          <cell r="E73">
            <v>15752</v>
          </cell>
        </row>
        <row r="74">
          <cell r="D74">
            <v>3</v>
          </cell>
          <cell r="E74">
            <v>15776</v>
          </cell>
        </row>
        <row r="75">
          <cell r="D75">
            <v>1</v>
          </cell>
          <cell r="E75">
            <v>15801</v>
          </cell>
        </row>
        <row r="76">
          <cell r="D76">
            <v>2</v>
          </cell>
          <cell r="E76">
            <v>15838</v>
          </cell>
        </row>
        <row r="77">
          <cell r="D77">
            <v>3</v>
          </cell>
          <cell r="E77">
            <v>15901</v>
          </cell>
        </row>
        <row r="78">
          <cell r="D78">
            <v>1</v>
          </cell>
          <cell r="E78">
            <v>15801</v>
          </cell>
        </row>
        <row r="79">
          <cell r="D79">
            <v>2</v>
          </cell>
          <cell r="E79">
            <v>15620</v>
          </cell>
        </row>
        <row r="80">
          <cell r="D80">
            <v>3</v>
          </cell>
          <cell r="E80">
            <v>15465</v>
          </cell>
        </row>
        <row r="81">
          <cell r="D81">
            <v>1</v>
          </cell>
          <cell r="E81">
            <v>15534</v>
          </cell>
        </row>
        <row r="82">
          <cell r="D82">
            <v>2</v>
          </cell>
          <cell r="E82">
            <v>15729</v>
          </cell>
        </row>
        <row r="83">
          <cell r="D83">
            <v>3</v>
          </cell>
          <cell r="E83">
            <v>15888</v>
          </cell>
        </row>
        <row r="84">
          <cell r="D84">
            <v>1</v>
          </cell>
          <cell r="E84">
            <v>16122</v>
          </cell>
        </row>
        <row r="85">
          <cell r="D85">
            <v>2</v>
          </cell>
          <cell r="E85">
            <v>16180</v>
          </cell>
        </row>
        <row r="86">
          <cell r="D86">
            <v>3</v>
          </cell>
          <cell r="E86">
            <v>16249</v>
          </cell>
        </row>
        <row r="87">
          <cell r="D87">
            <v>1</v>
          </cell>
          <cell r="E87">
            <v>16305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71" refreshError="1"/>
      <sheetData sheetId="7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3769</v>
          </cell>
        </row>
        <row r="10">
          <cell r="D10">
            <v>2</v>
          </cell>
          <cell r="E10">
            <v>3754</v>
          </cell>
        </row>
        <row r="11">
          <cell r="D11">
            <v>3</v>
          </cell>
          <cell r="E11">
            <v>3717</v>
          </cell>
        </row>
        <row r="12">
          <cell r="D12">
            <v>1</v>
          </cell>
          <cell r="E12">
            <v>3763</v>
          </cell>
        </row>
        <row r="13">
          <cell r="D13">
            <v>2</v>
          </cell>
          <cell r="E13">
            <v>3769</v>
          </cell>
        </row>
        <row r="14">
          <cell r="D14">
            <v>3</v>
          </cell>
          <cell r="E14">
            <v>3827</v>
          </cell>
        </row>
        <row r="15">
          <cell r="D15">
            <v>1</v>
          </cell>
          <cell r="E15">
            <v>3954</v>
          </cell>
        </row>
        <row r="16">
          <cell r="D16">
            <v>2</v>
          </cell>
          <cell r="E16">
            <v>3979</v>
          </cell>
        </row>
        <row r="17">
          <cell r="D17">
            <v>3</v>
          </cell>
          <cell r="E17">
            <v>3962</v>
          </cell>
        </row>
        <row r="18">
          <cell r="D18">
            <v>1</v>
          </cell>
          <cell r="E18">
            <v>3846</v>
          </cell>
        </row>
        <row r="19">
          <cell r="D19">
            <v>2</v>
          </cell>
          <cell r="E19">
            <v>3891</v>
          </cell>
        </row>
        <row r="20">
          <cell r="D20">
            <v>3</v>
          </cell>
          <cell r="E20">
            <v>3935</v>
          </cell>
        </row>
        <row r="21">
          <cell r="D21">
            <v>1</v>
          </cell>
          <cell r="E21">
            <v>3971</v>
          </cell>
        </row>
        <row r="22">
          <cell r="D22">
            <v>2</v>
          </cell>
          <cell r="E22">
            <v>4026</v>
          </cell>
        </row>
        <row r="23">
          <cell r="D23">
            <v>3</v>
          </cell>
          <cell r="E23">
            <v>3984</v>
          </cell>
        </row>
        <row r="24">
          <cell r="D24">
            <v>1</v>
          </cell>
          <cell r="E24">
            <v>3972</v>
          </cell>
        </row>
        <row r="25">
          <cell r="D25">
            <v>2</v>
          </cell>
          <cell r="E25">
            <v>3967</v>
          </cell>
        </row>
        <row r="26">
          <cell r="D26">
            <v>3</v>
          </cell>
          <cell r="E26">
            <v>4028</v>
          </cell>
        </row>
        <row r="27">
          <cell r="D27">
            <v>1</v>
          </cell>
          <cell r="E27">
            <v>4067</v>
          </cell>
        </row>
        <row r="28">
          <cell r="D28">
            <v>2</v>
          </cell>
          <cell r="E28">
            <v>4065</v>
          </cell>
        </row>
        <row r="29">
          <cell r="D29">
            <v>3</v>
          </cell>
          <cell r="E29">
            <v>4086</v>
          </cell>
        </row>
        <row r="30">
          <cell r="D30">
            <v>1</v>
          </cell>
          <cell r="E30">
            <v>4092</v>
          </cell>
        </row>
        <row r="31">
          <cell r="D31">
            <v>2</v>
          </cell>
          <cell r="E31">
            <v>4108</v>
          </cell>
        </row>
        <row r="32">
          <cell r="D32">
            <v>3</v>
          </cell>
          <cell r="E32">
            <v>4133</v>
          </cell>
        </row>
        <row r="33">
          <cell r="D33">
            <v>1</v>
          </cell>
          <cell r="E33">
            <v>4125</v>
          </cell>
        </row>
        <row r="34">
          <cell r="D34">
            <v>2</v>
          </cell>
          <cell r="E34">
            <v>4130</v>
          </cell>
        </row>
        <row r="35">
          <cell r="D35">
            <v>3</v>
          </cell>
          <cell r="E35">
            <v>4128</v>
          </cell>
        </row>
        <row r="36">
          <cell r="D36">
            <v>1</v>
          </cell>
          <cell r="E36">
            <v>4128</v>
          </cell>
        </row>
        <row r="37">
          <cell r="D37">
            <v>2</v>
          </cell>
          <cell r="E37">
            <v>4103</v>
          </cell>
        </row>
        <row r="38">
          <cell r="D38">
            <v>3</v>
          </cell>
          <cell r="E38">
            <v>4172</v>
          </cell>
        </row>
        <row r="39">
          <cell r="D39">
            <v>1</v>
          </cell>
          <cell r="E39">
            <v>4266</v>
          </cell>
        </row>
        <row r="40">
          <cell r="D40">
            <v>2</v>
          </cell>
          <cell r="E40">
            <v>4344</v>
          </cell>
        </row>
        <row r="41">
          <cell r="D41">
            <v>3</v>
          </cell>
          <cell r="E41">
            <v>4255</v>
          </cell>
        </row>
        <row r="42">
          <cell r="D42">
            <v>1</v>
          </cell>
          <cell r="E42">
            <v>4217</v>
          </cell>
        </row>
        <row r="43">
          <cell r="D43">
            <v>2</v>
          </cell>
          <cell r="E43">
            <v>4181</v>
          </cell>
        </row>
        <row r="44">
          <cell r="D44">
            <v>3</v>
          </cell>
          <cell r="E44">
            <v>4177</v>
          </cell>
        </row>
        <row r="45">
          <cell r="D45">
            <v>1</v>
          </cell>
          <cell r="E45">
            <v>4142</v>
          </cell>
        </row>
        <row r="46">
          <cell r="D46">
            <v>2</v>
          </cell>
          <cell r="E46">
            <v>4159</v>
          </cell>
        </row>
        <row r="47">
          <cell r="D47">
            <v>3</v>
          </cell>
          <cell r="E47">
            <v>4194</v>
          </cell>
        </row>
        <row r="48">
          <cell r="D48">
            <v>1</v>
          </cell>
          <cell r="E48">
            <v>4167</v>
          </cell>
        </row>
        <row r="49">
          <cell r="D49">
            <v>2</v>
          </cell>
          <cell r="E49">
            <v>4182</v>
          </cell>
        </row>
        <row r="50">
          <cell r="D50">
            <v>3</v>
          </cell>
          <cell r="E50">
            <v>4179</v>
          </cell>
        </row>
        <row r="51">
          <cell r="D51">
            <v>1</v>
          </cell>
          <cell r="E51">
            <v>4210</v>
          </cell>
        </row>
        <row r="52">
          <cell r="D52">
            <v>2</v>
          </cell>
          <cell r="E52">
            <v>4170</v>
          </cell>
        </row>
        <row r="53">
          <cell r="D53">
            <v>3</v>
          </cell>
          <cell r="E53">
            <v>4106</v>
          </cell>
        </row>
        <row r="54">
          <cell r="D54">
            <v>1</v>
          </cell>
          <cell r="E54">
            <v>4146</v>
          </cell>
        </row>
        <row r="55">
          <cell r="D55">
            <v>2</v>
          </cell>
          <cell r="E55">
            <v>4166</v>
          </cell>
        </row>
        <row r="56">
          <cell r="D56">
            <v>3</v>
          </cell>
          <cell r="E56">
            <v>4163</v>
          </cell>
        </row>
        <row r="57">
          <cell r="D57">
            <v>1</v>
          </cell>
          <cell r="E57">
            <v>4149</v>
          </cell>
        </row>
        <row r="58">
          <cell r="D58">
            <v>2</v>
          </cell>
          <cell r="E58">
            <v>4126</v>
          </cell>
        </row>
        <row r="59">
          <cell r="D59">
            <v>3</v>
          </cell>
          <cell r="E59">
            <v>4126</v>
          </cell>
        </row>
        <row r="60">
          <cell r="D60">
            <v>1</v>
          </cell>
          <cell r="E60">
            <v>4145</v>
          </cell>
        </row>
        <row r="61">
          <cell r="D61">
            <v>2</v>
          </cell>
          <cell r="E61">
            <v>4171</v>
          </cell>
        </row>
        <row r="62">
          <cell r="D62">
            <v>3</v>
          </cell>
          <cell r="E62">
            <v>4156</v>
          </cell>
        </row>
        <row r="63">
          <cell r="D63">
            <v>1</v>
          </cell>
          <cell r="E63">
            <v>4308</v>
          </cell>
        </row>
        <row r="64">
          <cell r="D64">
            <v>2</v>
          </cell>
          <cell r="E64">
            <v>4305</v>
          </cell>
        </row>
        <row r="65">
          <cell r="D65">
            <v>3</v>
          </cell>
          <cell r="E65">
            <v>4392</v>
          </cell>
        </row>
        <row r="66">
          <cell r="D66">
            <v>1</v>
          </cell>
          <cell r="E66">
            <v>4310</v>
          </cell>
        </row>
        <row r="67">
          <cell r="D67">
            <v>2</v>
          </cell>
          <cell r="E67">
            <v>4315</v>
          </cell>
        </row>
        <row r="68">
          <cell r="D68">
            <v>3</v>
          </cell>
          <cell r="E68">
            <v>4282</v>
          </cell>
        </row>
        <row r="69">
          <cell r="D69">
            <v>1</v>
          </cell>
          <cell r="E69">
            <v>4231</v>
          </cell>
        </row>
        <row r="70">
          <cell r="D70">
            <v>2</v>
          </cell>
          <cell r="E70">
            <v>4301</v>
          </cell>
        </row>
        <row r="71">
          <cell r="D71">
            <v>3</v>
          </cell>
          <cell r="E71">
            <v>4383</v>
          </cell>
        </row>
        <row r="72">
          <cell r="D72">
            <v>1</v>
          </cell>
          <cell r="E72">
            <v>4468</v>
          </cell>
        </row>
        <row r="73">
          <cell r="D73">
            <v>2</v>
          </cell>
          <cell r="E73">
            <v>4476</v>
          </cell>
        </row>
        <row r="74">
          <cell r="D74">
            <v>3</v>
          </cell>
          <cell r="E74">
            <v>4515</v>
          </cell>
        </row>
        <row r="75">
          <cell r="D75">
            <v>1</v>
          </cell>
          <cell r="E75">
            <v>4522</v>
          </cell>
        </row>
        <row r="76">
          <cell r="D76">
            <v>2</v>
          </cell>
          <cell r="E76">
            <v>4574</v>
          </cell>
        </row>
        <row r="77">
          <cell r="D77">
            <v>3</v>
          </cell>
          <cell r="E77">
            <v>4639</v>
          </cell>
        </row>
        <row r="78">
          <cell r="D78">
            <v>1</v>
          </cell>
          <cell r="E78">
            <v>4686</v>
          </cell>
        </row>
        <row r="79">
          <cell r="D79">
            <v>2</v>
          </cell>
          <cell r="E79">
            <v>4689</v>
          </cell>
        </row>
        <row r="80">
          <cell r="D80">
            <v>3</v>
          </cell>
          <cell r="E80">
            <v>4690</v>
          </cell>
        </row>
        <row r="81">
          <cell r="D81">
            <v>1</v>
          </cell>
          <cell r="E81">
            <v>4672</v>
          </cell>
        </row>
        <row r="82">
          <cell r="D82">
            <v>2</v>
          </cell>
          <cell r="E82">
            <v>4690</v>
          </cell>
        </row>
        <row r="83">
          <cell r="D83">
            <v>3</v>
          </cell>
          <cell r="E83">
            <v>4706</v>
          </cell>
        </row>
        <row r="84">
          <cell r="D84">
            <v>1</v>
          </cell>
          <cell r="E84">
            <v>4735</v>
          </cell>
        </row>
        <row r="85">
          <cell r="D85">
            <v>2</v>
          </cell>
          <cell r="E85">
            <v>4744</v>
          </cell>
        </row>
        <row r="86">
          <cell r="D86">
            <v>3</v>
          </cell>
          <cell r="E86">
            <v>4774</v>
          </cell>
        </row>
        <row r="87">
          <cell r="D87">
            <v>1</v>
          </cell>
          <cell r="E87">
            <v>4927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73" refreshError="1"/>
      <sheetData sheetId="7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6091</v>
          </cell>
        </row>
        <row r="10">
          <cell r="D10">
            <v>2</v>
          </cell>
          <cell r="E10">
            <v>6081</v>
          </cell>
        </row>
        <row r="11">
          <cell r="D11">
            <v>3</v>
          </cell>
          <cell r="E11">
            <v>6140</v>
          </cell>
        </row>
        <row r="12">
          <cell r="D12">
            <v>1</v>
          </cell>
          <cell r="E12">
            <v>6141</v>
          </cell>
        </row>
        <row r="13">
          <cell r="D13">
            <v>2</v>
          </cell>
          <cell r="E13">
            <v>6133</v>
          </cell>
        </row>
        <row r="14">
          <cell r="D14">
            <v>3</v>
          </cell>
          <cell r="E14">
            <v>6137</v>
          </cell>
        </row>
        <row r="15">
          <cell r="D15">
            <v>1</v>
          </cell>
          <cell r="E15">
            <v>6139</v>
          </cell>
        </row>
        <row r="16">
          <cell r="D16">
            <v>2</v>
          </cell>
          <cell r="E16">
            <v>6119</v>
          </cell>
        </row>
        <row r="17">
          <cell r="D17">
            <v>3</v>
          </cell>
          <cell r="E17">
            <v>6135</v>
          </cell>
        </row>
        <row r="18">
          <cell r="D18">
            <v>1</v>
          </cell>
          <cell r="E18">
            <v>6171</v>
          </cell>
        </row>
        <row r="19">
          <cell r="D19">
            <v>2</v>
          </cell>
          <cell r="E19">
            <v>6166</v>
          </cell>
        </row>
        <row r="20">
          <cell r="D20">
            <v>3</v>
          </cell>
          <cell r="E20">
            <v>6128</v>
          </cell>
        </row>
        <row r="21">
          <cell r="D21">
            <v>1</v>
          </cell>
          <cell r="E21">
            <v>6079</v>
          </cell>
        </row>
        <row r="22">
          <cell r="D22">
            <v>2</v>
          </cell>
          <cell r="E22">
            <v>6079</v>
          </cell>
        </row>
        <row r="23">
          <cell r="D23">
            <v>3</v>
          </cell>
          <cell r="E23">
            <v>6062</v>
          </cell>
        </row>
        <row r="24">
          <cell r="D24">
            <v>1</v>
          </cell>
          <cell r="E24">
            <v>5953</v>
          </cell>
        </row>
        <row r="25">
          <cell r="D25">
            <v>2</v>
          </cell>
          <cell r="E25">
            <v>5946</v>
          </cell>
        </row>
        <row r="26">
          <cell r="D26">
            <v>3</v>
          </cell>
          <cell r="E26">
            <v>5861</v>
          </cell>
        </row>
        <row r="27">
          <cell r="D27">
            <v>1</v>
          </cell>
          <cell r="E27">
            <v>5940</v>
          </cell>
        </row>
        <row r="28">
          <cell r="D28">
            <v>2</v>
          </cell>
          <cell r="E28">
            <v>5945</v>
          </cell>
        </row>
        <row r="29">
          <cell r="D29">
            <v>3</v>
          </cell>
          <cell r="E29">
            <v>5983</v>
          </cell>
        </row>
        <row r="30">
          <cell r="D30">
            <v>1</v>
          </cell>
          <cell r="E30">
            <v>5970</v>
          </cell>
        </row>
        <row r="31">
          <cell r="D31">
            <v>2</v>
          </cell>
          <cell r="E31">
            <v>5948</v>
          </cell>
        </row>
        <row r="32">
          <cell r="D32">
            <v>3</v>
          </cell>
          <cell r="E32">
            <v>5954</v>
          </cell>
        </row>
        <row r="33">
          <cell r="D33">
            <v>1</v>
          </cell>
          <cell r="E33">
            <v>5930</v>
          </cell>
        </row>
        <row r="34">
          <cell r="D34">
            <v>2</v>
          </cell>
          <cell r="E34">
            <v>5933</v>
          </cell>
        </row>
        <row r="35">
          <cell r="D35">
            <v>3</v>
          </cell>
          <cell r="E35">
            <v>5946</v>
          </cell>
        </row>
        <row r="36">
          <cell r="D36">
            <v>1</v>
          </cell>
          <cell r="E36">
            <v>6003</v>
          </cell>
        </row>
        <row r="37">
          <cell r="D37">
            <v>2</v>
          </cell>
          <cell r="E37">
            <v>6002</v>
          </cell>
        </row>
        <row r="38">
          <cell r="D38">
            <v>3</v>
          </cell>
          <cell r="E38">
            <v>5953</v>
          </cell>
        </row>
        <row r="39">
          <cell r="D39">
            <v>1</v>
          </cell>
          <cell r="E39">
            <v>5981</v>
          </cell>
        </row>
        <row r="40">
          <cell r="D40">
            <v>2</v>
          </cell>
          <cell r="E40">
            <v>5999</v>
          </cell>
        </row>
        <row r="41">
          <cell r="D41">
            <v>3</v>
          </cell>
          <cell r="E41">
            <v>6007</v>
          </cell>
        </row>
        <row r="42">
          <cell r="D42">
            <v>1</v>
          </cell>
          <cell r="E42">
            <v>5989</v>
          </cell>
        </row>
        <row r="43">
          <cell r="D43">
            <v>2</v>
          </cell>
          <cell r="E43">
            <v>6003</v>
          </cell>
        </row>
        <row r="44">
          <cell r="D44">
            <v>3</v>
          </cell>
          <cell r="E44">
            <v>6044</v>
          </cell>
        </row>
        <row r="45">
          <cell r="D45">
            <v>1</v>
          </cell>
          <cell r="E45">
            <v>6024</v>
          </cell>
        </row>
        <row r="46">
          <cell r="D46">
            <v>2</v>
          </cell>
          <cell r="E46">
            <v>5989</v>
          </cell>
        </row>
        <row r="47">
          <cell r="D47">
            <v>3</v>
          </cell>
          <cell r="E47">
            <v>5976</v>
          </cell>
        </row>
        <row r="48">
          <cell r="D48">
            <v>1</v>
          </cell>
          <cell r="E48">
            <v>6002</v>
          </cell>
        </row>
        <row r="49">
          <cell r="D49">
            <v>2</v>
          </cell>
          <cell r="E49">
            <v>6046</v>
          </cell>
        </row>
        <row r="50">
          <cell r="D50">
            <v>3</v>
          </cell>
          <cell r="E50">
            <v>6038</v>
          </cell>
        </row>
        <row r="51">
          <cell r="D51">
            <v>1</v>
          </cell>
          <cell r="E51">
            <v>6019</v>
          </cell>
        </row>
        <row r="52">
          <cell r="D52">
            <v>2</v>
          </cell>
          <cell r="E52">
            <v>6198</v>
          </cell>
        </row>
        <row r="53">
          <cell r="D53">
            <v>3</v>
          </cell>
          <cell r="E53">
            <v>6324</v>
          </cell>
        </row>
        <row r="54">
          <cell r="D54">
            <v>1</v>
          </cell>
          <cell r="E54">
            <v>6396</v>
          </cell>
        </row>
        <row r="55">
          <cell r="D55">
            <v>2</v>
          </cell>
          <cell r="E55">
            <v>6328</v>
          </cell>
        </row>
        <row r="56">
          <cell r="D56">
            <v>3</v>
          </cell>
          <cell r="E56">
            <v>6279</v>
          </cell>
        </row>
        <row r="57">
          <cell r="D57">
            <v>1</v>
          </cell>
          <cell r="E57">
            <v>6282</v>
          </cell>
        </row>
        <row r="58">
          <cell r="D58">
            <v>2</v>
          </cell>
          <cell r="E58">
            <v>6294</v>
          </cell>
        </row>
        <row r="59">
          <cell r="D59">
            <v>3</v>
          </cell>
          <cell r="E59">
            <v>6366</v>
          </cell>
        </row>
        <row r="60">
          <cell r="D60">
            <v>1</v>
          </cell>
          <cell r="E60">
            <v>6319</v>
          </cell>
        </row>
        <row r="61">
          <cell r="D61">
            <v>2</v>
          </cell>
          <cell r="E61">
            <v>6258</v>
          </cell>
        </row>
        <row r="62">
          <cell r="D62">
            <v>3</v>
          </cell>
          <cell r="E62">
            <v>6189</v>
          </cell>
        </row>
        <row r="63">
          <cell r="D63">
            <v>1</v>
          </cell>
          <cell r="E63">
            <v>6186</v>
          </cell>
        </row>
        <row r="64">
          <cell r="D64">
            <v>2</v>
          </cell>
          <cell r="E64">
            <v>6194</v>
          </cell>
        </row>
        <row r="65">
          <cell r="D65">
            <v>3</v>
          </cell>
          <cell r="E65">
            <v>6131</v>
          </cell>
        </row>
        <row r="66">
          <cell r="D66">
            <v>1</v>
          </cell>
          <cell r="E66">
            <v>6158</v>
          </cell>
        </row>
        <row r="67">
          <cell r="D67">
            <v>2</v>
          </cell>
          <cell r="E67">
            <v>6105</v>
          </cell>
        </row>
        <row r="68">
          <cell r="D68">
            <v>3</v>
          </cell>
          <cell r="E68">
            <v>6086</v>
          </cell>
        </row>
        <row r="69">
          <cell r="D69">
            <v>1</v>
          </cell>
          <cell r="E69">
            <v>6098</v>
          </cell>
        </row>
        <row r="70">
          <cell r="D70">
            <v>2</v>
          </cell>
          <cell r="E70">
            <v>6131</v>
          </cell>
        </row>
        <row r="71">
          <cell r="D71">
            <v>3</v>
          </cell>
          <cell r="E71">
            <v>6163</v>
          </cell>
        </row>
        <row r="72">
          <cell r="D72">
            <v>1</v>
          </cell>
          <cell r="E72">
            <v>6137</v>
          </cell>
        </row>
        <row r="73">
          <cell r="D73">
            <v>2</v>
          </cell>
          <cell r="E73">
            <v>6125</v>
          </cell>
        </row>
        <row r="74">
          <cell r="D74">
            <v>3</v>
          </cell>
          <cell r="E74">
            <v>6152</v>
          </cell>
        </row>
        <row r="75">
          <cell r="D75">
            <v>1</v>
          </cell>
          <cell r="E75">
            <v>6214</v>
          </cell>
        </row>
        <row r="76">
          <cell r="D76">
            <v>2</v>
          </cell>
          <cell r="E76">
            <v>6298</v>
          </cell>
        </row>
        <row r="77">
          <cell r="D77">
            <v>3</v>
          </cell>
          <cell r="E77">
            <v>6366</v>
          </cell>
        </row>
        <row r="78">
          <cell r="D78">
            <v>1</v>
          </cell>
          <cell r="E78">
            <v>6417</v>
          </cell>
        </row>
        <row r="79">
          <cell r="D79">
            <v>2</v>
          </cell>
          <cell r="E79">
            <v>6370</v>
          </cell>
        </row>
        <row r="80">
          <cell r="D80">
            <v>3</v>
          </cell>
          <cell r="E80">
            <v>6342</v>
          </cell>
        </row>
        <row r="81">
          <cell r="D81">
            <v>1</v>
          </cell>
          <cell r="E81">
            <v>6248</v>
          </cell>
        </row>
        <row r="82">
          <cell r="D82">
            <v>2</v>
          </cell>
          <cell r="E82">
            <v>6198</v>
          </cell>
        </row>
        <row r="83">
          <cell r="D83">
            <v>3</v>
          </cell>
          <cell r="E83">
            <v>6154</v>
          </cell>
        </row>
        <row r="84">
          <cell r="D84">
            <v>1</v>
          </cell>
          <cell r="E84">
            <v>6237</v>
          </cell>
        </row>
        <row r="85">
          <cell r="D85">
            <v>2</v>
          </cell>
          <cell r="E85">
            <v>6280</v>
          </cell>
        </row>
        <row r="86">
          <cell r="D86">
            <v>3</v>
          </cell>
          <cell r="E86">
            <v>6308</v>
          </cell>
        </row>
        <row r="87">
          <cell r="D87">
            <v>1</v>
          </cell>
          <cell r="E87">
            <v>6264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75" refreshError="1"/>
      <sheetData sheetId="7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61.2</v>
          </cell>
        </row>
        <row r="10">
          <cell r="D10">
            <v>2</v>
          </cell>
          <cell r="E10">
            <v>61.5</v>
          </cell>
        </row>
        <row r="11">
          <cell r="D11">
            <v>3</v>
          </cell>
          <cell r="E11">
            <v>61.7</v>
          </cell>
        </row>
        <row r="12">
          <cell r="D12">
            <v>1</v>
          </cell>
          <cell r="E12">
            <v>61.7</v>
          </cell>
        </row>
        <row r="13">
          <cell r="D13">
            <v>2</v>
          </cell>
          <cell r="E13">
            <v>61.6</v>
          </cell>
        </row>
        <row r="14">
          <cell r="D14">
            <v>3</v>
          </cell>
          <cell r="E14">
            <v>61.6</v>
          </cell>
        </row>
        <row r="15">
          <cell r="D15">
            <v>1</v>
          </cell>
          <cell r="E15">
            <v>61.5</v>
          </cell>
        </row>
        <row r="16">
          <cell r="D16">
            <v>2</v>
          </cell>
          <cell r="E16">
            <v>61.4</v>
          </cell>
        </row>
        <row r="17">
          <cell r="D17">
            <v>3</v>
          </cell>
          <cell r="E17">
            <v>61.3</v>
          </cell>
        </row>
        <row r="18">
          <cell r="D18">
            <v>1</v>
          </cell>
          <cell r="E18">
            <v>61.3</v>
          </cell>
        </row>
        <row r="19">
          <cell r="D19">
            <v>2</v>
          </cell>
          <cell r="E19">
            <v>61.2</v>
          </cell>
        </row>
        <row r="20">
          <cell r="D20">
            <v>3</v>
          </cell>
          <cell r="E20">
            <v>61.2</v>
          </cell>
        </row>
        <row r="21">
          <cell r="D21">
            <v>1</v>
          </cell>
          <cell r="E21">
            <v>61.2</v>
          </cell>
        </row>
        <row r="22">
          <cell r="D22">
            <v>2</v>
          </cell>
          <cell r="E22">
            <v>61.3</v>
          </cell>
        </row>
        <row r="23">
          <cell r="D23">
            <v>3</v>
          </cell>
          <cell r="E23">
            <v>61.4</v>
          </cell>
        </row>
        <row r="24">
          <cell r="D24">
            <v>1</v>
          </cell>
          <cell r="E24">
            <v>61.5</v>
          </cell>
        </row>
        <row r="25">
          <cell r="D25">
            <v>2</v>
          </cell>
          <cell r="E25">
            <v>61.5</v>
          </cell>
        </row>
        <row r="26">
          <cell r="D26">
            <v>3</v>
          </cell>
          <cell r="E26">
            <v>61.4</v>
          </cell>
        </row>
        <row r="27">
          <cell r="D27">
            <v>1</v>
          </cell>
          <cell r="E27">
            <v>61.4</v>
          </cell>
        </row>
        <row r="28">
          <cell r="D28">
            <v>2</v>
          </cell>
          <cell r="E28">
            <v>61.2</v>
          </cell>
        </row>
        <row r="29">
          <cell r="D29">
            <v>3</v>
          </cell>
          <cell r="E29">
            <v>61.3</v>
          </cell>
        </row>
        <row r="30">
          <cell r="D30">
            <v>1</v>
          </cell>
          <cell r="E30">
            <v>61.1</v>
          </cell>
        </row>
        <row r="31">
          <cell r="D31">
            <v>2</v>
          </cell>
          <cell r="E31">
            <v>61</v>
          </cell>
        </row>
        <row r="32">
          <cell r="D32">
            <v>3</v>
          </cell>
          <cell r="E32">
            <v>61.1</v>
          </cell>
        </row>
        <row r="33">
          <cell r="D33">
            <v>1</v>
          </cell>
          <cell r="E33">
            <v>61.1</v>
          </cell>
        </row>
        <row r="34">
          <cell r="D34">
            <v>2</v>
          </cell>
          <cell r="E34">
            <v>61.2</v>
          </cell>
        </row>
        <row r="35">
          <cell r="D35">
            <v>3</v>
          </cell>
          <cell r="E35">
            <v>61.1</v>
          </cell>
        </row>
        <row r="36">
          <cell r="D36">
            <v>1</v>
          </cell>
          <cell r="E36">
            <v>61.1</v>
          </cell>
        </row>
        <row r="37">
          <cell r="D37">
            <v>2</v>
          </cell>
          <cell r="E37">
            <v>61</v>
          </cell>
        </row>
        <row r="38">
          <cell r="D38">
            <v>3</v>
          </cell>
          <cell r="E38">
            <v>60.9</v>
          </cell>
        </row>
        <row r="39">
          <cell r="D39">
            <v>1</v>
          </cell>
          <cell r="E39">
            <v>60.9</v>
          </cell>
        </row>
        <row r="40">
          <cell r="D40">
            <v>2</v>
          </cell>
          <cell r="E40">
            <v>61</v>
          </cell>
        </row>
        <row r="41">
          <cell r="D41">
            <v>3</v>
          </cell>
          <cell r="E41">
            <v>60.9</v>
          </cell>
        </row>
        <row r="42">
          <cell r="D42">
            <v>1</v>
          </cell>
          <cell r="E42">
            <v>60.9</v>
          </cell>
        </row>
        <row r="43">
          <cell r="D43">
            <v>2</v>
          </cell>
          <cell r="E43">
            <v>60.9</v>
          </cell>
        </row>
        <row r="44">
          <cell r="D44">
            <v>3</v>
          </cell>
          <cell r="E44">
            <v>60.9</v>
          </cell>
        </row>
        <row r="45">
          <cell r="D45">
            <v>1</v>
          </cell>
          <cell r="E45">
            <v>61</v>
          </cell>
        </row>
        <row r="46">
          <cell r="D46">
            <v>2</v>
          </cell>
          <cell r="E46">
            <v>61.2</v>
          </cell>
        </row>
        <row r="47">
          <cell r="D47">
            <v>3</v>
          </cell>
          <cell r="E47">
            <v>61.2</v>
          </cell>
        </row>
        <row r="48">
          <cell r="D48">
            <v>1</v>
          </cell>
          <cell r="E48">
            <v>61.3</v>
          </cell>
        </row>
        <row r="49">
          <cell r="D49">
            <v>2</v>
          </cell>
          <cell r="E49">
            <v>61.4</v>
          </cell>
        </row>
        <row r="50">
          <cell r="D50">
            <v>3</v>
          </cell>
          <cell r="E50">
            <v>61.4</v>
          </cell>
        </row>
        <row r="51">
          <cell r="D51">
            <v>1</v>
          </cell>
          <cell r="E51">
            <v>61.4</v>
          </cell>
        </row>
        <row r="52">
          <cell r="D52">
            <v>2</v>
          </cell>
          <cell r="E52">
            <v>61.6</v>
          </cell>
        </row>
        <row r="53">
          <cell r="D53">
            <v>3</v>
          </cell>
          <cell r="E53">
            <v>61.5</v>
          </cell>
        </row>
        <row r="54">
          <cell r="D54">
            <v>1</v>
          </cell>
          <cell r="E54">
            <v>61.4</v>
          </cell>
        </row>
        <row r="55">
          <cell r="D55">
            <v>2</v>
          </cell>
          <cell r="E55">
            <v>61.3</v>
          </cell>
        </row>
        <row r="56">
          <cell r="D56">
            <v>3</v>
          </cell>
          <cell r="E56">
            <v>61.4</v>
          </cell>
        </row>
        <row r="57">
          <cell r="D57">
            <v>1</v>
          </cell>
          <cell r="E57">
            <v>61.4</v>
          </cell>
        </row>
        <row r="58">
          <cell r="D58">
            <v>2</v>
          </cell>
          <cell r="E58">
            <v>61.5</v>
          </cell>
        </row>
        <row r="59">
          <cell r="D59">
            <v>3</v>
          </cell>
          <cell r="E59">
            <v>61.6</v>
          </cell>
        </row>
        <row r="60">
          <cell r="D60">
            <v>1</v>
          </cell>
          <cell r="E60">
            <v>61.6</v>
          </cell>
        </row>
        <row r="61">
          <cell r="D61">
            <v>2</v>
          </cell>
          <cell r="E61">
            <v>61.5</v>
          </cell>
        </row>
        <row r="62">
          <cell r="D62">
            <v>3</v>
          </cell>
          <cell r="E62">
            <v>61.4</v>
          </cell>
        </row>
        <row r="63">
          <cell r="D63">
            <v>1</v>
          </cell>
          <cell r="E63">
            <v>61.2</v>
          </cell>
        </row>
        <row r="64">
          <cell r="D64">
            <v>2</v>
          </cell>
          <cell r="E64">
            <v>61.2</v>
          </cell>
        </row>
        <row r="65">
          <cell r="D65">
            <v>3</v>
          </cell>
          <cell r="E65">
            <v>61.3</v>
          </cell>
        </row>
        <row r="66">
          <cell r="D66">
            <v>1</v>
          </cell>
          <cell r="E66">
            <v>61.4</v>
          </cell>
        </row>
        <row r="67">
          <cell r="D67">
            <v>2</v>
          </cell>
          <cell r="E67">
            <v>61.4</v>
          </cell>
        </row>
        <row r="68">
          <cell r="D68">
            <v>3</v>
          </cell>
          <cell r="E68">
            <v>61.4</v>
          </cell>
        </row>
        <row r="69">
          <cell r="D69">
            <v>1</v>
          </cell>
          <cell r="E69">
            <v>61.6</v>
          </cell>
        </row>
        <row r="70">
          <cell r="D70">
            <v>2</v>
          </cell>
          <cell r="E70">
            <v>61.6</v>
          </cell>
        </row>
        <row r="71">
          <cell r="D71">
            <v>3</v>
          </cell>
          <cell r="E71">
            <v>61.6</v>
          </cell>
        </row>
        <row r="72">
          <cell r="D72">
            <v>1</v>
          </cell>
          <cell r="E72">
            <v>61.7</v>
          </cell>
        </row>
        <row r="73">
          <cell r="D73">
            <v>2</v>
          </cell>
          <cell r="E73">
            <v>61.8</v>
          </cell>
        </row>
        <row r="74">
          <cell r="D74">
            <v>3</v>
          </cell>
          <cell r="E74">
            <v>61.8</v>
          </cell>
        </row>
        <row r="75">
          <cell r="D75">
            <v>1</v>
          </cell>
          <cell r="E75">
            <v>61.8</v>
          </cell>
        </row>
        <row r="76">
          <cell r="D76">
            <v>2</v>
          </cell>
          <cell r="E76">
            <v>61.8</v>
          </cell>
        </row>
        <row r="77">
          <cell r="D77">
            <v>3</v>
          </cell>
          <cell r="E77">
            <v>61.9</v>
          </cell>
        </row>
        <row r="78">
          <cell r="D78">
            <v>1</v>
          </cell>
          <cell r="E78">
            <v>61.8</v>
          </cell>
        </row>
        <row r="79">
          <cell r="D79">
            <v>2</v>
          </cell>
          <cell r="E79">
            <v>61.7</v>
          </cell>
        </row>
        <row r="80">
          <cell r="D80">
            <v>3</v>
          </cell>
          <cell r="E80">
            <v>61.6</v>
          </cell>
        </row>
        <row r="81">
          <cell r="D81">
            <v>1</v>
          </cell>
          <cell r="E81">
            <v>61.6</v>
          </cell>
        </row>
        <row r="82">
          <cell r="D82">
            <v>2</v>
          </cell>
          <cell r="E82">
            <v>61.5</v>
          </cell>
        </row>
        <row r="83">
          <cell r="D83">
            <v>3</v>
          </cell>
          <cell r="E83">
            <v>61.4</v>
          </cell>
        </row>
        <row r="84">
          <cell r="D84">
            <v>1</v>
          </cell>
          <cell r="E84">
            <v>61.4</v>
          </cell>
        </row>
        <row r="85">
          <cell r="D85">
            <v>2</v>
          </cell>
          <cell r="E85">
            <v>61.5</v>
          </cell>
        </row>
        <row r="86">
          <cell r="D86">
            <v>3</v>
          </cell>
          <cell r="E86">
            <v>61.6</v>
          </cell>
        </row>
        <row r="87">
          <cell r="D87">
            <v>1</v>
          </cell>
          <cell r="E87">
            <v>61.7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77" refreshError="1"/>
      <sheetData sheetId="7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56.3</v>
          </cell>
        </row>
        <row r="10">
          <cell r="D10">
            <v>2</v>
          </cell>
          <cell r="E10">
            <v>56.7</v>
          </cell>
        </row>
        <row r="11">
          <cell r="D11">
            <v>3</v>
          </cell>
          <cell r="E11">
            <v>57</v>
          </cell>
        </row>
        <row r="12">
          <cell r="D12">
            <v>1</v>
          </cell>
          <cell r="E12">
            <v>57.1</v>
          </cell>
        </row>
        <row r="13">
          <cell r="D13">
            <v>2</v>
          </cell>
          <cell r="E13">
            <v>57</v>
          </cell>
        </row>
        <row r="14">
          <cell r="D14">
            <v>3</v>
          </cell>
          <cell r="E14">
            <v>57.1</v>
          </cell>
        </row>
        <row r="15">
          <cell r="D15">
            <v>1</v>
          </cell>
          <cell r="E15">
            <v>57.2</v>
          </cell>
        </row>
        <row r="16">
          <cell r="D16">
            <v>2</v>
          </cell>
          <cell r="E16">
            <v>57.2</v>
          </cell>
        </row>
        <row r="17">
          <cell r="D17">
            <v>3</v>
          </cell>
          <cell r="E17">
            <v>57.2</v>
          </cell>
        </row>
        <row r="18">
          <cell r="D18">
            <v>1</v>
          </cell>
          <cell r="E18">
            <v>57.1</v>
          </cell>
        </row>
        <row r="19">
          <cell r="D19">
            <v>2</v>
          </cell>
          <cell r="E19">
            <v>56.8</v>
          </cell>
        </row>
        <row r="20">
          <cell r="D20">
            <v>3</v>
          </cell>
          <cell r="E20">
            <v>56.5</v>
          </cell>
        </row>
        <row r="21">
          <cell r="D21">
            <v>1</v>
          </cell>
          <cell r="E21">
            <v>56.3</v>
          </cell>
        </row>
        <row r="22">
          <cell r="D22">
            <v>2</v>
          </cell>
          <cell r="E22">
            <v>56.5</v>
          </cell>
        </row>
        <row r="23">
          <cell r="D23">
            <v>3</v>
          </cell>
          <cell r="E23">
            <v>56.8</v>
          </cell>
        </row>
        <row r="24">
          <cell r="D24">
            <v>1</v>
          </cell>
          <cell r="E24">
            <v>56.9</v>
          </cell>
        </row>
        <row r="25">
          <cell r="D25">
            <v>2</v>
          </cell>
          <cell r="E25">
            <v>57</v>
          </cell>
        </row>
        <row r="26">
          <cell r="D26">
            <v>3</v>
          </cell>
          <cell r="E26">
            <v>57</v>
          </cell>
        </row>
        <row r="27">
          <cell r="D27">
            <v>1</v>
          </cell>
          <cell r="E27">
            <v>57.1</v>
          </cell>
        </row>
        <row r="28">
          <cell r="D28">
            <v>2</v>
          </cell>
          <cell r="E28">
            <v>57.1</v>
          </cell>
        </row>
        <row r="29">
          <cell r="D29">
            <v>3</v>
          </cell>
          <cell r="E29">
            <v>57.3</v>
          </cell>
        </row>
        <row r="30">
          <cell r="D30">
            <v>1</v>
          </cell>
          <cell r="E30">
            <v>57.3</v>
          </cell>
        </row>
        <row r="31">
          <cell r="D31">
            <v>2</v>
          </cell>
          <cell r="E31">
            <v>57.1</v>
          </cell>
        </row>
        <row r="32">
          <cell r="D32">
            <v>3</v>
          </cell>
          <cell r="E32">
            <v>57</v>
          </cell>
        </row>
        <row r="33">
          <cell r="D33">
            <v>1</v>
          </cell>
          <cell r="E33">
            <v>56.8</v>
          </cell>
        </row>
        <row r="34">
          <cell r="D34">
            <v>2</v>
          </cell>
          <cell r="E34">
            <v>56.8</v>
          </cell>
        </row>
        <row r="35">
          <cell r="D35">
            <v>3</v>
          </cell>
          <cell r="E35">
            <v>56.8</v>
          </cell>
        </row>
        <row r="36">
          <cell r="D36">
            <v>1</v>
          </cell>
          <cell r="E36">
            <v>56.9</v>
          </cell>
        </row>
        <row r="37">
          <cell r="D37">
            <v>2</v>
          </cell>
          <cell r="E37">
            <v>56.8</v>
          </cell>
        </row>
        <row r="38">
          <cell r="D38">
            <v>3</v>
          </cell>
          <cell r="E38">
            <v>56.7</v>
          </cell>
        </row>
        <row r="39">
          <cell r="D39">
            <v>1</v>
          </cell>
          <cell r="E39">
            <v>56.8</v>
          </cell>
        </row>
        <row r="40">
          <cell r="D40">
            <v>2</v>
          </cell>
          <cell r="E40">
            <v>56.9</v>
          </cell>
        </row>
        <row r="41">
          <cell r="D41">
            <v>3</v>
          </cell>
          <cell r="E41">
            <v>56.9</v>
          </cell>
        </row>
        <row r="42">
          <cell r="D42">
            <v>1</v>
          </cell>
          <cell r="E42">
            <v>56.9</v>
          </cell>
        </row>
        <row r="43">
          <cell r="D43">
            <v>2</v>
          </cell>
          <cell r="E43">
            <v>56.7</v>
          </cell>
        </row>
        <row r="44">
          <cell r="D44">
            <v>3</v>
          </cell>
          <cell r="E44">
            <v>56.4</v>
          </cell>
        </row>
        <row r="45">
          <cell r="D45">
            <v>1</v>
          </cell>
          <cell r="E45">
            <v>56.2</v>
          </cell>
        </row>
        <row r="46">
          <cell r="D46">
            <v>2</v>
          </cell>
          <cell r="E46">
            <v>56.3</v>
          </cell>
        </row>
        <row r="47">
          <cell r="D47">
            <v>3</v>
          </cell>
          <cell r="E47">
            <v>56.2</v>
          </cell>
        </row>
        <row r="48">
          <cell r="D48">
            <v>1</v>
          </cell>
          <cell r="E48">
            <v>56.2</v>
          </cell>
        </row>
        <row r="49">
          <cell r="D49">
            <v>2</v>
          </cell>
          <cell r="E49">
            <v>56.1</v>
          </cell>
        </row>
        <row r="50">
          <cell r="D50">
            <v>3</v>
          </cell>
          <cell r="E50">
            <v>56</v>
          </cell>
        </row>
        <row r="51">
          <cell r="D51">
            <v>1</v>
          </cell>
          <cell r="E51">
            <v>56</v>
          </cell>
        </row>
        <row r="52">
          <cell r="D52">
            <v>2</v>
          </cell>
          <cell r="E52">
            <v>56.1</v>
          </cell>
        </row>
        <row r="53">
          <cell r="D53">
            <v>3</v>
          </cell>
          <cell r="E53">
            <v>55.9</v>
          </cell>
        </row>
        <row r="54">
          <cell r="D54">
            <v>1</v>
          </cell>
          <cell r="E54">
            <v>55.9</v>
          </cell>
        </row>
        <row r="55">
          <cell r="D55">
            <v>2</v>
          </cell>
          <cell r="E55">
            <v>55.5</v>
          </cell>
        </row>
        <row r="56">
          <cell r="D56">
            <v>3</v>
          </cell>
          <cell r="E56">
            <v>55.1</v>
          </cell>
        </row>
        <row r="57">
          <cell r="D57">
            <v>1</v>
          </cell>
          <cell r="E57">
            <v>54.7</v>
          </cell>
        </row>
        <row r="58">
          <cell r="D58">
            <v>2</v>
          </cell>
          <cell r="E58">
            <v>54.6</v>
          </cell>
        </row>
        <row r="59">
          <cell r="D59">
            <v>3</v>
          </cell>
          <cell r="E59">
            <v>54.7</v>
          </cell>
        </row>
        <row r="60">
          <cell r="D60">
            <v>1</v>
          </cell>
          <cell r="E60">
            <v>54.6</v>
          </cell>
        </row>
        <row r="61">
          <cell r="D61">
            <v>2</v>
          </cell>
          <cell r="E61">
            <v>54.4</v>
          </cell>
        </row>
        <row r="62">
          <cell r="D62">
            <v>3</v>
          </cell>
          <cell r="E62">
            <v>54.2</v>
          </cell>
        </row>
        <row r="63">
          <cell r="D63">
            <v>1</v>
          </cell>
          <cell r="E63">
            <v>54</v>
          </cell>
        </row>
        <row r="64">
          <cell r="D64">
            <v>2</v>
          </cell>
          <cell r="E64">
            <v>53.9</v>
          </cell>
        </row>
        <row r="65">
          <cell r="D65">
            <v>3</v>
          </cell>
          <cell r="E65">
            <v>54.1</v>
          </cell>
        </row>
        <row r="66">
          <cell r="D66">
            <v>1</v>
          </cell>
          <cell r="E66">
            <v>54</v>
          </cell>
        </row>
        <row r="67">
          <cell r="D67">
            <v>2</v>
          </cell>
          <cell r="E67">
            <v>53.7</v>
          </cell>
        </row>
        <row r="68">
          <cell r="D68">
            <v>3</v>
          </cell>
          <cell r="E68">
            <v>53.4</v>
          </cell>
        </row>
        <row r="69">
          <cell r="D69">
            <v>1</v>
          </cell>
          <cell r="E69">
            <v>53.1</v>
          </cell>
        </row>
        <row r="70">
          <cell r="D70">
            <v>2</v>
          </cell>
          <cell r="E70">
            <v>53.2</v>
          </cell>
        </row>
        <row r="71">
          <cell r="D71">
            <v>3</v>
          </cell>
          <cell r="E71">
            <v>53.4</v>
          </cell>
        </row>
        <row r="72">
          <cell r="D72">
            <v>1</v>
          </cell>
          <cell r="E72">
            <v>53.7</v>
          </cell>
        </row>
        <row r="73">
          <cell r="D73">
            <v>2</v>
          </cell>
          <cell r="E73">
            <v>53.8</v>
          </cell>
        </row>
        <row r="74">
          <cell r="D74">
            <v>3</v>
          </cell>
          <cell r="E74">
            <v>54</v>
          </cell>
        </row>
        <row r="75">
          <cell r="D75">
            <v>1</v>
          </cell>
          <cell r="E75">
            <v>54.1</v>
          </cell>
        </row>
        <row r="76">
          <cell r="D76">
            <v>2</v>
          </cell>
          <cell r="E76">
            <v>54.2</v>
          </cell>
        </row>
        <row r="77">
          <cell r="D77">
            <v>3</v>
          </cell>
          <cell r="E77">
            <v>54.4</v>
          </cell>
        </row>
        <row r="78">
          <cell r="D78">
            <v>1</v>
          </cell>
          <cell r="E78">
            <v>54.5</v>
          </cell>
        </row>
        <row r="79">
          <cell r="D79">
            <v>2</v>
          </cell>
          <cell r="E79">
            <v>54.2</v>
          </cell>
        </row>
        <row r="80">
          <cell r="D80">
            <v>3</v>
          </cell>
          <cell r="E80">
            <v>53.9</v>
          </cell>
        </row>
        <row r="81">
          <cell r="D81">
            <v>1</v>
          </cell>
          <cell r="E81">
            <v>53.6</v>
          </cell>
        </row>
        <row r="82">
          <cell r="D82">
            <v>2</v>
          </cell>
          <cell r="E82">
            <v>53.6</v>
          </cell>
        </row>
        <row r="83">
          <cell r="D83">
            <v>3</v>
          </cell>
          <cell r="E83">
            <v>53.6</v>
          </cell>
        </row>
        <row r="84">
          <cell r="D84">
            <v>1</v>
          </cell>
          <cell r="E84">
            <v>53.7</v>
          </cell>
        </row>
        <row r="85">
          <cell r="D85">
            <v>2</v>
          </cell>
          <cell r="E85">
            <v>53.9</v>
          </cell>
        </row>
        <row r="86">
          <cell r="D86">
            <v>3</v>
          </cell>
          <cell r="E86">
            <v>54.1</v>
          </cell>
        </row>
        <row r="87">
          <cell r="D87">
            <v>1</v>
          </cell>
          <cell r="E87">
            <v>54.4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79" refreshError="1"/>
      <sheetData sheetId="8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4.9000000000000004</v>
          </cell>
        </row>
        <row r="10">
          <cell r="D10">
            <v>2</v>
          </cell>
          <cell r="E10">
            <v>4.8</v>
          </cell>
        </row>
        <row r="11">
          <cell r="D11">
            <v>3</v>
          </cell>
          <cell r="E11">
            <v>4.7</v>
          </cell>
        </row>
        <row r="12">
          <cell r="D12">
            <v>1</v>
          </cell>
          <cell r="E12">
            <v>4.5999999999999996</v>
          </cell>
        </row>
        <row r="13">
          <cell r="D13">
            <v>2</v>
          </cell>
          <cell r="E13">
            <v>4.5999999999999996</v>
          </cell>
        </row>
        <row r="14">
          <cell r="D14">
            <v>3</v>
          </cell>
          <cell r="E14">
            <v>4.5</v>
          </cell>
        </row>
        <row r="15">
          <cell r="D15">
            <v>1</v>
          </cell>
          <cell r="E15">
            <v>4.4000000000000004</v>
          </cell>
        </row>
        <row r="16">
          <cell r="D16">
            <v>2</v>
          </cell>
          <cell r="E16">
            <v>4.2</v>
          </cell>
        </row>
        <row r="17">
          <cell r="D17">
            <v>3</v>
          </cell>
          <cell r="E17">
            <v>4.2</v>
          </cell>
        </row>
        <row r="18">
          <cell r="D18">
            <v>1</v>
          </cell>
          <cell r="E18">
            <v>4.2</v>
          </cell>
        </row>
        <row r="19">
          <cell r="D19">
            <v>2</v>
          </cell>
          <cell r="E19">
            <v>4.4000000000000004</v>
          </cell>
        </row>
        <row r="20">
          <cell r="D20">
            <v>3</v>
          </cell>
          <cell r="E20">
            <v>4.7</v>
          </cell>
        </row>
        <row r="21">
          <cell r="D21">
            <v>1</v>
          </cell>
          <cell r="E21">
            <v>4.9000000000000004</v>
          </cell>
        </row>
        <row r="22">
          <cell r="D22">
            <v>2</v>
          </cell>
          <cell r="E22">
            <v>4.8</v>
          </cell>
        </row>
        <row r="23">
          <cell r="D23">
            <v>3</v>
          </cell>
          <cell r="E23">
            <v>4.7</v>
          </cell>
        </row>
        <row r="24">
          <cell r="D24">
            <v>1</v>
          </cell>
          <cell r="E24">
            <v>4.5999999999999996</v>
          </cell>
        </row>
        <row r="25">
          <cell r="D25">
            <v>2</v>
          </cell>
          <cell r="E25">
            <v>4.5</v>
          </cell>
        </row>
        <row r="26">
          <cell r="D26">
            <v>3</v>
          </cell>
          <cell r="E26">
            <v>4.4000000000000004</v>
          </cell>
        </row>
        <row r="27">
          <cell r="D27">
            <v>1</v>
          </cell>
          <cell r="E27">
            <v>4.3</v>
          </cell>
        </row>
        <row r="28">
          <cell r="D28">
            <v>2</v>
          </cell>
          <cell r="E28">
            <v>4.0999999999999996</v>
          </cell>
        </row>
        <row r="29">
          <cell r="D29">
            <v>3</v>
          </cell>
          <cell r="E29">
            <v>4</v>
          </cell>
        </row>
        <row r="30">
          <cell r="D30">
            <v>1</v>
          </cell>
          <cell r="E30">
            <v>3.8</v>
          </cell>
        </row>
        <row r="31">
          <cell r="D31">
            <v>2</v>
          </cell>
          <cell r="E31">
            <v>3.9</v>
          </cell>
        </row>
        <row r="32">
          <cell r="D32">
            <v>3</v>
          </cell>
          <cell r="E32">
            <v>4.0999999999999996</v>
          </cell>
        </row>
        <row r="33">
          <cell r="D33">
            <v>1</v>
          </cell>
          <cell r="E33">
            <v>4.4000000000000004</v>
          </cell>
        </row>
        <row r="34">
          <cell r="D34">
            <v>2</v>
          </cell>
          <cell r="E34">
            <v>4.4000000000000004</v>
          </cell>
        </row>
        <row r="35">
          <cell r="D35">
            <v>3</v>
          </cell>
          <cell r="E35">
            <v>4.3</v>
          </cell>
        </row>
        <row r="36">
          <cell r="D36">
            <v>1</v>
          </cell>
          <cell r="E36">
            <v>4.2</v>
          </cell>
        </row>
        <row r="37">
          <cell r="D37">
            <v>2</v>
          </cell>
          <cell r="E37">
            <v>4.2</v>
          </cell>
        </row>
        <row r="38">
          <cell r="D38">
            <v>3</v>
          </cell>
          <cell r="E38">
            <v>4.2</v>
          </cell>
        </row>
        <row r="39">
          <cell r="D39">
            <v>1</v>
          </cell>
          <cell r="E39">
            <v>4.0999999999999996</v>
          </cell>
        </row>
        <row r="40">
          <cell r="D40">
            <v>2</v>
          </cell>
          <cell r="E40">
            <v>4</v>
          </cell>
        </row>
        <row r="41">
          <cell r="D41">
            <v>3</v>
          </cell>
          <cell r="E41">
            <v>4</v>
          </cell>
        </row>
        <row r="42">
          <cell r="D42">
            <v>1</v>
          </cell>
          <cell r="E42">
            <v>4</v>
          </cell>
        </row>
        <row r="43">
          <cell r="D43">
            <v>2</v>
          </cell>
          <cell r="E43">
            <v>4.0999999999999996</v>
          </cell>
        </row>
        <row r="44">
          <cell r="D44">
            <v>3</v>
          </cell>
          <cell r="E44">
            <v>4.5</v>
          </cell>
        </row>
        <row r="45">
          <cell r="D45">
            <v>1</v>
          </cell>
          <cell r="E45">
            <v>4.8</v>
          </cell>
        </row>
        <row r="46">
          <cell r="D46">
            <v>2</v>
          </cell>
          <cell r="E46">
            <v>4.9000000000000004</v>
          </cell>
        </row>
        <row r="47">
          <cell r="D47">
            <v>3</v>
          </cell>
          <cell r="E47">
            <v>5</v>
          </cell>
        </row>
        <row r="48">
          <cell r="D48">
            <v>1</v>
          </cell>
          <cell r="E48">
            <v>5.0999999999999996</v>
          </cell>
        </row>
        <row r="49">
          <cell r="D49">
            <v>2</v>
          </cell>
          <cell r="E49">
            <v>5.2</v>
          </cell>
        </row>
        <row r="50">
          <cell r="D50">
            <v>3</v>
          </cell>
          <cell r="E50">
            <v>5.4</v>
          </cell>
        </row>
        <row r="51">
          <cell r="D51">
            <v>1</v>
          </cell>
          <cell r="E51">
            <v>5.5</v>
          </cell>
        </row>
        <row r="52">
          <cell r="D52">
            <v>2</v>
          </cell>
          <cell r="E52">
            <v>5.5</v>
          </cell>
        </row>
        <row r="53">
          <cell r="D53">
            <v>3</v>
          </cell>
          <cell r="E53">
            <v>5.5</v>
          </cell>
        </row>
        <row r="54">
          <cell r="D54">
            <v>1</v>
          </cell>
          <cell r="E54">
            <v>5.5</v>
          </cell>
        </row>
        <row r="55">
          <cell r="D55">
            <v>2</v>
          </cell>
          <cell r="E55">
            <v>5.8</v>
          </cell>
        </row>
        <row r="56">
          <cell r="D56">
            <v>3</v>
          </cell>
          <cell r="E56">
            <v>6.3</v>
          </cell>
        </row>
        <row r="57">
          <cell r="D57">
            <v>1</v>
          </cell>
          <cell r="E57">
            <v>6.7</v>
          </cell>
        </row>
        <row r="58">
          <cell r="D58">
            <v>2</v>
          </cell>
          <cell r="E58">
            <v>6.9</v>
          </cell>
        </row>
        <row r="59">
          <cell r="D59">
            <v>3</v>
          </cell>
          <cell r="E59">
            <v>6.9</v>
          </cell>
        </row>
        <row r="60">
          <cell r="D60">
            <v>1</v>
          </cell>
          <cell r="E60">
            <v>7</v>
          </cell>
        </row>
        <row r="61">
          <cell r="D61">
            <v>2</v>
          </cell>
          <cell r="E61">
            <v>7.1</v>
          </cell>
        </row>
        <row r="62">
          <cell r="D62">
            <v>3</v>
          </cell>
          <cell r="E62">
            <v>7.2</v>
          </cell>
        </row>
        <row r="63">
          <cell r="D63">
            <v>1</v>
          </cell>
          <cell r="E63">
            <v>7.2</v>
          </cell>
        </row>
        <row r="64">
          <cell r="D64">
            <v>2</v>
          </cell>
          <cell r="E64">
            <v>7.2</v>
          </cell>
        </row>
        <row r="65">
          <cell r="D65">
            <v>3</v>
          </cell>
          <cell r="E65">
            <v>7.3</v>
          </cell>
        </row>
        <row r="66">
          <cell r="D66">
            <v>1</v>
          </cell>
          <cell r="E66">
            <v>7.4</v>
          </cell>
        </row>
        <row r="67">
          <cell r="D67">
            <v>2</v>
          </cell>
          <cell r="E67">
            <v>7.7</v>
          </cell>
        </row>
        <row r="68">
          <cell r="D68">
            <v>3</v>
          </cell>
          <cell r="E68">
            <v>8.1</v>
          </cell>
        </row>
        <row r="69">
          <cell r="D69">
            <v>1</v>
          </cell>
          <cell r="E69">
            <v>8.5</v>
          </cell>
        </row>
        <row r="70">
          <cell r="D70">
            <v>2</v>
          </cell>
          <cell r="E70">
            <v>8.4</v>
          </cell>
        </row>
        <row r="71">
          <cell r="D71">
            <v>3</v>
          </cell>
          <cell r="E71">
            <v>8.1999999999999993</v>
          </cell>
        </row>
        <row r="72">
          <cell r="D72">
            <v>1</v>
          </cell>
          <cell r="E72">
            <v>8</v>
          </cell>
        </row>
        <row r="73">
          <cell r="D73">
            <v>2</v>
          </cell>
          <cell r="E73">
            <v>7.9</v>
          </cell>
        </row>
        <row r="74">
          <cell r="D74">
            <v>3</v>
          </cell>
          <cell r="E74">
            <v>7.8</v>
          </cell>
        </row>
        <row r="75">
          <cell r="D75">
            <v>1</v>
          </cell>
          <cell r="E75">
            <v>7.7</v>
          </cell>
        </row>
        <row r="76">
          <cell r="D76">
            <v>2</v>
          </cell>
          <cell r="E76">
            <v>7.5</v>
          </cell>
        </row>
        <row r="77">
          <cell r="D77">
            <v>3</v>
          </cell>
          <cell r="E77">
            <v>7.4</v>
          </cell>
        </row>
        <row r="78">
          <cell r="D78">
            <v>1</v>
          </cell>
          <cell r="E78">
            <v>7.3</v>
          </cell>
        </row>
        <row r="79">
          <cell r="D79">
            <v>2</v>
          </cell>
          <cell r="E79">
            <v>7.5</v>
          </cell>
        </row>
        <row r="80">
          <cell r="D80">
            <v>3</v>
          </cell>
          <cell r="E80">
            <v>7.8</v>
          </cell>
        </row>
        <row r="81">
          <cell r="D81">
            <v>1</v>
          </cell>
          <cell r="E81">
            <v>8.1</v>
          </cell>
        </row>
        <row r="82">
          <cell r="D82">
            <v>2</v>
          </cell>
          <cell r="E82">
            <v>7.9</v>
          </cell>
        </row>
        <row r="83">
          <cell r="D83">
            <v>3</v>
          </cell>
          <cell r="E83">
            <v>7.8</v>
          </cell>
        </row>
        <row r="84">
          <cell r="D84">
            <v>1</v>
          </cell>
          <cell r="E84">
            <v>7.6</v>
          </cell>
        </row>
        <row r="85">
          <cell r="D85">
            <v>2</v>
          </cell>
          <cell r="E85">
            <v>7.6</v>
          </cell>
        </row>
        <row r="86">
          <cell r="D86">
            <v>3</v>
          </cell>
          <cell r="E86">
            <v>7.5</v>
          </cell>
        </row>
        <row r="87">
          <cell r="D87">
            <v>1</v>
          </cell>
          <cell r="E87">
            <v>7.3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81" refreshError="1"/>
      <sheetData sheetId="8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7.9</v>
          </cell>
        </row>
        <row r="10">
          <cell r="D10">
            <v>2</v>
          </cell>
          <cell r="E10">
            <v>7.8</v>
          </cell>
        </row>
        <row r="11">
          <cell r="D11">
            <v>3</v>
          </cell>
          <cell r="E11">
            <v>7.6</v>
          </cell>
        </row>
        <row r="12">
          <cell r="D12">
            <v>1</v>
          </cell>
          <cell r="E12">
            <v>7.5</v>
          </cell>
        </row>
        <row r="13">
          <cell r="D13">
            <v>2</v>
          </cell>
          <cell r="E13">
            <v>7.4</v>
          </cell>
        </row>
        <row r="14">
          <cell r="D14">
            <v>3</v>
          </cell>
          <cell r="E14">
            <v>7.3</v>
          </cell>
        </row>
        <row r="15">
          <cell r="D15">
            <v>1</v>
          </cell>
          <cell r="E15">
            <v>7.1</v>
          </cell>
        </row>
        <row r="16">
          <cell r="D16">
            <v>2</v>
          </cell>
          <cell r="E16">
            <v>6.9</v>
          </cell>
        </row>
        <row r="17">
          <cell r="D17">
            <v>3</v>
          </cell>
          <cell r="E17">
            <v>6.8</v>
          </cell>
        </row>
        <row r="18">
          <cell r="D18">
            <v>1</v>
          </cell>
          <cell r="E18">
            <v>6.9</v>
          </cell>
        </row>
        <row r="19">
          <cell r="D19">
            <v>2</v>
          </cell>
          <cell r="E19">
            <v>7.2</v>
          </cell>
        </row>
        <row r="20">
          <cell r="D20">
            <v>3</v>
          </cell>
          <cell r="E20">
            <v>7.7</v>
          </cell>
        </row>
        <row r="21">
          <cell r="D21">
            <v>1</v>
          </cell>
          <cell r="E21">
            <v>8</v>
          </cell>
        </row>
        <row r="22">
          <cell r="D22">
            <v>2</v>
          </cell>
          <cell r="E22">
            <v>7.8</v>
          </cell>
        </row>
        <row r="23">
          <cell r="D23">
            <v>3</v>
          </cell>
          <cell r="E23">
            <v>7.6</v>
          </cell>
        </row>
        <row r="24">
          <cell r="D24">
            <v>1</v>
          </cell>
          <cell r="E24">
            <v>7.4</v>
          </cell>
        </row>
        <row r="25">
          <cell r="D25">
            <v>2</v>
          </cell>
          <cell r="E25">
            <v>7.3</v>
          </cell>
        </row>
        <row r="26">
          <cell r="D26">
            <v>3</v>
          </cell>
          <cell r="E26">
            <v>7.1</v>
          </cell>
        </row>
        <row r="27">
          <cell r="D27">
            <v>1</v>
          </cell>
          <cell r="E27">
            <v>6.9</v>
          </cell>
        </row>
        <row r="28">
          <cell r="D28">
            <v>2</v>
          </cell>
          <cell r="E28">
            <v>6.7</v>
          </cell>
        </row>
        <row r="29">
          <cell r="D29">
            <v>3</v>
          </cell>
          <cell r="E29">
            <v>6.5</v>
          </cell>
        </row>
        <row r="30">
          <cell r="D30">
            <v>1</v>
          </cell>
          <cell r="E30">
            <v>6.2</v>
          </cell>
        </row>
        <row r="31">
          <cell r="D31">
            <v>2</v>
          </cell>
          <cell r="E31">
            <v>6.4</v>
          </cell>
        </row>
        <row r="32">
          <cell r="D32">
            <v>3</v>
          </cell>
          <cell r="E32">
            <v>6.8</v>
          </cell>
        </row>
        <row r="33">
          <cell r="D33">
            <v>1</v>
          </cell>
          <cell r="E33">
            <v>7.2</v>
          </cell>
        </row>
        <row r="34">
          <cell r="D34">
            <v>2</v>
          </cell>
          <cell r="E34">
            <v>7.1</v>
          </cell>
        </row>
        <row r="35">
          <cell r="D35">
            <v>3</v>
          </cell>
          <cell r="E35">
            <v>7</v>
          </cell>
        </row>
        <row r="36">
          <cell r="D36">
            <v>1</v>
          </cell>
          <cell r="E36">
            <v>6.8</v>
          </cell>
        </row>
        <row r="37">
          <cell r="D37">
            <v>2</v>
          </cell>
          <cell r="E37">
            <v>6.9</v>
          </cell>
        </row>
        <row r="38">
          <cell r="D38">
            <v>3</v>
          </cell>
          <cell r="E38">
            <v>6.9</v>
          </cell>
        </row>
        <row r="39">
          <cell r="D39">
            <v>1</v>
          </cell>
          <cell r="E39">
            <v>6.8</v>
          </cell>
        </row>
        <row r="40">
          <cell r="D40">
            <v>2</v>
          </cell>
          <cell r="E40">
            <v>6.6</v>
          </cell>
        </row>
        <row r="41">
          <cell r="D41">
            <v>3</v>
          </cell>
          <cell r="E41">
            <v>6.5</v>
          </cell>
        </row>
        <row r="42">
          <cell r="D42">
            <v>1</v>
          </cell>
          <cell r="E42">
            <v>6.5</v>
          </cell>
        </row>
        <row r="43">
          <cell r="D43">
            <v>2</v>
          </cell>
          <cell r="E43">
            <v>6.8</v>
          </cell>
        </row>
        <row r="44">
          <cell r="D44">
            <v>3</v>
          </cell>
          <cell r="E44">
            <v>7.4</v>
          </cell>
        </row>
        <row r="45">
          <cell r="D45">
            <v>1</v>
          </cell>
          <cell r="E45">
            <v>7.9</v>
          </cell>
        </row>
        <row r="46">
          <cell r="D46">
            <v>2</v>
          </cell>
          <cell r="E46">
            <v>8</v>
          </cell>
        </row>
        <row r="47">
          <cell r="D47">
            <v>3</v>
          </cell>
          <cell r="E47">
            <v>8.1</v>
          </cell>
        </row>
        <row r="48">
          <cell r="D48">
            <v>1</v>
          </cell>
          <cell r="E48">
            <v>8.3000000000000007</v>
          </cell>
        </row>
        <row r="49">
          <cell r="D49">
            <v>2</v>
          </cell>
          <cell r="E49">
            <v>8.6</v>
          </cell>
        </row>
        <row r="50">
          <cell r="D50">
            <v>3</v>
          </cell>
          <cell r="E50">
            <v>8.6999999999999993</v>
          </cell>
        </row>
        <row r="51">
          <cell r="D51">
            <v>1</v>
          </cell>
          <cell r="E51">
            <v>8.9</v>
          </cell>
        </row>
        <row r="52">
          <cell r="D52">
            <v>2</v>
          </cell>
          <cell r="E52">
            <v>8.9</v>
          </cell>
        </row>
        <row r="53">
          <cell r="D53">
            <v>3</v>
          </cell>
          <cell r="E53">
            <v>9</v>
          </cell>
        </row>
        <row r="54">
          <cell r="D54">
            <v>1</v>
          </cell>
          <cell r="E54">
            <v>9</v>
          </cell>
        </row>
        <row r="55">
          <cell r="D55">
            <v>2</v>
          </cell>
          <cell r="E55">
            <v>9.5</v>
          </cell>
        </row>
        <row r="56">
          <cell r="D56">
            <v>3</v>
          </cell>
          <cell r="E56">
            <v>10.199999999999999</v>
          </cell>
        </row>
        <row r="57">
          <cell r="D57">
            <v>1</v>
          </cell>
          <cell r="E57">
            <v>10.9</v>
          </cell>
        </row>
        <row r="58">
          <cell r="D58">
            <v>2</v>
          </cell>
          <cell r="E58">
            <v>11.2</v>
          </cell>
        </row>
        <row r="59">
          <cell r="D59">
            <v>3</v>
          </cell>
          <cell r="E59">
            <v>11.2</v>
          </cell>
        </row>
        <row r="60">
          <cell r="D60">
            <v>1</v>
          </cell>
          <cell r="E60">
            <v>11.3</v>
          </cell>
        </row>
        <row r="61">
          <cell r="D61">
            <v>2</v>
          </cell>
          <cell r="E61">
            <v>11.6</v>
          </cell>
        </row>
        <row r="62">
          <cell r="D62">
            <v>3</v>
          </cell>
          <cell r="E62">
            <v>11.8</v>
          </cell>
        </row>
        <row r="63">
          <cell r="D63">
            <v>1</v>
          </cell>
          <cell r="E63">
            <v>11.8</v>
          </cell>
        </row>
        <row r="64">
          <cell r="D64">
            <v>2</v>
          </cell>
          <cell r="E64">
            <v>11.8</v>
          </cell>
        </row>
        <row r="65">
          <cell r="D65">
            <v>3</v>
          </cell>
          <cell r="E65">
            <v>11.9</v>
          </cell>
        </row>
        <row r="66">
          <cell r="D66">
            <v>1</v>
          </cell>
          <cell r="E66">
            <v>12</v>
          </cell>
        </row>
        <row r="67">
          <cell r="D67">
            <v>2</v>
          </cell>
          <cell r="E67">
            <v>12.6</v>
          </cell>
        </row>
        <row r="68">
          <cell r="D68">
            <v>3</v>
          </cell>
          <cell r="E68">
            <v>13.2</v>
          </cell>
        </row>
        <row r="69">
          <cell r="D69">
            <v>1</v>
          </cell>
          <cell r="E69">
            <v>13.7</v>
          </cell>
        </row>
        <row r="70">
          <cell r="D70">
            <v>2</v>
          </cell>
          <cell r="E70">
            <v>13.6</v>
          </cell>
        </row>
        <row r="71">
          <cell r="D71">
            <v>3</v>
          </cell>
          <cell r="E71">
            <v>13.3</v>
          </cell>
        </row>
        <row r="72">
          <cell r="D72">
            <v>1</v>
          </cell>
          <cell r="E72">
            <v>13</v>
          </cell>
        </row>
        <row r="73">
          <cell r="D73">
            <v>2</v>
          </cell>
          <cell r="E73">
            <v>12.8</v>
          </cell>
        </row>
        <row r="74">
          <cell r="D74">
            <v>3</v>
          </cell>
          <cell r="E74">
            <v>12.6</v>
          </cell>
        </row>
        <row r="75">
          <cell r="D75">
            <v>1</v>
          </cell>
          <cell r="E75">
            <v>12.4</v>
          </cell>
        </row>
        <row r="76">
          <cell r="D76">
            <v>2</v>
          </cell>
          <cell r="E76">
            <v>12.2</v>
          </cell>
        </row>
        <row r="77">
          <cell r="D77">
            <v>3</v>
          </cell>
          <cell r="E77">
            <v>12</v>
          </cell>
        </row>
        <row r="78">
          <cell r="D78">
            <v>1</v>
          </cell>
          <cell r="E78">
            <v>11.8</v>
          </cell>
        </row>
        <row r="79">
          <cell r="D79">
            <v>2</v>
          </cell>
          <cell r="E79">
            <v>12.2</v>
          </cell>
        </row>
        <row r="80">
          <cell r="D80">
            <v>3</v>
          </cell>
          <cell r="E80">
            <v>12.6</v>
          </cell>
        </row>
        <row r="81">
          <cell r="D81">
            <v>1</v>
          </cell>
          <cell r="E81">
            <v>13.1</v>
          </cell>
        </row>
        <row r="82">
          <cell r="D82">
            <v>2</v>
          </cell>
          <cell r="E82">
            <v>12.9</v>
          </cell>
        </row>
        <row r="83">
          <cell r="D83">
            <v>3</v>
          </cell>
          <cell r="E83">
            <v>12.7</v>
          </cell>
        </row>
        <row r="84">
          <cell r="D84">
            <v>1</v>
          </cell>
          <cell r="E84">
            <v>12.4</v>
          </cell>
        </row>
        <row r="85">
          <cell r="D85">
            <v>2</v>
          </cell>
          <cell r="E85">
            <v>12.3</v>
          </cell>
        </row>
        <row r="86">
          <cell r="D86">
            <v>3</v>
          </cell>
          <cell r="E86">
            <v>12.1</v>
          </cell>
        </row>
        <row r="87">
          <cell r="D87">
            <v>1</v>
          </cell>
          <cell r="E87">
            <v>11.9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83" refreshError="1"/>
      <sheetData sheetId="84"/>
      <sheetData sheetId="85" refreshError="1"/>
      <sheetData sheetId="8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E5">
            <v>2</v>
          </cell>
          <cell r="R5">
            <v>2</v>
          </cell>
        </row>
        <row r="6"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1508</v>
          </cell>
          <cell r="R9">
            <v>2231</v>
          </cell>
        </row>
        <row r="10">
          <cell r="D10">
            <v>2</v>
          </cell>
          <cell r="E10">
            <v>1430</v>
          </cell>
          <cell r="R10">
            <v>2107</v>
          </cell>
        </row>
        <row r="11">
          <cell r="D11">
            <v>3</v>
          </cell>
          <cell r="E11">
            <v>1431</v>
          </cell>
          <cell r="R11">
            <v>2101</v>
          </cell>
        </row>
        <row r="12">
          <cell r="D12">
            <v>1</v>
          </cell>
          <cell r="E12">
            <v>1440</v>
          </cell>
          <cell r="R12">
            <v>2105</v>
          </cell>
        </row>
        <row r="13">
          <cell r="D13">
            <v>2</v>
          </cell>
          <cell r="E13">
            <v>1452</v>
          </cell>
          <cell r="R13">
            <v>2115</v>
          </cell>
        </row>
        <row r="14">
          <cell r="D14">
            <v>3</v>
          </cell>
          <cell r="E14">
            <v>1462</v>
          </cell>
          <cell r="R14">
            <v>2124</v>
          </cell>
        </row>
        <row r="15">
          <cell r="D15">
            <v>1</v>
          </cell>
          <cell r="E15">
            <v>1467</v>
          </cell>
          <cell r="R15">
            <v>2124</v>
          </cell>
        </row>
        <row r="16">
          <cell r="D16">
            <v>2</v>
          </cell>
          <cell r="E16">
            <v>1475</v>
          </cell>
          <cell r="R16">
            <v>2126</v>
          </cell>
        </row>
        <row r="17">
          <cell r="D17">
            <v>3</v>
          </cell>
          <cell r="E17">
            <v>1480</v>
          </cell>
          <cell r="R17">
            <v>2122</v>
          </cell>
        </row>
        <row r="18">
          <cell r="D18">
            <v>1</v>
          </cell>
          <cell r="E18">
            <v>1503</v>
          </cell>
          <cell r="R18">
            <v>2142</v>
          </cell>
        </row>
        <row r="19">
          <cell r="D19">
            <v>2</v>
          </cell>
          <cell r="E19">
            <v>1589</v>
          </cell>
          <cell r="R19">
            <v>2249</v>
          </cell>
        </row>
        <row r="20">
          <cell r="D20">
            <v>3</v>
          </cell>
          <cell r="E20">
            <v>1610</v>
          </cell>
          <cell r="R20">
            <v>2261</v>
          </cell>
        </row>
        <row r="21">
          <cell r="D21">
            <v>1</v>
          </cell>
          <cell r="E21">
            <v>1612</v>
          </cell>
          <cell r="R21">
            <v>2248</v>
          </cell>
        </row>
        <row r="22">
          <cell r="D22">
            <v>2</v>
          </cell>
          <cell r="E22">
            <v>1551</v>
          </cell>
          <cell r="R22">
            <v>2149</v>
          </cell>
        </row>
        <row r="23">
          <cell r="D23">
            <v>3</v>
          </cell>
          <cell r="E23">
            <v>1569</v>
          </cell>
          <cell r="R23">
            <v>2162</v>
          </cell>
        </row>
        <row r="24">
          <cell r="D24">
            <v>1</v>
          </cell>
          <cell r="E24">
            <v>1590</v>
          </cell>
          <cell r="R24">
            <v>2182</v>
          </cell>
        </row>
        <row r="25">
          <cell r="D25">
            <v>2</v>
          </cell>
          <cell r="E25">
            <v>1609</v>
          </cell>
          <cell r="R25">
            <v>2199</v>
          </cell>
        </row>
        <row r="26">
          <cell r="D26">
            <v>3</v>
          </cell>
          <cell r="E26">
            <v>1614</v>
          </cell>
          <cell r="R26">
            <v>2202</v>
          </cell>
        </row>
        <row r="27">
          <cell r="D27">
            <v>1</v>
          </cell>
          <cell r="E27">
            <v>1617</v>
          </cell>
          <cell r="R27">
            <v>2201</v>
          </cell>
        </row>
        <row r="28">
          <cell r="D28">
            <v>2</v>
          </cell>
          <cell r="E28">
            <v>1627</v>
          </cell>
          <cell r="R28">
            <v>2210</v>
          </cell>
        </row>
        <row r="29">
          <cell r="D29">
            <v>3</v>
          </cell>
          <cell r="E29">
            <v>1631</v>
          </cell>
          <cell r="R29">
            <v>2207</v>
          </cell>
        </row>
        <row r="30">
          <cell r="D30">
            <v>1</v>
          </cell>
          <cell r="E30">
            <v>1642</v>
          </cell>
          <cell r="R30">
            <v>2211</v>
          </cell>
        </row>
        <row r="31">
          <cell r="D31">
            <v>2</v>
          </cell>
          <cell r="E31">
            <v>1712</v>
          </cell>
          <cell r="R31">
            <v>2290</v>
          </cell>
        </row>
        <row r="32">
          <cell r="D32">
            <v>3</v>
          </cell>
          <cell r="E32">
            <v>1738</v>
          </cell>
          <cell r="R32">
            <v>2310</v>
          </cell>
        </row>
        <row r="33">
          <cell r="D33">
            <v>1</v>
          </cell>
          <cell r="E33">
            <v>1760</v>
          </cell>
          <cell r="R33">
            <v>2322</v>
          </cell>
        </row>
        <row r="34">
          <cell r="D34">
            <v>2</v>
          </cell>
          <cell r="E34">
            <v>1713</v>
          </cell>
          <cell r="R34">
            <v>2244</v>
          </cell>
        </row>
        <row r="35">
          <cell r="D35">
            <v>3</v>
          </cell>
          <cell r="E35">
            <v>1721</v>
          </cell>
          <cell r="R35">
            <v>2238</v>
          </cell>
        </row>
        <row r="36">
          <cell r="D36">
            <v>1</v>
          </cell>
          <cell r="E36">
            <v>1701</v>
          </cell>
          <cell r="R36">
            <v>2197</v>
          </cell>
        </row>
        <row r="37">
          <cell r="D37">
            <v>2</v>
          </cell>
          <cell r="E37">
            <v>1682</v>
          </cell>
          <cell r="R37">
            <v>2162</v>
          </cell>
        </row>
        <row r="38">
          <cell r="D38">
            <v>3</v>
          </cell>
          <cell r="E38">
            <v>1690</v>
          </cell>
          <cell r="R38">
            <v>2165</v>
          </cell>
        </row>
        <row r="39">
          <cell r="D39">
            <v>1</v>
          </cell>
          <cell r="E39">
            <v>1710</v>
          </cell>
          <cell r="R39">
            <v>2186</v>
          </cell>
        </row>
        <row r="40">
          <cell r="D40">
            <v>2</v>
          </cell>
          <cell r="E40">
            <v>1732</v>
          </cell>
          <cell r="R40">
            <v>2208</v>
          </cell>
        </row>
        <row r="41">
          <cell r="D41">
            <v>3</v>
          </cell>
          <cell r="E41">
            <v>1733</v>
          </cell>
          <cell r="R41">
            <v>2200</v>
          </cell>
        </row>
        <row r="42">
          <cell r="D42">
            <v>1</v>
          </cell>
          <cell r="E42">
            <v>1762</v>
          </cell>
          <cell r="R42">
            <v>2226</v>
          </cell>
        </row>
        <row r="43">
          <cell r="D43">
            <v>2</v>
          </cell>
          <cell r="E43">
            <v>1851</v>
          </cell>
          <cell r="R43">
            <v>2325</v>
          </cell>
        </row>
        <row r="44">
          <cell r="D44">
            <v>3</v>
          </cell>
          <cell r="E44">
            <v>1871</v>
          </cell>
          <cell r="R44">
            <v>2331</v>
          </cell>
        </row>
        <row r="45">
          <cell r="D45">
            <v>1</v>
          </cell>
          <cell r="E45">
            <v>1878</v>
          </cell>
          <cell r="R45">
            <v>2315</v>
          </cell>
        </row>
        <row r="46">
          <cell r="D46">
            <v>2</v>
          </cell>
          <cell r="E46">
            <v>1830</v>
          </cell>
          <cell r="R46">
            <v>2227</v>
          </cell>
        </row>
        <row r="47">
          <cell r="D47">
            <v>3</v>
          </cell>
          <cell r="E47">
            <v>1837</v>
          </cell>
          <cell r="R47">
            <v>2213</v>
          </cell>
        </row>
        <row r="48">
          <cell r="D48">
            <v>1</v>
          </cell>
          <cell r="E48">
            <v>1861</v>
          </cell>
          <cell r="R48">
            <v>2220</v>
          </cell>
        </row>
        <row r="49">
          <cell r="D49">
            <v>2</v>
          </cell>
          <cell r="E49">
            <v>1862</v>
          </cell>
          <cell r="R49">
            <v>2205</v>
          </cell>
        </row>
        <row r="50">
          <cell r="D50">
            <v>3</v>
          </cell>
          <cell r="E50">
            <v>1863</v>
          </cell>
          <cell r="R50">
            <v>2190</v>
          </cell>
        </row>
        <row r="51">
          <cell r="D51">
            <v>1</v>
          </cell>
          <cell r="E51">
            <v>1866</v>
          </cell>
          <cell r="R51">
            <v>2183</v>
          </cell>
        </row>
        <row r="52">
          <cell r="D52">
            <v>2</v>
          </cell>
          <cell r="E52">
            <v>1871</v>
          </cell>
          <cell r="R52">
            <v>2177</v>
          </cell>
        </row>
        <row r="53">
          <cell r="D53">
            <v>3</v>
          </cell>
          <cell r="E53">
            <v>1879</v>
          </cell>
          <cell r="R53">
            <v>2175</v>
          </cell>
        </row>
        <row r="54">
          <cell r="D54">
            <v>1</v>
          </cell>
          <cell r="E54">
            <v>1956</v>
          </cell>
          <cell r="R54">
            <v>2247</v>
          </cell>
        </row>
        <row r="55">
          <cell r="D55">
            <v>2</v>
          </cell>
          <cell r="E55">
            <v>2159</v>
          </cell>
          <cell r="R55">
            <v>2457</v>
          </cell>
        </row>
        <row r="56">
          <cell r="D56">
            <v>3</v>
          </cell>
          <cell r="E56">
            <v>2179</v>
          </cell>
          <cell r="R56">
            <v>2454</v>
          </cell>
        </row>
        <row r="57">
          <cell r="D57">
            <v>1</v>
          </cell>
          <cell r="E57">
            <v>2157</v>
          </cell>
          <cell r="R57">
            <v>2403</v>
          </cell>
        </row>
        <row r="58">
          <cell r="D58">
            <v>2</v>
          </cell>
          <cell r="E58">
            <v>1971</v>
          </cell>
          <cell r="R58">
            <v>2177</v>
          </cell>
        </row>
        <row r="59">
          <cell r="D59">
            <v>3</v>
          </cell>
          <cell r="E59">
            <v>1979</v>
          </cell>
          <cell r="R59">
            <v>2172</v>
          </cell>
        </row>
        <row r="60">
          <cell r="D60">
            <v>1</v>
          </cell>
          <cell r="E60">
            <v>1971</v>
          </cell>
          <cell r="R60">
            <v>2150</v>
          </cell>
        </row>
        <row r="61">
          <cell r="D61">
            <v>2</v>
          </cell>
          <cell r="E61">
            <v>1989</v>
          </cell>
          <cell r="R61">
            <v>2157</v>
          </cell>
        </row>
        <row r="62">
          <cell r="D62">
            <v>3</v>
          </cell>
          <cell r="E62">
            <v>2018</v>
          </cell>
          <cell r="R62">
            <v>2177</v>
          </cell>
        </row>
        <row r="63">
          <cell r="D63">
            <v>1</v>
          </cell>
          <cell r="E63">
            <v>2019</v>
          </cell>
          <cell r="R63">
            <v>2169</v>
          </cell>
        </row>
        <row r="64">
          <cell r="D64">
            <v>2</v>
          </cell>
          <cell r="E64">
            <v>2021</v>
          </cell>
          <cell r="R64">
            <v>2164</v>
          </cell>
        </row>
        <row r="65">
          <cell r="D65">
            <v>3</v>
          </cell>
          <cell r="E65">
            <v>2024</v>
          </cell>
          <cell r="R65">
            <v>2161</v>
          </cell>
        </row>
        <row r="66">
          <cell r="D66">
            <v>1</v>
          </cell>
          <cell r="E66">
            <v>2120</v>
          </cell>
          <cell r="R66">
            <v>2260</v>
          </cell>
        </row>
        <row r="67">
          <cell r="D67">
            <v>2</v>
          </cell>
          <cell r="E67">
            <v>2321</v>
          </cell>
          <cell r="R67">
            <v>2468</v>
          </cell>
        </row>
        <row r="68">
          <cell r="D68">
            <v>3</v>
          </cell>
          <cell r="E68">
            <v>2346</v>
          </cell>
          <cell r="R68">
            <v>2488</v>
          </cell>
        </row>
        <row r="69">
          <cell r="D69">
            <v>1</v>
          </cell>
          <cell r="E69">
            <v>2305</v>
          </cell>
          <cell r="R69">
            <v>2435</v>
          </cell>
        </row>
        <row r="70">
          <cell r="D70">
            <v>2</v>
          </cell>
          <cell r="E70">
            <v>2117</v>
          </cell>
          <cell r="R70">
            <v>2230</v>
          </cell>
        </row>
        <row r="71">
          <cell r="D71">
            <v>3</v>
          </cell>
          <cell r="E71">
            <v>2106</v>
          </cell>
          <cell r="R71">
            <v>2214</v>
          </cell>
        </row>
        <row r="72">
          <cell r="D72">
            <v>1</v>
          </cell>
          <cell r="E72">
            <v>2102</v>
          </cell>
          <cell r="R72">
            <v>2205</v>
          </cell>
        </row>
        <row r="73">
          <cell r="D73">
            <v>2</v>
          </cell>
          <cell r="E73">
            <v>2110</v>
          </cell>
          <cell r="R73">
            <v>2211</v>
          </cell>
        </row>
        <row r="74">
          <cell r="D74">
            <v>3</v>
          </cell>
          <cell r="E74">
            <v>2118</v>
          </cell>
          <cell r="R74">
            <v>2217</v>
          </cell>
        </row>
        <row r="75">
          <cell r="D75">
            <v>1</v>
          </cell>
          <cell r="E75">
            <v>2125</v>
          </cell>
          <cell r="R75">
            <v>2223</v>
          </cell>
        </row>
        <row r="76">
          <cell r="D76">
            <v>2</v>
          </cell>
          <cell r="E76">
            <v>2127</v>
          </cell>
          <cell r="R76">
            <v>2220</v>
          </cell>
        </row>
        <row r="77">
          <cell r="D77">
            <v>3</v>
          </cell>
          <cell r="E77">
            <v>2132</v>
          </cell>
          <cell r="R77">
            <v>2220</v>
          </cell>
        </row>
        <row r="78">
          <cell r="D78">
            <v>1</v>
          </cell>
          <cell r="E78">
            <v>2214</v>
          </cell>
          <cell r="R78">
            <v>2298</v>
          </cell>
        </row>
        <row r="79">
          <cell r="D79">
            <v>2</v>
          </cell>
          <cell r="E79">
            <v>2425</v>
          </cell>
          <cell r="R79">
            <v>2507</v>
          </cell>
        </row>
        <row r="80">
          <cell r="D80">
            <v>3</v>
          </cell>
          <cell r="E80">
            <v>2454</v>
          </cell>
          <cell r="R80">
            <v>2529</v>
          </cell>
        </row>
        <row r="81">
          <cell r="D81">
            <v>1</v>
          </cell>
          <cell r="E81">
            <v>2374</v>
          </cell>
          <cell r="R81">
            <v>2438</v>
          </cell>
        </row>
        <row r="82">
          <cell r="D82">
            <v>2</v>
          </cell>
          <cell r="E82">
            <v>2192</v>
          </cell>
          <cell r="R82">
            <v>2246</v>
          </cell>
        </row>
        <row r="83">
          <cell r="D83">
            <v>3</v>
          </cell>
          <cell r="E83">
            <v>2188</v>
          </cell>
          <cell r="R83">
            <v>2238</v>
          </cell>
        </row>
        <row r="84">
          <cell r="D84">
            <v>1</v>
          </cell>
          <cell r="E84">
            <v>2189</v>
          </cell>
          <cell r="R84">
            <v>2233</v>
          </cell>
        </row>
        <row r="85">
          <cell r="D85">
            <v>2</v>
          </cell>
          <cell r="E85">
            <v>2203</v>
          </cell>
          <cell r="R85">
            <v>2234</v>
          </cell>
        </row>
        <row r="86">
          <cell r="D86">
            <v>3</v>
          </cell>
          <cell r="E86">
            <v>2231</v>
          </cell>
          <cell r="R86">
            <v>2247</v>
          </cell>
        </row>
        <row r="87">
          <cell r="D87">
            <v>1</v>
          </cell>
          <cell r="E87">
            <v>2231</v>
          </cell>
          <cell r="R87">
            <v>2237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87" refreshError="1"/>
      <sheetData sheetId="8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1388</v>
          </cell>
          <cell r="R9">
            <v>2045</v>
          </cell>
        </row>
        <row r="10">
          <cell r="D10">
            <v>2</v>
          </cell>
          <cell r="E10">
            <v>1402</v>
          </cell>
          <cell r="R10">
            <v>2057</v>
          </cell>
        </row>
        <row r="11">
          <cell r="D11">
            <v>3</v>
          </cell>
          <cell r="E11">
            <v>1402</v>
          </cell>
          <cell r="R11">
            <v>2049</v>
          </cell>
        </row>
        <row r="12">
          <cell r="D12">
            <v>1</v>
          </cell>
          <cell r="E12">
            <v>1409</v>
          </cell>
          <cell r="R12">
            <v>2053</v>
          </cell>
        </row>
        <row r="13">
          <cell r="D13">
            <v>2</v>
          </cell>
          <cell r="E13">
            <v>1421</v>
          </cell>
          <cell r="R13">
            <v>2064</v>
          </cell>
        </row>
        <row r="14">
          <cell r="D14">
            <v>3</v>
          </cell>
          <cell r="E14">
            <v>1430</v>
          </cell>
          <cell r="R14">
            <v>2071</v>
          </cell>
        </row>
        <row r="15">
          <cell r="D15">
            <v>1</v>
          </cell>
          <cell r="E15">
            <v>1433</v>
          </cell>
          <cell r="R15">
            <v>2066</v>
          </cell>
        </row>
        <row r="16">
          <cell r="D16">
            <v>2</v>
          </cell>
          <cell r="E16">
            <v>1438</v>
          </cell>
          <cell r="R16">
            <v>2061</v>
          </cell>
        </row>
        <row r="17">
          <cell r="D17">
            <v>3</v>
          </cell>
          <cell r="E17">
            <v>1445</v>
          </cell>
          <cell r="R17">
            <v>2060</v>
          </cell>
        </row>
        <row r="18">
          <cell r="D18">
            <v>1</v>
          </cell>
          <cell r="E18">
            <v>1454</v>
          </cell>
          <cell r="R18">
            <v>2058</v>
          </cell>
        </row>
        <row r="19">
          <cell r="D19">
            <v>2</v>
          </cell>
          <cell r="E19">
            <v>1471</v>
          </cell>
          <cell r="R19">
            <v>2067</v>
          </cell>
        </row>
        <row r="20">
          <cell r="D20">
            <v>3</v>
          </cell>
          <cell r="E20">
            <v>1493</v>
          </cell>
          <cell r="R20">
            <v>2082</v>
          </cell>
        </row>
        <row r="21">
          <cell r="D21">
            <v>1</v>
          </cell>
          <cell r="E21">
            <v>1512</v>
          </cell>
          <cell r="R21">
            <v>2096</v>
          </cell>
        </row>
        <row r="22">
          <cell r="D22">
            <v>2</v>
          </cell>
          <cell r="E22">
            <v>1524</v>
          </cell>
          <cell r="R22">
            <v>2101</v>
          </cell>
        </row>
        <row r="23">
          <cell r="D23">
            <v>3</v>
          </cell>
          <cell r="E23">
            <v>1540</v>
          </cell>
          <cell r="R23">
            <v>2113</v>
          </cell>
        </row>
        <row r="24">
          <cell r="D24">
            <v>1</v>
          </cell>
          <cell r="E24">
            <v>1559</v>
          </cell>
          <cell r="R24">
            <v>2131</v>
          </cell>
        </row>
        <row r="25">
          <cell r="D25">
            <v>2</v>
          </cell>
          <cell r="E25">
            <v>1573</v>
          </cell>
          <cell r="R25">
            <v>2145</v>
          </cell>
        </row>
        <row r="26">
          <cell r="D26">
            <v>3</v>
          </cell>
          <cell r="E26">
            <v>1579</v>
          </cell>
          <cell r="R26">
            <v>2149</v>
          </cell>
        </row>
        <row r="27">
          <cell r="D27">
            <v>1</v>
          </cell>
          <cell r="E27">
            <v>1583</v>
          </cell>
          <cell r="R27">
            <v>2150</v>
          </cell>
        </row>
        <row r="28">
          <cell r="D28">
            <v>2</v>
          </cell>
          <cell r="E28">
            <v>1594</v>
          </cell>
          <cell r="R28">
            <v>2156</v>
          </cell>
        </row>
        <row r="29">
          <cell r="D29">
            <v>3</v>
          </cell>
          <cell r="E29">
            <v>1597</v>
          </cell>
          <cell r="R29">
            <v>2151</v>
          </cell>
        </row>
        <row r="30">
          <cell r="D30">
            <v>1</v>
          </cell>
          <cell r="E30">
            <v>1596</v>
          </cell>
          <cell r="R30">
            <v>2135</v>
          </cell>
        </row>
        <row r="31">
          <cell r="D31">
            <v>2</v>
          </cell>
          <cell r="E31">
            <v>1607</v>
          </cell>
          <cell r="R31">
            <v>2135</v>
          </cell>
        </row>
        <row r="32">
          <cell r="D32">
            <v>3</v>
          </cell>
          <cell r="E32">
            <v>1632</v>
          </cell>
          <cell r="R32">
            <v>2153</v>
          </cell>
        </row>
        <row r="33">
          <cell r="D33">
            <v>1</v>
          </cell>
          <cell r="E33">
            <v>1662</v>
          </cell>
          <cell r="R33">
            <v>2178</v>
          </cell>
        </row>
        <row r="34">
          <cell r="D34">
            <v>2</v>
          </cell>
          <cell r="E34">
            <v>1675</v>
          </cell>
          <cell r="R34">
            <v>2178</v>
          </cell>
        </row>
        <row r="35">
          <cell r="D35">
            <v>3</v>
          </cell>
          <cell r="E35">
            <v>1683</v>
          </cell>
          <cell r="R35">
            <v>2174</v>
          </cell>
        </row>
        <row r="36">
          <cell r="D36">
            <v>1</v>
          </cell>
          <cell r="E36">
            <v>1664</v>
          </cell>
          <cell r="R36">
            <v>2139</v>
          </cell>
        </row>
        <row r="37">
          <cell r="D37">
            <v>2</v>
          </cell>
          <cell r="E37">
            <v>1648</v>
          </cell>
          <cell r="R37">
            <v>2111</v>
          </cell>
        </row>
        <row r="38">
          <cell r="D38">
            <v>3</v>
          </cell>
          <cell r="E38">
            <v>1655</v>
          </cell>
          <cell r="R38">
            <v>2115</v>
          </cell>
        </row>
        <row r="39">
          <cell r="D39">
            <v>1</v>
          </cell>
          <cell r="E39">
            <v>1677</v>
          </cell>
          <cell r="R39">
            <v>2138</v>
          </cell>
        </row>
        <row r="40">
          <cell r="D40">
            <v>2</v>
          </cell>
          <cell r="E40">
            <v>1699</v>
          </cell>
          <cell r="R40">
            <v>2157</v>
          </cell>
        </row>
        <row r="41">
          <cell r="D41">
            <v>3</v>
          </cell>
          <cell r="E41">
            <v>1701</v>
          </cell>
          <cell r="R41">
            <v>2149</v>
          </cell>
        </row>
        <row r="42">
          <cell r="D42">
            <v>1</v>
          </cell>
          <cell r="E42">
            <v>1719</v>
          </cell>
          <cell r="R42">
            <v>2159</v>
          </cell>
        </row>
        <row r="43">
          <cell r="D43">
            <v>2</v>
          </cell>
          <cell r="E43">
            <v>1747</v>
          </cell>
          <cell r="R43">
            <v>2176</v>
          </cell>
        </row>
        <row r="44">
          <cell r="D44">
            <v>3</v>
          </cell>
          <cell r="E44">
            <v>1767</v>
          </cell>
          <cell r="R44">
            <v>2178</v>
          </cell>
        </row>
        <row r="45">
          <cell r="D45">
            <v>1</v>
          </cell>
          <cell r="E45">
            <v>1789</v>
          </cell>
          <cell r="R45">
            <v>2178</v>
          </cell>
        </row>
        <row r="46">
          <cell r="D46">
            <v>2</v>
          </cell>
          <cell r="E46">
            <v>1802</v>
          </cell>
          <cell r="R46">
            <v>2170</v>
          </cell>
        </row>
        <row r="47">
          <cell r="D47">
            <v>3</v>
          </cell>
          <cell r="E47">
            <v>1811</v>
          </cell>
          <cell r="R47">
            <v>2161</v>
          </cell>
        </row>
        <row r="48">
          <cell r="D48">
            <v>1</v>
          </cell>
          <cell r="E48">
            <v>1829</v>
          </cell>
          <cell r="R48">
            <v>2166</v>
          </cell>
        </row>
        <row r="49">
          <cell r="D49">
            <v>2</v>
          </cell>
          <cell r="E49">
            <v>1828</v>
          </cell>
          <cell r="R49">
            <v>2149</v>
          </cell>
        </row>
        <row r="50">
          <cell r="D50">
            <v>3</v>
          </cell>
          <cell r="E50">
            <v>1829</v>
          </cell>
          <cell r="R50">
            <v>2138</v>
          </cell>
        </row>
        <row r="51">
          <cell r="D51">
            <v>1</v>
          </cell>
          <cell r="E51">
            <v>1834</v>
          </cell>
          <cell r="R51">
            <v>2135</v>
          </cell>
        </row>
        <row r="52">
          <cell r="D52">
            <v>2</v>
          </cell>
          <cell r="E52">
            <v>1835</v>
          </cell>
          <cell r="R52">
            <v>2125</v>
          </cell>
        </row>
        <row r="53">
          <cell r="D53">
            <v>3</v>
          </cell>
          <cell r="E53">
            <v>1840</v>
          </cell>
          <cell r="R53">
            <v>2113</v>
          </cell>
        </row>
        <row r="54">
          <cell r="D54">
            <v>1</v>
          </cell>
          <cell r="E54">
            <v>1851</v>
          </cell>
          <cell r="R54">
            <v>2106</v>
          </cell>
        </row>
        <row r="55">
          <cell r="D55">
            <v>2</v>
          </cell>
          <cell r="E55">
            <v>1878</v>
          </cell>
          <cell r="R55">
            <v>2114</v>
          </cell>
        </row>
        <row r="56">
          <cell r="D56">
            <v>3</v>
          </cell>
          <cell r="E56">
            <v>1885</v>
          </cell>
          <cell r="R56">
            <v>2101</v>
          </cell>
        </row>
        <row r="57">
          <cell r="D57">
            <v>1</v>
          </cell>
          <cell r="E57">
            <v>1914</v>
          </cell>
          <cell r="R57">
            <v>2114</v>
          </cell>
        </row>
        <row r="58">
          <cell r="D58">
            <v>2</v>
          </cell>
          <cell r="E58">
            <v>1911</v>
          </cell>
          <cell r="R58">
            <v>2098</v>
          </cell>
        </row>
        <row r="59">
          <cell r="D59">
            <v>3</v>
          </cell>
          <cell r="E59">
            <v>1930</v>
          </cell>
          <cell r="R59">
            <v>2105</v>
          </cell>
        </row>
        <row r="60">
          <cell r="D60">
            <v>1</v>
          </cell>
          <cell r="E60">
            <v>1921</v>
          </cell>
          <cell r="R60">
            <v>2083</v>
          </cell>
        </row>
        <row r="61">
          <cell r="D61">
            <v>2</v>
          </cell>
          <cell r="E61">
            <v>1934</v>
          </cell>
          <cell r="R61">
            <v>2086</v>
          </cell>
        </row>
        <row r="62">
          <cell r="D62">
            <v>3</v>
          </cell>
          <cell r="E62">
            <v>1959</v>
          </cell>
          <cell r="R62">
            <v>2105</v>
          </cell>
        </row>
        <row r="63">
          <cell r="D63">
            <v>1</v>
          </cell>
          <cell r="E63">
            <v>1964</v>
          </cell>
          <cell r="R63">
            <v>2102</v>
          </cell>
        </row>
        <row r="64">
          <cell r="D64">
            <v>2</v>
          </cell>
          <cell r="E64">
            <v>1972</v>
          </cell>
          <cell r="R64">
            <v>2106</v>
          </cell>
        </row>
        <row r="65">
          <cell r="D65">
            <v>3</v>
          </cell>
          <cell r="E65">
            <v>1978</v>
          </cell>
          <cell r="R65">
            <v>2108</v>
          </cell>
        </row>
        <row r="66">
          <cell r="D66">
            <v>1</v>
          </cell>
          <cell r="E66">
            <v>2004</v>
          </cell>
          <cell r="R66">
            <v>2131</v>
          </cell>
        </row>
        <row r="67">
          <cell r="D67">
            <v>2</v>
          </cell>
          <cell r="E67">
            <v>2019</v>
          </cell>
          <cell r="R67">
            <v>2141</v>
          </cell>
        </row>
        <row r="68">
          <cell r="D68">
            <v>3</v>
          </cell>
          <cell r="E68">
            <v>2032</v>
          </cell>
          <cell r="R68">
            <v>2147</v>
          </cell>
        </row>
        <row r="69">
          <cell r="D69">
            <v>1</v>
          </cell>
          <cell r="E69">
            <v>2052</v>
          </cell>
          <cell r="R69">
            <v>2162</v>
          </cell>
        </row>
        <row r="70">
          <cell r="D70">
            <v>2</v>
          </cell>
          <cell r="E70">
            <v>2045</v>
          </cell>
          <cell r="R70">
            <v>2149</v>
          </cell>
        </row>
        <row r="71">
          <cell r="D71">
            <v>3</v>
          </cell>
          <cell r="E71">
            <v>2044</v>
          </cell>
          <cell r="R71">
            <v>2143</v>
          </cell>
        </row>
        <row r="72">
          <cell r="D72">
            <v>1</v>
          </cell>
          <cell r="E72">
            <v>2042</v>
          </cell>
          <cell r="R72">
            <v>2140</v>
          </cell>
        </row>
        <row r="73">
          <cell r="D73">
            <v>2</v>
          </cell>
          <cell r="E73">
            <v>2044</v>
          </cell>
          <cell r="R73">
            <v>2140</v>
          </cell>
        </row>
        <row r="74">
          <cell r="D74">
            <v>3</v>
          </cell>
          <cell r="E74">
            <v>2044</v>
          </cell>
          <cell r="R74">
            <v>2138</v>
          </cell>
        </row>
        <row r="75">
          <cell r="D75">
            <v>1</v>
          </cell>
          <cell r="E75">
            <v>2052</v>
          </cell>
          <cell r="R75">
            <v>2142</v>
          </cell>
        </row>
        <row r="76">
          <cell r="D76">
            <v>2</v>
          </cell>
          <cell r="E76">
            <v>2062</v>
          </cell>
          <cell r="R76">
            <v>2147</v>
          </cell>
        </row>
        <row r="77">
          <cell r="D77">
            <v>3</v>
          </cell>
          <cell r="E77">
            <v>2075</v>
          </cell>
          <cell r="R77">
            <v>2154</v>
          </cell>
        </row>
        <row r="78">
          <cell r="D78">
            <v>1</v>
          </cell>
          <cell r="E78">
            <v>2084</v>
          </cell>
          <cell r="R78">
            <v>2154</v>
          </cell>
        </row>
        <row r="79">
          <cell r="D79">
            <v>2</v>
          </cell>
          <cell r="E79">
            <v>2101</v>
          </cell>
          <cell r="R79">
            <v>2165</v>
          </cell>
        </row>
        <row r="80">
          <cell r="D80">
            <v>3</v>
          </cell>
          <cell r="E80">
            <v>2115</v>
          </cell>
          <cell r="R80">
            <v>2172</v>
          </cell>
        </row>
        <row r="81">
          <cell r="D81">
            <v>1</v>
          </cell>
          <cell r="E81">
            <v>2104</v>
          </cell>
          <cell r="R81">
            <v>2156</v>
          </cell>
        </row>
        <row r="82">
          <cell r="D82">
            <v>2</v>
          </cell>
          <cell r="E82">
            <v>2113</v>
          </cell>
          <cell r="R82">
            <v>2161</v>
          </cell>
        </row>
        <row r="83">
          <cell r="D83">
            <v>3</v>
          </cell>
          <cell r="E83">
            <v>2121</v>
          </cell>
          <cell r="R83">
            <v>2164</v>
          </cell>
        </row>
        <row r="84">
          <cell r="D84">
            <v>1</v>
          </cell>
          <cell r="E84">
            <v>2128</v>
          </cell>
          <cell r="R84">
            <v>2157</v>
          </cell>
        </row>
        <row r="85">
          <cell r="D85">
            <v>2</v>
          </cell>
          <cell r="E85">
            <v>2136</v>
          </cell>
          <cell r="R85">
            <v>2151</v>
          </cell>
        </row>
        <row r="86">
          <cell r="D86">
            <v>3</v>
          </cell>
          <cell r="E86">
            <v>2155</v>
          </cell>
          <cell r="R86">
            <v>2161</v>
          </cell>
        </row>
        <row r="87">
          <cell r="D87">
            <v>1</v>
          </cell>
          <cell r="E87">
            <v>2155</v>
          </cell>
          <cell r="R87">
            <v>2155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89" refreshError="1"/>
      <sheetData sheetId="9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1462</v>
          </cell>
          <cell r="R9">
            <v>2163</v>
          </cell>
        </row>
        <row r="10">
          <cell r="D10">
            <v>2</v>
          </cell>
          <cell r="E10">
            <v>1386</v>
          </cell>
          <cell r="R10">
            <v>2043</v>
          </cell>
        </row>
        <row r="11">
          <cell r="D11">
            <v>3</v>
          </cell>
          <cell r="E11">
            <v>1388</v>
          </cell>
          <cell r="R11">
            <v>2037</v>
          </cell>
        </row>
        <row r="12">
          <cell r="D12">
            <v>1</v>
          </cell>
          <cell r="E12">
            <v>1398</v>
          </cell>
          <cell r="R12">
            <v>2043</v>
          </cell>
        </row>
        <row r="13">
          <cell r="D13">
            <v>2</v>
          </cell>
          <cell r="E13">
            <v>1409</v>
          </cell>
          <cell r="R13">
            <v>2052</v>
          </cell>
        </row>
        <row r="14">
          <cell r="D14">
            <v>3</v>
          </cell>
          <cell r="E14">
            <v>1419</v>
          </cell>
          <cell r="R14">
            <v>2060</v>
          </cell>
        </row>
        <row r="15">
          <cell r="D15">
            <v>1</v>
          </cell>
          <cell r="E15">
            <v>1422</v>
          </cell>
          <cell r="R15">
            <v>2059</v>
          </cell>
        </row>
        <row r="16">
          <cell r="D16">
            <v>2</v>
          </cell>
          <cell r="E16">
            <v>1430</v>
          </cell>
          <cell r="R16">
            <v>2061</v>
          </cell>
        </row>
        <row r="17">
          <cell r="D17">
            <v>3</v>
          </cell>
          <cell r="E17">
            <v>1435</v>
          </cell>
          <cell r="R17">
            <v>2057</v>
          </cell>
        </row>
        <row r="18">
          <cell r="D18">
            <v>1</v>
          </cell>
          <cell r="E18">
            <v>1458</v>
          </cell>
          <cell r="R18">
            <v>2077</v>
          </cell>
        </row>
        <row r="19">
          <cell r="D19">
            <v>2</v>
          </cell>
          <cell r="E19">
            <v>1542</v>
          </cell>
          <cell r="R19">
            <v>2182</v>
          </cell>
        </row>
        <row r="20">
          <cell r="D20">
            <v>3</v>
          </cell>
          <cell r="E20">
            <v>1562</v>
          </cell>
          <cell r="R20">
            <v>2195</v>
          </cell>
        </row>
        <row r="21">
          <cell r="D21">
            <v>1</v>
          </cell>
          <cell r="E21">
            <v>1566</v>
          </cell>
          <cell r="R21">
            <v>2184</v>
          </cell>
        </row>
        <row r="22">
          <cell r="D22">
            <v>2</v>
          </cell>
          <cell r="E22">
            <v>1507</v>
          </cell>
          <cell r="R22">
            <v>2089</v>
          </cell>
        </row>
        <row r="23">
          <cell r="D23">
            <v>3</v>
          </cell>
          <cell r="E23">
            <v>1524</v>
          </cell>
          <cell r="R23">
            <v>2101</v>
          </cell>
        </row>
        <row r="24">
          <cell r="D24">
            <v>1</v>
          </cell>
          <cell r="E24">
            <v>1544</v>
          </cell>
          <cell r="R24">
            <v>2119</v>
          </cell>
        </row>
        <row r="25">
          <cell r="D25">
            <v>2</v>
          </cell>
          <cell r="E25">
            <v>1563</v>
          </cell>
          <cell r="R25">
            <v>2136</v>
          </cell>
        </row>
        <row r="26">
          <cell r="D26">
            <v>3</v>
          </cell>
          <cell r="E26">
            <v>1568</v>
          </cell>
          <cell r="R26">
            <v>2139</v>
          </cell>
        </row>
        <row r="27">
          <cell r="D27">
            <v>1</v>
          </cell>
          <cell r="E27">
            <v>1571</v>
          </cell>
          <cell r="R27">
            <v>2140</v>
          </cell>
        </row>
        <row r="28">
          <cell r="D28">
            <v>2</v>
          </cell>
          <cell r="E28">
            <v>1581</v>
          </cell>
          <cell r="R28">
            <v>2148</v>
          </cell>
        </row>
        <row r="29">
          <cell r="D29">
            <v>3</v>
          </cell>
          <cell r="E29">
            <v>1586</v>
          </cell>
          <cell r="R29">
            <v>2146</v>
          </cell>
        </row>
        <row r="30">
          <cell r="D30">
            <v>1</v>
          </cell>
          <cell r="E30">
            <v>1597</v>
          </cell>
          <cell r="R30">
            <v>2151</v>
          </cell>
        </row>
        <row r="31">
          <cell r="D31">
            <v>2</v>
          </cell>
          <cell r="E31">
            <v>1666</v>
          </cell>
          <cell r="R31">
            <v>2228</v>
          </cell>
        </row>
        <row r="32">
          <cell r="D32">
            <v>3</v>
          </cell>
          <cell r="E32">
            <v>1691</v>
          </cell>
          <cell r="R32">
            <v>2247</v>
          </cell>
        </row>
        <row r="33">
          <cell r="D33">
            <v>1</v>
          </cell>
          <cell r="E33">
            <v>1713</v>
          </cell>
          <cell r="R33">
            <v>2260</v>
          </cell>
        </row>
        <row r="34">
          <cell r="D34">
            <v>2</v>
          </cell>
          <cell r="E34">
            <v>1667</v>
          </cell>
          <cell r="R34">
            <v>2184</v>
          </cell>
        </row>
        <row r="35">
          <cell r="D35">
            <v>3</v>
          </cell>
          <cell r="E35">
            <v>1675</v>
          </cell>
          <cell r="R35">
            <v>2179</v>
          </cell>
        </row>
        <row r="36">
          <cell r="D36">
            <v>1</v>
          </cell>
          <cell r="E36">
            <v>1655</v>
          </cell>
          <cell r="R36">
            <v>2138</v>
          </cell>
        </row>
        <row r="37">
          <cell r="D37">
            <v>2</v>
          </cell>
          <cell r="E37">
            <v>1638</v>
          </cell>
          <cell r="R37">
            <v>2105</v>
          </cell>
        </row>
        <row r="38">
          <cell r="D38">
            <v>3</v>
          </cell>
          <cell r="E38">
            <v>1644</v>
          </cell>
          <cell r="R38">
            <v>2107</v>
          </cell>
        </row>
        <row r="39">
          <cell r="D39">
            <v>1</v>
          </cell>
          <cell r="E39">
            <v>1664</v>
          </cell>
          <cell r="R39">
            <v>2127</v>
          </cell>
        </row>
        <row r="40">
          <cell r="D40">
            <v>2</v>
          </cell>
          <cell r="E40">
            <v>1686</v>
          </cell>
          <cell r="R40">
            <v>2149</v>
          </cell>
        </row>
        <row r="41">
          <cell r="D41">
            <v>3</v>
          </cell>
          <cell r="E41">
            <v>1687</v>
          </cell>
          <cell r="R41">
            <v>2141</v>
          </cell>
        </row>
        <row r="42">
          <cell r="D42">
            <v>1</v>
          </cell>
          <cell r="E42">
            <v>1715</v>
          </cell>
          <cell r="R42">
            <v>2166</v>
          </cell>
        </row>
        <row r="43">
          <cell r="D43">
            <v>2</v>
          </cell>
          <cell r="E43">
            <v>1802</v>
          </cell>
          <cell r="R43">
            <v>2263</v>
          </cell>
        </row>
        <row r="44">
          <cell r="D44">
            <v>3</v>
          </cell>
          <cell r="E44">
            <v>1821</v>
          </cell>
          <cell r="R44">
            <v>2269</v>
          </cell>
        </row>
        <row r="45">
          <cell r="D45">
            <v>1</v>
          </cell>
          <cell r="E45">
            <v>1828</v>
          </cell>
          <cell r="R45">
            <v>2253</v>
          </cell>
        </row>
        <row r="46">
          <cell r="D46">
            <v>2</v>
          </cell>
          <cell r="E46">
            <v>1779</v>
          </cell>
          <cell r="R46">
            <v>2166</v>
          </cell>
        </row>
        <row r="47">
          <cell r="D47">
            <v>3</v>
          </cell>
          <cell r="E47">
            <v>1787</v>
          </cell>
          <cell r="R47">
            <v>2152</v>
          </cell>
        </row>
        <row r="48">
          <cell r="D48">
            <v>1</v>
          </cell>
          <cell r="E48">
            <v>1809</v>
          </cell>
          <cell r="R48">
            <v>2158</v>
          </cell>
        </row>
        <row r="49">
          <cell r="D49">
            <v>2</v>
          </cell>
          <cell r="E49">
            <v>1810</v>
          </cell>
          <cell r="R49">
            <v>2144</v>
          </cell>
        </row>
        <row r="50">
          <cell r="D50">
            <v>3</v>
          </cell>
          <cell r="E50">
            <v>1811</v>
          </cell>
          <cell r="R50">
            <v>2129</v>
          </cell>
        </row>
        <row r="51">
          <cell r="D51">
            <v>1</v>
          </cell>
          <cell r="E51">
            <v>1813</v>
          </cell>
          <cell r="R51">
            <v>2120</v>
          </cell>
        </row>
        <row r="52">
          <cell r="D52">
            <v>2</v>
          </cell>
          <cell r="E52">
            <v>1816</v>
          </cell>
          <cell r="R52">
            <v>2114</v>
          </cell>
        </row>
        <row r="53">
          <cell r="D53">
            <v>3</v>
          </cell>
          <cell r="E53">
            <v>1828</v>
          </cell>
          <cell r="R53">
            <v>2116</v>
          </cell>
        </row>
        <row r="54">
          <cell r="D54">
            <v>1</v>
          </cell>
          <cell r="E54">
            <v>1907</v>
          </cell>
          <cell r="R54">
            <v>2190</v>
          </cell>
        </row>
        <row r="55">
          <cell r="D55">
            <v>2</v>
          </cell>
          <cell r="E55">
            <v>2106</v>
          </cell>
          <cell r="R55">
            <v>2397</v>
          </cell>
        </row>
        <row r="56">
          <cell r="D56">
            <v>3</v>
          </cell>
          <cell r="E56">
            <v>2127</v>
          </cell>
          <cell r="R56">
            <v>2395</v>
          </cell>
        </row>
        <row r="57">
          <cell r="D57">
            <v>1</v>
          </cell>
          <cell r="E57">
            <v>2102</v>
          </cell>
          <cell r="R57">
            <v>2343</v>
          </cell>
        </row>
        <row r="58">
          <cell r="D58">
            <v>2</v>
          </cell>
          <cell r="E58">
            <v>1922</v>
          </cell>
          <cell r="R58">
            <v>2123</v>
          </cell>
        </row>
        <row r="59">
          <cell r="D59">
            <v>3</v>
          </cell>
          <cell r="E59">
            <v>1928</v>
          </cell>
          <cell r="R59">
            <v>2117</v>
          </cell>
        </row>
        <row r="60">
          <cell r="D60">
            <v>1</v>
          </cell>
          <cell r="E60">
            <v>1921</v>
          </cell>
          <cell r="R60">
            <v>2096</v>
          </cell>
        </row>
        <row r="61">
          <cell r="D61">
            <v>2</v>
          </cell>
          <cell r="E61">
            <v>1939</v>
          </cell>
          <cell r="R61">
            <v>2103</v>
          </cell>
        </row>
        <row r="62">
          <cell r="D62">
            <v>3</v>
          </cell>
          <cell r="E62">
            <v>1966</v>
          </cell>
          <cell r="R62">
            <v>2121</v>
          </cell>
        </row>
        <row r="63">
          <cell r="D63">
            <v>1</v>
          </cell>
          <cell r="E63">
            <v>1968</v>
          </cell>
          <cell r="R63">
            <v>2114</v>
          </cell>
        </row>
        <row r="64">
          <cell r="D64">
            <v>2</v>
          </cell>
          <cell r="E64">
            <v>1970</v>
          </cell>
          <cell r="R64">
            <v>2109</v>
          </cell>
        </row>
        <row r="65">
          <cell r="D65">
            <v>3</v>
          </cell>
          <cell r="E65">
            <v>1971</v>
          </cell>
          <cell r="R65">
            <v>2105</v>
          </cell>
        </row>
        <row r="66">
          <cell r="D66">
            <v>1</v>
          </cell>
          <cell r="E66">
            <v>2062</v>
          </cell>
          <cell r="R66">
            <v>2198</v>
          </cell>
        </row>
        <row r="67">
          <cell r="D67">
            <v>2</v>
          </cell>
          <cell r="E67">
            <v>2261</v>
          </cell>
          <cell r="R67">
            <v>2404</v>
          </cell>
        </row>
        <row r="68">
          <cell r="D68">
            <v>3</v>
          </cell>
          <cell r="E68">
            <v>2287</v>
          </cell>
          <cell r="R68">
            <v>2425</v>
          </cell>
        </row>
        <row r="69">
          <cell r="D69">
            <v>1</v>
          </cell>
          <cell r="E69">
            <v>2246</v>
          </cell>
          <cell r="R69">
            <v>2373</v>
          </cell>
        </row>
        <row r="70">
          <cell r="D70">
            <v>2</v>
          </cell>
          <cell r="E70">
            <v>2058</v>
          </cell>
          <cell r="R70">
            <v>2168</v>
          </cell>
        </row>
        <row r="71">
          <cell r="D71">
            <v>3</v>
          </cell>
          <cell r="E71">
            <v>2044</v>
          </cell>
          <cell r="R71">
            <v>2148</v>
          </cell>
        </row>
        <row r="72">
          <cell r="D72">
            <v>1</v>
          </cell>
          <cell r="E72">
            <v>2043</v>
          </cell>
          <cell r="R72">
            <v>2142</v>
          </cell>
        </row>
        <row r="73">
          <cell r="D73">
            <v>2</v>
          </cell>
          <cell r="E73">
            <v>2050</v>
          </cell>
          <cell r="R73">
            <v>2148</v>
          </cell>
        </row>
        <row r="74">
          <cell r="D74">
            <v>3</v>
          </cell>
          <cell r="E74">
            <v>2059</v>
          </cell>
          <cell r="R74">
            <v>2155</v>
          </cell>
        </row>
        <row r="75">
          <cell r="D75">
            <v>1</v>
          </cell>
          <cell r="E75">
            <v>2065</v>
          </cell>
          <cell r="R75">
            <v>2160</v>
          </cell>
        </row>
        <row r="76">
          <cell r="D76">
            <v>2</v>
          </cell>
          <cell r="E76">
            <v>2066</v>
          </cell>
          <cell r="R76">
            <v>2156</v>
          </cell>
        </row>
        <row r="77">
          <cell r="D77">
            <v>3</v>
          </cell>
          <cell r="E77">
            <v>2070</v>
          </cell>
          <cell r="R77">
            <v>2155</v>
          </cell>
        </row>
        <row r="78">
          <cell r="D78">
            <v>1</v>
          </cell>
          <cell r="E78">
            <v>2147</v>
          </cell>
          <cell r="R78">
            <v>2229</v>
          </cell>
        </row>
        <row r="79">
          <cell r="D79">
            <v>2</v>
          </cell>
          <cell r="E79">
            <v>2356</v>
          </cell>
          <cell r="R79">
            <v>2435</v>
          </cell>
        </row>
        <row r="80">
          <cell r="D80">
            <v>3</v>
          </cell>
          <cell r="E80">
            <v>2384</v>
          </cell>
          <cell r="R80">
            <v>2456</v>
          </cell>
        </row>
        <row r="81">
          <cell r="D81">
            <v>1</v>
          </cell>
          <cell r="E81">
            <v>2310</v>
          </cell>
          <cell r="R81">
            <v>2372</v>
          </cell>
        </row>
        <row r="82">
          <cell r="D82">
            <v>2</v>
          </cell>
          <cell r="E82">
            <v>2128</v>
          </cell>
          <cell r="R82">
            <v>2181</v>
          </cell>
        </row>
        <row r="83">
          <cell r="D83">
            <v>3</v>
          </cell>
          <cell r="E83">
            <v>2125</v>
          </cell>
          <cell r="R83">
            <v>2173</v>
          </cell>
        </row>
        <row r="84">
          <cell r="D84">
            <v>1</v>
          </cell>
          <cell r="E84">
            <v>2121</v>
          </cell>
          <cell r="R84">
            <v>2164</v>
          </cell>
        </row>
        <row r="85">
          <cell r="D85">
            <v>2</v>
          </cell>
          <cell r="E85">
            <v>2136</v>
          </cell>
          <cell r="R85">
            <v>2166</v>
          </cell>
        </row>
        <row r="86">
          <cell r="D86">
            <v>3</v>
          </cell>
          <cell r="E86">
            <v>2163</v>
          </cell>
          <cell r="R86">
            <v>2179</v>
          </cell>
        </row>
        <row r="87">
          <cell r="D87">
            <v>1</v>
          </cell>
          <cell r="E87">
            <v>2167</v>
          </cell>
          <cell r="R87">
            <v>2172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91" refreshError="1"/>
      <sheetData sheetId="9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1342</v>
          </cell>
          <cell r="R9">
            <v>1979</v>
          </cell>
        </row>
        <row r="10">
          <cell r="D10">
            <v>2</v>
          </cell>
          <cell r="E10">
            <v>1352</v>
          </cell>
          <cell r="R10">
            <v>1984</v>
          </cell>
        </row>
        <row r="11">
          <cell r="D11">
            <v>3</v>
          </cell>
          <cell r="E11">
            <v>1351</v>
          </cell>
          <cell r="R11">
            <v>1975</v>
          </cell>
        </row>
        <row r="12">
          <cell r="D12">
            <v>1</v>
          </cell>
          <cell r="E12">
            <v>1363</v>
          </cell>
          <cell r="R12">
            <v>1985</v>
          </cell>
        </row>
        <row r="13">
          <cell r="D13">
            <v>2</v>
          </cell>
          <cell r="E13">
            <v>1370</v>
          </cell>
          <cell r="R13">
            <v>1990</v>
          </cell>
        </row>
        <row r="14">
          <cell r="D14">
            <v>3</v>
          </cell>
          <cell r="E14">
            <v>1372</v>
          </cell>
          <cell r="R14">
            <v>1986</v>
          </cell>
        </row>
        <row r="15">
          <cell r="D15">
            <v>1</v>
          </cell>
          <cell r="E15">
            <v>1370</v>
          </cell>
          <cell r="R15">
            <v>1975</v>
          </cell>
        </row>
        <row r="16">
          <cell r="D16">
            <v>2</v>
          </cell>
          <cell r="E16">
            <v>1376</v>
          </cell>
          <cell r="R16">
            <v>1972</v>
          </cell>
        </row>
        <row r="17">
          <cell r="D17">
            <v>3</v>
          </cell>
          <cell r="E17">
            <v>1387</v>
          </cell>
          <cell r="R17">
            <v>1978</v>
          </cell>
        </row>
        <row r="18">
          <cell r="D18">
            <v>1</v>
          </cell>
          <cell r="E18">
            <v>1397</v>
          </cell>
          <cell r="R18">
            <v>1979</v>
          </cell>
        </row>
        <row r="19">
          <cell r="D19">
            <v>2</v>
          </cell>
          <cell r="E19">
            <v>1415</v>
          </cell>
          <cell r="R19">
            <v>1989</v>
          </cell>
        </row>
        <row r="20">
          <cell r="D20">
            <v>3</v>
          </cell>
          <cell r="E20">
            <v>1429</v>
          </cell>
          <cell r="R20">
            <v>1993</v>
          </cell>
        </row>
        <row r="21">
          <cell r="D21">
            <v>1</v>
          </cell>
          <cell r="E21">
            <v>1447</v>
          </cell>
          <cell r="R21">
            <v>2006</v>
          </cell>
        </row>
        <row r="22">
          <cell r="D22">
            <v>2</v>
          </cell>
          <cell r="E22">
            <v>1461</v>
          </cell>
          <cell r="R22">
            <v>2014</v>
          </cell>
        </row>
        <row r="23">
          <cell r="D23">
            <v>3</v>
          </cell>
          <cell r="E23">
            <v>1473</v>
          </cell>
          <cell r="R23">
            <v>2021</v>
          </cell>
        </row>
        <row r="24">
          <cell r="D24">
            <v>1</v>
          </cell>
          <cell r="E24">
            <v>1488</v>
          </cell>
          <cell r="R24">
            <v>2034</v>
          </cell>
        </row>
        <row r="25">
          <cell r="D25">
            <v>2</v>
          </cell>
          <cell r="E25">
            <v>1500</v>
          </cell>
          <cell r="R25">
            <v>2046</v>
          </cell>
        </row>
        <row r="26">
          <cell r="D26">
            <v>3</v>
          </cell>
          <cell r="E26">
            <v>1512</v>
          </cell>
          <cell r="R26">
            <v>2059</v>
          </cell>
        </row>
        <row r="27">
          <cell r="D27">
            <v>1</v>
          </cell>
          <cell r="E27">
            <v>1508</v>
          </cell>
          <cell r="R27">
            <v>2049</v>
          </cell>
        </row>
        <row r="28">
          <cell r="D28">
            <v>2</v>
          </cell>
          <cell r="E28">
            <v>1519</v>
          </cell>
          <cell r="R28">
            <v>2055</v>
          </cell>
        </row>
        <row r="29">
          <cell r="D29">
            <v>3</v>
          </cell>
          <cell r="E29">
            <v>1524</v>
          </cell>
          <cell r="R29">
            <v>2052</v>
          </cell>
        </row>
        <row r="30">
          <cell r="D30">
            <v>1</v>
          </cell>
          <cell r="E30">
            <v>1537</v>
          </cell>
          <cell r="R30">
            <v>2057</v>
          </cell>
        </row>
        <row r="31">
          <cell r="D31">
            <v>2</v>
          </cell>
          <cell r="E31">
            <v>1547</v>
          </cell>
          <cell r="R31">
            <v>2056</v>
          </cell>
        </row>
        <row r="32">
          <cell r="D32">
            <v>3</v>
          </cell>
          <cell r="E32">
            <v>1567</v>
          </cell>
          <cell r="R32">
            <v>2068</v>
          </cell>
        </row>
        <row r="33">
          <cell r="D33">
            <v>1</v>
          </cell>
          <cell r="E33">
            <v>1594</v>
          </cell>
          <cell r="R33">
            <v>2088</v>
          </cell>
        </row>
        <row r="34">
          <cell r="D34">
            <v>2</v>
          </cell>
          <cell r="E34">
            <v>1609</v>
          </cell>
          <cell r="R34">
            <v>2093</v>
          </cell>
        </row>
        <row r="35">
          <cell r="D35">
            <v>3</v>
          </cell>
          <cell r="E35">
            <v>1625</v>
          </cell>
          <cell r="R35">
            <v>2099</v>
          </cell>
        </row>
        <row r="36">
          <cell r="D36">
            <v>1</v>
          </cell>
          <cell r="E36">
            <v>1607</v>
          </cell>
          <cell r="R36">
            <v>2065</v>
          </cell>
        </row>
        <row r="37">
          <cell r="D37">
            <v>2</v>
          </cell>
          <cell r="E37">
            <v>1594</v>
          </cell>
          <cell r="R37">
            <v>2043</v>
          </cell>
        </row>
        <row r="38">
          <cell r="D38">
            <v>3</v>
          </cell>
          <cell r="E38">
            <v>1596</v>
          </cell>
          <cell r="R38">
            <v>2040</v>
          </cell>
        </row>
        <row r="39">
          <cell r="D39">
            <v>1</v>
          </cell>
          <cell r="E39">
            <v>1615</v>
          </cell>
          <cell r="R39">
            <v>2059</v>
          </cell>
        </row>
        <row r="40">
          <cell r="D40">
            <v>2</v>
          </cell>
          <cell r="E40">
            <v>1634</v>
          </cell>
          <cell r="R40">
            <v>2074</v>
          </cell>
        </row>
        <row r="41">
          <cell r="D41">
            <v>3</v>
          </cell>
          <cell r="E41">
            <v>1638</v>
          </cell>
          <cell r="R41">
            <v>2069</v>
          </cell>
        </row>
        <row r="42">
          <cell r="D42">
            <v>1</v>
          </cell>
          <cell r="E42">
            <v>1650</v>
          </cell>
          <cell r="R42">
            <v>2072</v>
          </cell>
        </row>
        <row r="43">
          <cell r="D43">
            <v>2</v>
          </cell>
          <cell r="E43">
            <v>1680</v>
          </cell>
          <cell r="R43">
            <v>2093</v>
          </cell>
        </row>
        <row r="44">
          <cell r="D44">
            <v>3</v>
          </cell>
          <cell r="E44">
            <v>1693</v>
          </cell>
          <cell r="R44">
            <v>2086</v>
          </cell>
        </row>
        <row r="45">
          <cell r="D45">
            <v>1</v>
          </cell>
          <cell r="E45">
            <v>1721</v>
          </cell>
          <cell r="R45">
            <v>2095</v>
          </cell>
        </row>
        <row r="46">
          <cell r="D46">
            <v>2</v>
          </cell>
          <cell r="E46">
            <v>1735</v>
          </cell>
          <cell r="R46">
            <v>2090</v>
          </cell>
        </row>
        <row r="47">
          <cell r="D47">
            <v>3</v>
          </cell>
          <cell r="E47">
            <v>1756</v>
          </cell>
          <cell r="R47">
            <v>2095</v>
          </cell>
        </row>
        <row r="48">
          <cell r="D48">
            <v>1</v>
          </cell>
          <cell r="E48">
            <v>1761</v>
          </cell>
          <cell r="R48">
            <v>2085</v>
          </cell>
        </row>
        <row r="49">
          <cell r="D49">
            <v>2</v>
          </cell>
          <cell r="E49">
            <v>1763</v>
          </cell>
          <cell r="R49">
            <v>2073</v>
          </cell>
        </row>
        <row r="50">
          <cell r="D50">
            <v>3</v>
          </cell>
          <cell r="E50">
            <v>1762</v>
          </cell>
          <cell r="R50">
            <v>2061</v>
          </cell>
        </row>
        <row r="51">
          <cell r="D51">
            <v>1</v>
          </cell>
          <cell r="E51">
            <v>1780</v>
          </cell>
          <cell r="R51">
            <v>2072</v>
          </cell>
        </row>
        <row r="52">
          <cell r="D52">
            <v>2</v>
          </cell>
          <cell r="E52">
            <v>1786</v>
          </cell>
          <cell r="R52">
            <v>2068</v>
          </cell>
        </row>
        <row r="53">
          <cell r="D53">
            <v>3</v>
          </cell>
          <cell r="E53">
            <v>1796</v>
          </cell>
          <cell r="R53">
            <v>2063</v>
          </cell>
        </row>
        <row r="54">
          <cell r="D54">
            <v>1</v>
          </cell>
          <cell r="E54">
            <v>1809</v>
          </cell>
          <cell r="R54">
            <v>2059</v>
          </cell>
        </row>
        <row r="55">
          <cell r="D55">
            <v>2</v>
          </cell>
          <cell r="E55">
            <v>1839</v>
          </cell>
          <cell r="R55">
            <v>2070</v>
          </cell>
        </row>
        <row r="56">
          <cell r="D56">
            <v>3</v>
          </cell>
          <cell r="E56">
            <v>1853</v>
          </cell>
          <cell r="R56">
            <v>2065</v>
          </cell>
        </row>
        <row r="57">
          <cell r="D57">
            <v>1</v>
          </cell>
          <cell r="E57">
            <v>1876</v>
          </cell>
          <cell r="R57">
            <v>2072</v>
          </cell>
        </row>
        <row r="58">
          <cell r="D58">
            <v>2</v>
          </cell>
          <cell r="E58">
            <v>1882</v>
          </cell>
          <cell r="R58">
            <v>2066</v>
          </cell>
        </row>
        <row r="59">
          <cell r="D59">
            <v>3</v>
          </cell>
          <cell r="E59">
            <v>1893</v>
          </cell>
          <cell r="R59">
            <v>2066</v>
          </cell>
        </row>
        <row r="60">
          <cell r="D60">
            <v>1</v>
          </cell>
          <cell r="E60">
            <v>1895</v>
          </cell>
          <cell r="R60">
            <v>2055</v>
          </cell>
        </row>
        <row r="61">
          <cell r="D61">
            <v>2</v>
          </cell>
          <cell r="E61">
            <v>1905</v>
          </cell>
          <cell r="R61">
            <v>2056</v>
          </cell>
        </row>
        <row r="62">
          <cell r="D62">
            <v>3</v>
          </cell>
          <cell r="E62">
            <v>1924</v>
          </cell>
          <cell r="R62">
            <v>2067</v>
          </cell>
        </row>
        <row r="63">
          <cell r="D63">
            <v>1</v>
          </cell>
          <cell r="E63">
            <v>1930</v>
          </cell>
          <cell r="R63">
            <v>2066</v>
          </cell>
        </row>
        <row r="64">
          <cell r="D64">
            <v>2</v>
          </cell>
          <cell r="E64">
            <v>1938</v>
          </cell>
          <cell r="R64">
            <v>2070</v>
          </cell>
        </row>
        <row r="65">
          <cell r="D65">
            <v>3</v>
          </cell>
          <cell r="E65">
            <v>1947</v>
          </cell>
          <cell r="R65">
            <v>2075</v>
          </cell>
        </row>
        <row r="66">
          <cell r="D66">
            <v>1</v>
          </cell>
          <cell r="E66">
            <v>1949</v>
          </cell>
          <cell r="R66">
            <v>2072</v>
          </cell>
        </row>
        <row r="67">
          <cell r="D67">
            <v>2</v>
          </cell>
          <cell r="E67">
            <v>1962</v>
          </cell>
          <cell r="R67">
            <v>2080</v>
          </cell>
        </row>
        <row r="68">
          <cell r="D68">
            <v>3</v>
          </cell>
          <cell r="E68">
            <v>1982</v>
          </cell>
          <cell r="R68">
            <v>2095</v>
          </cell>
        </row>
        <row r="69">
          <cell r="D69">
            <v>1</v>
          </cell>
          <cell r="E69">
            <v>2002</v>
          </cell>
          <cell r="R69">
            <v>2109</v>
          </cell>
        </row>
        <row r="70">
          <cell r="D70">
            <v>2</v>
          </cell>
          <cell r="E70">
            <v>1991</v>
          </cell>
          <cell r="R70">
            <v>2093</v>
          </cell>
        </row>
        <row r="71">
          <cell r="D71">
            <v>3</v>
          </cell>
          <cell r="E71">
            <v>1995</v>
          </cell>
          <cell r="R71">
            <v>2091</v>
          </cell>
        </row>
        <row r="72">
          <cell r="D72">
            <v>1</v>
          </cell>
          <cell r="E72">
            <v>1999</v>
          </cell>
          <cell r="R72">
            <v>2095</v>
          </cell>
        </row>
        <row r="73">
          <cell r="D73">
            <v>2</v>
          </cell>
          <cell r="E73">
            <v>1995</v>
          </cell>
          <cell r="R73">
            <v>2087</v>
          </cell>
        </row>
        <row r="74">
          <cell r="D74">
            <v>3</v>
          </cell>
          <cell r="E74">
            <v>1999</v>
          </cell>
          <cell r="R74">
            <v>2091</v>
          </cell>
        </row>
        <row r="75">
          <cell r="D75">
            <v>1</v>
          </cell>
          <cell r="E75">
            <v>2009</v>
          </cell>
          <cell r="R75">
            <v>2096</v>
          </cell>
        </row>
        <row r="76">
          <cell r="D76">
            <v>2</v>
          </cell>
          <cell r="E76">
            <v>2017</v>
          </cell>
          <cell r="R76">
            <v>2099</v>
          </cell>
        </row>
        <row r="77">
          <cell r="D77">
            <v>3</v>
          </cell>
          <cell r="E77">
            <v>2031</v>
          </cell>
          <cell r="R77">
            <v>2108</v>
          </cell>
        </row>
        <row r="78">
          <cell r="D78">
            <v>1</v>
          </cell>
          <cell r="E78">
            <v>2031</v>
          </cell>
          <cell r="R78">
            <v>2100</v>
          </cell>
        </row>
        <row r="79">
          <cell r="D79">
            <v>2</v>
          </cell>
          <cell r="E79">
            <v>2049</v>
          </cell>
          <cell r="R79">
            <v>2111</v>
          </cell>
        </row>
        <row r="80">
          <cell r="D80">
            <v>3</v>
          </cell>
          <cell r="E80">
            <v>2062</v>
          </cell>
          <cell r="R80">
            <v>2118</v>
          </cell>
        </row>
        <row r="81">
          <cell r="D81">
            <v>1</v>
          </cell>
          <cell r="E81">
            <v>2064</v>
          </cell>
          <cell r="R81">
            <v>2115</v>
          </cell>
        </row>
        <row r="82">
          <cell r="D82">
            <v>2</v>
          </cell>
          <cell r="E82">
            <v>2078</v>
          </cell>
          <cell r="R82">
            <v>2125</v>
          </cell>
        </row>
        <row r="83">
          <cell r="D83">
            <v>3</v>
          </cell>
          <cell r="E83">
            <v>2083</v>
          </cell>
          <cell r="R83">
            <v>2125</v>
          </cell>
        </row>
        <row r="84">
          <cell r="D84">
            <v>1</v>
          </cell>
          <cell r="E84">
            <v>2095</v>
          </cell>
          <cell r="R84">
            <v>2124</v>
          </cell>
        </row>
        <row r="85">
          <cell r="D85">
            <v>2</v>
          </cell>
          <cell r="E85">
            <v>2102</v>
          </cell>
          <cell r="R85">
            <v>2117</v>
          </cell>
        </row>
        <row r="86">
          <cell r="D86">
            <v>3</v>
          </cell>
          <cell r="E86">
            <v>2110</v>
          </cell>
          <cell r="R86">
            <v>2115</v>
          </cell>
        </row>
        <row r="87">
          <cell r="D87">
            <v>1</v>
          </cell>
          <cell r="E87">
            <v>2118</v>
          </cell>
          <cell r="R87">
            <v>2118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93" refreshError="1"/>
      <sheetData sheetId="9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1244</v>
          </cell>
          <cell r="R9">
            <v>1834</v>
          </cell>
        </row>
        <row r="10">
          <cell r="D10">
            <v>2</v>
          </cell>
          <cell r="E10">
            <v>1254</v>
          </cell>
          <cell r="R10">
            <v>1842</v>
          </cell>
        </row>
        <row r="11">
          <cell r="D11">
            <v>3</v>
          </cell>
          <cell r="E11">
            <v>1252</v>
          </cell>
          <cell r="R11">
            <v>1831</v>
          </cell>
        </row>
        <row r="12">
          <cell r="D12">
            <v>1</v>
          </cell>
          <cell r="E12">
            <v>1262</v>
          </cell>
          <cell r="R12">
            <v>1840</v>
          </cell>
        </row>
        <row r="13">
          <cell r="D13">
            <v>2</v>
          </cell>
          <cell r="E13">
            <v>1273</v>
          </cell>
          <cell r="R13">
            <v>1850</v>
          </cell>
        </row>
        <row r="14">
          <cell r="D14">
            <v>3</v>
          </cell>
          <cell r="E14">
            <v>1273</v>
          </cell>
          <cell r="R14">
            <v>1845</v>
          </cell>
        </row>
        <row r="15">
          <cell r="D15">
            <v>1</v>
          </cell>
          <cell r="E15">
            <v>1270</v>
          </cell>
          <cell r="R15">
            <v>1831</v>
          </cell>
        </row>
        <row r="16">
          <cell r="D16">
            <v>2</v>
          </cell>
          <cell r="E16">
            <v>1276</v>
          </cell>
          <cell r="R16">
            <v>1831</v>
          </cell>
        </row>
        <row r="17">
          <cell r="D17">
            <v>3</v>
          </cell>
          <cell r="E17">
            <v>1287</v>
          </cell>
          <cell r="R17">
            <v>1836</v>
          </cell>
        </row>
        <row r="18">
          <cell r="D18">
            <v>1</v>
          </cell>
          <cell r="E18">
            <v>1295</v>
          </cell>
          <cell r="R18">
            <v>1836</v>
          </cell>
        </row>
        <row r="19">
          <cell r="D19">
            <v>2</v>
          </cell>
          <cell r="E19">
            <v>1310</v>
          </cell>
          <cell r="R19">
            <v>1843</v>
          </cell>
        </row>
        <row r="20">
          <cell r="D20">
            <v>3</v>
          </cell>
          <cell r="E20">
            <v>1323</v>
          </cell>
          <cell r="R20">
            <v>1847</v>
          </cell>
        </row>
        <row r="21">
          <cell r="D21">
            <v>1</v>
          </cell>
          <cell r="E21">
            <v>1338</v>
          </cell>
          <cell r="R21">
            <v>1857</v>
          </cell>
        </row>
        <row r="22">
          <cell r="D22">
            <v>2</v>
          </cell>
          <cell r="E22">
            <v>1350</v>
          </cell>
          <cell r="R22">
            <v>1862</v>
          </cell>
        </row>
        <row r="23">
          <cell r="D23">
            <v>3</v>
          </cell>
          <cell r="E23">
            <v>1361</v>
          </cell>
          <cell r="R23">
            <v>1869</v>
          </cell>
        </row>
        <row r="24">
          <cell r="D24">
            <v>1</v>
          </cell>
          <cell r="E24">
            <v>1377</v>
          </cell>
          <cell r="R24">
            <v>1884</v>
          </cell>
        </row>
        <row r="25">
          <cell r="D25">
            <v>2</v>
          </cell>
          <cell r="E25">
            <v>1390</v>
          </cell>
          <cell r="R25">
            <v>1898</v>
          </cell>
        </row>
        <row r="26">
          <cell r="D26">
            <v>3</v>
          </cell>
          <cell r="E26">
            <v>1401</v>
          </cell>
          <cell r="R26">
            <v>1910</v>
          </cell>
        </row>
        <row r="27">
          <cell r="D27">
            <v>1</v>
          </cell>
          <cell r="E27">
            <v>1400</v>
          </cell>
          <cell r="R27">
            <v>1904</v>
          </cell>
        </row>
        <row r="28">
          <cell r="D28">
            <v>2</v>
          </cell>
          <cell r="E28">
            <v>1410</v>
          </cell>
          <cell r="R28">
            <v>1911</v>
          </cell>
        </row>
        <row r="29">
          <cell r="D29">
            <v>3</v>
          </cell>
          <cell r="E29">
            <v>1413</v>
          </cell>
          <cell r="R29">
            <v>1904</v>
          </cell>
        </row>
        <row r="30">
          <cell r="D30">
            <v>1</v>
          </cell>
          <cell r="E30">
            <v>1425</v>
          </cell>
          <cell r="R30">
            <v>1909</v>
          </cell>
        </row>
        <row r="31">
          <cell r="D31">
            <v>2</v>
          </cell>
          <cell r="E31">
            <v>1430</v>
          </cell>
          <cell r="R31">
            <v>1902</v>
          </cell>
        </row>
        <row r="32">
          <cell r="D32">
            <v>3</v>
          </cell>
          <cell r="E32">
            <v>1451</v>
          </cell>
          <cell r="R32">
            <v>1917</v>
          </cell>
        </row>
        <row r="33">
          <cell r="D33">
            <v>1</v>
          </cell>
          <cell r="E33">
            <v>1474</v>
          </cell>
          <cell r="R33">
            <v>1933</v>
          </cell>
        </row>
        <row r="34">
          <cell r="D34">
            <v>2</v>
          </cell>
          <cell r="E34">
            <v>1489</v>
          </cell>
          <cell r="R34">
            <v>1938</v>
          </cell>
        </row>
        <row r="35">
          <cell r="D35">
            <v>3</v>
          </cell>
          <cell r="E35">
            <v>1504</v>
          </cell>
          <cell r="R35">
            <v>1944</v>
          </cell>
        </row>
        <row r="36">
          <cell r="D36">
            <v>1</v>
          </cell>
          <cell r="E36">
            <v>1490</v>
          </cell>
          <cell r="R36">
            <v>1917</v>
          </cell>
        </row>
        <row r="37">
          <cell r="D37">
            <v>2</v>
          </cell>
          <cell r="E37">
            <v>1475</v>
          </cell>
          <cell r="R37">
            <v>1891</v>
          </cell>
        </row>
        <row r="38">
          <cell r="D38">
            <v>3</v>
          </cell>
          <cell r="E38">
            <v>1479</v>
          </cell>
          <cell r="R38">
            <v>1893</v>
          </cell>
        </row>
        <row r="39">
          <cell r="D39">
            <v>1</v>
          </cell>
          <cell r="E39">
            <v>1495</v>
          </cell>
          <cell r="R39">
            <v>1908</v>
          </cell>
        </row>
        <row r="40">
          <cell r="D40">
            <v>2</v>
          </cell>
          <cell r="E40">
            <v>1509</v>
          </cell>
          <cell r="R40">
            <v>1918</v>
          </cell>
        </row>
        <row r="41">
          <cell r="D41">
            <v>3</v>
          </cell>
          <cell r="E41">
            <v>1509</v>
          </cell>
          <cell r="R41">
            <v>1908</v>
          </cell>
        </row>
        <row r="42">
          <cell r="D42">
            <v>1</v>
          </cell>
          <cell r="E42">
            <v>1516</v>
          </cell>
          <cell r="R42">
            <v>1906</v>
          </cell>
        </row>
        <row r="43">
          <cell r="D43">
            <v>2</v>
          </cell>
          <cell r="E43">
            <v>1544</v>
          </cell>
          <cell r="R43">
            <v>1925</v>
          </cell>
        </row>
        <row r="44">
          <cell r="D44">
            <v>3</v>
          </cell>
          <cell r="E44">
            <v>1555</v>
          </cell>
          <cell r="R44">
            <v>1918</v>
          </cell>
        </row>
        <row r="45">
          <cell r="D45">
            <v>1</v>
          </cell>
          <cell r="E45">
            <v>1595</v>
          </cell>
          <cell r="R45">
            <v>1943</v>
          </cell>
        </row>
        <row r="46">
          <cell r="D46">
            <v>2</v>
          </cell>
          <cell r="E46">
            <v>1602</v>
          </cell>
          <cell r="R46">
            <v>1931</v>
          </cell>
        </row>
        <row r="47">
          <cell r="D47">
            <v>3</v>
          </cell>
          <cell r="E47">
            <v>1628</v>
          </cell>
          <cell r="R47">
            <v>1944</v>
          </cell>
        </row>
        <row r="48">
          <cell r="D48">
            <v>1</v>
          </cell>
          <cell r="E48">
            <v>1632</v>
          </cell>
          <cell r="R48">
            <v>1934</v>
          </cell>
        </row>
        <row r="49">
          <cell r="D49">
            <v>2</v>
          </cell>
          <cell r="E49">
            <v>1637</v>
          </cell>
          <cell r="R49">
            <v>1926</v>
          </cell>
        </row>
        <row r="50">
          <cell r="D50">
            <v>3</v>
          </cell>
          <cell r="E50">
            <v>1630</v>
          </cell>
          <cell r="R50">
            <v>1908</v>
          </cell>
        </row>
        <row r="51">
          <cell r="D51">
            <v>1</v>
          </cell>
          <cell r="E51">
            <v>1644</v>
          </cell>
          <cell r="R51">
            <v>1914</v>
          </cell>
        </row>
        <row r="52">
          <cell r="D52">
            <v>2</v>
          </cell>
          <cell r="E52">
            <v>1653</v>
          </cell>
          <cell r="R52">
            <v>1914</v>
          </cell>
        </row>
        <row r="53">
          <cell r="D53">
            <v>3</v>
          </cell>
          <cell r="E53">
            <v>1661</v>
          </cell>
          <cell r="R53">
            <v>1909</v>
          </cell>
        </row>
        <row r="54">
          <cell r="D54">
            <v>1</v>
          </cell>
          <cell r="E54">
            <v>1666</v>
          </cell>
          <cell r="R54">
            <v>1896</v>
          </cell>
        </row>
        <row r="55">
          <cell r="D55">
            <v>2</v>
          </cell>
          <cell r="E55">
            <v>1693</v>
          </cell>
          <cell r="R55">
            <v>1908</v>
          </cell>
        </row>
        <row r="56">
          <cell r="D56">
            <v>3</v>
          </cell>
          <cell r="E56">
            <v>1713</v>
          </cell>
          <cell r="R56">
            <v>1910</v>
          </cell>
        </row>
        <row r="57">
          <cell r="D57">
            <v>1</v>
          </cell>
          <cell r="E57">
            <v>1733</v>
          </cell>
          <cell r="R57">
            <v>1916</v>
          </cell>
        </row>
        <row r="58">
          <cell r="D58">
            <v>2</v>
          </cell>
          <cell r="E58">
            <v>1734</v>
          </cell>
          <cell r="R58">
            <v>1905</v>
          </cell>
        </row>
        <row r="59">
          <cell r="D59">
            <v>3</v>
          </cell>
          <cell r="E59">
            <v>1741</v>
          </cell>
          <cell r="R59">
            <v>1901</v>
          </cell>
        </row>
        <row r="60">
          <cell r="D60">
            <v>1</v>
          </cell>
          <cell r="E60">
            <v>1732</v>
          </cell>
          <cell r="R60">
            <v>1880</v>
          </cell>
        </row>
        <row r="61">
          <cell r="D61">
            <v>2</v>
          </cell>
          <cell r="E61">
            <v>1741</v>
          </cell>
          <cell r="R61">
            <v>1880</v>
          </cell>
        </row>
        <row r="62">
          <cell r="D62">
            <v>3</v>
          </cell>
          <cell r="E62">
            <v>1757</v>
          </cell>
          <cell r="R62">
            <v>1889</v>
          </cell>
        </row>
        <row r="63">
          <cell r="D63">
            <v>1</v>
          </cell>
          <cell r="E63">
            <v>1769</v>
          </cell>
          <cell r="R63">
            <v>1896</v>
          </cell>
        </row>
        <row r="64">
          <cell r="D64">
            <v>2</v>
          </cell>
          <cell r="E64">
            <v>1777</v>
          </cell>
          <cell r="R64">
            <v>1898</v>
          </cell>
        </row>
        <row r="65">
          <cell r="D65">
            <v>3</v>
          </cell>
          <cell r="E65">
            <v>1776</v>
          </cell>
          <cell r="R65">
            <v>1895</v>
          </cell>
        </row>
        <row r="66">
          <cell r="D66">
            <v>1</v>
          </cell>
          <cell r="E66">
            <v>1775</v>
          </cell>
          <cell r="R66">
            <v>1889</v>
          </cell>
        </row>
        <row r="67">
          <cell r="D67">
            <v>2</v>
          </cell>
          <cell r="E67">
            <v>1784</v>
          </cell>
          <cell r="R67">
            <v>1894</v>
          </cell>
        </row>
        <row r="68">
          <cell r="D68">
            <v>3</v>
          </cell>
          <cell r="E68">
            <v>1805</v>
          </cell>
          <cell r="R68">
            <v>1909</v>
          </cell>
        </row>
        <row r="69">
          <cell r="D69">
            <v>1</v>
          </cell>
          <cell r="E69">
            <v>1828</v>
          </cell>
          <cell r="R69">
            <v>1927</v>
          </cell>
        </row>
        <row r="70">
          <cell r="D70">
            <v>2</v>
          </cell>
          <cell r="E70">
            <v>1822</v>
          </cell>
          <cell r="R70">
            <v>1917</v>
          </cell>
        </row>
        <row r="71">
          <cell r="D71">
            <v>3</v>
          </cell>
          <cell r="E71">
            <v>1823</v>
          </cell>
          <cell r="R71">
            <v>1914</v>
          </cell>
        </row>
        <row r="72">
          <cell r="D72">
            <v>1</v>
          </cell>
          <cell r="E72">
            <v>1828</v>
          </cell>
          <cell r="R72">
            <v>1917</v>
          </cell>
        </row>
        <row r="73">
          <cell r="D73">
            <v>2</v>
          </cell>
          <cell r="E73">
            <v>1824</v>
          </cell>
          <cell r="R73">
            <v>1911</v>
          </cell>
        </row>
        <row r="74">
          <cell r="D74">
            <v>3</v>
          </cell>
          <cell r="E74">
            <v>1832</v>
          </cell>
          <cell r="R74">
            <v>1919</v>
          </cell>
        </row>
        <row r="75">
          <cell r="D75">
            <v>1</v>
          </cell>
          <cell r="E75">
            <v>1844</v>
          </cell>
          <cell r="R75">
            <v>1926</v>
          </cell>
        </row>
        <row r="76">
          <cell r="D76">
            <v>2</v>
          </cell>
          <cell r="E76">
            <v>1852</v>
          </cell>
          <cell r="R76">
            <v>1929</v>
          </cell>
        </row>
        <row r="77">
          <cell r="D77">
            <v>3</v>
          </cell>
          <cell r="E77">
            <v>1863</v>
          </cell>
          <cell r="R77">
            <v>1935</v>
          </cell>
        </row>
        <row r="78">
          <cell r="D78">
            <v>1</v>
          </cell>
          <cell r="E78">
            <v>1863</v>
          </cell>
          <cell r="R78">
            <v>1927</v>
          </cell>
        </row>
        <row r="79">
          <cell r="D79">
            <v>2</v>
          </cell>
          <cell r="E79">
            <v>1875</v>
          </cell>
          <cell r="R79">
            <v>1933</v>
          </cell>
        </row>
        <row r="80">
          <cell r="D80">
            <v>3</v>
          </cell>
          <cell r="E80">
            <v>1879</v>
          </cell>
          <cell r="R80">
            <v>1930</v>
          </cell>
        </row>
        <row r="81">
          <cell r="D81">
            <v>1</v>
          </cell>
          <cell r="E81">
            <v>1868</v>
          </cell>
          <cell r="R81">
            <v>1914</v>
          </cell>
        </row>
        <row r="82">
          <cell r="D82">
            <v>2</v>
          </cell>
          <cell r="E82">
            <v>1883</v>
          </cell>
          <cell r="R82">
            <v>1926</v>
          </cell>
        </row>
        <row r="83">
          <cell r="D83">
            <v>3</v>
          </cell>
          <cell r="E83">
            <v>1884</v>
          </cell>
          <cell r="R83">
            <v>1922</v>
          </cell>
        </row>
        <row r="84">
          <cell r="D84">
            <v>1</v>
          </cell>
          <cell r="E84">
            <v>1903</v>
          </cell>
          <cell r="R84">
            <v>1930</v>
          </cell>
        </row>
        <row r="85">
          <cell r="D85">
            <v>2</v>
          </cell>
          <cell r="E85">
            <v>1907</v>
          </cell>
          <cell r="R85">
            <v>1922</v>
          </cell>
        </row>
        <row r="86">
          <cell r="D86">
            <v>3</v>
          </cell>
          <cell r="E86">
            <v>1920</v>
          </cell>
          <cell r="R86">
            <v>1925</v>
          </cell>
        </row>
        <row r="87">
          <cell r="D87">
            <v>1</v>
          </cell>
          <cell r="E87">
            <v>1926</v>
          </cell>
          <cell r="R87">
            <v>1926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95" refreshError="1"/>
      <sheetData sheetId="9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1367</v>
          </cell>
          <cell r="R9">
            <v>2017</v>
          </cell>
        </row>
        <row r="10">
          <cell r="D10">
            <v>2</v>
          </cell>
          <cell r="E10">
            <v>1381</v>
          </cell>
          <cell r="R10">
            <v>2029</v>
          </cell>
        </row>
        <row r="11">
          <cell r="D11">
            <v>3</v>
          </cell>
          <cell r="E11">
            <v>1385</v>
          </cell>
          <cell r="R11">
            <v>2027</v>
          </cell>
        </row>
        <row r="12">
          <cell r="D12">
            <v>1</v>
          </cell>
          <cell r="E12">
            <v>1395</v>
          </cell>
          <cell r="R12">
            <v>2034</v>
          </cell>
        </row>
        <row r="13">
          <cell r="D13">
            <v>2</v>
          </cell>
          <cell r="E13">
            <v>1407</v>
          </cell>
          <cell r="R13">
            <v>2045</v>
          </cell>
        </row>
        <row r="14">
          <cell r="D14">
            <v>3</v>
          </cell>
          <cell r="E14">
            <v>1408</v>
          </cell>
          <cell r="R14">
            <v>2041</v>
          </cell>
        </row>
        <row r="15">
          <cell r="D15">
            <v>1</v>
          </cell>
          <cell r="E15">
            <v>1403</v>
          </cell>
          <cell r="R15">
            <v>2025</v>
          </cell>
        </row>
        <row r="16">
          <cell r="D16">
            <v>2</v>
          </cell>
          <cell r="E16">
            <v>1410</v>
          </cell>
          <cell r="R16">
            <v>2024</v>
          </cell>
        </row>
        <row r="17">
          <cell r="D17">
            <v>3</v>
          </cell>
          <cell r="E17">
            <v>1425</v>
          </cell>
          <cell r="R17">
            <v>2034</v>
          </cell>
        </row>
        <row r="18">
          <cell r="D18">
            <v>1</v>
          </cell>
          <cell r="E18">
            <v>1436</v>
          </cell>
          <cell r="R18">
            <v>2036</v>
          </cell>
        </row>
        <row r="19">
          <cell r="D19">
            <v>2</v>
          </cell>
          <cell r="E19">
            <v>1452</v>
          </cell>
          <cell r="R19">
            <v>2043</v>
          </cell>
        </row>
        <row r="20">
          <cell r="D20">
            <v>3</v>
          </cell>
          <cell r="E20">
            <v>1464</v>
          </cell>
          <cell r="R20">
            <v>2046</v>
          </cell>
        </row>
        <row r="21">
          <cell r="D21">
            <v>1</v>
          </cell>
          <cell r="E21">
            <v>1479</v>
          </cell>
          <cell r="R21">
            <v>2052</v>
          </cell>
        </row>
        <row r="22">
          <cell r="D22">
            <v>2</v>
          </cell>
          <cell r="E22">
            <v>1485</v>
          </cell>
          <cell r="R22">
            <v>2051</v>
          </cell>
        </row>
        <row r="23">
          <cell r="D23">
            <v>3</v>
          </cell>
          <cell r="E23">
            <v>1496</v>
          </cell>
          <cell r="R23">
            <v>2057</v>
          </cell>
        </row>
        <row r="24">
          <cell r="D24">
            <v>1</v>
          </cell>
          <cell r="E24">
            <v>1512</v>
          </cell>
          <cell r="R24">
            <v>2070</v>
          </cell>
        </row>
        <row r="25">
          <cell r="D25">
            <v>2</v>
          </cell>
          <cell r="E25">
            <v>1528</v>
          </cell>
          <cell r="R25">
            <v>2088</v>
          </cell>
        </row>
        <row r="26">
          <cell r="D26">
            <v>3</v>
          </cell>
          <cell r="E26">
            <v>1539</v>
          </cell>
          <cell r="R26">
            <v>2099</v>
          </cell>
        </row>
        <row r="27">
          <cell r="D27">
            <v>1</v>
          </cell>
          <cell r="E27">
            <v>1535</v>
          </cell>
          <cell r="R27">
            <v>2089</v>
          </cell>
        </row>
        <row r="28">
          <cell r="D28">
            <v>2</v>
          </cell>
          <cell r="E28">
            <v>1547</v>
          </cell>
          <cell r="R28">
            <v>2097</v>
          </cell>
        </row>
        <row r="29">
          <cell r="D29">
            <v>3</v>
          </cell>
          <cell r="E29">
            <v>1548</v>
          </cell>
          <cell r="R29">
            <v>2088</v>
          </cell>
        </row>
        <row r="30">
          <cell r="D30">
            <v>1</v>
          </cell>
          <cell r="E30">
            <v>1565</v>
          </cell>
          <cell r="R30">
            <v>2097</v>
          </cell>
        </row>
        <row r="31">
          <cell r="D31">
            <v>2</v>
          </cell>
          <cell r="E31">
            <v>1568</v>
          </cell>
          <cell r="R31">
            <v>2087</v>
          </cell>
        </row>
        <row r="32">
          <cell r="D32">
            <v>3</v>
          </cell>
          <cell r="E32">
            <v>1590</v>
          </cell>
          <cell r="R32">
            <v>2101</v>
          </cell>
        </row>
        <row r="33">
          <cell r="D33">
            <v>1</v>
          </cell>
          <cell r="E33">
            <v>1616</v>
          </cell>
          <cell r="R33">
            <v>2120</v>
          </cell>
        </row>
        <row r="34">
          <cell r="D34">
            <v>2</v>
          </cell>
          <cell r="E34">
            <v>1631</v>
          </cell>
          <cell r="R34">
            <v>2123</v>
          </cell>
        </row>
        <row r="35">
          <cell r="D35">
            <v>3</v>
          </cell>
          <cell r="E35">
            <v>1642</v>
          </cell>
          <cell r="R35">
            <v>2124</v>
          </cell>
        </row>
        <row r="36">
          <cell r="D36">
            <v>1</v>
          </cell>
          <cell r="E36">
            <v>1625</v>
          </cell>
          <cell r="R36">
            <v>2091</v>
          </cell>
        </row>
        <row r="37">
          <cell r="D37">
            <v>2</v>
          </cell>
          <cell r="E37">
            <v>1609</v>
          </cell>
          <cell r="R37">
            <v>2064</v>
          </cell>
        </row>
        <row r="38">
          <cell r="D38">
            <v>3</v>
          </cell>
          <cell r="E38">
            <v>1619</v>
          </cell>
          <cell r="R38">
            <v>2073</v>
          </cell>
        </row>
        <row r="39">
          <cell r="D39">
            <v>1</v>
          </cell>
          <cell r="E39">
            <v>1636</v>
          </cell>
          <cell r="R39">
            <v>2088</v>
          </cell>
        </row>
        <row r="40">
          <cell r="D40">
            <v>2</v>
          </cell>
          <cell r="E40">
            <v>1650</v>
          </cell>
          <cell r="R40">
            <v>2098</v>
          </cell>
        </row>
        <row r="41">
          <cell r="D41">
            <v>3</v>
          </cell>
          <cell r="E41">
            <v>1647</v>
          </cell>
          <cell r="R41">
            <v>2083</v>
          </cell>
        </row>
        <row r="42">
          <cell r="D42">
            <v>1</v>
          </cell>
          <cell r="E42">
            <v>1659</v>
          </cell>
          <cell r="R42">
            <v>2087</v>
          </cell>
        </row>
        <row r="43">
          <cell r="D43">
            <v>2</v>
          </cell>
          <cell r="E43">
            <v>1688</v>
          </cell>
          <cell r="R43">
            <v>2106</v>
          </cell>
        </row>
        <row r="44">
          <cell r="D44">
            <v>3</v>
          </cell>
          <cell r="E44">
            <v>1705</v>
          </cell>
          <cell r="R44">
            <v>2104</v>
          </cell>
        </row>
        <row r="45">
          <cell r="D45">
            <v>1</v>
          </cell>
          <cell r="E45">
            <v>1744</v>
          </cell>
          <cell r="R45">
            <v>2125</v>
          </cell>
        </row>
        <row r="46">
          <cell r="D46">
            <v>2</v>
          </cell>
          <cell r="E46">
            <v>1757</v>
          </cell>
          <cell r="R46">
            <v>2118</v>
          </cell>
        </row>
        <row r="47">
          <cell r="D47">
            <v>3</v>
          </cell>
          <cell r="E47">
            <v>1788</v>
          </cell>
          <cell r="R47">
            <v>2136</v>
          </cell>
        </row>
        <row r="48">
          <cell r="D48">
            <v>1</v>
          </cell>
          <cell r="E48">
            <v>1798</v>
          </cell>
          <cell r="R48">
            <v>2132</v>
          </cell>
        </row>
        <row r="49">
          <cell r="D49">
            <v>2</v>
          </cell>
          <cell r="E49">
            <v>1803</v>
          </cell>
          <cell r="R49">
            <v>2123</v>
          </cell>
        </row>
        <row r="50">
          <cell r="D50">
            <v>3</v>
          </cell>
          <cell r="E50">
            <v>1794</v>
          </cell>
          <cell r="R50">
            <v>2100</v>
          </cell>
        </row>
        <row r="51">
          <cell r="D51">
            <v>1</v>
          </cell>
          <cell r="E51">
            <v>1802</v>
          </cell>
          <cell r="R51">
            <v>2099</v>
          </cell>
        </row>
        <row r="52">
          <cell r="D52">
            <v>2</v>
          </cell>
          <cell r="E52">
            <v>1809</v>
          </cell>
          <cell r="R52">
            <v>2096</v>
          </cell>
        </row>
        <row r="53">
          <cell r="D53">
            <v>3</v>
          </cell>
          <cell r="E53">
            <v>1812</v>
          </cell>
          <cell r="R53">
            <v>2082</v>
          </cell>
        </row>
        <row r="54">
          <cell r="D54">
            <v>1</v>
          </cell>
          <cell r="E54">
            <v>1816</v>
          </cell>
          <cell r="R54">
            <v>2068</v>
          </cell>
        </row>
        <row r="55">
          <cell r="D55">
            <v>2</v>
          </cell>
          <cell r="E55">
            <v>1844</v>
          </cell>
          <cell r="R55">
            <v>2078</v>
          </cell>
        </row>
        <row r="56">
          <cell r="D56">
            <v>3</v>
          </cell>
          <cell r="E56">
            <v>1873</v>
          </cell>
          <cell r="R56">
            <v>2089</v>
          </cell>
        </row>
        <row r="57">
          <cell r="D57">
            <v>1</v>
          </cell>
          <cell r="E57">
            <v>1907</v>
          </cell>
          <cell r="R57">
            <v>2109</v>
          </cell>
        </row>
        <row r="58">
          <cell r="D58">
            <v>2</v>
          </cell>
          <cell r="E58">
            <v>1907</v>
          </cell>
          <cell r="R58">
            <v>2096</v>
          </cell>
        </row>
        <row r="59">
          <cell r="D59">
            <v>3</v>
          </cell>
          <cell r="E59">
            <v>1907</v>
          </cell>
          <cell r="R59">
            <v>2083</v>
          </cell>
        </row>
        <row r="60">
          <cell r="D60">
            <v>1</v>
          </cell>
          <cell r="E60">
            <v>1887</v>
          </cell>
          <cell r="R60">
            <v>2049</v>
          </cell>
        </row>
        <row r="61">
          <cell r="D61">
            <v>2</v>
          </cell>
          <cell r="E61">
            <v>1899</v>
          </cell>
          <cell r="R61">
            <v>2051</v>
          </cell>
        </row>
        <row r="62">
          <cell r="D62">
            <v>3</v>
          </cell>
          <cell r="E62">
            <v>1922</v>
          </cell>
          <cell r="R62">
            <v>2067</v>
          </cell>
        </row>
        <row r="63">
          <cell r="D63">
            <v>1</v>
          </cell>
          <cell r="E63">
            <v>1938</v>
          </cell>
          <cell r="R63">
            <v>2077</v>
          </cell>
        </row>
        <row r="64">
          <cell r="D64">
            <v>2</v>
          </cell>
          <cell r="E64">
            <v>1955</v>
          </cell>
          <cell r="R64">
            <v>2090</v>
          </cell>
        </row>
        <row r="65">
          <cell r="D65">
            <v>3</v>
          </cell>
          <cell r="E65">
            <v>1958</v>
          </cell>
          <cell r="R65">
            <v>2090</v>
          </cell>
        </row>
        <row r="66">
          <cell r="D66">
            <v>1</v>
          </cell>
          <cell r="E66">
            <v>1962</v>
          </cell>
          <cell r="R66">
            <v>2089</v>
          </cell>
        </row>
        <row r="67">
          <cell r="D67">
            <v>2</v>
          </cell>
          <cell r="E67">
            <v>1965</v>
          </cell>
          <cell r="R67">
            <v>2086</v>
          </cell>
        </row>
        <row r="68">
          <cell r="D68">
            <v>3</v>
          </cell>
          <cell r="E68">
            <v>1983</v>
          </cell>
          <cell r="R68">
            <v>2099</v>
          </cell>
        </row>
        <row r="69">
          <cell r="D69">
            <v>1</v>
          </cell>
          <cell r="E69">
            <v>2003</v>
          </cell>
          <cell r="R69">
            <v>2113</v>
          </cell>
        </row>
        <row r="70">
          <cell r="D70">
            <v>2</v>
          </cell>
          <cell r="E70">
            <v>2006</v>
          </cell>
          <cell r="R70">
            <v>2112</v>
          </cell>
        </row>
        <row r="71">
          <cell r="D71">
            <v>3</v>
          </cell>
          <cell r="E71">
            <v>2011</v>
          </cell>
          <cell r="R71">
            <v>2112</v>
          </cell>
        </row>
        <row r="72">
          <cell r="D72">
            <v>1</v>
          </cell>
          <cell r="E72">
            <v>2025</v>
          </cell>
          <cell r="R72">
            <v>2126</v>
          </cell>
        </row>
        <row r="73">
          <cell r="D73">
            <v>2</v>
          </cell>
          <cell r="E73">
            <v>2025</v>
          </cell>
          <cell r="R73">
            <v>2122</v>
          </cell>
        </row>
        <row r="74">
          <cell r="D74">
            <v>3</v>
          </cell>
          <cell r="E74">
            <v>2033</v>
          </cell>
          <cell r="R74">
            <v>2130</v>
          </cell>
        </row>
        <row r="75">
          <cell r="D75">
            <v>1</v>
          </cell>
          <cell r="E75">
            <v>2035</v>
          </cell>
          <cell r="R75">
            <v>2127</v>
          </cell>
        </row>
        <row r="76">
          <cell r="D76">
            <v>2</v>
          </cell>
          <cell r="E76">
            <v>2048</v>
          </cell>
          <cell r="R76">
            <v>2134</v>
          </cell>
        </row>
        <row r="77">
          <cell r="D77">
            <v>3</v>
          </cell>
          <cell r="E77">
            <v>2072</v>
          </cell>
          <cell r="R77">
            <v>2153</v>
          </cell>
        </row>
        <row r="78">
          <cell r="D78">
            <v>1</v>
          </cell>
          <cell r="E78">
            <v>2090</v>
          </cell>
          <cell r="R78">
            <v>2163</v>
          </cell>
        </row>
        <row r="79">
          <cell r="D79">
            <v>2</v>
          </cell>
          <cell r="E79">
            <v>2096</v>
          </cell>
          <cell r="R79">
            <v>2161</v>
          </cell>
        </row>
        <row r="80">
          <cell r="D80">
            <v>3</v>
          </cell>
          <cell r="E80">
            <v>2097</v>
          </cell>
          <cell r="R80">
            <v>2154</v>
          </cell>
        </row>
        <row r="81">
          <cell r="D81">
            <v>1</v>
          </cell>
          <cell r="E81">
            <v>2074</v>
          </cell>
          <cell r="R81">
            <v>2126</v>
          </cell>
        </row>
        <row r="82">
          <cell r="D82">
            <v>2</v>
          </cell>
          <cell r="E82">
            <v>2090</v>
          </cell>
          <cell r="R82">
            <v>2138</v>
          </cell>
        </row>
        <row r="83">
          <cell r="D83">
            <v>3</v>
          </cell>
          <cell r="E83">
            <v>2089</v>
          </cell>
          <cell r="R83">
            <v>2132</v>
          </cell>
        </row>
        <row r="84">
          <cell r="D84">
            <v>1</v>
          </cell>
          <cell r="E84">
            <v>2099</v>
          </cell>
          <cell r="R84">
            <v>2130</v>
          </cell>
        </row>
        <row r="85">
          <cell r="D85">
            <v>2</v>
          </cell>
          <cell r="E85">
            <v>2109</v>
          </cell>
          <cell r="R85">
            <v>2125</v>
          </cell>
        </row>
        <row r="86">
          <cell r="D86">
            <v>3</v>
          </cell>
          <cell r="E86">
            <v>2121</v>
          </cell>
          <cell r="R86">
            <v>2127</v>
          </cell>
        </row>
        <row r="87">
          <cell r="D87">
            <v>1</v>
          </cell>
          <cell r="E87">
            <v>2134</v>
          </cell>
          <cell r="R87">
            <v>2134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97" refreshError="1"/>
      <sheetData sheetId="9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865</v>
          </cell>
          <cell r="R9">
            <v>1275</v>
          </cell>
        </row>
        <row r="10">
          <cell r="D10">
            <v>2</v>
          </cell>
          <cell r="E10">
            <v>863</v>
          </cell>
          <cell r="R10">
            <v>1266</v>
          </cell>
        </row>
        <row r="11">
          <cell r="D11">
            <v>3</v>
          </cell>
          <cell r="E11">
            <v>842</v>
          </cell>
          <cell r="R11">
            <v>1230</v>
          </cell>
        </row>
        <row r="12">
          <cell r="D12">
            <v>1</v>
          </cell>
          <cell r="E12">
            <v>851</v>
          </cell>
          <cell r="R12">
            <v>1239</v>
          </cell>
        </row>
        <row r="13">
          <cell r="D13">
            <v>2</v>
          </cell>
          <cell r="E13">
            <v>857</v>
          </cell>
          <cell r="R13">
            <v>1244</v>
          </cell>
        </row>
        <row r="14">
          <cell r="D14">
            <v>3</v>
          </cell>
          <cell r="E14">
            <v>857</v>
          </cell>
          <cell r="R14">
            <v>1239</v>
          </cell>
        </row>
        <row r="15">
          <cell r="D15">
            <v>1</v>
          </cell>
          <cell r="E15">
            <v>859</v>
          </cell>
          <cell r="R15">
            <v>1237</v>
          </cell>
        </row>
        <row r="16">
          <cell r="D16">
            <v>2</v>
          </cell>
          <cell r="E16">
            <v>862</v>
          </cell>
          <cell r="R16">
            <v>1234</v>
          </cell>
        </row>
        <row r="17">
          <cell r="D17">
            <v>3</v>
          </cell>
          <cell r="E17">
            <v>860</v>
          </cell>
          <cell r="R17">
            <v>1223</v>
          </cell>
        </row>
        <row r="18">
          <cell r="D18">
            <v>1</v>
          </cell>
          <cell r="E18">
            <v>848</v>
          </cell>
          <cell r="R18">
            <v>1198</v>
          </cell>
        </row>
        <row r="19">
          <cell r="D19">
            <v>2</v>
          </cell>
          <cell r="E19">
            <v>855</v>
          </cell>
          <cell r="R19">
            <v>1199</v>
          </cell>
        </row>
        <row r="20">
          <cell r="D20">
            <v>3</v>
          </cell>
          <cell r="E20">
            <v>866</v>
          </cell>
          <cell r="R20">
            <v>1205</v>
          </cell>
        </row>
        <row r="21">
          <cell r="D21">
            <v>1</v>
          </cell>
          <cell r="E21">
            <v>890</v>
          </cell>
          <cell r="R21">
            <v>1231</v>
          </cell>
        </row>
        <row r="22">
          <cell r="D22">
            <v>2</v>
          </cell>
          <cell r="E22">
            <v>913</v>
          </cell>
          <cell r="R22">
            <v>1256</v>
          </cell>
        </row>
        <row r="23">
          <cell r="D23">
            <v>3</v>
          </cell>
          <cell r="E23">
            <v>922</v>
          </cell>
          <cell r="R23">
            <v>1262</v>
          </cell>
        </row>
        <row r="24">
          <cell r="D24">
            <v>1</v>
          </cell>
          <cell r="E24">
            <v>939</v>
          </cell>
          <cell r="R24">
            <v>1281</v>
          </cell>
        </row>
        <row r="25">
          <cell r="D25">
            <v>2</v>
          </cell>
          <cell r="E25">
            <v>937</v>
          </cell>
          <cell r="R25">
            <v>1275</v>
          </cell>
        </row>
        <row r="26">
          <cell r="D26">
            <v>3</v>
          </cell>
          <cell r="E26">
            <v>952</v>
          </cell>
          <cell r="R26">
            <v>1294</v>
          </cell>
        </row>
        <row r="27">
          <cell r="D27">
            <v>1</v>
          </cell>
          <cell r="E27">
            <v>956</v>
          </cell>
          <cell r="R27">
            <v>1297</v>
          </cell>
        </row>
        <row r="28">
          <cell r="D28">
            <v>2</v>
          </cell>
          <cell r="E28">
            <v>956</v>
          </cell>
          <cell r="R28">
            <v>1292</v>
          </cell>
        </row>
        <row r="29">
          <cell r="D29">
            <v>3</v>
          </cell>
          <cell r="E29">
            <v>960</v>
          </cell>
          <cell r="R29">
            <v>1291</v>
          </cell>
        </row>
        <row r="30">
          <cell r="D30">
            <v>1</v>
          </cell>
          <cell r="E30">
            <v>953</v>
          </cell>
          <cell r="R30">
            <v>1273</v>
          </cell>
        </row>
        <row r="31">
          <cell r="D31">
            <v>2</v>
          </cell>
          <cell r="E31">
            <v>961</v>
          </cell>
          <cell r="R31">
            <v>1275</v>
          </cell>
        </row>
        <row r="32">
          <cell r="D32">
            <v>3</v>
          </cell>
          <cell r="E32">
            <v>971</v>
          </cell>
          <cell r="R32">
            <v>1279</v>
          </cell>
        </row>
        <row r="33">
          <cell r="D33">
            <v>1</v>
          </cell>
          <cell r="E33">
            <v>980</v>
          </cell>
          <cell r="R33">
            <v>1282</v>
          </cell>
        </row>
        <row r="34">
          <cell r="D34">
            <v>2</v>
          </cell>
          <cell r="E34">
            <v>991</v>
          </cell>
          <cell r="R34">
            <v>1287</v>
          </cell>
        </row>
        <row r="35">
          <cell r="D35">
            <v>3</v>
          </cell>
          <cell r="E35">
            <v>1013</v>
          </cell>
          <cell r="R35">
            <v>1307</v>
          </cell>
        </row>
        <row r="36">
          <cell r="D36">
            <v>1</v>
          </cell>
          <cell r="E36">
            <v>1008</v>
          </cell>
          <cell r="R36">
            <v>1294</v>
          </cell>
        </row>
        <row r="37">
          <cell r="D37">
            <v>2</v>
          </cell>
          <cell r="E37">
            <v>994</v>
          </cell>
          <cell r="R37">
            <v>1271</v>
          </cell>
        </row>
        <row r="38">
          <cell r="D38">
            <v>3</v>
          </cell>
          <cell r="E38">
            <v>976</v>
          </cell>
          <cell r="R38">
            <v>1245</v>
          </cell>
        </row>
        <row r="39">
          <cell r="D39">
            <v>1</v>
          </cell>
          <cell r="E39">
            <v>990</v>
          </cell>
          <cell r="R39">
            <v>1260</v>
          </cell>
        </row>
        <row r="40">
          <cell r="D40">
            <v>2</v>
          </cell>
          <cell r="E40">
            <v>1013</v>
          </cell>
          <cell r="R40">
            <v>1285</v>
          </cell>
        </row>
        <row r="41">
          <cell r="D41">
            <v>3</v>
          </cell>
          <cell r="E41">
            <v>1028</v>
          </cell>
          <cell r="R41">
            <v>1297</v>
          </cell>
        </row>
        <row r="42">
          <cell r="D42">
            <v>1</v>
          </cell>
          <cell r="E42">
            <v>1017</v>
          </cell>
          <cell r="R42">
            <v>1276</v>
          </cell>
        </row>
        <row r="43">
          <cell r="D43">
            <v>2</v>
          </cell>
          <cell r="E43">
            <v>1037</v>
          </cell>
          <cell r="R43">
            <v>1291</v>
          </cell>
        </row>
        <row r="44">
          <cell r="D44">
            <v>3</v>
          </cell>
          <cell r="E44">
            <v>1020</v>
          </cell>
          <cell r="R44">
            <v>1256</v>
          </cell>
        </row>
        <row r="45">
          <cell r="D45">
            <v>1</v>
          </cell>
          <cell r="E45">
            <v>1058</v>
          </cell>
          <cell r="R45">
            <v>1286</v>
          </cell>
        </row>
        <row r="46">
          <cell r="D46">
            <v>2</v>
          </cell>
          <cell r="E46">
            <v>1043</v>
          </cell>
          <cell r="R46">
            <v>1255</v>
          </cell>
        </row>
        <row r="47">
          <cell r="D47">
            <v>3</v>
          </cell>
          <cell r="E47">
            <v>1054</v>
          </cell>
          <cell r="R47">
            <v>1257</v>
          </cell>
        </row>
        <row r="48">
          <cell r="D48">
            <v>1</v>
          </cell>
          <cell r="E48">
            <v>1039</v>
          </cell>
          <cell r="R48">
            <v>1229</v>
          </cell>
        </row>
        <row r="49">
          <cell r="D49">
            <v>2</v>
          </cell>
          <cell r="E49">
            <v>1043</v>
          </cell>
          <cell r="R49">
            <v>1225</v>
          </cell>
        </row>
        <row r="50">
          <cell r="D50">
            <v>3</v>
          </cell>
          <cell r="E50">
            <v>1051</v>
          </cell>
          <cell r="R50">
            <v>1227</v>
          </cell>
        </row>
        <row r="51">
          <cell r="D51">
            <v>1</v>
          </cell>
          <cell r="E51">
            <v>1092</v>
          </cell>
          <cell r="R51">
            <v>1271</v>
          </cell>
        </row>
        <row r="52">
          <cell r="D52">
            <v>2</v>
          </cell>
          <cell r="E52">
            <v>1107</v>
          </cell>
          <cell r="R52">
            <v>1281</v>
          </cell>
        </row>
        <row r="53">
          <cell r="D53">
            <v>3</v>
          </cell>
          <cell r="E53">
            <v>1131</v>
          </cell>
          <cell r="R53">
            <v>1298</v>
          </cell>
        </row>
        <row r="54">
          <cell r="D54">
            <v>1</v>
          </cell>
          <cell r="E54">
            <v>1134</v>
          </cell>
          <cell r="R54">
            <v>1289</v>
          </cell>
        </row>
        <row r="55">
          <cell r="D55">
            <v>2</v>
          </cell>
          <cell r="E55">
            <v>1149</v>
          </cell>
          <cell r="R55">
            <v>1293</v>
          </cell>
        </row>
        <row r="56">
          <cell r="D56">
            <v>3</v>
          </cell>
          <cell r="E56">
            <v>1137</v>
          </cell>
          <cell r="R56">
            <v>1265</v>
          </cell>
        </row>
        <row r="57">
          <cell r="D57">
            <v>1</v>
          </cell>
          <cell r="E57">
            <v>1108</v>
          </cell>
          <cell r="R57">
            <v>1222</v>
          </cell>
        </row>
        <row r="58">
          <cell r="D58">
            <v>2</v>
          </cell>
          <cell r="E58">
            <v>1126</v>
          </cell>
          <cell r="R58">
            <v>1234</v>
          </cell>
        </row>
        <row r="59">
          <cell r="D59">
            <v>3</v>
          </cell>
          <cell r="E59">
            <v>1169</v>
          </cell>
          <cell r="R59">
            <v>1274</v>
          </cell>
        </row>
        <row r="60">
          <cell r="D60">
            <v>1</v>
          </cell>
          <cell r="E60">
            <v>1197</v>
          </cell>
          <cell r="R60">
            <v>1297</v>
          </cell>
        </row>
        <row r="61">
          <cell r="D61">
            <v>2</v>
          </cell>
          <cell r="E61">
            <v>1205</v>
          </cell>
          <cell r="R61">
            <v>1297</v>
          </cell>
        </row>
        <row r="62">
          <cell r="D62">
            <v>3</v>
          </cell>
          <cell r="E62">
            <v>1201</v>
          </cell>
          <cell r="R62">
            <v>1288</v>
          </cell>
        </row>
        <row r="63">
          <cell r="D63">
            <v>1</v>
          </cell>
          <cell r="E63">
            <v>1206</v>
          </cell>
          <cell r="R63">
            <v>1289</v>
          </cell>
        </row>
        <row r="64">
          <cell r="D64">
            <v>2</v>
          </cell>
          <cell r="E64">
            <v>1188</v>
          </cell>
          <cell r="R64">
            <v>1266</v>
          </cell>
        </row>
        <row r="65">
          <cell r="D65">
            <v>3</v>
          </cell>
          <cell r="E65">
            <v>1181</v>
          </cell>
          <cell r="R65">
            <v>1257</v>
          </cell>
        </row>
        <row r="66">
          <cell r="D66">
            <v>1</v>
          </cell>
          <cell r="E66">
            <v>1168</v>
          </cell>
          <cell r="R66">
            <v>1240</v>
          </cell>
        </row>
        <row r="67">
          <cell r="D67">
            <v>2</v>
          </cell>
          <cell r="E67">
            <v>1195</v>
          </cell>
          <cell r="R67">
            <v>1265</v>
          </cell>
        </row>
        <row r="68">
          <cell r="D68">
            <v>3</v>
          </cell>
          <cell r="E68">
            <v>1215</v>
          </cell>
          <cell r="R68">
            <v>1282</v>
          </cell>
        </row>
        <row r="69">
          <cell r="D69">
            <v>1</v>
          </cell>
          <cell r="E69">
            <v>1251</v>
          </cell>
          <cell r="R69">
            <v>1315</v>
          </cell>
        </row>
        <row r="70">
          <cell r="D70">
            <v>2</v>
          </cell>
          <cell r="E70">
            <v>1223</v>
          </cell>
          <cell r="R70">
            <v>1284</v>
          </cell>
        </row>
        <row r="71">
          <cell r="D71">
            <v>3</v>
          </cell>
          <cell r="E71">
            <v>1222</v>
          </cell>
          <cell r="R71">
            <v>1280</v>
          </cell>
        </row>
        <row r="72">
          <cell r="D72">
            <v>1</v>
          </cell>
          <cell r="E72">
            <v>1204</v>
          </cell>
          <cell r="R72">
            <v>1259</v>
          </cell>
        </row>
        <row r="73">
          <cell r="D73">
            <v>2</v>
          </cell>
          <cell r="E73">
            <v>1197</v>
          </cell>
          <cell r="R73">
            <v>1251</v>
          </cell>
        </row>
        <row r="74">
          <cell r="D74">
            <v>3</v>
          </cell>
          <cell r="E74">
            <v>1206</v>
          </cell>
          <cell r="R74">
            <v>1260</v>
          </cell>
        </row>
        <row r="75">
          <cell r="D75">
            <v>1</v>
          </cell>
          <cell r="E75">
            <v>1256</v>
          </cell>
          <cell r="R75">
            <v>1310</v>
          </cell>
        </row>
        <row r="76">
          <cell r="D76">
            <v>2</v>
          </cell>
          <cell r="E76">
            <v>1253</v>
          </cell>
          <cell r="R76">
            <v>1304</v>
          </cell>
        </row>
        <row r="77">
          <cell r="D77">
            <v>3</v>
          </cell>
          <cell r="E77">
            <v>1237</v>
          </cell>
          <cell r="R77">
            <v>1283</v>
          </cell>
        </row>
        <row r="78">
          <cell r="D78">
            <v>1</v>
          </cell>
          <cell r="E78">
            <v>1179</v>
          </cell>
          <cell r="R78">
            <v>1218</v>
          </cell>
        </row>
        <row r="79">
          <cell r="D79">
            <v>2</v>
          </cell>
          <cell r="E79">
            <v>1202</v>
          </cell>
          <cell r="R79">
            <v>1237</v>
          </cell>
        </row>
        <row r="80">
          <cell r="D80">
            <v>3</v>
          </cell>
          <cell r="E80">
            <v>1207</v>
          </cell>
          <cell r="R80">
            <v>1239</v>
          </cell>
        </row>
        <row r="81">
          <cell r="D81">
            <v>1</v>
          </cell>
          <cell r="E81">
            <v>1231</v>
          </cell>
          <cell r="R81">
            <v>1261</v>
          </cell>
        </row>
        <row r="82">
          <cell r="D82">
            <v>2</v>
          </cell>
          <cell r="E82">
            <v>1258</v>
          </cell>
          <cell r="R82">
            <v>1286</v>
          </cell>
        </row>
        <row r="83">
          <cell r="D83">
            <v>3</v>
          </cell>
          <cell r="E83">
            <v>1273</v>
          </cell>
          <cell r="R83">
            <v>1298</v>
          </cell>
        </row>
        <row r="84">
          <cell r="D84">
            <v>1</v>
          </cell>
          <cell r="E84">
            <v>1313</v>
          </cell>
          <cell r="R84">
            <v>1331</v>
          </cell>
        </row>
        <row r="85">
          <cell r="D85">
            <v>2</v>
          </cell>
          <cell r="E85">
            <v>1306</v>
          </cell>
          <cell r="R85">
            <v>1315</v>
          </cell>
        </row>
        <row r="86">
          <cell r="D86">
            <v>3</v>
          </cell>
          <cell r="E86">
            <v>1326</v>
          </cell>
          <cell r="R86">
            <v>1329</v>
          </cell>
        </row>
        <row r="87">
          <cell r="D87">
            <v>1</v>
          </cell>
          <cell r="E87">
            <v>1328</v>
          </cell>
          <cell r="R87">
            <v>1328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99" refreshError="1"/>
      <sheetData sheetId="10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541</v>
          </cell>
          <cell r="R9">
            <v>798</v>
          </cell>
        </row>
        <row r="10">
          <cell r="D10">
            <v>2</v>
          </cell>
          <cell r="E10">
            <v>542</v>
          </cell>
          <cell r="R10">
            <v>796</v>
          </cell>
        </row>
        <row r="11">
          <cell r="D11">
            <v>3</v>
          </cell>
          <cell r="E11">
            <v>547</v>
          </cell>
          <cell r="R11">
            <v>801</v>
          </cell>
        </row>
        <row r="12">
          <cell r="D12">
            <v>1</v>
          </cell>
          <cell r="E12">
            <v>548</v>
          </cell>
          <cell r="R12">
            <v>798</v>
          </cell>
        </row>
        <row r="13">
          <cell r="D13">
            <v>2</v>
          </cell>
          <cell r="E13">
            <v>547</v>
          </cell>
          <cell r="R13">
            <v>795</v>
          </cell>
        </row>
        <row r="14">
          <cell r="D14">
            <v>3</v>
          </cell>
          <cell r="E14">
            <v>551</v>
          </cell>
          <cell r="R14">
            <v>798</v>
          </cell>
        </row>
        <row r="15">
          <cell r="D15">
            <v>1</v>
          </cell>
          <cell r="E15">
            <v>552</v>
          </cell>
          <cell r="R15">
            <v>795</v>
          </cell>
        </row>
        <row r="16">
          <cell r="D16">
            <v>2</v>
          </cell>
          <cell r="E16">
            <v>558</v>
          </cell>
          <cell r="R16">
            <v>801</v>
          </cell>
        </row>
        <row r="17">
          <cell r="D17">
            <v>3</v>
          </cell>
          <cell r="E17">
            <v>562</v>
          </cell>
          <cell r="R17">
            <v>801</v>
          </cell>
        </row>
        <row r="18">
          <cell r="D18">
            <v>1</v>
          </cell>
          <cell r="E18">
            <v>569</v>
          </cell>
          <cell r="R18">
            <v>805</v>
          </cell>
        </row>
        <row r="19">
          <cell r="D19">
            <v>2</v>
          </cell>
          <cell r="E19">
            <v>572</v>
          </cell>
          <cell r="R19">
            <v>805</v>
          </cell>
        </row>
        <row r="20">
          <cell r="D20">
            <v>3</v>
          </cell>
          <cell r="E20">
            <v>585</v>
          </cell>
          <cell r="R20">
            <v>815</v>
          </cell>
        </row>
        <row r="21">
          <cell r="D21">
            <v>1</v>
          </cell>
          <cell r="E21">
            <v>589</v>
          </cell>
          <cell r="R21">
            <v>816</v>
          </cell>
        </row>
        <row r="22">
          <cell r="D22">
            <v>2</v>
          </cell>
          <cell r="E22">
            <v>596</v>
          </cell>
          <cell r="R22">
            <v>821</v>
          </cell>
        </row>
        <row r="23">
          <cell r="D23">
            <v>3</v>
          </cell>
          <cell r="E23">
            <v>599</v>
          </cell>
          <cell r="R23">
            <v>821</v>
          </cell>
        </row>
        <row r="24">
          <cell r="D24">
            <v>1</v>
          </cell>
          <cell r="E24">
            <v>603</v>
          </cell>
          <cell r="R24">
            <v>825</v>
          </cell>
        </row>
        <row r="25">
          <cell r="D25">
            <v>2</v>
          </cell>
          <cell r="E25">
            <v>611</v>
          </cell>
          <cell r="R25">
            <v>833</v>
          </cell>
        </row>
        <row r="26">
          <cell r="D26">
            <v>3</v>
          </cell>
          <cell r="E26">
            <v>612</v>
          </cell>
          <cell r="R26">
            <v>834</v>
          </cell>
        </row>
        <row r="27">
          <cell r="D27">
            <v>1</v>
          </cell>
          <cell r="E27">
            <v>616</v>
          </cell>
          <cell r="R27">
            <v>837</v>
          </cell>
        </row>
        <row r="28">
          <cell r="D28">
            <v>2</v>
          </cell>
          <cell r="E28">
            <v>626</v>
          </cell>
          <cell r="R28">
            <v>847</v>
          </cell>
        </row>
        <row r="29">
          <cell r="D29">
            <v>3</v>
          </cell>
          <cell r="E29">
            <v>632</v>
          </cell>
          <cell r="R29">
            <v>851</v>
          </cell>
        </row>
        <row r="30">
          <cell r="D30">
            <v>1</v>
          </cell>
          <cell r="E30">
            <v>638</v>
          </cell>
          <cell r="R30">
            <v>853</v>
          </cell>
        </row>
        <row r="31">
          <cell r="D31">
            <v>2</v>
          </cell>
          <cell r="E31">
            <v>638</v>
          </cell>
          <cell r="R31">
            <v>848</v>
          </cell>
        </row>
        <row r="32">
          <cell r="D32">
            <v>3</v>
          </cell>
          <cell r="E32">
            <v>653</v>
          </cell>
          <cell r="R32">
            <v>862</v>
          </cell>
        </row>
        <row r="33">
          <cell r="D33">
            <v>1</v>
          </cell>
          <cell r="E33">
            <v>668</v>
          </cell>
          <cell r="R33">
            <v>876</v>
          </cell>
        </row>
        <row r="34">
          <cell r="D34">
            <v>2</v>
          </cell>
          <cell r="E34">
            <v>676</v>
          </cell>
          <cell r="R34">
            <v>879</v>
          </cell>
        </row>
        <row r="35">
          <cell r="D35">
            <v>3</v>
          </cell>
          <cell r="E35">
            <v>675</v>
          </cell>
          <cell r="R35">
            <v>872</v>
          </cell>
        </row>
        <row r="36">
          <cell r="D36">
            <v>1</v>
          </cell>
          <cell r="E36">
            <v>671</v>
          </cell>
          <cell r="R36">
            <v>862</v>
          </cell>
        </row>
        <row r="37">
          <cell r="D37">
            <v>2</v>
          </cell>
          <cell r="E37">
            <v>672</v>
          </cell>
          <cell r="R37">
            <v>862</v>
          </cell>
        </row>
        <row r="38">
          <cell r="D38">
            <v>3</v>
          </cell>
          <cell r="E38">
            <v>674</v>
          </cell>
          <cell r="R38">
            <v>862</v>
          </cell>
        </row>
        <row r="39">
          <cell r="D39">
            <v>1</v>
          </cell>
          <cell r="E39">
            <v>686</v>
          </cell>
          <cell r="R39">
            <v>875</v>
          </cell>
        </row>
        <row r="40">
          <cell r="D40">
            <v>2</v>
          </cell>
          <cell r="E40">
            <v>694</v>
          </cell>
          <cell r="R40">
            <v>882</v>
          </cell>
        </row>
        <row r="41">
          <cell r="D41">
            <v>3</v>
          </cell>
          <cell r="E41">
            <v>699</v>
          </cell>
          <cell r="R41">
            <v>883</v>
          </cell>
        </row>
        <row r="42">
          <cell r="D42">
            <v>1</v>
          </cell>
          <cell r="E42">
            <v>701</v>
          </cell>
          <cell r="R42">
            <v>881</v>
          </cell>
        </row>
        <row r="43">
          <cell r="D43">
            <v>2</v>
          </cell>
          <cell r="E43">
            <v>709</v>
          </cell>
          <cell r="R43">
            <v>883</v>
          </cell>
        </row>
        <row r="44">
          <cell r="D44">
            <v>3</v>
          </cell>
          <cell r="E44">
            <v>718</v>
          </cell>
          <cell r="R44">
            <v>885</v>
          </cell>
        </row>
        <row r="45">
          <cell r="D45">
            <v>1</v>
          </cell>
          <cell r="E45">
            <v>729</v>
          </cell>
          <cell r="R45">
            <v>887</v>
          </cell>
        </row>
        <row r="46">
          <cell r="D46">
            <v>2</v>
          </cell>
          <cell r="E46">
            <v>736</v>
          </cell>
          <cell r="R46">
            <v>886</v>
          </cell>
        </row>
        <row r="47">
          <cell r="D47">
            <v>3</v>
          </cell>
          <cell r="E47">
            <v>742</v>
          </cell>
          <cell r="R47">
            <v>885</v>
          </cell>
        </row>
        <row r="48">
          <cell r="D48">
            <v>1</v>
          </cell>
          <cell r="E48">
            <v>740</v>
          </cell>
          <cell r="R48">
            <v>876</v>
          </cell>
        </row>
        <row r="49">
          <cell r="D49">
            <v>2</v>
          </cell>
          <cell r="E49">
            <v>741</v>
          </cell>
          <cell r="R49">
            <v>871</v>
          </cell>
        </row>
        <row r="50">
          <cell r="D50">
            <v>3</v>
          </cell>
          <cell r="E50">
            <v>738</v>
          </cell>
          <cell r="R50">
            <v>863</v>
          </cell>
        </row>
        <row r="51">
          <cell r="D51">
            <v>1</v>
          </cell>
          <cell r="E51">
            <v>742</v>
          </cell>
          <cell r="R51">
            <v>863</v>
          </cell>
        </row>
        <row r="52">
          <cell r="D52">
            <v>2</v>
          </cell>
          <cell r="E52">
            <v>741</v>
          </cell>
          <cell r="R52">
            <v>859</v>
          </cell>
        </row>
        <row r="53">
          <cell r="D53">
            <v>3</v>
          </cell>
          <cell r="E53">
            <v>750</v>
          </cell>
          <cell r="R53">
            <v>861</v>
          </cell>
        </row>
        <row r="54">
          <cell r="D54">
            <v>1</v>
          </cell>
          <cell r="E54">
            <v>759</v>
          </cell>
          <cell r="R54">
            <v>864</v>
          </cell>
        </row>
        <row r="55">
          <cell r="D55">
            <v>2</v>
          </cell>
          <cell r="E55">
            <v>777</v>
          </cell>
          <cell r="R55">
            <v>874</v>
          </cell>
        </row>
        <row r="56">
          <cell r="D56">
            <v>3</v>
          </cell>
          <cell r="E56">
            <v>788</v>
          </cell>
          <cell r="R56">
            <v>878</v>
          </cell>
        </row>
        <row r="57">
          <cell r="D57">
            <v>1</v>
          </cell>
          <cell r="E57">
            <v>801</v>
          </cell>
          <cell r="R57">
            <v>885</v>
          </cell>
        </row>
        <row r="58">
          <cell r="D58">
            <v>2</v>
          </cell>
          <cell r="E58">
            <v>804</v>
          </cell>
          <cell r="R58">
            <v>883</v>
          </cell>
        </row>
        <row r="59">
          <cell r="D59">
            <v>3</v>
          </cell>
          <cell r="E59">
            <v>807</v>
          </cell>
          <cell r="R59">
            <v>881</v>
          </cell>
        </row>
        <row r="60">
          <cell r="D60">
            <v>1</v>
          </cell>
          <cell r="E60">
            <v>804</v>
          </cell>
          <cell r="R60">
            <v>872</v>
          </cell>
        </row>
        <row r="61">
          <cell r="D61">
            <v>2</v>
          </cell>
          <cell r="E61">
            <v>805</v>
          </cell>
          <cell r="R61">
            <v>868</v>
          </cell>
        </row>
        <row r="62">
          <cell r="D62">
            <v>3</v>
          </cell>
          <cell r="E62">
            <v>810</v>
          </cell>
          <cell r="R62">
            <v>870</v>
          </cell>
        </row>
        <row r="63">
          <cell r="D63">
            <v>1</v>
          </cell>
          <cell r="E63">
            <v>814</v>
          </cell>
          <cell r="R63">
            <v>871</v>
          </cell>
        </row>
        <row r="64">
          <cell r="D64">
            <v>2</v>
          </cell>
          <cell r="E64">
            <v>818</v>
          </cell>
          <cell r="R64">
            <v>873</v>
          </cell>
        </row>
        <row r="65">
          <cell r="D65">
            <v>3</v>
          </cell>
          <cell r="E65">
            <v>816</v>
          </cell>
          <cell r="R65">
            <v>869</v>
          </cell>
        </row>
        <row r="66">
          <cell r="D66">
            <v>1</v>
          </cell>
          <cell r="E66">
            <v>818</v>
          </cell>
          <cell r="R66">
            <v>869</v>
          </cell>
        </row>
        <row r="67">
          <cell r="D67">
            <v>2</v>
          </cell>
          <cell r="E67">
            <v>820</v>
          </cell>
          <cell r="R67">
            <v>869</v>
          </cell>
        </row>
        <row r="68">
          <cell r="D68">
            <v>3</v>
          </cell>
          <cell r="E68">
            <v>827</v>
          </cell>
          <cell r="R68">
            <v>874</v>
          </cell>
        </row>
        <row r="69">
          <cell r="D69">
            <v>1</v>
          </cell>
          <cell r="E69">
            <v>840</v>
          </cell>
          <cell r="R69">
            <v>884</v>
          </cell>
        </row>
        <row r="70">
          <cell r="D70">
            <v>2</v>
          </cell>
          <cell r="E70">
            <v>843</v>
          </cell>
          <cell r="R70">
            <v>886</v>
          </cell>
        </row>
        <row r="71">
          <cell r="D71">
            <v>3</v>
          </cell>
          <cell r="E71">
            <v>846</v>
          </cell>
          <cell r="R71">
            <v>887</v>
          </cell>
        </row>
        <row r="72">
          <cell r="D72">
            <v>1</v>
          </cell>
          <cell r="E72">
            <v>843</v>
          </cell>
          <cell r="R72">
            <v>883</v>
          </cell>
        </row>
        <row r="73">
          <cell r="D73">
            <v>2</v>
          </cell>
          <cell r="E73">
            <v>838</v>
          </cell>
          <cell r="R73">
            <v>877</v>
          </cell>
        </row>
        <row r="74">
          <cell r="D74">
            <v>3</v>
          </cell>
          <cell r="E74">
            <v>836</v>
          </cell>
          <cell r="R74">
            <v>875</v>
          </cell>
        </row>
        <row r="75">
          <cell r="D75">
            <v>1</v>
          </cell>
          <cell r="E75">
            <v>839</v>
          </cell>
          <cell r="R75">
            <v>875</v>
          </cell>
        </row>
        <row r="76">
          <cell r="D76">
            <v>2</v>
          </cell>
          <cell r="E76">
            <v>843</v>
          </cell>
          <cell r="R76">
            <v>878</v>
          </cell>
        </row>
        <row r="77">
          <cell r="D77">
            <v>3</v>
          </cell>
          <cell r="E77">
            <v>847</v>
          </cell>
          <cell r="R77">
            <v>879</v>
          </cell>
        </row>
        <row r="78">
          <cell r="D78">
            <v>1</v>
          </cell>
          <cell r="E78">
            <v>852</v>
          </cell>
          <cell r="R78">
            <v>881</v>
          </cell>
        </row>
        <row r="79">
          <cell r="D79">
            <v>2</v>
          </cell>
          <cell r="E79">
            <v>858</v>
          </cell>
          <cell r="R79">
            <v>884</v>
          </cell>
        </row>
        <row r="80">
          <cell r="D80">
            <v>3</v>
          </cell>
          <cell r="E80">
            <v>868</v>
          </cell>
          <cell r="R80">
            <v>891</v>
          </cell>
        </row>
        <row r="81">
          <cell r="D81">
            <v>1</v>
          </cell>
          <cell r="E81">
            <v>881</v>
          </cell>
          <cell r="R81">
            <v>903</v>
          </cell>
        </row>
        <row r="82">
          <cell r="D82">
            <v>2</v>
          </cell>
          <cell r="E82">
            <v>884</v>
          </cell>
          <cell r="R82">
            <v>904</v>
          </cell>
        </row>
        <row r="83">
          <cell r="D83">
            <v>3</v>
          </cell>
          <cell r="E83">
            <v>882</v>
          </cell>
          <cell r="R83">
            <v>900</v>
          </cell>
        </row>
        <row r="84">
          <cell r="D84">
            <v>1</v>
          </cell>
          <cell r="E84">
            <v>873</v>
          </cell>
          <cell r="R84">
            <v>885</v>
          </cell>
        </row>
        <row r="85">
          <cell r="D85">
            <v>2</v>
          </cell>
          <cell r="E85">
            <v>869</v>
          </cell>
          <cell r="R85">
            <v>876</v>
          </cell>
        </row>
        <row r="86">
          <cell r="D86">
            <v>3</v>
          </cell>
          <cell r="E86">
            <v>867</v>
          </cell>
          <cell r="R86">
            <v>869</v>
          </cell>
        </row>
        <row r="87">
          <cell r="D87">
            <v>1</v>
          </cell>
          <cell r="E87">
            <v>868</v>
          </cell>
          <cell r="R87">
            <v>868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01" refreshError="1"/>
      <sheetData sheetId="10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723</v>
          </cell>
          <cell r="R9">
            <v>1067</v>
          </cell>
        </row>
        <row r="10">
          <cell r="D10">
            <v>2</v>
          </cell>
          <cell r="E10">
            <v>740</v>
          </cell>
          <cell r="R10">
            <v>1087</v>
          </cell>
        </row>
        <row r="11">
          <cell r="D11">
            <v>3</v>
          </cell>
          <cell r="E11">
            <v>750</v>
          </cell>
          <cell r="R11">
            <v>1097</v>
          </cell>
        </row>
        <row r="12">
          <cell r="D12">
            <v>1</v>
          </cell>
          <cell r="E12">
            <v>759</v>
          </cell>
          <cell r="R12">
            <v>1107</v>
          </cell>
        </row>
        <row r="13">
          <cell r="D13">
            <v>2</v>
          </cell>
          <cell r="E13">
            <v>758</v>
          </cell>
          <cell r="R13">
            <v>1102</v>
          </cell>
        </row>
        <row r="14">
          <cell r="D14">
            <v>3</v>
          </cell>
          <cell r="E14">
            <v>761</v>
          </cell>
          <cell r="R14">
            <v>1103</v>
          </cell>
        </row>
        <row r="15">
          <cell r="D15">
            <v>1</v>
          </cell>
          <cell r="E15">
            <v>762</v>
          </cell>
          <cell r="R15">
            <v>1100</v>
          </cell>
        </row>
        <row r="16">
          <cell r="D16">
            <v>2</v>
          </cell>
          <cell r="E16">
            <v>767</v>
          </cell>
          <cell r="R16">
            <v>1101</v>
          </cell>
        </row>
        <row r="17">
          <cell r="D17">
            <v>3</v>
          </cell>
          <cell r="E17">
            <v>771</v>
          </cell>
          <cell r="R17">
            <v>1101</v>
          </cell>
        </row>
        <row r="18">
          <cell r="D18">
            <v>1</v>
          </cell>
          <cell r="E18">
            <v>772</v>
          </cell>
          <cell r="R18">
            <v>1094</v>
          </cell>
        </row>
        <row r="19">
          <cell r="D19">
            <v>2</v>
          </cell>
          <cell r="E19">
            <v>777</v>
          </cell>
          <cell r="R19">
            <v>1094</v>
          </cell>
        </row>
        <row r="20">
          <cell r="D20">
            <v>3</v>
          </cell>
          <cell r="E20">
            <v>791</v>
          </cell>
          <cell r="R20">
            <v>1105</v>
          </cell>
        </row>
        <row r="21">
          <cell r="D21">
            <v>1</v>
          </cell>
          <cell r="E21">
            <v>798</v>
          </cell>
          <cell r="R21">
            <v>1107</v>
          </cell>
        </row>
        <row r="22">
          <cell r="D22">
            <v>2</v>
          </cell>
          <cell r="E22">
            <v>809</v>
          </cell>
          <cell r="R22">
            <v>1116</v>
          </cell>
        </row>
        <row r="23">
          <cell r="D23">
            <v>3</v>
          </cell>
          <cell r="E23">
            <v>814</v>
          </cell>
          <cell r="R23">
            <v>1117</v>
          </cell>
        </row>
        <row r="24">
          <cell r="D24">
            <v>1</v>
          </cell>
          <cell r="E24">
            <v>825</v>
          </cell>
          <cell r="R24">
            <v>1128</v>
          </cell>
        </row>
        <row r="25">
          <cell r="D25">
            <v>2</v>
          </cell>
          <cell r="E25">
            <v>836</v>
          </cell>
          <cell r="R25">
            <v>1142</v>
          </cell>
        </row>
        <row r="26">
          <cell r="D26">
            <v>3</v>
          </cell>
          <cell r="E26">
            <v>840</v>
          </cell>
          <cell r="R26">
            <v>1145</v>
          </cell>
        </row>
        <row r="27">
          <cell r="D27">
            <v>1</v>
          </cell>
          <cell r="E27">
            <v>839</v>
          </cell>
          <cell r="R27">
            <v>1142</v>
          </cell>
        </row>
        <row r="28">
          <cell r="D28">
            <v>2</v>
          </cell>
          <cell r="E28">
            <v>846</v>
          </cell>
          <cell r="R28">
            <v>1147</v>
          </cell>
        </row>
        <row r="29">
          <cell r="D29">
            <v>3</v>
          </cell>
          <cell r="E29">
            <v>850</v>
          </cell>
          <cell r="R29">
            <v>1146</v>
          </cell>
        </row>
        <row r="30">
          <cell r="D30">
            <v>1</v>
          </cell>
          <cell r="E30">
            <v>859</v>
          </cell>
          <cell r="R30">
            <v>1150</v>
          </cell>
        </row>
        <row r="31">
          <cell r="D31">
            <v>2</v>
          </cell>
          <cell r="E31">
            <v>859</v>
          </cell>
          <cell r="R31">
            <v>1143</v>
          </cell>
        </row>
        <row r="32">
          <cell r="D32">
            <v>3</v>
          </cell>
          <cell r="E32">
            <v>877</v>
          </cell>
          <cell r="R32">
            <v>1158</v>
          </cell>
        </row>
        <row r="33">
          <cell r="D33">
            <v>1</v>
          </cell>
          <cell r="E33">
            <v>898</v>
          </cell>
          <cell r="R33">
            <v>1177</v>
          </cell>
        </row>
        <row r="34">
          <cell r="D34">
            <v>2</v>
          </cell>
          <cell r="E34">
            <v>915</v>
          </cell>
          <cell r="R34">
            <v>1191</v>
          </cell>
        </row>
        <row r="35">
          <cell r="D35">
            <v>3</v>
          </cell>
          <cell r="E35">
            <v>914</v>
          </cell>
          <cell r="R35">
            <v>1181</v>
          </cell>
        </row>
        <row r="36">
          <cell r="D36">
            <v>1</v>
          </cell>
          <cell r="E36">
            <v>912</v>
          </cell>
          <cell r="R36">
            <v>1173</v>
          </cell>
        </row>
        <row r="37">
          <cell r="D37">
            <v>2</v>
          </cell>
          <cell r="E37">
            <v>908</v>
          </cell>
          <cell r="R37">
            <v>1165</v>
          </cell>
        </row>
        <row r="38">
          <cell r="D38">
            <v>3</v>
          </cell>
          <cell r="E38">
            <v>911</v>
          </cell>
          <cell r="R38">
            <v>1166</v>
          </cell>
        </row>
        <row r="39">
          <cell r="D39">
            <v>1</v>
          </cell>
          <cell r="E39">
            <v>919</v>
          </cell>
          <cell r="R39">
            <v>1173</v>
          </cell>
        </row>
        <row r="40">
          <cell r="D40">
            <v>2</v>
          </cell>
          <cell r="E40">
            <v>924</v>
          </cell>
          <cell r="R40">
            <v>1173</v>
          </cell>
        </row>
        <row r="41">
          <cell r="D41">
            <v>3</v>
          </cell>
          <cell r="E41">
            <v>932</v>
          </cell>
          <cell r="R41">
            <v>1178</v>
          </cell>
        </row>
        <row r="42">
          <cell r="D42">
            <v>1</v>
          </cell>
          <cell r="E42">
            <v>932</v>
          </cell>
          <cell r="R42">
            <v>1171</v>
          </cell>
        </row>
        <row r="43">
          <cell r="D43">
            <v>2</v>
          </cell>
          <cell r="E43">
            <v>945</v>
          </cell>
          <cell r="R43">
            <v>1177</v>
          </cell>
        </row>
        <row r="44">
          <cell r="D44">
            <v>3</v>
          </cell>
          <cell r="E44">
            <v>956</v>
          </cell>
          <cell r="R44">
            <v>1178</v>
          </cell>
        </row>
        <row r="45">
          <cell r="D45">
            <v>1</v>
          </cell>
          <cell r="E45">
            <v>975</v>
          </cell>
          <cell r="R45">
            <v>1187</v>
          </cell>
        </row>
        <row r="46">
          <cell r="D46">
            <v>2</v>
          </cell>
          <cell r="E46">
            <v>990</v>
          </cell>
          <cell r="R46">
            <v>1192</v>
          </cell>
        </row>
        <row r="47">
          <cell r="D47">
            <v>3</v>
          </cell>
          <cell r="E47">
            <v>998</v>
          </cell>
          <cell r="R47">
            <v>1191</v>
          </cell>
        </row>
        <row r="48">
          <cell r="D48">
            <v>1</v>
          </cell>
          <cell r="E48">
            <v>1000</v>
          </cell>
          <cell r="R48">
            <v>1184</v>
          </cell>
        </row>
        <row r="49">
          <cell r="D49">
            <v>2</v>
          </cell>
          <cell r="E49">
            <v>1000</v>
          </cell>
          <cell r="R49">
            <v>1176</v>
          </cell>
        </row>
        <row r="50">
          <cell r="D50">
            <v>3</v>
          </cell>
          <cell r="E50">
            <v>999</v>
          </cell>
          <cell r="R50">
            <v>1169</v>
          </cell>
        </row>
        <row r="51">
          <cell r="D51">
            <v>1</v>
          </cell>
          <cell r="E51">
            <v>992</v>
          </cell>
          <cell r="R51">
            <v>1155</v>
          </cell>
        </row>
        <row r="52">
          <cell r="D52">
            <v>2</v>
          </cell>
          <cell r="E52">
            <v>989</v>
          </cell>
          <cell r="R52">
            <v>1145</v>
          </cell>
        </row>
        <row r="53">
          <cell r="D53">
            <v>3</v>
          </cell>
          <cell r="E53">
            <v>995</v>
          </cell>
          <cell r="R53">
            <v>1144</v>
          </cell>
        </row>
        <row r="54">
          <cell r="D54">
            <v>1</v>
          </cell>
          <cell r="E54">
            <v>1006</v>
          </cell>
          <cell r="R54">
            <v>1145</v>
          </cell>
        </row>
        <row r="55">
          <cell r="D55">
            <v>2</v>
          </cell>
          <cell r="E55">
            <v>1029</v>
          </cell>
          <cell r="R55">
            <v>1159</v>
          </cell>
        </row>
        <row r="56">
          <cell r="D56">
            <v>3</v>
          </cell>
          <cell r="E56">
            <v>1043</v>
          </cell>
          <cell r="R56">
            <v>1163</v>
          </cell>
        </row>
        <row r="57">
          <cell r="D57">
            <v>1</v>
          </cell>
          <cell r="E57">
            <v>1068</v>
          </cell>
          <cell r="R57">
            <v>1181</v>
          </cell>
        </row>
        <row r="58">
          <cell r="D58">
            <v>2</v>
          </cell>
          <cell r="E58">
            <v>1079</v>
          </cell>
          <cell r="R58">
            <v>1185</v>
          </cell>
        </row>
        <row r="59">
          <cell r="D59">
            <v>3</v>
          </cell>
          <cell r="E59">
            <v>1092</v>
          </cell>
          <cell r="R59">
            <v>1193</v>
          </cell>
        </row>
        <row r="60">
          <cell r="D60">
            <v>1</v>
          </cell>
          <cell r="E60">
            <v>1091</v>
          </cell>
          <cell r="R60">
            <v>1185</v>
          </cell>
        </row>
        <row r="61">
          <cell r="D61">
            <v>2</v>
          </cell>
          <cell r="E61">
            <v>1092</v>
          </cell>
          <cell r="R61">
            <v>1180</v>
          </cell>
        </row>
        <row r="62">
          <cell r="D62">
            <v>3</v>
          </cell>
          <cell r="E62">
            <v>1093</v>
          </cell>
          <cell r="R62">
            <v>1175</v>
          </cell>
        </row>
        <row r="63">
          <cell r="D63">
            <v>1</v>
          </cell>
          <cell r="E63">
            <v>1093</v>
          </cell>
          <cell r="R63">
            <v>1171</v>
          </cell>
        </row>
        <row r="64">
          <cell r="D64">
            <v>2</v>
          </cell>
          <cell r="E64">
            <v>1097</v>
          </cell>
          <cell r="R64">
            <v>1172</v>
          </cell>
        </row>
        <row r="65">
          <cell r="D65">
            <v>3</v>
          </cell>
          <cell r="E65">
            <v>1103</v>
          </cell>
          <cell r="R65">
            <v>1177</v>
          </cell>
        </row>
        <row r="66">
          <cell r="D66">
            <v>1</v>
          </cell>
          <cell r="E66">
            <v>1111</v>
          </cell>
          <cell r="R66">
            <v>1182</v>
          </cell>
        </row>
        <row r="67">
          <cell r="D67">
            <v>2</v>
          </cell>
          <cell r="E67">
            <v>1120</v>
          </cell>
          <cell r="R67">
            <v>1188</v>
          </cell>
        </row>
        <row r="68">
          <cell r="D68">
            <v>3</v>
          </cell>
          <cell r="E68">
            <v>1130</v>
          </cell>
          <cell r="R68">
            <v>1195</v>
          </cell>
        </row>
        <row r="69">
          <cell r="D69">
            <v>1</v>
          </cell>
          <cell r="E69">
            <v>1150</v>
          </cell>
          <cell r="R69">
            <v>1212</v>
          </cell>
        </row>
        <row r="70">
          <cell r="D70">
            <v>2</v>
          </cell>
          <cell r="E70">
            <v>1167</v>
          </cell>
          <cell r="R70">
            <v>1227</v>
          </cell>
        </row>
        <row r="71">
          <cell r="D71">
            <v>3</v>
          </cell>
          <cell r="E71">
            <v>1177</v>
          </cell>
          <cell r="R71">
            <v>1235</v>
          </cell>
        </row>
        <row r="72">
          <cell r="D72">
            <v>1</v>
          </cell>
          <cell r="E72">
            <v>1171</v>
          </cell>
          <cell r="R72">
            <v>1227</v>
          </cell>
        </row>
        <row r="73">
          <cell r="D73">
            <v>2</v>
          </cell>
          <cell r="E73">
            <v>1156</v>
          </cell>
          <cell r="R73">
            <v>1211</v>
          </cell>
        </row>
        <row r="74">
          <cell r="D74">
            <v>3</v>
          </cell>
          <cell r="E74">
            <v>1165</v>
          </cell>
          <cell r="R74">
            <v>1220</v>
          </cell>
        </row>
        <row r="75">
          <cell r="D75">
            <v>1</v>
          </cell>
          <cell r="E75">
            <v>1167</v>
          </cell>
          <cell r="R75">
            <v>1220</v>
          </cell>
        </row>
        <row r="76">
          <cell r="D76">
            <v>2</v>
          </cell>
          <cell r="E76">
            <v>1182</v>
          </cell>
          <cell r="R76">
            <v>1231</v>
          </cell>
        </row>
        <row r="77">
          <cell r="D77">
            <v>3</v>
          </cell>
          <cell r="E77">
            <v>1185</v>
          </cell>
          <cell r="R77">
            <v>1230</v>
          </cell>
        </row>
        <row r="78">
          <cell r="D78">
            <v>1</v>
          </cell>
          <cell r="E78">
            <v>1198</v>
          </cell>
          <cell r="R78">
            <v>1240</v>
          </cell>
        </row>
        <row r="79">
          <cell r="D79">
            <v>2</v>
          </cell>
          <cell r="E79">
            <v>1202</v>
          </cell>
          <cell r="R79">
            <v>1239</v>
          </cell>
        </row>
        <row r="80">
          <cell r="D80">
            <v>3</v>
          </cell>
          <cell r="E80">
            <v>1207</v>
          </cell>
          <cell r="R80">
            <v>1240</v>
          </cell>
        </row>
        <row r="81">
          <cell r="D81">
            <v>1</v>
          </cell>
          <cell r="E81">
            <v>1238</v>
          </cell>
          <cell r="R81">
            <v>1269</v>
          </cell>
        </row>
        <row r="82">
          <cell r="D82">
            <v>2</v>
          </cell>
          <cell r="E82">
            <v>1242</v>
          </cell>
          <cell r="R82">
            <v>1270</v>
          </cell>
        </row>
        <row r="83">
          <cell r="D83">
            <v>3</v>
          </cell>
          <cell r="E83">
            <v>1235</v>
          </cell>
          <cell r="R83">
            <v>1260</v>
          </cell>
        </row>
        <row r="84">
          <cell r="D84">
            <v>1</v>
          </cell>
          <cell r="E84">
            <v>1212</v>
          </cell>
          <cell r="R84">
            <v>1229</v>
          </cell>
        </row>
        <row r="85">
          <cell r="D85">
            <v>2</v>
          </cell>
          <cell r="E85">
            <v>1218</v>
          </cell>
          <cell r="R85">
            <v>1227</v>
          </cell>
        </row>
        <row r="86">
          <cell r="D86">
            <v>3</v>
          </cell>
          <cell r="E86">
            <v>1220</v>
          </cell>
          <cell r="R86">
            <v>1223</v>
          </cell>
        </row>
        <row r="87">
          <cell r="D87">
            <v>1</v>
          </cell>
          <cell r="E87">
            <v>1221</v>
          </cell>
          <cell r="R87">
            <v>1221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03" refreshError="1"/>
      <sheetData sheetId="10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455</v>
          </cell>
          <cell r="R9">
            <v>671</v>
          </cell>
        </row>
        <row r="10">
          <cell r="D10">
            <v>2</v>
          </cell>
          <cell r="E10">
            <v>450</v>
          </cell>
          <cell r="R10">
            <v>660</v>
          </cell>
        </row>
        <row r="11">
          <cell r="D11">
            <v>3</v>
          </cell>
          <cell r="E11">
            <v>453</v>
          </cell>
          <cell r="R11">
            <v>663</v>
          </cell>
        </row>
        <row r="12">
          <cell r="D12">
            <v>1</v>
          </cell>
          <cell r="E12">
            <v>451</v>
          </cell>
          <cell r="R12">
            <v>657</v>
          </cell>
        </row>
        <row r="13">
          <cell r="D13">
            <v>2</v>
          </cell>
          <cell r="E13">
            <v>451</v>
          </cell>
          <cell r="R13">
            <v>655</v>
          </cell>
        </row>
        <row r="14">
          <cell r="D14">
            <v>3</v>
          </cell>
          <cell r="E14">
            <v>455</v>
          </cell>
          <cell r="R14">
            <v>659</v>
          </cell>
        </row>
        <row r="15">
          <cell r="D15">
            <v>1</v>
          </cell>
          <cell r="E15">
            <v>456</v>
          </cell>
          <cell r="R15">
            <v>657</v>
          </cell>
        </row>
        <row r="16">
          <cell r="D16">
            <v>2</v>
          </cell>
          <cell r="E16">
            <v>464</v>
          </cell>
          <cell r="R16">
            <v>665</v>
          </cell>
        </row>
        <row r="17">
          <cell r="D17">
            <v>3</v>
          </cell>
          <cell r="E17">
            <v>467</v>
          </cell>
          <cell r="R17">
            <v>665</v>
          </cell>
        </row>
        <row r="18">
          <cell r="D18">
            <v>1</v>
          </cell>
          <cell r="E18">
            <v>476</v>
          </cell>
          <cell r="R18">
            <v>673</v>
          </cell>
        </row>
        <row r="19">
          <cell r="D19">
            <v>2</v>
          </cell>
          <cell r="E19">
            <v>478</v>
          </cell>
          <cell r="R19">
            <v>671</v>
          </cell>
        </row>
        <row r="20">
          <cell r="D20">
            <v>3</v>
          </cell>
          <cell r="E20">
            <v>489</v>
          </cell>
          <cell r="R20">
            <v>682</v>
          </cell>
        </row>
        <row r="21">
          <cell r="D21">
            <v>1</v>
          </cell>
          <cell r="E21">
            <v>492</v>
          </cell>
          <cell r="R21">
            <v>681</v>
          </cell>
        </row>
        <row r="22">
          <cell r="D22">
            <v>2</v>
          </cell>
          <cell r="E22">
            <v>498</v>
          </cell>
          <cell r="R22">
            <v>685</v>
          </cell>
        </row>
        <row r="23">
          <cell r="D23">
            <v>3</v>
          </cell>
          <cell r="E23">
            <v>502</v>
          </cell>
          <cell r="R23">
            <v>688</v>
          </cell>
        </row>
        <row r="24">
          <cell r="D24">
            <v>1</v>
          </cell>
          <cell r="E24">
            <v>505</v>
          </cell>
          <cell r="R24">
            <v>689</v>
          </cell>
        </row>
        <row r="25">
          <cell r="D25">
            <v>2</v>
          </cell>
          <cell r="E25">
            <v>512</v>
          </cell>
          <cell r="R25">
            <v>697</v>
          </cell>
        </row>
        <row r="26">
          <cell r="D26">
            <v>3</v>
          </cell>
          <cell r="E26">
            <v>513</v>
          </cell>
          <cell r="R26">
            <v>698</v>
          </cell>
        </row>
        <row r="27">
          <cell r="D27">
            <v>1</v>
          </cell>
          <cell r="E27">
            <v>521</v>
          </cell>
          <cell r="R27">
            <v>707</v>
          </cell>
        </row>
        <row r="28">
          <cell r="D28">
            <v>2</v>
          </cell>
          <cell r="E28">
            <v>531</v>
          </cell>
          <cell r="R28">
            <v>718</v>
          </cell>
        </row>
        <row r="29">
          <cell r="D29">
            <v>3</v>
          </cell>
          <cell r="E29">
            <v>536</v>
          </cell>
          <cell r="R29">
            <v>721</v>
          </cell>
        </row>
        <row r="30">
          <cell r="D30">
            <v>1</v>
          </cell>
          <cell r="E30">
            <v>538</v>
          </cell>
          <cell r="R30">
            <v>719</v>
          </cell>
        </row>
        <row r="31">
          <cell r="D31">
            <v>2</v>
          </cell>
          <cell r="E31">
            <v>536</v>
          </cell>
          <cell r="R31">
            <v>712</v>
          </cell>
        </row>
        <row r="32">
          <cell r="D32">
            <v>3</v>
          </cell>
          <cell r="E32">
            <v>551</v>
          </cell>
          <cell r="R32">
            <v>727</v>
          </cell>
        </row>
        <row r="33">
          <cell r="D33">
            <v>1</v>
          </cell>
          <cell r="E33">
            <v>563</v>
          </cell>
          <cell r="R33">
            <v>737</v>
          </cell>
        </row>
        <row r="34">
          <cell r="D34">
            <v>2</v>
          </cell>
          <cell r="E34">
            <v>565</v>
          </cell>
          <cell r="R34">
            <v>734</v>
          </cell>
        </row>
        <row r="35">
          <cell r="D35">
            <v>3</v>
          </cell>
          <cell r="E35">
            <v>563</v>
          </cell>
          <cell r="R35">
            <v>727</v>
          </cell>
        </row>
        <row r="36">
          <cell r="D36">
            <v>1</v>
          </cell>
          <cell r="E36">
            <v>559</v>
          </cell>
          <cell r="R36">
            <v>718</v>
          </cell>
        </row>
        <row r="37">
          <cell r="D37">
            <v>2</v>
          </cell>
          <cell r="E37">
            <v>561</v>
          </cell>
          <cell r="R37">
            <v>719</v>
          </cell>
        </row>
        <row r="38">
          <cell r="D38">
            <v>3</v>
          </cell>
          <cell r="E38">
            <v>562</v>
          </cell>
          <cell r="R38">
            <v>717</v>
          </cell>
        </row>
        <row r="39">
          <cell r="D39">
            <v>1</v>
          </cell>
          <cell r="E39">
            <v>576</v>
          </cell>
          <cell r="R39">
            <v>734</v>
          </cell>
        </row>
        <row r="40">
          <cell r="D40">
            <v>2</v>
          </cell>
          <cell r="E40">
            <v>586</v>
          </cell>
          <cell r="R40">
            <v>743</v>
          </cell>
        </row>
        <row r="41">
          <cell r="D41">
            <v>3</v>
          </cell>
          <cell r="E41">
            <v>588</v>
          </cell>
          <cell r="R41">
            <v>743</v>
          </cell>
        </row>
        <row r="42">
          <cell r="D42">
            <v>1</v>
          </cell>
          <cell r="E42">
            <v>592</v>
          </cell>
          <cell r="R42">
            <v>743</v>
          </cell>
        </row>
        <row r="43">
          <cell r="D43">
            <v>2</v>
          </cell>
          <cell r="E43">
            <v>599</v>
          </cell>
          <cell r="R43">
            <v>746</v>
          </cell>
        </row>
        <row r="44">
          <cell r="D44">
            <v>3</v>
          </cell>
          <cell r="E44">
            <v>607</v>
          </cell>
          <cell r="R44">
            <v>748</v>
          </cell>
        </row>
        <row r="45">
          <cell r="D45">
            <v>1</v>
          </cell>
          <cell r="E45">
            <v>611</v>
          </cell>
          <cell r="R45">
            <v>743</v>
          </cell>
        </row>
        <row r="46">
          <cell r="D46">
            <v>2</v>
          </cell>
          <cell r="E46">
            <v>613</v>
          </cell>
          <cell r="R46">
            <v>738</v>
          </cell>
        </row>
        <row r="47">
          <cell r="D47">
            <v>3</v>
          </cell>
          <cell r="E47">
            <v>621</v>
          </cell>
          <cell r="R47">
            <v>740</v>
          </cell>
        </row>
        <row r="48">
          <cell r="D48">
            <v>1</v>
          </cell>
          <cell r="E48">
            <v>618</v>
          </cell>
          <cell r="R48">
            <v>731</v>
          </cell>
        </row>
        <row r="49">
          <cell r="D49">
            <v>2</v>
          </cell>
          <cell r="E49">
            <v>620</v>
          </cell>
          <cell r="R49">
            <v>729</v>
          </cell>
        </row>
        <row r="50">
          <cell r="D50">
            <v>3</v>
          </cell>
          <cell r="E50">
            <v>617</v>
          </cell>
          <cell r="R50">
            <v>721</v>
          </cell>
        </row>
        <row r="51">
          <cell r="D51">
            <v>1</v>
          </cell>
          <cell r="E51">
            <v>627</v>
          </cell>
          <cell r="R51">
            <v>729</v>
          </cell>
        </row>
        <row r="52">
          <cell r="D52">
            <v>2</v>
          </cell>
          <cell r="E52">
            <v>626</v>
          </cell>
          <cell r="R52">
            <v>725</v>
          </cell>
        </row>
        <row r="53">
          <cell r="D53">
            <v>3</v>
          </cell>
          <cell r="E53">
            <v>632</v>
          </cell>
          <cell r="R53">
            <v>726</v>
          </cell>
        </row>
        <row r="54">
          <cell r="D54">
            <v>1</v>
          </cell>
          <cell r="E54">
            <v>636</v>
          </cell>
          <cell r="R54">
            <v>723</v>
          </cell>
        </row>
        <row r="55">
          <cell r="D55">
            <v>2</v>
          </cell>
          <cell r="E55">
            <v>644</v>
          </cell>
          <cell r="R55">
            <v>724</v>
          </cell>
        </row>
        <row r="56">
          <cell r="D56">
            <v>3</v>
          </cell>
          <cell r="E56">
            <v>652</v>
          </cell>
          <cell r="R56">
            <v>726</v>
          </cell>
        </row>
        <row r="57">
          <cell r="D57">
            <v>1</v>
          </cell>
          <cell r="E57">
            <v>658</v>
          </cell>
          <cell r="R57">
            <v>726</v>
          </cell>
        </row>
        <row r="58">
          <cell r="D58">
            <v>2</v>
          </cell>
          <cell r="E58">
            <v>662</v>
          </cell>
          <cell r="R58">
            <v>726</v>
          </cell>
        </row>
        <row r="59">
          <cell r="D59">
            <v>3</v>
          </cell>
          <cell r="E59">
            <v>664</v>
          </cell>
          <cell r="R59">
            <v>724</v>
          </cell>
        </row>
        <row r="60">
          <cell r="D60">
            <v>1</v>
          </cell>
          <cell r="E60">
            <v>660</v>
          </cell>
          <cell r="R60">
            <v>716</v>
          </cell>
        </row>
        <row r="61">
          <cell r="D61">
            <v>2</v>
          </cell>
          <cell r="E61">
            <v>662</v>
          </cell>
          <cell r="R61">
            <v>714</v>
          </cell>
        </row>
        <row r="62">
          <cell r="D62">
            <v>3</v>
          </cell>
          <cell r="E62">
            <v>668</v>
          </cell>
          <cell r="R62">
            <v>717</v>
          </cell>
        </row>
        <row r="63">
          <cell r="D63">
            <v>1</v>
          </cell>
          <cell r="E63">
            <v>675</v>
          </cell>
          <cell r="R63">
            <v>722</v>
          </cell>
        </row>
        <row r="64">
          <cell r="D64">
            <v>2</v>
          </cell>
          <cell r="E64">
            <v>681</v>
          </cell>
          <cell r="R64">
            <v>727</v>
          </cell>
        </row>
        <row r="65">
          <cell r="D65">
            <v>3</v>
          </cell>
          <cell r="E65">
            <v>678</v>
          </cell>
          <cell r="R65">
            <v>722</v>
          </cell>
        </row>
        <row r="66">
          <cell r="D66">
            <v>1</v>
          </cell>
          <cell r="E66">
            <v>680</v>
          </cell>
          <cell r="R66">
            <v>722</v>
          </cell>
        </row>
        <row r="67">
          <cell r="D67">
            <v>2</v>
          </cell>
          <cell r="E67">
            <v>680</v>
          </cell>
          <cell r="R67">
            <v>720</v>
          </cell>
        </row>
        <row r="68">
          <cell r="D68">
            <v>3</v>
          </cell>
          <cell r="E68">
            <v>686</v>
          </cell>
          <cell r="R68">
            <v>724</v>
          </cell>
        </row>
        <row r="69">
          <cell r="D69">
            <v>1</v>
          </cell>
          <cell r="E69">
            <v>696</v>
          </cell>
          <cell r="R69">
            <v>733</v>
          </cell>
        </row>
        <row r="70">
          <cell r="D70">
            <v>2</v>
          </cell>
          <cell r="E70">
            <v>699</v>
          </cell>
          <cell r="R70">
            <v>734</v>
          </cell>
        </row>
        <row r="71">
          <cell r="D71">
            <v>3</v>
          </cell>
          <cell r="E71">
            <v>699</v>
          </cell>
          <cell r="R71">
            <v>732</v>
          </cell>
        </row>
        <row r="72">
          <cell r="D72">
            <v>1</v>
          </cell>
          <cell r="E72">
            <v>698</v>
          </cell>
          <cell r="R72">
            <v>731</v>
          </cell>
        </row>
        <row r="73">
          <cell r="D73">
            <v>2</v>
          </cell>
          <cell r="E73">
            <v>696</v>
          </cell>
          <cell r="R73">
            <v>728</v>
          </cell>
        </row>
        <row r="74">
          <cell r="D74">
            <v>3</v>
          </cell>
          <cell r="E74">
            <v>695</v>
          </cell>
          <cell r="R74">
            <v>727</v>
          </cell>
        </row>
        <row r="75">
          <cell r="D75">
            <v>1</v>
          </cell>
          <cell r="E75">
            <v>699</v>
          </cell>
          <cell r="R75">
            <v>729</v>
          </cell>
        </row>
        <row r="76">
          <cell r="D76">
            <v>2</v>
          </cell>
          <cell r="E76">
            <v>701</v>
          </cell>
          <cell r="R76">
            <v>730</v>
          </cell>
        </row>
        <row r="77">
          <cell r="D77">
            <v>3</v>
          </cell>
          <cell r="E77">
            <v>703</v>
          </cell>
          <cell r="R77">
            <v>729</v>
          </cell>
        </row>
        <row r="78">
          <cell r="D78">
            <v>1</v>
          </cell>
          <cell r="E78">
            <v>707</v>
          </cell>
          <cell r="R78">
            <v>731</v>
          </cell>
        </row>
        <row r="79">
          <cell r="D79">
            <v>2</v>
          </cell>
          <cell r="E79">
            <v>713</v>
          </cell>
          <cell r="R79">
            <v>735</v>
          </cell>
        </row>
        <row r="80">
          <cell r="D80">
            <v>3</v>
          </cell>
          <cell r="E80">
            <v>724</v>
          </cell>
          <cell r="R80">
            <v>743</v>
          </cell>
        </row>
        <row r="81">
          <cell r="D81">
            <v>1</v>
          </cell>
          <cell r="E81">
            <v>727</v>
          </cell>
          <cell r="R81">
            <v>745</v>
          </cell>
        </row>
        <row r="82">
          <cell r="D82">
            <v>2</v>
          </cell>
          <cell r="E82">
            <v>732</v>
          </cell>
          <cell r="R82">
            <v>748</v>
          </cell>
        </row>
        <row r="83">
          <cell r="D83">
            <v>3</v>
          </cell>
          <cell r="E83">
            <v>733</v>
          </cell>
          <cell r="R83">
            <v>748</v>
          </cell>
        </row>
        <row r="84">
          <cell r="D84">
            <v>1</v>
          </cell>
          <cell r="E84">
            <v>730</v>
          </cell>
          <cell r="R84">
            <v>740</v>
          </cell>
        </row>
        <row r="85">
          <cell r="D85">
            <v>2</v>
          </cell>
          <cell r="E85">
            <v>722</v>
          </cell>
          <cell r="R85">
            <v>727</v>
          </cell>
        </row>
        <row r="86">
          <cell r="D86">
            <v>3</v>
          </cell>
          <cell r="E86">
            <v>719</v>
          </cell>
          <cell r="R86">
            <v>721</v>
          </cell>
        </row>
        <row r="87">
          <cell r="D87">
            <v>1</v>
          </cell>
          <cell r="E87">
            <v>723</v>
          </cell>
          <cell r="R87">
            <v>723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05" refreshError="1"/>
      <sheetData sheetId="10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2186</v>
          </cell>
          <cell r="R9">
            <v>3220</v>
          </cell>
        </row>
        <row r="10">
          <cell r="D10">
            <v>2</v>
          </cell>
          <cell r="E10">
            <v>2188</v>
          </cell>
          <cell r="R10">
            <v>3208</v>
          </cell>
        </row>
        <row r="11">
          <cell r="D11">
            <v>3</v>
          </cell>
          <cell r="E11">
            <v>2194</v>
          </cell>
          <cell r="R11">
            <v>3204</v>
          </cell>
        </row>
        <row r="12">
          <cell r="D12">
            <v>1</v>
          </cell>
          <cell r="E12">
            <v>2213</v>
          </cell>
          <cell r="R12">
            <v>3221</v>
          </cell>
        </row>
        <row r="13">
          <cell r="D13">
            <v>2</v>
          </cell>
          <cell r="E13">
            <v>2208</v>
          </cell>
          <cell r="R13">
            <v>3202</v>
          </cell>
        </row>
        <row r="14">
          <cell r="D14">
            <v>3</v>
          </cell>
          <cell r="E14">
            <v>2205</v>
          </cell>
          <cell r="R14">
            <v>3189</v>
          </cell>
        </row>
        <row r="15">
          <cell r="D15">
            <v>1</v>
          </cell>
          <cell r="E15">
            <v>2216</v>
          </cell>
          <cell r="R15">
            <v>3189</v>
          </cell>
        </row>
        <row r="16">
          <cell r="D16">
            <v>2</v>
          </cell>
          <cell r="E16">
            <v>2220</v>
          </cell>
          <cell r="R16">
            <v>3178</v>
          </cell>
        </row>
        <row r="17">
          <cell r="D17">
            <v>3</v>
          </cell>
          <cell r="E17">
            <v>2247</v>
          </cell>
          <cell r="R17">
            <v>3196</v>
          </cell>
        </row>
        <row r="18">
          <cell r="D18">
            <v>1</v>
          </cell>
          <cell r="E18">
            <v>2280</v>
          </cell>
          <cell r="R18">
            <v>3221</v>
          </cell>
        </row>
        <row r="19">
          <cell r="D19">
            <v>2</v>
          </cell>
          <cell r="E19">
            <v>2334</v>
          </cell>
          <cell r="R19">
            <v>3273</v>
          </cell>
        </row>
        <row r="20">
          <cell r="D20">
            <v>3</v>
          </cell>
          <cell r="E20">
            <v>2354</v>
          </cell>
          <cell r="R20">
            <v>3276</v>
          </cell>
        </row>
        <row r="21">
          <cell r="D21">
            <v>1</v>
          </cell>
          <cell r="E21">
            <v>2383</v>
          </cell>
          <cell r="R21">
            <v>3295</v>
          </cell>
        </row>
        <row r="22">
          <cell r="D22">
            <v>2</v>
          </cell>
          <cell r="E22">
            <v>2394</v>
          </cell>
          <cell r="R22">
            <v>3292</v>
          </cell>
        </row>
        <row r="23">
          <cell r="D23">
            <v>3</v>
          </cell>
          <cell r="E23">
            <v>2408</v>
          </cell>
          <cell r="R23">
            <v>3295</v>
          </cell>
        </row>
        <row r="24">
          <cell r="D24">
            <v>1</v>
          </cell>
          <cell r="E24">
            <v>2409</v>
          </cell>
          <cell r="R24">
            <v>3283</v>
          </cell>
        </row>
        <row r="25">
          <cell r="D25">
            <v>2</v>
          </cell>
          <cell r="E25">
            <v>2411</v>
          </cell>
          <cell r="R25">
            <v>3282</v>
          </cell>
        </row>
        <row r="26">
          <cell r="D26">
            <v>3</v>
          </cell>
          <cell r="E26">
            <v>2425</v>
          </cell>
          <cell r="R26">
            <v>3295</v>
          </cell>
        </row>
        <row r="27">
          <cell r="D27">
            <v>1</v>
          </cell>
          <cell r="E27">
            <v>2419</v>
          </cell>
          <cell r="R27">
            <v>3279</v>
          </cell>
        </row>
        <row r="28">
          <cell r="D28">
            <v>2</v>
          </cell>
          <cell r="E28">
            <v>2433</v>
          </cell>
          <cell r="R28">
            <v>3285</v>
          </cell>
        </row>
        <row r="29">
          <cell r="D29">
            <v>3</v>
          </cell>
          <cell r="E29">
            <v>2456</v>
          </cell>
          <cell r="R29">
            <v>3299</v>
          </cell>
        </row>
        <row r="30">
          <cell r="D30">
            <v>1</v>
          </cell>
          <cell r="E30">
            <v>2483</v>
          </cell>
          <cell r="R30">
            <v>3313</v>
          </cell>
        </row>
        <row r="31">
          <cell r="D31">
            <v>2</v>
          </cell>
          <cell r="E31">
            <v>2525</v>
          </cell>
          <cell r="R31">
            <v>3348</v>
          </cell>
        </row>
        <row r="32">
          <cell r="D32">
            <v>3</v>
          </cell>
          <cell r="E32">
            <v>2545</v>
          </cell>
          <cell r="R32">
            <v>3351</v>
          </cell>
        </row>
        <row r="33">
          <cell r="D33">
            <v>1</v>
          </cell>
          <cell r="E33">
            <v>2584</v>
          </cell>
          <cell r="R33">
            <v>3380</v>
          </cell>
        </row>
        <row r="34">
          <cell r="D34">
            <v>2</v>
          </cell>
          <cell r="E34">
            <v>2592</v>
          </cell>
          <cell r="R34">
            <v>3366</v>
          </cell>
        </row>
        <row r="35">
          <cell r="D35">
            <v>3</v>
          </cell>
          <cell r="E35">
            <v>2618</v>
          </cell>
          <cell r="R35">
            <v>3376</v>
          </cell>
        </row>
        <row r="36">
          <cell r="D36">
            <v>1</v>
          </cell>
          <cell r="E36">
            <v>2581</v>
          </cell>
          <cell r="R36">
            <v>3310</v>
          </cell>
        </row>
        <row r="37">
          <cell r="D37">
            <v>2</v>
          </cell>
          <cell r="E37">
            <v>2567</v>
          </cell>
          <cell r="R37">
            <v>3282</v>
          </cell>
        </row>
        <row r="38">
          <cell r="D38">
            <v>3</v>
          </cell>
          <cell r="E38">
            <v>2547</v>
          </cell>
          <cell r="R38">
            <v>3248</v>
          </cell>
        </row>
        <row r="39">
          <cell r="D39">
            <v>1</v>
          </cell>
          <cell r="E39">
            <v>2585</v>
          </cell>
          <cell r="R39">
            <v>3288</v>
          </cell>
        </row>
        <row r="40">
          <cell r="D40">
            <v>2</v>
          </cell>
          <cell r="E40">
            <v>2618</v>
          </cell>
          <cell r="R40">
            <v>3317</v>
          </cell>
        </row>
        <row r="41">
          <cell r="D41">
            <v>3</v>
          </cell>
          <cell r="E41">
            <v>2643</v>
          </cell>
          <cell r="R41">
            <v>3332</v>
          </cell>
        </row>
        <row r="42">
          <cell r="D42">
            <v>1</v>
          </cell>
          <cell r="E42">
            <v>2681</v>
          </cell>
          <cell r="R42">
            <v>3360</v>
          </cell>
        </row>
        <row r="43">
          <cell r="D43">
            <v>2</v>
          </cell>
          <cell r="E43">
            <v>2745</v>
          </cell>
          <cell r="R43">
            <v>3412</v>
          </cell>
        </row>
        <row r="44">
          <cell r="D44">
            <v>3</v>
          </cell>
          <cell r="E44">
            <v>2774</v>
          </cell>
          <cell r="R44">
            <v>3412</v>
          </cell>
        </row>
        <row r="45">
          <cell r="D45">
            <v>1</v>
          </cell>
          <cell r="E45">
            <v>2762</v>
          </cell>
          <cell r="R45">
            <v>3357</v>
          </cell>
        </row>
        <row r="46">
          <cell r="D46">
            <v>2</v>
          </cell>
          <cell r="E46">
            <v>2792</v>
          </cell>
          <cell r="R46">
            <v>3357</v>
          </cell>
        </row>
        <row r="47">
          <cell r="D47">
            <v>3</v>
          </cell>
          <cell r="E47">
            <v>2800</v>
          </cell>
          <cell r="R47">
            <v>3336</v>
          </cell>
        </row>
        <row r="48">
          <cell r="D48">
            <v>1</v>
          </cell>
          <cell r="E48">
            <v>2812</v>
          </cell>
          <cell r="R48">
            <v>3325</v>
          </cell>
        </row>
        <row r="49">
          <cell r="D49">
            <v>2</v>
          </cell>
          <cell r="E49">
            <v>2805</v>
          </cell>
          <cell r="R49">
            <v>3294</v>
          </cell>
        </row>
        <row r="50">
          <cell r="D50">
            <v>3</v>
          </cell>
          <cell r="E50">
            <v>2817</v>
          </cell>
          <cell r="R50">
            <v>3290</v>
          </cell>
        </row>
        <row r="51">
          <cell r="D51">
            <v>1</v>
          </cell>
          <cell r="E51">
            <v>2860</v>
          </cell>
          <cell r="R51">
            <v>3326</v>
          </cell>
        </row>
        <row r="52">
          <cell r="D52">
            <v>2</v>
          </cell>
          <cell r="E52">
            <v>2872</v>
          </cell>
          <cell r="R52">
            <v>3323</v>
          </cell>
        </row>
        <row r="53">
          <cell r="D53">
            <v>3</v>
          </cell>
          <cell r="E53">
            <v>2905</v>
          </cell>
          <cell r="R53">
            <v>3335</v>
          </cell>
        </row>
        <row r="54">
          <cell r="D54">
            <v>1</v>
          </cell>
          <cell r="E54">
            <v>2967</v>
          </cell>
          <cell r="R54">
            <v>3374</v>
          </cell>
        </row>
        <row r="55">
          <cell r="D55">
            <v>2</v>
          </cell>
          <cell r="E55">
            <v>3013</v>
          </cell>
          <cell r="R55">
            <v>3388</v>
          </cell>
        </row>
        <row r="56">
          <cell r="D56">
            <v>3</v>
          </cell>
          <cell r="E56">
            <v>3020</v>
          </cell>
          <cell r="R56">
            <v>3360</v>
          </cell>
        </row>
        <row r="57">
          <cell r="D57">
            <v>1</v>
          </cell>
          <cell r="E57">
            <v>3061</v>
          </cell>
          <cell r="R57">
            <v>3376</v>
          </cell>
        </row>
        <row r="58">
          <cell r="D58">
            <v>2</v>
          </cell>
          <cell r="E58">
            <v>3079</v>
          </cell>
          <cell r="R58">
            <v>3374</v>
          </cell>
        </row>
        <row r="59">
          <cell r="D59">
            <v>3</v>
          </cell>
          <cell r="E59">
            <v>3107</v>
          </cell>
          <cell r="R59">
            <v>3385</v>
          </cell>
        </row>
        <row r="60">
          <cell r="D60">
            <v>1</v>
          </cell>
          <cell r="E60">
            <v>3137</v>
          </cell>
          <cell r="R60">
            <v>3398</v>
          </cell>
        </row>
        <row r="61">
          <cell r="D61">
            <v>2</v>
          </cell>
          <cell r="E61">
            <v>3159</v>
          </cell>
          <cell r="R61">
            <v>3403</v>
          </cell>
        </row>
        <row r="62">
          <cell r="D62">
            <v>3</v>
          </cell>
          <cell r="E62">
            <v>3174</v>
          </cell>
          <cell r="R62">
            <v>3406</v>
          </cell>
        </row>
        <row r="63">
          <cell r="D63">
            <v>1</v>
          </cell>
          <cell r="E63">
            <v>3160</v>
          </cell>
          <cell r="R63">
            <v>3378</v>
          </cell>
        </row>
        <row r="64">
          <cell r="D64">
            <v>2</v>
          </cell>
          <cell r="E64">
            <v>3171</v>
          </cell>
          <cell r="R64">
            <v>3381</v>
          </cell>
        </row>
        <row r="65">
          <cell r="D65">
            <v>3</v>
          </cell>
          <cell r="E65">
            <v>3214</v>
          </cell>
          <cell r="R65">
            <v>3420</v>
          </cell>
        </row>
        <row r="66">
          <cell r="D66">
            <v>1</v>
          </cell>
          <cell r="E66">
            <v>3249</v>
          </cell>
          <cell r="R66">
            <v>3448</v>
          </cell>
        </row>
        <row r="67">
          <cell r="D67">
            <v>2</v>
          </cell>
          <cell r="E67">
            <v>3309</v>
          </cell>
          <cell r="R67">
            <v>3501</v>
          </cell>
        </row>
        <row r="68">
          <cell r="D68">
            <v>3</v>
          </cell>
          <cell r="E68">
            <v>3346</v>
          </cell>
          <cell r="R68">
            <v>3528</v>
          </cell>
        </row>
        <row r="69">
          <cell r="D69">
            <v>1</v>
          </cell>
          <cell r="E69">
            <v>3345</v>
          </cell>
          <cell r="R69">
            <v>3516</v>
          </cell>
        </row>
        <row r="70">
          <cell r="D70">
            <v>2</v>
          </cell>
          <cell r="E70">
            <v>3295</v>
          </cell>
          <cell r="R70">
            <v>3453</v>
          </cell>
        </row>
        <row r="71">
          <cell r="D71">
            <v>3</v>
          </cell>
          <cell r="E71">
            <v>3296</v>
          </cell>
          <cell r="R71">
            <v>3447</v>
          </cell>
        </row>
        <row r="72">
          <cell r="D72">
            <v>1</v>
          </cell>
          <cell r="E72">
            <v>3291</v>
          </cell>
          <cell r="R72">
            <v>3440</v>
          </cell>
        </row>
        <row r="73">
          <cell r="D73">
            <v>2</v>
          </cell>
          <cell r="E73">
            <v>3267</v>
          </cell>
          <cell r="R73">
            <v>3410</v>
          </cell>
        </row>
        <row r="74">
          <cell r="D74">
            <v>3</v>
          </cell>
          <cell r="E74">
            <v>3261</v>
          </cell>
          <cell r="R74">
            <v>3403</v>
          </cell>
        </row>
        <row r="75">
          <cell r="D75">
            <v>1</v>
          </cell>
          <cell r="E75">
            <v>3272</v>
          </cell>
          <cell r="R75">
            <v>3408</v>
          </cell>
        </row>
        <row r="76">
          <cell r="D76">
            <v>2</v>
          </cell>
          <cell r="E76">
            <v>3290</v>
          </cell>
          <cell r="R76">
            <v>3417</v>
          </cell>
        </row>
        <row r="77">
          <cell r="D77">
            <v>3</v>
          </cell>
          <cell r="E77">
            <v>3325</v>
          </cell>
          <cell r="R77">
            <v>3445</v>
          </cell>
        </row>
        <row r="78">
          <cell r="D78">
            <v>1</v>
          </cell>
          <cell r="E78">
            <v>3335</v>
          </cell>
          <cell r="R78">
            <v>3444</v>
          </cell>
        </row>
        <row r="79">
          <cell r="D79">
            <v>2</v>
          </cell>
          <cell r="E79">
            <v>3398</v>
          </cell>
          <cell r="R79">
            <v>3498</v>
          </cell>
        </row>
        <row r="80">
          <cell r="D80">
            <v>3</v>
          </cell>
          <cell r="E80">
            <v>3453</v>
          </cell>
          <cell r="R80">
            <v>3543</v>
          </cell>
        </row>
        <row r="81">
          <cell r="D81">
            <v>1</v>
          </cell>
          <cell r="E81">
            <v>3485</v>
          </cell>
          <cell r="R81">
            <v>3569</v>
          </cell>
        </row>
        <row r="82">
          <cell r="D82">
            <v>2</v>
          </cell>
          <cell r="E82">
            <v>3477</v>
          </cell>
          <cell r="R82">
            <v>3553</v>
          </cell>
        </row>
        <row r="83">
          <cell r="D83">
            <v>3</v>
          </cell>
          <cell r="E83">
            <v>3485</v>
          </cell>
          <cell r="R83">
            <v>3552</v>
          </cell>
        </row>
        <row r="84">
          <cell r="D84">
            <v>1</v>
          </cell>
          <cell r="E84">
            <v>3476</v>
          </cell>
          <cell r="R84">
            <v>3521</v>
          </cell>
        </row>
        <row r="85">
          <cell r="D85">
            <v>2</v>
          </cell>
          <cell r="E85">
            <v>3499</v>
          </cell>
          <cell r="R85">
            <v>3521</v>
          </cell>
        </row>
        <row r="86">
          <cell r="D86">
            <v>3</v>
          </cell>
          <cell r="E86">
            <v>3493</v>
          </cell>
          <cell r="R86">
            <v>3499</v>
          </cell>
        </row>
        <row r="87">
          <cell r="D87">
            <v>1</v>
          </cell>
          <cell r="E87">
            <v>3514</v>
          </cell>
          <cell r="R87">
            <v>3514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07" refreshError="1"/>
      <sheetData sheetId="10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2145</v>
          </cell>
          <cell r="R9">
            <v>3163</v>
          </cell>
        </row>
        <row r="10">
          <cell r="D10">
            <v>2</v>
          </cell>
          <cell r="E10">
            <v>2172</v>
          </cell>
          <cell r="R10">
            <v>3191</v>
          </cell>
        </row>
        <row r="11">
          <cell r="D11">
            <v>3</v>
          </cell>
          <cell r="E11">
            <v>2220</v>
          </cell>
          <cell r="R11">
            <v>3251</v>
          </cell>
        </row>
        <row r="12">
          <cell r="D12">
            <v>1</v>
          </cell>
          <cell r="E12">
            <v>2167</v>
          </cell>
          <cell r="R12">
            <v>3163</v>
          </cell>
        </row>
        <row r="13">
          <cell r="D13">
            <v>2</v>
          </cell>
          <cell r="E13">
            <v>2122</v>
          </cell>
          <cell r="R13">
            <v>3087</v>
          </cell>
        </row>
        <row r="14">
          <cell r="D14">
            <v>3</v>
          </cell>
          <cell r="E14">
            <v>2080</v>
          </cell>
          <cell r="R14">
            <v>3016</v>
          </cell>
        </row>
        <row r="15">
          <cell r="D15">
            <v>1</v>
          </cell>
          <cell r="E15">
            <v>2064</v>
          </cell>
          <cell r="R15">
            <v>2978</v>
          </cell>
        </row>
        <row r="16">
          <cell r="D16">
            <v>2</v>
          </cell>
          <cell r="E16">
            <v>2041</v>
          </cell>
          <cell r="R16">
            <v>2929</v>
          </cell>
        </row>
        <row r="17">
          <cell r="D17">
            <v>3</v>
          </cell>
          <cell r="E17">
            <v>2090</v>
          </cell>
          <cell r="R17">
            <v>2981</v>
          </cell>
        </row>
        <row r="18">
          <cell r="D18">
            <v>1</v>
          </cell>
          <cell r="E18">
            <v>2275</v>
          </cell>
          <cell r="R18">
            <v>3224</v>
          </cell>
        </row>
        <row r="19">
          <cell r="D19">
            <v>2</v>
          </cell>
          <cell r="E19">
            <v>2359</v>
          </cell>
          <cell r="R19">
            <v>3317</v>
          </cell>
        </row>
        <row r="20">
          <cell r="D20">
            <v>3</v>
          </cell>
          <cell r="E20">
            <v>2340</v>
          </cell>
          <cell r="R20">
            <v>3266</v>
          </cell>
        </row>
        <row r="21">
          <cell r="D21">
            <v>1</v>
          </cell>
          <cell r="E21">
            <v>2321</v>
          </cell>
          <cell r="R21">
            <v>3220</v>
          </cell>
        </row>
        <row r="22">
          <cell r="D22">
            <v>2</v>
          </cell>
          <cell r="E22">
            <v>2458</v>
          </cell>
          <cell r="R22">
            <v>3390</v>
          </cell>
        </row>
        <row r="23">
          <cell r="D23">
            <v>3</v>
          </cell>
          <cell r="E23">
            <v>2525</v>
          </cell>
          <cell r="R23">
            <v>3467</v>
          </cell>
        </row>
        <row r="24">
          <cell r="D24">
            <v>1</v>
          </cell>
          <cell r="E24">
            <v>2412</v>
          </cell>
          <cell r="R24">
            <v>3299</v>
          </cell>
        </row>
        <row r="25">
          <cell r="D25">
            <v>2</v>
          </cell>
          <cell r="E25">
            <v>2306</v>
          </cell>
          <cell r="R25">
            <v>3151</v>
          </cell>
        </row>
        <row r="26">
          <cell r="D26">
            <v>3</v>
          </cell>
          <cell r="E26">
            <v>2272</v>
          </cell>
          <cell r="R26">
            <v>3097</v>
          </cell>
        </row>
        <row r="27">
          <cell r="D27">
            <v>1</v>
          </cell>
          <cell r="E27">
            <v>2266</v>
          </cell>
          <cell r="R27">
            <v>3081</v>
          </cell>
        </row>
        <row r="28">
          <cell r="D28">
            <v>2</v>
          </cell>
          <cell r="E28">
            <v>2213</v>
          </cell>
          <cell r="R28">
            <v>2996</v>
          </cell>
        </row>
        <row r="29">
          <cell r="D29">
            <v>3</v>
          </cell>
          <cell r="E29">
            <v>2146</v>
          </cell>
          <cell r="R29">
            <v>2890</v>
          </cell>
        </row>
        <row r="30">
          <cell r="D30">
            <v>1</v>
          </cell>
          <cell r="E30">
            <v>2148</v>
          </cell>
          <cell r="R30">
            <v>2875</v>
          </cell>
        </row>
        <row r="31">
          <cell r="D31">
            <v>2</v>
          </cell>
          <cell r="E31">
            <v>2202</v>
          </cell>
          <cell r="R31">
            <v>2927</v>
          </cell>
        </row>
        <row r="32">
          <cell r="D32">
            <v>3</v>
          </cell>
          <cell r="E32">
            <v>2251</v>
          </cell>
          <cell r="R32">
            <v>2973</v>
          </cell>
        </row>
        <row r="33">
          <cell r="D33">
            <v>1</v>
          </cell>
          <cell r="E33">
            <v>2324</v>
          </cell>
          <cell r="R33">
            <v>3048</v>
          </cell>
        </row>
        <row r="34">
          <cell r="D34">
            <v>2</v>
          </cell>
          <cell r="E34">
            <v>2350</v>
          </cell>
          <cell r="R34">
            <v>3060</v>
          </cell>
        </row>
        <row r="35">
          <cell r="D35">
            <v>3</v>
          </cell>
          <cell r="E35">
            <v>2417</v>
          </cell>
          <cell r="R35">
            <v>3125</v>
          </cell>
        </row>
        <row r="36">
          <cell r="D36">
            <v>1</v>
          </cell>
          <cell r="E36">
            <v>2376</v>
          </cell>
          <cell r="R36">
            <v>3054</v>
          </cell>
        </row>
        <row r="37">
          <cell r="D37">
            <v>2</v>
          </cell>
          <cell r="E37">
            <v>2340</v>
          </cell>
          <cell r="R37">
            <v>3000</v>
          </cell>
        </row>
        <row r="38">
          <cell r="D38">
            <v>3</v>
          </cell>
          <cell r="E38">
            <v>2263</v>
          </cell>
          <cell r="R38">
            <v>2892</v>
          </cell>
        </row>
        <row r="39">
          <cell r="D39">
            <v>1</v>
          </cell>
          <cell r="E39">
            <v>2352</v>
          </cell>
          <cell r="R39">
            <v>2996</v>
          </cell>
        </row>
        <row r="40">
          <cell r="D40">
            <v>2</v>
          </cell>
          <cell r="E40">
            <v>2395</v>
          </cell>
          <cell r="R40">
            <v>3040</v>
          </cell>
        </row>
        <row r="41">
          <cell r="D41">
            <v>3</v>
          </cell>
          <cell r="E41">
            <v>2477</v>
          </cell>
          <cell r="R41">
            <v>3130</v>
          </cell>
        </row>
        <row r="42">
          <cell r="D42">
            <v>1</v>
          </cell>
          <cell r="E42">
            <v>2494</v>
          </cell>
          <cell r="R42">
            <v>3135</v>
          </cell>
        </row>
        <row r="43">
          <cell r="D43">
            <v>2</v>
          </cell>
          <cell r="E43">
            <v>2475</v>
          </cell>
          <cell r="R43">
            <v>3084</v>
          </cell>
        </row>
        <row r="44">
          <cell r="D44">
            <v>3</v>
          </cell>
          <cell r="E44">
            <v>2515</v>
          </cell>
          <cell r="R44">
            <v>3101</v>
          </cell>
        </row>
        <row r="45">
          <cell r="D45">
            <v>1</v>
          </cell>
          <cell r="E45">
            <v>2537</v>
          </cell>
          <cell r="R45">
            <v>3088</v>
          </cell>
        </row>
        <row r="46">
          <cell r="D46">
            <v>2</v>
          </cell>
          <cell r="E46">
            <v>2596</v>
          </cell>
          <cell r="R46">
            <v>3128</v>
          </cell>
        </row>
        <row r="47">
          <cell r="D47">
            <v>3</v>
          </cell>
          <cell r="E47">
            <v>2532</v>
          </cell>
          <cell r="R47">
            <v>3022</v>
          </cell>
        </row>
        <row r="48">
          <cell r="D48">
            <v>1</v>
          </cell>
          <cell r="E48">
            <v>2499</v>
          </cell>
          <cell r="R48">
            <v>2962</v>
          </cell>
        </row>
        <row r="49">
          <cell r="D49">
            <v>2</v>
          </cell>
          <cell r="E49">
            <v>2517</v>
          </cell>
          <cell r="R49">
            <v>2961</v>
          </cell>
        </row>
        <row r="50">
          <cell r="D50">
            <v>3</v>
          </cell>
          <cell r="E50">
            <v>2555</v>
          </cell>
          <cell r="R50">
            <v>2991</v>
          </cell>
        </row>
        <row r="51">
          <cell r="D51">
            <v>1</v>
          </cell>
          <cell r="E51">
            <v>2602</v>
          </cell>
          <cell r="R51">
            <v>3032</v>
          </cell>
        </row>
        <row r="52">
          <cell r="D52">
            <v>2</v>
          </cell>
          <cell r="E52">
            <v>2646</v>
          </cell>
          <cell r="R52">
            <v>3066</v>
          </cell>
        </row>
        <row r="53">
          <cell r="D53">
            <v>3</v>
          </cell>
          <cell r="E53">
            <v>2710</v>
          </cell>
          <cell r="R53">
            <v>3116</v>
          </cell>
        </row>
        <row r="54">
          <cell r="D54">
            <v>1</v>
          </cell>
          <cell r="E54">
            <v>2778</v>
          </cell>
          <cell r="R54">
            <v>3164</v>
          </cell>
        </row>
        <row r="55">
          <cell r="D55">
            <v>2</v>
          </cell>
          <cell r="E55">
            <v>2799</v>
          </cell>
          <cell r="R55">
            <v>3154</v>
          </cell>
        </row>
        <row r="56">
          <cell r="D56">
            <v>3</v>
          </cell>
          <cell r="E56">
            <v>2795</v>
          </cell>
          <cell r="R56">
            <v>3116</v>
          </cell>
        </row>
        <row r="57">
          <cell r="D57">
            <v>1</v>
          </cell>
          <cell r="E57">
            <v>2694</v>
          </cell>
          <cell r="R57">
            <v>2978</v>
          </cell>
        </row>
        <row r="58">
          <cell r="D58">
            <v>2</v>
          </cell>
          <cell r="E58">
            <v>2682</v>
          </cell>
          <cell r="R58">
            <v>2945</v>
          </cell>
        </row>
        <row r="59">
          <cell r="D59">
            <v>3</v>
          </cell>
          <cell r="E59">
            <v>2749</v>
          </cell>
          <cell r="R59">
            <v>3000</v>
          </cell>
        </row>
        <row r="60">
          <cell r="D60">
            <v>1</v>
          </cell>
          <cell r="E60">
            <v>2865</v>
          </cell>
          <cell r="R60">
            <v>3109</v>
          </cell>
        </row>
        <row r="61">
          <cell r="D61">
            <v>2</v>
          </cell>
          <cell r="E61">
            <v>2926</v>
          </cell>
          <cell r="R61">
            <v>3158</v>
          </cell>
        </row>
        <row r="62">
          <cell r="D62">
            <v>3</v>
          </cell>
          <cell r="E62">
            <v>2897</v>
          </cell>
          <cell r="R62">
            <v>3114</v>
          </cell>
        </row>
        <row r="63">
          <cell r="D63">
            <v>1</v>
          </cell>
          <cell r="E63">
            <v>2857</v>
          </cell>
          <cell r="R63">
            <v>3060</v>
          </cell>
        </row>
        <row r="64">
          <cell r="D64">
            <v>2</v>
          </cell>
          <cell r="E64">
            <v>2818</v>
          </cell>
          <cell r="R64">
            <v>3011</v>
          </cell>
        </row>
        <row r="65">
          <cell r="D65">
            <v>3</v>
          </cell>
          <cell r="E65">
            <v>2939</v>
          </cell>
          <cell r="R65">
            <v>3133</v>
          </cell>
        </row>
        <row r="66">
          <cell r="D66">
            <v>1</v>
          </cell>
          <cell r="E66">
            <v>3018</v>
          </cell>
          <cell r="R66">
            <v>3210</v>
          </cell>
        </row>
        <row r="67">
          <cell r="D67">
            <v>2</v>
          </cell>
          <cell r="E67">
            <v>3163</v>
          </cell>
          <cell r="R67">
            <v>3354</v>
          </cell>
        </row>
        <row r="68">
          <cell r="D68">
            <v>3</v>
          </cell>
          <cell r="E68">
            <v>3145</v>
          </cell>
          <cell r="R68">
            <v>3323</v>
          </cell>
        </row>
        <row r="69">
          <cell r="D69">
            <v>1</v>
          </cell>
          <cell r="E69">
            <v>3096</v>
          </cell>
          <cell r="R69">
            <v>3259</v>
          </cell>
        </row>
        <row r="70">
          <cell r="D70">
            <v>2</v>
          </cell>
          <cell r="E70">
            <v>3133</v>
          </cell>
          <cell r="R70">
            <v>3289</v>
          </cell>
        </row>
        <row r="71">
          <cell r="D71">
            <v>3</v>
          </cell>
          <cell r="E71">
            <v>3120</v>
          </cell>
          <cell r="R71">
            <v>3269</v>
          </cell>
        </row>
        <row r="72">
          <cell r="D72">
            <v>1</v>
          </cell>
          <cell r="E72">
            <v>3214</v>
          </cell>
          <cell r="R72">
            <v>3365</v>
          </cell>
        </row>
        <row r="73">
          <cell r="D73">
            <v>2</v>
          </cell>
          <cell r="E73">
            <v>3221</v>
          </cell>
          <cell r="R73">
            <v>3371</v>
          </cell>
        </row>
        <row r="74">
          <cell r="D74">
            <v>3</v>
          </cell>
          <cell r="E74">
            <v>3292</v>
          </cell>
          <cell r="R74">
            <v>3443</v>
          </cell>
        </row>
        <row r="75">
          <cell r="D75">
            <v>1</v>
          </cell>
          <cell r="E75">
            <v>3298</v>
          </cell>
          <cell r="R75">
            <v>3443</v>
          </cell>
        </row>
        <row r="76">
          <cell r="D76">
            <v>2</v>
          </cell>
          <cell r="E76">
            <v>3322</v>
          </cell>
          <cell r="R76">
            <v>3460</v>
          </cell>
        </row>
        <row r="77">
          <cell r="D77">
            <v>3</v>
          </cell>
          <cell r="E77">
            <v>3321</v>
          </cell>
          <cell r="R77">
            <v>3448</v>
          </cell>
        </row>
        <row r="78">
          <cell r="D78">
            <v>1</v>
          </cell>
          <cell r="E78">
            <v>3546</v>
          </cell>
          <cell r="R78">
            <v>3667</v>
          </cell>
        </row>
        <row r="79">
          <cell r="D79">
            <v>2</v>
          </cell>
          <cell r="E79">
            <v>3521</v>
          </cell>
          <cell r="R79">
            <v>3630</v>
          </cell>
        </row>
        <row r="80">
          <cell r="D80">
            <v>3</v>
          </cell>
          <cell r="E80">
            <v>3690</v>
          </cell>
          <cell r="R80">
            <v>3791</v>
          </cell>
        </row>
        <row r="81">
          <cell r="D81">
            <v>1</v>
          </cell>
          <cell r="E81">
            <v>3621</v>
          </cell>
          <cell r="R81">
            <v>3711</v>
          </cell>
        </row>
        <row r="82">
          <cell r="D82">
            <v>2</v>
          </cell>
          <cell r="E82">
            <v>3635</v>
          </cell>
          <cell r="R82">
            <v>3717</v>
          </cell>
        </row>
        <row r="83">
          <cell r="D83">
            <v>3</v>
          </cell>
          <cell r="E83">
            <v>3590</v>
          </cell>
          <cell r="R83">
            <v>3662</v>
          </cell>
        </row>
        <row r="84">
          <cell r="D84">
            <v>1</v>
          </cell>
          <cell r="E84">
            <v>3659</v>
          </cell>
          <cell r="R84">
            <v>3709</v>
          </cell>
        </row>
        <row r="85">
          <cell r="D85">
            <v>2</v>
          </cell>
          <cell r="E85">
            <v>3754</v>
          </cell>
          <cell r="R85">
            <v>3781</v>
          </cell>
        </row>
        <row r="86">
          <cell r="D86">
            <v>3</v>
          </cell>
          <cell r="E86">
            <v>3868</v>
          </cell>
          <cell r="R86">
            <v>3878</v>
          </cell>
        </row>
        <row r="87">
          <cell r="D87">
            <v>1</v>
          </cell>
          <cell r="E87">
            <v>3835</v>
          </cell>
          <cell r="R87">
            <v>3835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09" refreshError="1"/>
      <sheetData sheetId="11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2479</v>
          </cell>
          <cell r="R9">
            <v>3651</v>
          </cell>
        </row>
        <row r="10">
          <cell r="D10">
            <v>2</v>
          </cell>
          <cell r="E10">
            <v>2483</v>
          </cell>
          <cell r="R10">
            <v>3640</v>
          </cell>
        </row>
        <row r="11">
          <cell r="D11">
            <v>3</v>
          </cell>
          <cell r="E11">
            <v>2481</v>
          </cell>
          <cell r="R11">
            <v>3623</v>
          </cell>
        </row>
        <row r="12">
          <cell r="D12">
            <v>1</v>
          </cell>
          <cell r="E12">
            <v>2533</v>
          </cell>
          <cell r="R12">
            <v>3686</v>
          </cell>
        </row>
        <row r="13">
          <cell r="D13">
            <v>2</v>
          </cell>
          <cell r="E13">
            <v>2535</v>
          </cell>
          <cell r="R13">
            <v>3677</v>
          </cell>
        </row>
        <row r="14">
          <cell r="D14">
            <v>3</v>
          </cell>
          <cell r="E14">
            <v>2545</v>
          </cell>
          <cell r="R14">
            <v>3680</v>
          </cell>
        </row>
        <row r="15">
          <cell r="D15">
            <v>1</v>
          </cell>
          <cell r="E15">
            <v>2554</v>
          </cell>
          <cell r="R15">
            <v>3676</v>
          </cell>
        </row>
        <row r="16">
          <cell r="D16">
            <v>2</v>
          </cell>
          <cell r="E16">
            <v>2565</v>
          </cell>
          <cell r="R16">
            <v>3673</v>
          </cell>
        </row>
        <row r="17">
          <cell r="D17">
            <v>3</v>
          </cell>
          <cell r="E17">
            <v>2590</v>
          </cell>
          <cell r="R17">
            <v>3685</v>
          </cell>
        </row>
        <row r="18">
          <cell r="D18">
            <v>1</v>
          </cell>
          <cell r="E18">
            <v>2590</v>
          </cell>
          <cell r="R18">
            <v>3660</v>
          </cell>
        </row>
        <row r="19">
          <cell r="D19">
            <v>2</v>
          </cell>
          <cell r="E19">
            <v>2617</v>
          </cell>
          <cell r="R19">
            <v>3671</v>
          </cell>
        </row>
        <row r="20">
          <cell r="D20">
            <v>3</v>
          </cell>
          <cell r="E20">
            <v>2632</v>
          </cell>
          <cell r="R20">
            <v>3663</v>
          </cell>
        </row>
        <row r="21">
          <cell r="D21">
            <v>1</v>
          </cell>
          <cell r="E21">
            <v>2664</v>
          </cell>
          <cell r="R21">
            <v>3685</v>
          </cell>
        </row>
        <row r="22">
          <cell r="D22">
            <v>2</v>
          </cell>
          <cell r="E22">
            <v>2669</v>
          </cell>
          <cell r="R22">
            <v>3671</v>
          </cell>
        </row>
        <row r="23">
          <cell r="D23">
            <v>3</v>
          </cell>
          <cell r="E23">
            <v>2696</v>
          </cell>
          <cell r="R23">
            <v>3690</v>
          </cell>
        </row>
        <row r="24">
          <cell r="D24">
            <v>1</v>
          </cell>
          <cell r="E24">
            <v>2724</v>
          </cell>
          <cell r="R24">
            <v>3714</v>
          </cell>
        </row>
        <row r="25">
          <cell r="D25">
            <v>2</v>
          </cell>
          <cell r="E25">
            <v>2749</v>
          </cell>
          <cell r="R25">
            <v>3743</v>
          </cell>
        </row>
        <row r="26">
          <cell r="D26">
            <v>3</v>
          </cell>
          <cell r="E26">
            <v>2782</v>
          </cell>
          <cell r="R26">
            <v>3781</v>
          </cell>
        </row>
        <row r="27">
          <cell r="D27">
            <v>1</v>
          </cell>
          <cell r="E27">
            <v>2785</v>
          </cell>
          <cell r="R27">
            <v>3776</v>
          </cell>
        </row>
        <row r="28">
          <cell r="D28">
            <v>2</v>
          </cell>
          <cell r="E28">
            <v>2819</v>
          </cell>
          <cell r="R28">
            <v>3806</v>
          </cell>
        </row>
        <row r="29">
          <cell r="D29">
            <v>3</v>
          </cell>
          <cell r="E29">
            <v>2859</v>
          </cell>
          <cell r="R29">
            <v>3841</v>
          </cell>
        </row>
        <row r="30">
          <cell r="D30">
            <v>1</v>
          </cell>
          <cell r="E30">
            <v>2887</v>
          </cell>
          <cell r="R30">
            <v>3853</v>
          </cell>
        </row>
        <row r="31">
          <cell r="D31">
            <v>2</v>
          </cell>
          <cell r="E31">
            <v>2911</v>
          </cell>
          <cell r="R31">
            <v>3861</v>
          </cell>
        </row>
        <row r="32">
          <cell r="D32">
            <v>3</v>
          </cell>
          <cell r="E32">
            <v>2902</v>
          </cell>
          <cell r="R32">
            <v>3823</v>
          </cell>
        </row>
        <row r="33">
          <cell r="D33">
            <v>1</v>
          </cell>
          <cell r="E33">
            <v>2934</v>
          </cell>
          <cell r="R33">
            <v>3839</v>
          </cell>
        </row>
        <row r="34">
          <cell r="D34">
            <v>2</v>
          </cell>
          <cell r="E34">
            <v>2963</v>
          </cell>
          <cell r="R34">
            <v>3848</v>
          </cell>
        </row>
        <row r="35">
          <cell r="D35">
            <v>3</v>
          </cell>
          <cell r="E35">
            <v>2996</v>
          </cell>
          <cell r="R35">
            <v>3864</v>
          </cell>
        </row>
        <row r="36">
          <cell r="D36">
            <v>1</v>
          </cell>
          <cell r="E36">
            <v>2958</v>
          </cell>
          <cell r="R36">
            <v>3795</v>
          </cell>
        </row>
        <row r="37">
          <cell r="D37">
            <v>2</v>
          </cell>
          <cell r="E37">
            <v>2949</v>
          </cell>
          <cell r="R37">
            <v>3772</v>
          </cell>
        </row>
        <row r="38">
          <cell r="D38">
            <v>3</v>
          </cell>
          <cell r="E38">
            <v>2938</v>
          </cell>
          <cell r="R38">
            <v>3750</v>
          </cell>
        </row>
        <row r="39">
          <cell r="D39">
            <v>1</v>
          </cell>
          <cell r="E39">
            <v>2989</v>
          </cell>
          <cell r="R39">
            <v>3804</v>
          </cell>
        </row>
        <row r="40">
          <cell r="D40">
            <v>2</v>
          </cell>
          <cell r="E40">
            <v>3023</v>
          </cell>
          <cell r="R40">
            <v>3831</v>
          </cell>
        </row>
        <row r="41">
          <cell r="D41">
            <v>3</v>
          </cell>
          <cell r="E41">
            <v>3046</v>
          </cell>
          <cell r="R41">
            <v>3841</v>
          </cell>
        </row>
        <row r="42">
          <cell r="D42">
            <v>1</v>
          </cell>
          <cell r="E42">
            <v>3088</v>
          </cell>
          <cell r="R42">
            <v>3871</v>
          </cell>
        </row>
        <row r="43">
          <cell r="D43">
            <v>2</v>
          </cell>
          <cell r="E43">
            <v>3160</v>
          </cell>
          <cell r="R43">
            <v>3928</v>
          </cell>
        </row>
        <row r="44">
          <cell r="D44">
            <v>3</v>
          </cell>
          <cell r="E44">
            <v>3176</v>
          </cell>
          <cell r="R44">
            <v>3906</v>
          </cell>
        </row>
        <row r="45">
          <cell r="D45">
            <v>1</v>
          </cell>
          <cell r="E45">
            <v>3153</v>
          </cell>
          <cell r="R45">
            <v>3832</v>
          </cell>
        </row>
        <row r="46">
          <cell r="D46">
            <v>2</v>
          </cell>
          <cell r="E46">
            <v>3191</v>
          </cell>
          <cell r="R46">
            <v>3837</v>
          </cell>
        </row>
        <row r="47">
          <cell r="D47">
            <v>3</v>
          </cell>
          <cell r="E47">
            <v>3218</v>
          </cell>
          <cell r="R47">
            <v>3835</v>
          </cell>
        </row>
        <row r="48">
          <cell r="D48">
            <v>1</v>
          </cell>
          <cell r="E48">
            <v>3250</v>
          </cell>
          <cell r="R48">
            <v>3843</v>
          </cell>
        </row>
        <row r="49">
          <cell r="D49">
            <v>2</v>
          </cell>
          <cell r="E49">
            <v>3247</v>
          </cell>
          <cell r="R49">
            <v>3813</v>
          </cell>
        </row>
        <row r="50">
          <cell r="D50">
            <v>3</v>
          </cell>
          <cell r="E50">
            <v>3267</v>
          </cell>
          <cell r="R50">
            <v>3816</v>
          </cell>
        </row>
        <row r="51">
          <cell r="D51">
            <v>1</v>
          </cell>
          <cell r="E51">
            <v>3322</v>
          </cell>
          <cell r="R51">
            <v>3864</v>
          </cell>
        </row>
        <row r="52">
          <cell r="D52">
            <v>2</v>
          </cell>
          <cell r="E52">
            <v>3326</v>
          </cell>
          <cell r="R52">
            <v>3848</v>
          </cell>
        </row>
        <row r="53">
          <cell r="D53">
            <v>3</v>
          </cell>
          <cell r="E53">
            <v>3352</v>
          </cell>
          <cell r="R53">
            <v>3847</v>
          </cell>
        </row>
        <row r="54">
          <cell r="D54">
            <v>1</v>
          </cell>
          <cell r="E54">
            <v>3408</v>
          </cell>
          <cell r="R54">
            <v>3875</v>
          </cell>
        </row>
        <row r="55">
          <cell r="D55">
            <v>2</v>
          </cell>
          <cell r="E55">
            <v>3424</v>
          </cell>
          <cell r="R55">
            <v>3850</v>
          </cell>
        </row>
        <row r="56">
          <cell r="D56">
            <v>3</v>
          </cell>
          <cell r="E56">
            <v>3403</v>
          </cell>
          <cell r="R56">
            <v>3786</v>
          </cell>
        </row>
        <row r="57">
          <cell r="D57">
            <v>1</v>
          </cell>
          <cell r="E57">
            <v>3463</v>
          </cell>
          <cell r="R57">
            <v>3820</v>
          </cell>
        </row>
        <row r="58">
          <cell r="D58">
            <v>2</v>
          </cell>
          <cell r="E58">
            <v>3515</v>
          </cell>
          <cell r="R58">
            <v>3853</v>
          </cell>
        </row>
        <row r="59">
          <cell r="D59">
            <v>3</v>
          </cell>
          <cell r="E59">
            <v>3567</v>
          </cell>
          <cell r="R59">
            <v>3887</v>
          </cell>
        </row>
        <row r="60">
          <cell r="D60">
            <v>1</v>
          </cell>
          <cell r="E60">
            <v>3599</v>
          </cell>
          <cell r="R60">
            <v>3900</v>
          </cell>
        </row>
        <row r="61">
          <cell r="D61">
            <v>2</v>
          </cell>
          <cell r="E61">
            <v>3621</v>
          </cell>
          <cell r="R61">
            <v>3903</v>
          </cell>
        </row>
        <row r="62">
          <cell r="D62">
            <v>3</v>
          </cell>
          <cell r="E62">
            <v>3638</v>
          </cell>
          <cell r="R62">
            <v>3905</v>
          </cell>
        </row>
        <row r="63">
          <cell r="D63">
            <v>1</v>
          </cell>
          <cell r="E63">
            <v>3624</v>
          </cell>
          <cell r="R63">
            <v>3877</v>
          </cell>
        </row>
        <row r="64">
          <cell r="D64">
            <v>2</v>
          </cell>
          <cell r="E64">
            <v>3634</v>
          </cell>
          <cell r="R64">
            <v>3876</v>
          </cell>
        </row>
        <row r="65">
          <cell r="D65">
            <v>3</v>
          </cell>
          <cell r="E65">
            <v>3674</v>
          </cell>
          <cell r="R65">
            <v>3912</v>
          </cell>
        </row>
        <row r="66">
          <cell r="D66">
            <v>1</v>
          </cell>
          <cell r="E66">
            <v>3667</v>
          </cell>
          <cell r="R66">
            <v>3893</v>
          </cell>
        </row>
        <row r="67">
          <cell r="D67">
            <v>2</v>
          </cell>
          <cell r="E67">
            <v>3681</v>
          </cell>
          <cell r="R67">
            <v>3896</v>
          </cell>
        </row>
        <row r="68">
          <cell r="D68">
            <v>3</v>
          </cell>
          <cell r="E68">
            <v>3712</v>
          </cell>
          <cell r="R68">
            <v>3915</v>
          </cell>
        </row>
        <row r="69">
          <cell r="D69">
            <v>1</v>
          </cell>
          <cell r="E69">
            <v>3721</v>
          </cell>
          <cell r="R69">
            <v>3911</v>
          </cell>
        </row>
        <row r="70">
          <cell r="D70">
            <v>2</v>
          </cell>
          <cell r="E70">
            <v>3725</v>
          </cell>
          <cell r="R70">
            <v>3906</v>
          </cell>
        </row>
        <row r="71">
          <cell r="D71">
            <v>3</v>
          </cell>
          <cell r="E71">
            <v>3761</v>
          </cell>
          <cell r="R71">
            <v>3934</v>
          </cell>
        </row>
        <row r="72">
          <cell r="D72">
            <v>1</v>
          </cell>
          <cell r="E72">
            <v>3782</v>
          </cell>
          <cell r="R72">
            <v>3953</v>
          </cell>
        </row>
        <row r="73">
          <cell r="D73">
            <v>2</v>
          </cell>
          <cell r="E73">
            <v>3754</v>
          </cell>
          <cell r="R73">
            <v>3920</v>
          </cell>
        </row>
        <row r="74">
          <cell r="D74">
            <v>3</v>
          </cell>
          <cell r="E74">
            <v>3751</v>
          </cell>
          <cell r="R74">
            <v>3914</v>
          </cell>
        </row>
        <row r="75">
          <cell r="D75">
            <v>1</v>
          </cell>
          <cell r="E75">
            <v>3752</v>
          </cell>
          <cell r="R75">
            <v>3908</v>
          </cell>
        </row>
        <row r="76">
          <cell r="D76">
            <v>2</v>
          </cell>
          <cell r="E76">
            <v>3781</v>
          </cell>
          <cell r="R76">
            <v>3928</v>
          </cell>
        </row>
        <row r="77">
          <cell r="D77">
            <v>3</v>
          </cell>
          <cell r="E77">
            <v>3828</v>
          </cell>
          <cell r="R77">
            <v>3967</v>
          </cell>
        </row>
        <row r="78">
          <cell r="D78">
            <v>1</v>
          </cell>
          <cell r="E78">
            <v>3801</v>
          </cell>
          <cell r="R78">
            <v>3924</v>
          </cell>
        </row>
        <row r="79">
          <cell r="D79">
            <v>2</v>
          </cell>
          <cell r="E79">
            <v>3847</v>
          </cell>
          <cell r="R79">
            <v>3960</v>
          </cell>
        </row>
        <row r="80">
          <cell r="D80">
            <v>3</v>
          </cell>
          <cell r="E80">
            <v>3861</v>
          </cell>
          <cell r="R80">
            <v>3962</v>
          </cell>
        </row>
        <row r="81">
          <cell r="D81">
            <v>1</v>
          </cell>
          <cell r="E81">
            <v>3922</v>
          </cell>
          <cell r="R81">
            <v>4016</v>
          </cell>
        </row>
        <row r="82">
          <cell r="D82">
            <v>2</v>
          </cell>
          <cell r="E82">
            <v>3933</v>
          </cell>
          <cell r="R82">
            <v>4019</v>
          </cell>
        </row>
        <row r="83">
          <cell r="D83">
            <v>3</v>
          </cell>
          <cell r="E83">
            <v>3965</v>
          </cell>
          <cell r="R83">
            <v>4041</v>
          </cell>
        </row>
        <row r="84">
          <cell r="D84">
            <v>1</v>
          </cell>
          <cell r="E84">
            <v>3965</v>
          </cell>
          <cell r="R84">
            <v>4016</v>
          </cell>
        </row>
        <row r="85">
          <cell r="D85">
            <v>2</v>
          </cell>
          <cell r="E85">
            <v>3989</v>
          </cell>
          <cell r="R85">
            <v>4014</v>
          </cell>
        </row>
        <row r="86">
          <cell r="D86">
            <v>3</v>
          </cell>
          <cell r="E86">
            <v>3980</v>
          </cell>
          <cell r="R86">
            <v>3988</v>
          </cell>
        </row>
        <row r="87">
          <cell r="D87">
            <v>1</v>
          </cell>
          <cell r="E87">
            <v>4025</v>
          </cell>
          <cell r="R87">
            <v>4025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11" refreshError="1"/>
      <sheetData sheetId="11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1160</v>
          </cell>
          <cell r="R9">
            <v>1705</v>
          </cell>
        </row>
        <row r="10">
          <cell r="D10">
            <v>2</v>
          </cell>
          <cell r="E10">
            <v>1139</v>
          </cell>
          <cell r="R10">
            <v>1667</v>
          </cell>
        </row>
        <row r="11">
          <cell r="D11">
            <v>3</v>
          </cell>
          <cell r="E11">
            <v>1134</v>
          </cell>
          <cell r="R11">
            <v>1651</v>
          </cell>
        </row>
        <row r="12">
          <cell r="D12">
            <v>1</v>
          </cell>
          <cell r="E12">
            <v>1111</v>
          </cell>
          <cell r="R12">
            <v>1612</v>
          </cell>
        </row>
        <row r="13">
          <cell r="D13">
            <v>2</v>
          </cell>
          <cell r="E13">
            <v>1122</v>
          </cell>
          <cell r="R13">
            <v>1621</v>
          </cell>
        </row>
        <row r="14">
          <cell r="D14">
            <v>3</v>
          </cell>
          <cell r="E14">
            <v>1121</v>
          </cell>
          <cell r="R14">
            <v>1616</v>
          </cell>
        </row>
        <row r="15">
          <cell r="D15">
            <v>1</v>
          </cell>
          <cell r="E15">
            <v>1127</v>
          </cell>
          <cell r="R15">
            <v>1617</v>
          </cell>
        </row>
        <row r="16">
          <cell r="D16">
            <v>2</v>
          </cell>
          <cell r="E16">
            <v>1133</v>
          </cell>
          <cell r="R16">
            <v>1616</v>
          </cell>
        </row>
        <row r="17">
          <cell r="D17">
            <v>3</v>
          </cell>
          <cell r="E17">
            <v>1129</v>
          </cell>
          <cell r="R17">
            <v>1597</v>
          </cell>
        </row>
        <row r="18">
          <cell r="D18">
            <v>1</v>
          </cell>
          <cell r="E18">
            <v>1158</v>
          </cell>
          <cell r="R18">
            <v>1628</v>
          </cell>
        </row>
        <row r="19">
          <cell r="D19">
            <v>2</v>
          </cell>
          <cell r="E19">
            <v>1212</v>
          </cell>
          <cell r="R19">
            <v>1690</v>
          </cell>
        </row>
        <row r="20">
          <cell r="D20">
            <v>3</v>
          </cell>
          <cell r="E20">
            <v>1273</v>
          </cell>
          <cell r="R20">
            <v>1762</v>
          </cell>
        </row>
        <row r="21">
          <cell r="D21">
            <v>1</v>
          </cell>
          <cell r="E21">
            <v>1311</v>
          </cell>
          <cell r="R21">
            <v>1802</v>
          </cell>
        </row>
        <row r="22">
          <cell r="D22">
            <v>2</v>
          </cell>
          <cell r="E22">
            <v>1325</v>
          </cell>
          <cell r="R22">
            <v>1810</v>
          </cell>
        </row>
        <row r="23">
          <cell r="D23">
            <v>3</v>
          </cell>
          <cell r="E23">
            <v>1290</v>
          </cell>
          <cell r="R23">
            <v>1753</v>
          </cell>
        </row>
        <row r="24">
          <cell r="D24">
            <v>1</v>
          </cell>
          <cell r="E24">
            <v>1301</v>
          </cell>
          <cell r="R24">
            <v>1761</v>
          </cell>
        </row>
        <row r="25">
          <cell r="D25">
            <v>2</v>
          </cell>
          <cell r="E25">
            <v>1289</v>
          </cell>
          <cell r="R25">
            <v>1743</v>
          </cell>
        </row>
        <row r="26">
          <cell r="D26">
            <v>3</v>
          </cell>
          <cell r="E26">
            <v>1276</v>
          </cell>
          <cell r="R26">
            <v>1723</v>
          </cell>
        </row>
        <row r="27">
          <cell r="D27">
            <v>1</v>
          </cell>
          <cell r="E27">
            <v>1240</v>
          </cell>
          <cell r="R27">
            <v>1670</v>
          </cell>
        </row>
        <row r="28">
          <cell r="D28">
            <v>2</v>
          </cell>
          <cell r="E28">
            <v>1261</v>
          </cell>
          <cell r="R28">
            <v>1693</v>
          </cell>
        </row>
        <row r="29">
          <cell r="D29">
            <v>3</v>
          </cell>
          <cell r="E29">
            <v>1268</v>
          </cell>
          <cell r="R29">
            <v>1695</v>
          </cell>
        </row>
        <row r="30">
          <cell r="D30">
            <v>1</v>
          </cell>
          <cell r="E30">
            <v>1305</v>
          </cell>
          <cell r="R30">
            <v>1733</v>
          </cell>
        </row>
        <row r="31">
          <cell r="D31">
            <v>2</v>
          </cell>
          <cell r="E31">
            <v>1336</v>
          </cell>
          <cell r="R31">
            <v>1763</v>
          </cell>
        </row>
        <row r="32">
          <cell r="D32">
            <v>3</v>
          </cell>
          <cell r="E32">
            <v>1398</v>
          </cell>
          <cell r="R32">
            <v>1832</v>
          </cell>
        </row>
        <row r="33">
          <cell r="D33">
            <v>1</v>
          </cell>
          <cell r="E33">
            <v>1441</v>
          </cell>
          <cell r="R33">
            <v>1877</v>
          </cell>
        </row>
        <row r="34">
          <cell r="D34">
            <v>2</v>
          </cell>
          <cell r="E34">
            <v>1402</v>
          </cell>
          <cell r="R34">
            <v>1814</v>
          </cell>
        </row>
        <row r="35">
          <cell r="D35">
            <v>3</v>
          </cell>
          <cell r="E35">
            <v>1395</v>
          </cell>
          <cell r="R35">
            <v>1792</v>
          </cell>
        </row>
        <row r="36">
          <cell r="D36">
            <v>1</v>
          </cell>
          <cell r="E36">
            <v>1367</v>
          </cell>
          <cell r="R36">
            <v>1745</v>
          </cell>
        </row>
        <row r="37">
          <cell r="D37">
            <v>2</v>
          </cell>
          <cell r="E37">
            <v>1349</v>
          </cell>
          <cell r="R37">
            <v>1715</v>
          </cell>
        </row>
        <row r="38">
          <cell r="D38">
            <v>3</v>
          </cell>
          <cell r="E38">
            <v>1345</v>
          </cell>
          <cell r="R38">
            <v>1707</v>
          </cell>
        </row>
        <row r="39">
          <cell r="D39">
            <v>1</v>
          </cell>
          <cell r="E39">
            <v>1341</v>
          </cell>
          <cell r="R39">
            <v>1697</v>
          </cell>
        </row>
        <row r="40">
          <cell r="D40">
            <v>2</v>
          </cell>
          <cell r="E40">
            <v>1373</v>
          </cell>
          <cell r="R40">
            <v>1730</v>
          </cell>
        </row>
        <row r="41">
          <cell r="D41">
            <v>3</v>
          </cell>
          <cell r="E41">
            <v>1374</v>
          </cell>
          <cell r="R41">
            <v>1724</v>
          </cell>
        </row>
        <row r="42">
          <cell r="D42">
            <v>1</v>
          </cell>
          <cell r="E42">
            <v>1390</v>
          </cell>
          <cell r="R42">
            <v>1733</v>
          </cell>
        </row>
        <row r="43">
          <cell r="D43">
            <v>2</v>
          </cell>
          <cell r="E43">
            <v>1421</v>
          </cell>
          <cell r="R43">
            <v>1760</v>
          </cell>
        </row>
        <row r="44">
          <cell r="D44">
            <v>3</v>
          </cell>
          <cell r="E44">
            <v>1453</v>
          </cell>
          <cell r="R44">
            <v>1782</v>
          </cell>
        </row>
        <row r="45">
          <cell r="D45">
            <v>1</v>
          </cell>
          <cell r="E45">
            <v>1454</v>
          </cell>
          <cell r="R45">
            <v>1762</v>
          </cell>
        </row>
        <row r="46">
          <cell r="D46">
            <v>2</v>
          </cell>
          <cell r="E46">
            <v>1457</v>
          </cell>
          <cell r="R46">
            <v>1748</v>
          </cell>
        </row>
        <row r="47">
          <cell r="D47">
            <v>3</v>
          </cell>
          <cell r="E47">
            <v>1454</v>
          </cell>
          <cell r="R47">
            <v>1728</v>
          </cell>
        </row>
        <row r="48">
          <cell r="D48">
            <v>1</v>
          </cell>
          <cell r="E48">
            <v>1448</v>
          </cell>
          <cell r="R48">
            <v>1706</v>
          </cell>
        </row>
        <row r="49">
          <cell r="D49">
            <v>2</v>
          </cell>
          <cell r="E49">
            <v>1442</v>
          </cell>
          <cell r="R49">
            <v>1688</v>
          </cell>
        </row>
        <row r="50">
          <cell r="D50">
            <v>3</v>
          </cell>
          <cell r="E50">
            <v>1430</v>
          </cell>
          <cell r="R50">
            <v>1664</v>
          </cell>
        </row>
        <row r="51">
          <cell r="D51">
            <v>1</v>
          </cell>
          <cell r="E51">
            <v>1432</v>
          </cell>
          <cell r="R51">
            <v>1661</v>
          </cell>
        </row>
        <row r="52">
          <cell r="D52">
            <v>2</v>
          </cell>
          <cell r="E52">
            <v>1460</v>
          </cell>
          <cell r="R52">
            <v>1685</v>
          </cell>
        </row>
        <row r="53">
          <cell r="D53">
            <v>3</v>
          </cell>
          <cell r="E53">
            <v>1494</v>
          </cell>
          <cell r="R53">
            <v>1712</v>
          </cell>
        </row>
        <row r="54">
          <cell r="D54">
            <v>1</v>
          </cell>
          <cell r="E54">
            <v>1536</v>
          </cell>
          <cell r="R54">
            <v>1742</v>
          </cell>
        </row>
        <row r="55">
          <cell r="D55">
            <v>2</v>
          </cell>
          <cell r="E55">
            <v>1597</v>
          </cell>
          <cell r="R55">
            <v>1792</v>
          </cell>
        </row>
        <row r="56">
          <cell r="D56">
            <v>3</v>
          </cell>
          <cell r="E56">
            <v>1659</v>
          </cell>
          <cell r="R56">
            <v>1841</v>
          </cell>
        </row>
        <row r="57">
          <cell r="D57">
            <v>1</v>
          </cell>
          <cell r="E57">
            <v>1695</v>
          </cell>
          <cell r="R57">
            <v>1865</v>
          </cell>
        </row>
        <row r="58">
          <cell r="D58">
            <v>2</v>
          </cell>
          <cell r="E58">
            <v>1662</v>
          </cell>
          <cell r="R58">
            <v>1815</v>
          </cell>
        </row>
        <row r="59">
          <cell r="D59">
            <v>3</v>
          </cell>
          <cell r="E59">
            <v>1635</v>
          </cell>
          <cell r="R59">
            <v>1775</v>
          </cell>
        </row>
        <row r="60">
          <cell r="D60">
            <v>1</v>
          </cell>
          <cell r="E60">
            <v>1635</v>
          </cell>
          <cell r="R60">
            <v>1764</v>
          </cell>
        </row>
        <row r="61">
          <cell r="D61">
            <v>2</v>
          </cell>
          <cell r="E61">
            <v>1649</v>
          </cell>
          <cell r="R61">
            <v>1769</v>
          </cell>
        </row>
        <row r="62">
          <cell r="D62">
            <v>3</v>
          </cell>
          <cell r="E62">
            <v>1665</v>
          </cell>
          <cell r="R62">
            <v>1777</v>
          </cell>
        </row>
        <row r="63">
          <cell r="D63">
            <v>1</v>
          </cell>
          <cell r="E63">
            <v>1633</v>
          </cell>
          <cell r="R63">
            <v>1736</v>
          </cell>
        </row>
        <row r="64">
          <cell r="D64">
            <v>2</v>
          </cell>
          <cell r="E64">
            <v>1647</v>
          </cell>
          <cell r="R64">
            <v>1747</v>
          </cell>
        </row>
        <row r="65">
          <cell r="D65">
            <v>3</v>
          </cell>
          <cell r="E65">
            <v>1635</v>
          </cell>
          <cell r="R65">
            <v>1731</v>
          </cell>
        </row>
        <row r="66">
          <cell r="D66">
            <v>1</v>
          </cell>
          <cell r="E66">
            <v>1715</v>
          </cell>
          <cell r="R66">
            <v>1812</v>
          </cell>
        </row>
        <row r="67">
          <cell r="D67">
            <v>2</v>
          </cell>
          <cell r="E67">
            <v>1818</v>
          </cell>
          <cell r="R67">
            <v>1916</v>
          </cell>
        </row>
        <row r="68">
          <cell r="D68">
            <v>3</v>
          </cell>
          <cell r="E68">
            <v>1857</v>
          </cell>
          <cell r="R68">
            <v>1949</v>
          </cell>
        </row>
        <row r="69">
          <cell r="D69">
            <v>1</v>
          </cell>
          <cell r="E69">
            <v>1859</v>
          </cell>
          <cell r="R69">
            <v>1945</v>
          </cell>
        </row>
        <row r="70">
          <cell r="D70">
            <v>2</v>
          </cell>
          <cell r="E70">
            <v>1725</v>
          </cell>
          <cell r="R70">
            <v>1799</v>
          </cell>
        </row>
        <row r="71">
          <cell r="D71">
            <v>3</v>
          </cell>
          <cell r="E71">
            <v>1719</v>
          </cell>
          <cell r="R71">
            <v>1790</v>
          </cell>
        </row>
        <row r="72">
          <cell r="D72">
            <v>1</v>
          </cell>
          <cell r="E72">
            <v>1705</v>
          </cell>
          <cell r="R72">
            <v>1774</v>
          </cell>
        </row>
        <row r="73">
          <cell r="D73">
            <v>2</v>
          </cell>
          <cell r="E73">
            <v>1706</v>
          </cell>
          <cell r="R73">
            <v>1774</v>
          </cell>
        </row>
        <row r="74">
          <cell r="D74">
            <v>3</v>
          </cell>
          <cell r="E74">
            <v>1696</v>
          </cell>
          <cell r="R74">
            <v>1763</v>
          </cell>
        </row>
        <row r="75">
          <cell r="D75">
            <v>1</v>
          </cell>
          <cell r="E75">
            <v>1736</v>
          </cell>
          <cell r="R75">
            <v>1802</v>
          </cell>
        </row>
        <row r="76">
          <cell r="D76">
            <v>2</v>
          </cell>
          <cell r="E76">
            <v>1718</v>
          </cell>
          <cell r="R76">
            <v>1779</v>
          </cell>
        </row>
        <row r="77">
          <cell r="D77">
            <v>3</v>
          </cell>
          <cell r="E77">
            <v>1746</v>
          </cell>
          <cell r="R77">
            <v>1804</v>
          </cell>
        </row>
        <row r="78">
          <cell r="D78">
            <v>1</v>
          </cell>
          <cell r="E78">
            <v>1755</v>
          </cell>
          <cell r="R78">
            <v>1808</v>
          </cell>
        </row>
        <row r="79">
          <cell r="D79">
            <v>2</v>
          </cell>
          <cell r="E79">
            <v>1799</v>
          </cell>
          <cell r="R79">
            <v>1849</v>
          </cell>
        </row>
        <row r="80">
          <cell r="D80">
            <v>3</v>
          </cell>
          <cell r="E80">
            <v>1826</v>
          </cell>
          <cell r="R80">
            <v>1872</v>
          </cell>
        </row>
        <row r="81">
          <cell r="D81">
            <v>1</v>
          </cell>
          <cell r="E81">
            <v>1816</v>
          </cell>
          <cell r="R81">
            <v>1858</v>
          </cell>
        </row>
        <row r="82">
          <cell r="D82">
            <v>2</v>
          </cell>
          <cell r="E82">
            <v>1811</v>
          </cell>
          <cell r="R82">
            <v>1850</v>
          </cell>
        </row>
        <row r="83">
          <cell r="D83">
            <v>3</v>
          </cell>
          <cell r="E83">
            <v>1828</v>
          </cell>
          <cell r="R83">
            <v>1862</v>
          </cell>
        </row>
        <row r="84">
          <cell r="D84">
            <v>1</v>
          </cell>
          <cell r="E84">
            <v>1812</v>
          </cell>
          <cell r="R84">
            <v>1834</v>
          </cell>
        </row>
        <row r="85">
          <cell r="D85">
            <v>2</v>
          </cell>
          <cell r="E85">
            <v>1815</v>
          </cell>
          <cell r="R85">
            <v>1824</v>
          </cell>
        </row>
        <row r="86">
          <cell r="D86">
            <v>3</v>
          </cell>
          <cell r="E86">
            <v>1772</v>
          </cell>
          <cell r="R86">
            <v>1774</v>
          </cell>
        </row>
        <row r="87">
          <cell r="D87">
            <v>1</v>
          </cell>
          <cell r="E87">
            <v>1765</v>
          </cell>
          <cell r="R87">
            <v>1765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13" refreshError="1"/>
      <sheetData sheetId="11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3825</v>
          </cell>
          <cell r="R9">
            <v>5632</v>
          </cell>
        </row>
        <row r="10">
          <cell r="D10">
            <v>2</v>
          </cell>
          <cell r="E10">
            <v>3989</v>
          </cell>
          <cell r="R10">
            <v>5849</v>
          </cell>
        </row>
        <row r="11">
          <cell r="D11">
            <v>3</v>
          </cell>
          <cell r="E11">
            <v>4001</v>
          </cell>
          <cell r="R11">
            <v>5844</v>
          </cell>
        </row>
        <row r="12">
          <cell r="D12">
            <v>1</v>
          </cell>
          <cell r="E12">
            <v>3969</v>
          </cell>
          <cell r="R12">
            <v>5774</v>
          </cell>
        </row>
        <row r="13">
          <cell r="D13">
            <v>2</v>
          </cell>
          <cell r="E13">
            <v>3974</v>
          </cell>
          <cell r="R13">
            <v>5766</v>
          </cell>
        </row>
        <row r="14">
          <cell r="D14">
            <v>3</v>
          </cell>
          <cell r="E14">
            <v>4108</v>
          </cell>
          <cell r="R14">
            <v>5945</v>
          </cell>
        </row>
        <row r="15">
          <cell r="D15">
            <v>1</v>
          </cell>
          <cell r="E15">
            <v>4173</v>
          </cell>
          <cell r="R15">
            <v>6010</v>
          </cell>
        </row>
        <row r="16">
          <cell r="D16">
            <v>2</v>
          </cell>
          <cell r="E16">
            <v>4128</v>
          </cell>
          <cell r="R16">
            <v>5915</v>
          </cell>
        </row>
        <row r="17">
          <cell r="D17">
            <v>3</v>
          </cell>
          <cell r="E17">
            <v>3998</v>
          </cell>
          <cell r="R17">
            <v>5694</v>
          </cell>
        </row>
        <row r="18">
          <cell r="D18">
            <v>1</v>
          </cell>
          <cell r="E18">
            <v>3904</v>
          </cell>
          <cell r="R18">
            <v>5523</v>
          </cell>
        </row>
        <row r="19">
          <cell r="D19">
            <v>2</v>
          </cell>
          <cell r="E19">
            <v>3948</v>
          </cell>
          <cell r="R19">
            <v>5546</v>
          </cell>
        </row>
        <row r="20">
          <cell r="D20">
            <v>3</v>
          </cell>
          <cell r="E20">
            <v>4065</v>
          </cell>
          <cell r="R20">
            <v>5669</v>
          </cell>
        </row>
        <row r="21">
          <cell r="D21">
            <v>1</v>
          </cell>
          <cell r="E21">
            <v>4195</v>
          </cell>
          <cell r="R21">
            <v>5814</v>
          </cell>
        </row>
        <row r="22">
          <cell r="D22">
            <v>2</v>
          </cell>
          <cell r="E22">
            <v>4252</v>
          </cell>
          <cell r="R22">
            <v>5863</v>
          </cell>
        </row>
        <row r="23">
          <cell r="D23">
            <v>3</v>
          </cell>
          <cell r="E23">
            <v>4447</v>
          </cell>
          <cell r="R23">
            <v>6104</v>
          </cell>
        </row>
        <row r="24">
          <cell r="D24">
            <v>1</v>
          </cell>
          <cell r="E24">
            <v>4489</v>
          </cell>
          <cell r="R24">
            <v>6138</v>
          </cell>
        </row>
        <row r="25">
          <cell r="D25">
            <v>2</v>
          </cell>
          <cell r="E25">
            <v>4497</v>
          </cell>
          <cell r="R25">
            <v>6135</v>
          </cell>
        </row>
        <row r="26">
          <cell r="D26">
            <v>3</v>
          </cell>
          <cell r="E26">
            <v>4362</v>
          </cell>
          <cell r="R26">
            <v>5938</v>
          </cell>
        </row>
        <row r="27">
          <cell r="D27">
            <v>1</v>
          </cell>
          <cell r="E27">
            <v>4515</v>
          </cell>
          <cell r="R27">
            <v>6136</v>
          </cell>
        </row>
        <row r="28">
          <cell r="D28">
            <v>2</v>
          </cell>
          <cell r="E28">
            <v>4529</v>
          </cell>
          <cell r="R28">
            <v>6129</v>
          </cell>
        </row>
        <row r="29">
          <cell r="D29">
            <v>3</v>
          </cell>
          <cell r="E29">
            <v>4545</v>
          </cell>
          <cell r="R29">
            <v>6121</v>
          </cell>
        </row>
        <row r="30">
          <cell r="D30">
            <v>1</v>
          </cell>
          <cell r="E30">
            <v>4374</v>
          </cell>
          <cell r="R30">
            <v>5849</v>
          </cell>
        </row>
        <row r="31">
          <cell r="D31">
            <v>2</v>
          </cell>
          <cell r="E31">
            <v>4393</v>
          </cell>
          <cell r="R31">
            <v>5837</v>
          </cell>
        </row>
        <row r="32">
          <cell r="D32">
            <v>3</v>
          </cell>
          <cell r="E32">
            <v>4429</v>
          </cell>
          <cell r="R32">
            <v>5843</v>
          </cell>
        </row>
        <row r="33">
          <cell r="D33">
            <v>1</v>
          </cell>
          <cell r="E33">
            <v>4496</v>
          </cell>
          <cell r="R33">
            <v>5891</v>
          </cell>
        </row>
        <row r="34">
          <cell r="D34">
            <v>2</v>
          </cell>
          <cell r="E34">
            <v>4530</v>
          </cell>
          <cell r="R34">
            <v>5892</v>
          </cell>
        </row>
        <row r="35">
          <cell r="D35">
            <v>3</v>
          </cell>
          <cell r="E35">
            <v>4528</v>
          </cell>
          <cell r="R35">
            <v>5849</v>
          </cell>
        </row>
        <row r="36">
          <cell r="D36">
            <v>1</v>
          </cell>
          <cell r="E36">
            <v>4508</v>
          </cell>
          <cell r="R36">
            <v>5794</v>
          </cell>
        </row>
        <row r="37">
          <cell r="D37">
            <v>2</v>
          </cell>
          <cell r="E37">
            <v>4451</v>
          </cell>
          <cell r="R37">
            <v>5704</v>
          </cell>
        </row>
        <row r="38">
          <cell r="D38">
            <v>3</v>
          </cell>
          <cell r="E38">
            <v>4481</v>
          </cell>
          <cell r="R38">
            <v>5730</v>
          </cell>
        </row>
        <row r="39">
          <cell r="D39">
            <v>1</v>
          </cell>
          <cell r="E39">
            <v>4635</v>
          </cell>
          <cell r="R39">
            <v>5910</v>
          </cell>
        </row>
        <row r="40">
          <cell r="D40">
            <v>2</v>
          </cell>
          <cell r="E40">
            <v>4642</v>
          </cell>
          <cell r="R40">
            <v>5894</v>
          </cell>
        </row>
        <row r="41">
          <cell r="D41">
            <v>3</v>
          </cell>
          <cell r="E41">
            <v>4553</v>
          </cell>
          <cell r="R41">
            <v>5753</v>
          </cell>
        </row>
        <row r="42">
          <cell r="D42">
            <v>1</v>
          </cell>
          <cell r="E42">
            <v>4579</v>
          </cell>
          <cell r="R42">
            <v>5754</v>
          </cell>
        </row>
        <row r="43">
          <cell r="D43">
            <v>2</v>
          </cell>
          <cell r="E43">
            <v>4676</v>
          </cell>
          <cell r="R43">
            <v>5828</v>
          </cell>
        </row>
        <row r="44">
          <cell r="D44">
            <v>3</v>
          </cell>
          <cell r="E44">
            <v>4816</v>
          </cell>
          <cell r="R44">
            <v>5939</v>
          </cell>
        </row>
        <row r="45">
          <cell r="D45">
            <v>1</v>
          </cell>
          <cell r="E45">
            <v>4775</v>
          </cell>
          <cell r="R45">
            <v>5816</v>
          </cell>
        </row>
        <row r="46">
          <cell r="D46">
            <v>2</v>
          </cell>
          <cell r="E46">
            <v>4861</v>
          </cell>
          <cell r="R46">
            <v>5856</v>
          </cell>
        </row>
        <row r="47">
          <cell r="D47">
            <v>3</v>
          </cell>
          <cell r="E47">
            <v>4836</v>
          </cell>
          <cell r="R47">
            <v>5773</v>
          </cell>
        </row>
        <row r="48">
          <cell r="D48">
            <v>1</v>
          </cell>
          <cell r="E48">
            <v>5026</v>
          </cell>
          <cell r="R48">
            <v>5957</v>
          </cell>
        </row>
        <row r="49">
          <cell r="D49">
            <v>2</v>
          </cell>
          <cell r="E49">
            <v>5004</v>
          </cell>
          <cell r="R49">
            <v>5888</v>
          </cell>
        </row>
        <row r="50">
          <cell r="D50">
            <v>3</v>
          </cell>
          <cell r="E50">
            <v>5048</v>
          </cell>
          <cell r="R50">
            <v>5906</v>
          </cell>
        </row>
        <row r="51">
          <cell r="D51">
            <v>1</v>
          </cell>
          <cell r="E51">
            <v>5001</v>
          </cell>
          <cell r="R51">
            <v>5823</v>
          </cell>
        </row>
        <row r="52">
          <cell r="D52">
            <v>2</v>
          </cell>
          <cell r="E52">
            <v>4909</v>
          </cell>
          <cell r="R52">
            <v>5684</v>
          </cell>
        </row>
        <row r="53">
          <cell r="D53">
            <v>3</v>
          </cell>
          <cell r="E53">
            <v>4886</v>
          </cell>
          <cell r="R53">
            <v>5613</v>
          </cell>
        </row>
        <row r="54">
          <cell r="D54">
            <v>1</v>
          </cell>
          <cell r="E54">
            <v>4770</v>
          </cell>
          <cell r="R54">
            <v>5429</v>
          </cell>
        </row>
        <row r="55">
          <cell r="D55">
            <v>2</v>
          </cell>
          <cell r="E55">
            <v>4840</v>
          </cell>
          <cell r="R55">
            <v>5452</v>
          </cell>
        </row>
        <row r="56">
          <cell r="D56">
            <v>3</v>
          </cell>
          <cell r="E56">
            <v>4844</v>
          </cell>
          <cell r="R56">
            <v>5402</v>
          </cell>
        </row>
        <row r="57">
          <cell r="D57">
            <v>1</v>
          </cell>
          <cell r="E57">
            <v>5042</v>
          </cell>
          <cell r="R57">
            <v>5576</v>
          </cell>
        </row>
        <row r="58">
          <cell r="D58">
            <v>2</v>
          </cell>
          <cell r="E58">
            <v>5025</v>
          </cell>
          <cell r="R58">
            <v>5521</v>
          </cell>
        </row>
        <row r="59">
          <cell r="D59">
            <v>3</v>
          </cell>
          <cell r="E59">
            <v>5115</v>
          </cell>
          <cell r="R59">
            <v>5587</v>
          </cell>
        </row>
        <row r="60">
          <cell r="D60">
            <v>1</v>
          </cell>
          <cell r="E60">
            <v>4939</v>
          </cell>
          <cell r="R60">
            <v>5361</v>
          </cell>
        </row>
        <row r="61">
          <cell r="D61">
            <v>2</v>
          </cell>
          <cell r="E61">
            <v>4939</v>
          </cell>
          <cell r="R61">
            <v>5331</v>
          </cell>
        </row>
        <row r="62">
          <cell r="D62">
            <v>3</v>
          </cell>
          <cell r="E62">
            <v>4937</v>
          </cell>
          <cell r="R62">
            <v>5307</v>
          </cell>
        </row>
        <row r="63">
          <cell r="D63">
            <v>1</v>
          </cell>
          <cell r="E63">
            <v>4942</v>
          </cell>
          <cell r="R63">
            <v>5295</v>
          </cell>
        </row>
        <row r="64">
          <cell r="D64">
            <v>2</v>
          </cell>
          <cell r="E64">
            <v>4944</v>
          </cell>
          <cell r="R64">
            <v>5284</v>
          </cell>
        </row>
        <row r="65">
          <cell r="D65">
            <v>3</v>
          </cell>
          <cell r="E65">
            <v>4953</v>
          </cell>
          <cell r="R65">
            <v>5284</v>
          </cell>
        </row>
        <row r="66">
          <cell r="D66">
            <v>1</v>
          </cell>
          <cell r="E66">
            <v>5484</v>
          </cell>
          <cell r="R66">
            <v>5839</v>
          </cell>
        </row>
        <row r="67">
          <cell r="D67">
            <v>2</v>
          </cell>
          <cell r="E67">
            <v>5480</v>
          </cell>
          <cell r="R67">
            <v>5818</v>
          </cell>
        </row>
        <row r="68">
          <cell r="D68">
            <v>3</v>
          </cell>
          <cell r="E68">
            <v>5467</v>
          </cell>
          <cell r="R68">
            <v>5785</v>
          </cell>
        </row>
        <row r="69">
          <cell r="D69">
            <v>1</v>
          </cell>
          <cell r="E69">
            <v>5493</v>
          </cell>
          <cell r="R69">
            <v>5793</v>
          </cell>
        </row>
        <row r="70">
          <cell r="D70">
            <v>2</v>
          </cell>
          <cell r="E70">
            <v>5542</v>
          </cell>
          <cell r="R70">
            <v>5833</v>
          </cell>
        </row>
        <row r="71">
          <cell r="D71">
            <v>3</v>
          </cell>
          <cell r="E71">
            <v>5464</v>
          </cell>
          <cell r="R71">
            <v>5737</v>
          </cell>
        </row>
        <row r="72">
          <cell r="D72">
            <v>1</v>
          </cell>
          <cell r="E72">
            <v>5389</v>
          </cell>
          <cell r="R72">
            <v>5654</v>
          </cell>
        </row>
        <row r="73">
          <cell r="D73">
            <v>2</v>
          </cell>
          <cell r="E73">
            <v>5452</v>
          </cell>
          <cell r="R73">
            <v>5714</v>
          </cell>
        </row>
        <row r="74">
          <cell r="D74">
            <v>3</v>
          </cell>
          <cell r="E74">
            <v>5475</v>
          </cell>
          <cell r="R74">
            <v>5733</v>
          </cell>
        </row>
        <row r="75">
          <cell r="D75">
            <v>1</v>
          </cell>
          <cell r="E75">
            <v>5459</v>
          </cell>
          <cell r="R75">
            <v>5703</v>
          </cell>
        </row>
        <row r="76">
          <cell r="D76">
            <v>2</v>
          </cell>
          <cell r="E76">
            <v>5492</v>
          </cell>
          <cell r="R76">
            <v>5722</v>
          </cell>
        </row>
        <row r="77">
          <cell r="D77">
            <v>3</v>
          </cell>
          <cell r="E77">
            <v>5437</v>
          </cell>
          <cell r="R77">
            <v>5646</v>
          </cell>
        </row>
        <row r="78">
          <cell r="D78">
            <v>1</v>
          </cell>
          <cell r="E78">
            <v>5555</v>
          </cell>
          <cell r="R78">
            <v>5744</v>
          </cell>
        </row>
        <row r="79">
          <cell r="D79">
            <v>2</v>
          </cell>
          <cell r="E79">
            <v>5581</v>
          </cell>
          <cell r="R79">
            <v>5751</v>
          </cell>
        </row>
        <row r="80">
          <cell r="D80">
            <v>3</v>
          </cell>
          <cell r="E80">
            <v>5635</v>
          </cell>
          <cell r="R80">
            <v>5787</v>
          </cell>
        </row>
        <row r="81">
          <cell r="D81">
            <v>1</v>
          </cell>
          <cell r="E81">
            <v>5346</v>
          </cell>
          <cell r="R81">
            <v>5479</v>
          </cell>
        </row>
        <row r="82">
          <cell r="D82">
            <v>2</v>
          </cell>
          <cell r="E82">
            <v>5385</v>
          </cell>
          <cell r="R82">
            <v>5509</v>
          </cell>
        </row>
        <row r="83">
          <cell r="D83">
            <v>3</v>
          </cell>
          <cell r="E83">
            <v>5455</v>
          </cell>
          <cell r="R83">
            <v>5567</v>
          </cell>
        </row>
        <row r="84">
          <cell r="D84">
            <v>1</v>
          </cell>
          <cell r="E84">
            <v>5319</v>
          </cell>
          <cell r="R84">
            <v>5395</v>
          </cell>
        </row>
        <row r="85">
          <cell r="D85">
            <v>2</v>
          </cell>
          <cell r="E85">
            <v>5329</v>
          </cell>
          <cell r="R85">
            <v>5370</v>
          </cell>
        </row>
        <row r="86">
          <cell r="D86">
            <v>3</v>
          </cell>
          <cell r="E86">
            <v>5584</v>
          </cell>
          <cell r="R86">
            <v>5598</v>
          </cell>
        </row>
        <row r="87">
          <cell r="D87">
            <v>1</v>
          </cell>
          <cell r="E87">
            <v>5607</v>
          </cell>
          <cell r="R87">
            <v>5607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15" refreshError="1"/>
      <sheetData sheetId="11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2015</v>
          </cell>
          <cell r="D9">
            <v>1</v>
          </cell>
          <cell r="E9">
            <v>5178</v>
          </cell>
          <cell r="R9">
            <v>5896</v>
          </cell>
        </row>
        <row r="10">
          <cell r="D10">
            <v>2</v>
          </cell>
          <cell r="E10">
            <v>5234</v>
          </cell>
          <cell r="R10">
            <v>5898</v>
          </cell>
        </row>
        <row r="11">
          <cell r="D11">
            <v>3</v>
          </cell>
          <cell r="E11">
            <v>5265</v>
          </cell>
          <cell r="R11">
            <v>5873</v>
          </cell>
        </row>
        <row r="12">
          <cell r="D12">
            <v>1</v>
          </cell>
          <cell r="E12">
            <v>5462</v>
          </cell>
          <cell r="R12">
            <v>6042</v>
          </cell>
        </row>
        <row r="13">
          <cell r="D13">
            <v>2</v>
          </cell>
          <cell r="E13">
            <v>5447</v>
          </cell>
          <cell r="R13">
            <v>5987</v>
          </cell>
        </row>
        <row r="14">
          <cell r="D14">
            <v>3</v>
          </cell>
          <cell r="E14">
            <v>5548</v>
          </cell>
          <cell r="R14">
            <v>6061</v>
          </cell>
        </row>
        <row r="15">
          <cell r="D15">
            <v>1</v>
          </cell>
          <cell r="E15">
            <v>5324</v>
          </cell>
          <cell r="R15">
            <v>5781</v>
          </cell>
        </row>
        <row r="16">
          <cell r="D16">
            <v>2</v>
          </cell>
          <cell r="E16">
            <v>5311</v>
          </cell>
          <cell r="R16">
            <v>5736</v>
          </cell>
        </row>
        <row r="17">
          <cell r="D17">
            <v>3</v>
          </cell>
          <cell r="E17">
            <v>5297</v>
          </cell>
          <cell r="R17">
            <v>5696</v>
          </cell>
        </row>
        <row r="18">
          <cell r="D18">
            <v>1</v>
          </cell>
          <cell r="E18">
            <v>5329</v>
          </cell>
          <cell r="R18">
            <v>5713</v>
          </cell>
        </row>
        <row r="19">
          <cell r="D19">
            <v>2</v>
          </cell>
          <cell r="E19">
            <v>5309</v>
          </cell>
          <cell r="R19">
            <v>5677</v>
          </cell>
        </row>
        <row r="20">
          <cell r="D20">
            <v>3</v>
          </cell>
          <cell r="E20">
            <v>5334</v>
          </cell>
          <cell r="R20">
            <v>5694</v>
          </cell>
        </row>
        <row r="21">
          <cell r="D21">
            <v>1</v>
          </cell>
          <cell r="E21">
            <v>5976</v>
          </cell>
          <cell r="R21">
            <v>6367</v>
          </cell>
        </row>
        <row r="22">
          <cell r="D22">
            <v>2</v>
          </cell>
          <cell r="E22">
            <v>5999</v>
          </cell>
          <cell r="R22">
            <v>6373</v>
          </cell>
        </row>
        <row r="23">
          <cell r="D23">
            <v>3</v>
          </cell>
          <cell r="E23">
            <v>5981</v>
          </cell>
          <cell r="R23">
            <v>6333</v>
          </cell>
        </row>
        <row r="24">
          <cell r="D24">
            <v>1</v>
          </cell>
          <cell r="E24">
            <v>5992</v>
          </cell>
          <cell r="R24">
            <v>6324</v>
          </cell>
        </row>
        <row r="25">
          <cell r="D25">
            <v>2</v>
          </cell>
          <cell r="E25">
            <v>6096</v>
          </cell>
          <cell r="R25">
            <v>6420</v>
          </cell>
        </row>
        <row r="26">
          <cell r="D26">
            <v>3</v>
          </cell>
          <cell r="E26">
            <v>6007</v>
          </cell>
          <cell r="R26">
            <v>6310</v>
          </cell>
        </row>
        <row r="27">
          <cell r="D27">
            <v>1</v>
          </cell>
          <cell r="E27">
            <v>5926</v>
          </cell>
          <cell r="R27">
            <v>6222</v>
          </cell>
        </row>
        <row r="28">
          <cell r="D28">
            <v>2</v>
          </cell>
          <cell r="E28">
            <v>5970</v>
          </cell>
          <cell r="R28">
            <v>6260</v>
          </cell>
        </row>
        <row r="29">
          <cell r="D29">
            <v>3</v>
          </cell>
          <cell r="E29">
            <v>6034</v>
          </cell>
          <cell r="R29">
            <v>6322</v>
          </cell>
        </row>
        <row r="30">
          <cell r="D30">
            <v>1</v>
          </cell>
          <cell r="E30">
            <v>6034</v>
          </cell>
          <cell r="R30">
            <v>6307</v>
          </cell>
        </row>
        <row r="31">
          <cell r="D31">
            <v>2</v>
          </cell>
          <cell r="E31">
            <v>6096</v>
          </cell>
          <cell r="R31">
            <v>6353</v>
          </cell>
        </row>
        <row r="32">
          <cell r="D32">
            <v>3</v>
          </cell>
          <cell r="E32">
            <v>6032</v>
          </cell>
          <cell r="R32">
            <v>6266</v>
          </cell>
        </row>
        <row r="33">
          <cell r="D33">
            <v>1</v>
          </cell>
          <cell r="E33">
            <v>6187</v>
          </cell>
          <cell r="R33">
            <v>6399</v>
          </cell>
        </row>
        <row r="34">
          <cell r="D34">
            <v>2</v>
          </cell>
          <cell r="E34">
            <v>6241</v>
          </cell>
          <cell r="R34">
            <v>6432</v>
          </cell>
        </row>
        <row r="35">
          <cell r="D35">
            <v>3</v>
          </cell>
          <cell r="E35">
            <v>6332</v>
          </cell>
          <cell r="R35">
            <v>6505</v>
          </cell>
        </row>
        <row r="36">
          <cell r="D36">
            <v>1</v>
          </cell>
          <cell r="E36">
            <v>5969</v>
          </cell>
          <cell r="R36">
            <v>6119</v>
          </cell>
        </row>
        <row r="37">
          <cell r="D37">
            <v>2</v>
          </cell>
          <cell r="E37">
            <v>6021</v>
          </cell>
          <cell r="R37">
            <v>6160</v>
          </cell>
        </row>
        <row r="38">
          <cell r="D38">
            <v>3</v>
          </cell>
          <cell r="E38">
            <v>6050</v>
          </cell>
          <cell r="R38">
            <v>6175</v>
          </cell>
        </row>
        <row r="39">
          <cell r="D39">
            <v>1</v>
          </cell>
          <cell r="E39">
            <v>5901</v>
          </cell>
          <cell r="R39">
            <v>5986</v>
          </cell>
        </row>
        <row r="40">
          <cell r="D40">
            <v>2</v>
          </cell>
          <cell r="E40">
            <v>5895</v>
          </cell>
          <cell r="R40">
            <v>5941</v>
          </cell>
        </row>
        <row r="41">
          <cell r="D41">
            <v>3</v>
          </cell>
          <cell r="E41">
            <v>6198</v>
          </cell>
          <cell r="R41">
            <v>6215</v>
          </cell>
        </row>
        <row r="42">
          <cell r="D42">
            <v>1</v>
          </cell>
          <cell r="E42">
            <v>6190</v>
          </cell>
          <cell r="R42">
            <v>6190</v>
          </cell>
        </row>
        <row r="43">
          <cell r="D43">
            <v>0</v>
          </cell>
          <cell r="E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R48">
            <v>0</v>
          </cell>
        </row>
      </sheetData>
      <sheetData sheetId="117" refreshError="1"/>
      <sheetData sheetId="11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2015</v>
          </cell>
          <cell r="D9">
            <v>1</v>
          </cell>
          <cell r="E9">
            <v>2774</v>
          </cell>
          <cell r="R9">
            <v>3149</v>
          </cell>
        </row>
        <row r="10">
          <cell r="D10">
            <v>2</v>
          </cell>
          <cell r="E10">
            <v>2842</v>
          </cell>
          <cell r="R10">
            <v>3192</v>
          </cell>
        </row>
        <row r="11">
          <cell r="D11">
            <v>3</v>
          </cell>
          <cell r="E11">
            <v>2730</v>
          </cell>
          <cell r="R11">
            <v>3032</v>
          </cell>
        </row>
        <row r="12">
          <cell r="D12">
            <v>1</v>
          </cell>
          <cell r="E12">
            <v>2821</v>
          </cell>
          <cell r="R12">
            <v>3108</v>
          </cell>
        </row>
        <row r="13">
          <cell r="D13">
            <v>2</v>
          </cell>
          <cell r="E13">
            <v>2858</v>
          </cell>
          <cell r="R13">
            <v>3128</v>
          </cell>
        </row>
        <row r="14">
          <cell r="D14">
            <v>3</v>
          </cell>
          <cell r="E14">
            <v>2787</v>
          </cell>
          <cell r="R14">
            <v>3032</v>
          </cell>
        </row>
        <row r="15">
          <cell r="D15">
            <v>1</v>
          </cell>
          <cell r="E15">
            <v>2882</v>
          </cell>
          <cell r="R15">
            <v>3116</v>
          </cell>
        </row>
        <row r="16">
          <cell r="D16">
            <v>2</v>
          </cell>
          <cell r="E16">
            <v>3026</v>
          </cell>
          <cell r="R16">
            <v>3253</v>
          </cell>
        </row>
        <row r="17">
          <cell r="D17">
            <v>3</v>
          </cell>
          <cell r="E17">
            <v>3182</v>
          </cell>
          <cell r="R17">
            <v>3404</v>
          </cell>
        </row>
        <row r="18">
          <cell r="D18">
            <v>1</v>
          </cell>
          <cell r="E18">
            <v>3121</v>
          </cell>
          <cell r="R18">
            <v>3330</v>
          </cell>
        </row>
        <row r="19">
          <cell r="D19">
            <v>2</v>
          </cell>
          <cell r="E19">
            <v>3200</v>
          </cell>
          <cell r="R19">
            <v>3406</v>
          </cell>
        </row>
        <row r="20">
          <cell r="D20">
            <v>3</v>
          </cell>
          <cell r="E20">
            <v>3114</v>
          </cell>
          <cell r="R20">
            <v>3308</v>
          </cell>
        </row>
        <row r="21">
          <cell r="D21">
            <v>1</v>
          </cell>
          <cell r="E21">
            <v>3148</v>
          </cell>
          <cell r="R21">
            <v>3334</v>
          </cell>
        </row>
        <row r="22">
          <cell r="D22">
            <v>2</v>
          </cell>
          <cell r="E22">
            <v>3134</v>
          </cell>
          <cell r="R22">
            <v>3309</v>
          </cell>
        </row>
        <row r="23">
          <cell r="D23">
            <v>3</v>
          </cell>
          <cell r="E23">
            <v>3239</v>
          </cell>
          <cell r="R23">
            <v>3408</v>
          </cell>
        </row>
        <row r="24">
          <cell r="D24">
            <v>1</v>
          </cell>
          <cell r="E24">
            <v>3275</v>
          </cell>
          <cell r="R24">
            <v>3436</v>
          </cell>
        </row>
        <row r="25">
          <cell r="D25">
            <v>2</v>
          </cell>
          <cell r="E25">
            <v>3149</v>
          </cell>
          <cell r="R25">
            <v>3296</v>
          </cell>
        </row>
        <row r="26">
          <cell r="D26">
            <v>3</v>
          </cell>
          <cell r="E26">
            <v>3180</v>
          </cell>
          <cell r="R26">
            <v>3322</v>
          </cell>
        </row>
        <row r="27">
          <cell r="D27">
            <v>1</v>
          </cell>
          <cell r="E27">
            <v>3194</v>
          </cell>
          <cell r="R27">
            <v>3335</v>
          </cell>
        </row>
        <row r="28">
          <cell r="D28">
            <v>2</v>
          </cell>
          <cell r="E28">
            <v>3314</v>
          </cell>
          <cell r="R28">
            <v>3458</v>
          </cell>
        </row>
        <row r="29">
          <cell r="D29">
            <v>3</v>
          </cell>
          <cell r="E29">
            <v>3209</v>
          </cell>
          <cell r="R29">
            <v>3347</v>
          </cell>
        </row>
        <row r="30">
          <cell r="D30">
            <v>1</v>
          </cell>
          <cell r="E30">
            <v>3171</v>
          </cell>
          <cell r="R30">
            <v>3302</v>
          </cell>
        </row>
        <row r="31">
          <cell r="D31">
            <v>2</v>
          </cell>
          <cell r="E31">
            <v>3091</v>
          </cell>
          <cell r="R31">
            <v>3210</v>
          </cell>
        </row>
        <row r="32">
          <cell r="D32">
            <v>3</v>
          </cell>
          <cell r="E32">
            <v>3130</v>
          </cell>
          <cell r="R32">
            <v>3242</v>
          </cell>
        </row>
        <row r="33">
          <cell r="D33">
            <v>1</v>
          </cell>
          <cell r="E33">
            <v>3081</v>
          </cell>
          <cell r="R33">
            <v>3180</v>
          </cell>
        </row>
        <row r="34">
          <cell r="D34">
            <v>2</v>
          </cell>
          <cell r="E34">
            <v>2995</v>
          </cell>
          <cell r="R34">
            <v>3082</v>
          </cell>
        </row>
        <row r="35">
          <cell r="D35">
            <v>3</v>
          </cell>
          <cell r="E35">
            <v>2885</v>
          </cell>
          <cell r="R35">
            <v>2960</v>
          </cell>
        </row>
        <row r="36">
          <cell r="D36">
            <v>1</v>
          </cell>
          <cell r="E36">
            <v>2940</v>
          </cell>
          <cell r="R36">
            <v>3010</v>
          </cell>
        </row>
        <row r="37">
          <cell r="D37">
            <v>2</v>
          </cell>
          <cell r="E37">
            <v>2998</v>
          </cell>
          <cell r="R37">
            <v>3064</v>
          </cell>
        </row>
        <row r="38">
          <cell r="D38">
            <v>3</v>
          </cell>
          <cell r="E38">
            <v>3217</v>
          </cell>
          <cell r="R38">
            <v>3280</v>
          </cell>
        </row>
        <row r="39">
          <cell r="D39">
            <v>1</v>
          </cell>
          <cell r="E39">
            <v>3112</v>
          </cell>
          <cell r="R39">
            <v>3152</v>
          </cell>
        </row>
        <row r="40">
          <cell r="D40">
            <v>2</v>
          </cell>
          <cell r="E40">
            <v>3094</v>
          </cell>
          <cell r="R40">
            <v>3114</v>
          </cell>
        </row>
        <row r="41">
          <cell r="D41">
            <v>3</v>
          </cell>
          <cell r="E41">
            <v>3187</v>
          </cell>
          <cell r="R41">
            <v>3193</v>
          </cell>
        </row>
        <row r="42">
          <cell r="D42">
            <v>1</v>
          </cell>
          <cell r="E42">
            <v>3333</v>
          </cell>
          <cell r="R42">
            <v>3333</v>
          </cell>
        </row>
        <row r="43">
          <cell r="D43">
            <v>0</v>
          </cell>
          <cell r="E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R48">
            <v>0</v>
          </cell>
        </row>
      </sheetData>
      <sheetData sheetId="119" refreshError="1"/>
      <sheetData sheetId="12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1113</v>
          </cell>
          <cell r="R9">
            <v>1640</v>
          </cell>
        </row>
        <row r="10">
          <cell r="D10">
            <v>2</v>
          </cell>
          <cell r="E10">
            <v>1103</v>
          </cell>
          <cell r="R10">
            <v>1619</v>
          </cell>
        </row>
        <row r="11">
          <cell r="D11">
            <v>3</v>
          </cell>
          <cell r="E11">
            <v>1102</v>
          </cell>
          <cell r="R11">
            <v>1611</v>
          </cell>
        </row>
        <row r="12">
          <cell r="D12">
            <v>1</v>
          </cell>
          <cell r="E12">
            <v>1103</v>
          </cell>
          <cell r="R12">
            <v>1606</v>
          </cell>
        </row>
        <row r="13">
          <cell r="D13">
            <v>2</v>
          </cell>
          <cell r="E13">
            <v>1129</v>
          </cell>
          <cell r="R13">
            <v>1640</v>
          </cell>
        </row>
        <row r="14">
          <cell r="D14">
            <v>3</v>
          </cell>
          <cell r="E14">
            <v>1134</v>
          </cell>
          <cell r="R14">
            <v>1641</v>
          </cell>
        </row>
        <row r="15">
          <cell r="D15">
            <v>1</v>
          </cell>
          <cell r="E15">
            <v>1141</v>
          </cell>
          <cell r="R15">
            <v>1644</v>
          </cell>
        </row>
        <row r="16">
          <cell r="D16">
            <v>2</v>
          </cell>
          <cell r="E16">
            <v>1152</v>
          </cell>
          <cell r="R16">
            <v>1651</v>
          </cell>
        </row>
        <row r="17">
          <cell r="D17">
            <v>3</v>
          </cell>
          <cell r="E17">
            <v>1165</v>
          </cell>
          <cell r="R17">
            <v>1660</v>
          </cell>
        </row>
        <row r="18">
          <cell r="D18">
            <v>1</v>
          </cell>
          <cell r="E18">
            <v>1186</v>
          </cell>
          <cell r="R18">
            <v>1678</v>
          </cell>
        </row>
        <row r="19">
          <cell r="D19">
            <v>2</v>
          </cell>
          <cell r="E19">
            <v>1196</v>
          </cell>
          <cell r="R19">
            <v>1680</v>
          </cell>
        </row>
        <row r="20">
          <cell r="D20">
            <v>3</v>
          </cell>
          <cell r="E20">
            <v>1222</v>
          </cell>
          <cell r="R20">
            <v>1704</v>
          </cell>
        </row>
        <row r="21">
          <cell r="D21">
            <v>1</v>
          </cell>
          <cell r="E21">
            <v>1226</v>
          </cell>
          <cell r="R21">
            <v>1699</v>
          </cell>
        </row>
        <row r="22">
          <cell r="D22">
            <v>2</v>
          </cell>
          <cell r="E22">
            <v>1220</v>
          </cell>
          <cell r="R22">
            <v>1680</v>
          </cell>
        </row>
        <row r="23">
          <cell r="D23">
            <v>3</v>
          </cell>
          <cell r="E23">
            <v>1225</v>
          </cell>
          <cell r="R23">
            <v>1679</v>
          </cell>
        </row>
        <row r="24">
          <cell r="D24">
            <v>1</v>
          </cell>
          <cell r="E24">
            <v>1242</v>
          </cell>
          <cell r="R24">
            <v>1696</v>
          </cell>
        </row>
        <row r="25">
          <cell r="D25">
            <v>2</v>
          </cell>
          <cell r="E25">
            <v>1263</v>
          </cell>
          <cell r="R25">
            <v>1722</v>
          </cell>
        </row>
        <row r="26">
          <cell r="D26">
            <v>3</v>
          </cell>
          <cell r="E26">
            <v>1276</v>
          </cell>
          <cell r="R26">
            <v>1737</v>
          </cell>
        </row>
        <row r="27">
          <cell r="D27">
            <v>1</v>
          </cell>
          <cell r="E27">
            <v>1284</v>
          </cell>
          <cell r="R27">
            <v>1744</v>
          </cell>
        </row>
        <row r="28">
          <cell r="D28">
            <v>2</v>
          </cell>
          <cell r="E28">
            <v>1290</v>
          </cell>
          <cell r="R28">
            <v>1745</v>
          </cell>
        </row>
        <row r="29">
          <cell r="D29">
            <v>3</v>
          </cell>
          <cell r="E29">
            <v>1277</v>
          </cell>
          <cell r="R29">
            <v>1719</v>
          </cell>
        </row>
        <row r="30">
          <cell r="D30">
            <v>1</v>
          </cell>
          <cell r="E30">
            <v>1272</v>
          </cell>
          <cell r="R30">
            <v>1700</v>
          </cell>
        </row>
        <row r="31">
          <cell r="D31">
            <v>2</v>
          </cell>
          <cell r="E31">
            <v>1295</v>
          </cell>
          <cell r="R31">
            <v>1719</v>
          </cell>
        </row>
        <row r="32">
          <cell r="D32">
            <v>3</v>
          </cell>
          <cell r="E32">
            <v>1334</v>
          </cell>
          <cell r="R32">
            <v>1760</v>
          </cell>
        </row>
        <row r="33">
          <cell r="D33">
            <v>1</v>
          </cell>
          <cell r="E33">
            <v>1361</v>
          </cell>
          <cell r="R33">
            <v>1783</v>
          </cell>
        </row>
        <row r="34">
          <cell r="D34">
            <v>2</v>
          </cell>
          <cell r="E34">
            <v>1366</v>
          </cell>
          <cell r="R34">
            <v>1775</v>
          </cell>
        </row>
        <row r="35">
          <cell r="D35">
            <v>3</v>
          </cell>
          <cell r="E35">
            <v>1358</v>
          </cell>
          <cell r="R35">
            <v>1753</v>
          </cell>
        </row>
        <row r="36">
          <cell r="D36">
            <v>1</v>
          </cell>
          <cell r="E36">
            <v>1333</v>
          </cell>
          <cell r="R36">
            <v>1712</v>
          </cell>
        </row>
        <row r="37">
          <cell r="D37">
            <v>2</v>
          </cell>
          <cell r="E37">
            <v>1316</v>
          </cell>
          <cell r="R37">
            <v>1684</v>
          </cell>
        </row>
        <row r="38">
          <cell r="D38">
            <v>3</v>
          </cell>
          <cell r="E38">
            <v>1324</v>
          </cell>
          <cell r="R38">
            <v>1691</v>
          </cell>
        </row>
        <row r="39">
          <cell r="D39">
            <v>1</v>
          </cell>
          <cell r="E39">
            <v>1339</v>
          </cell>
          <cell r="R39">
            <v>1706</v>
          </cell>
        </row>
        <row r="40">
          <cell r="D40">
            <v>2</v>
          </cell>
          <cell r="E40">
            <v>1367</v>
          </cell>
          <cell r="R40">
            <v>1735</v>
          </cell>
        </row>
        <row r="41">
          <cell r="D41">
            <v>3</v>
          </cell>
          <cell r="E41">
            <v>1371</v>
          </cell>
          <cell r="R41">
            <v>1731</v>
          </cell>
        </row>
        <row r="42">
          <cell r="D42">
            <v>1</v>
          </cell>
          <cell r="E42">
            <v>1402</v>
          </cell>
          <cell r="R42">
            <v>1759</v>
          </cell>
        </row>
        <row r="43">
          <cell r="D43">
            <v>2</v>
          </cell>
          <cell r="E43">
            <v>1408</v>
          </cell>
          <cell r="R43">
            <v>1753</v>
          </cell>
        </row>
        <row r="44">
          <cell r="D44">
            <v>3</v>
          </cell>
          <cell r="E44">
            <v>1422</v>
          </cell>
          <cell r="R44">
            <v>1752</v>
          </cell>
        </row>
        <row r="45">
          <cell r="D45">
            <v>1</v>
          </cell>
          <cell r="E45">
            <v>1424</v>
          </cell>
          <cell r="R45">
            <v>1732</v>
          </cell>
        </row>
        <row r="46">
          <cell r="D46">
            <v>2</v>
          </cell>
          <cell r="E46">
            <v>1429</v>
          </cell>
          <cell r="R46">
            <v>1719</v>
          </cell>
        </row>
        <row r="47">
          <cell r="D47">
            <v>3</v>
          </cell>
          <cell r="E47">
            <v>1418</v>
          </cell>
          <cell r="R47">
            <v>1691</v>
          </cell>
        </row>
        <row r="48">
          <cell r="D48">
            <v>1</v>
          </cell>
          <cell r="E48">
            <v>1439</v>
          </cell>
          <cell r="R48">
            <v>1703</v>
          </cell>
        </row>
        <row r="49">
          <cell r="D49">
            <v>2</v>
          </cell>
          <cell r="E49">
            <v>1434</v>
          </cell>
          <cell r="R49">
            <v>1685</v>
          </cell>
        </row>
        <row r="50">
          <cell r="D50">
            <v>3</v>
          </cell>
          <cell r="E50">
            <v>1425</v>
          </cell>
          <cell r="R50">
            <v>1665</v>
          </cell>
        </row>
        <row r="51">
          <cell r="D51">
            <v>1</v>
          </cell>
          <cell r="E51">
            <v>1405</v>
          </cell>
          <cell r="R51">
            <v>1634</v>
          </cell>
        </row>
        <row r="52">
          <cell r="D52">
            <v>2</v>
          </cell>
          <cell r="E52">
            <v>1416</v>
          </cell>
          <cell r="R52">
            <v>1639</v>
          </cell>
        </row>
        <row r="53">
          <cell r="D53">
            <v>3</v>
          </cell>
          <cell r="E53">
            <v>1421</v>
          </cell>
          <cell r="R53">
            <v>1631</v>
          </cell>
        </row>
        <row r="54">
          <cell r="D54">
            <v>1</v>
          </cell>
          <cell r="E54">
            <v>1458</v>
          </cell>
          <cell r="R54">
            <v>1658</v>
          </cell>
        </row>
        <row r="55">
          <cell r="D55">
            <v>2</v>
          </cell>
          <cell r="E55">
            <v>1485</v>
          </cell>
          <cell r="R55">
            <v>1671</v>
          </cell>
        </row>
        <row r="56">
          <cell r="D56">
            <v>3</v>
          </cell>
          <cell r="E56">
            <v>1487</v>
          </cell>
          <cell r="R56">
            <v>1656</v>
          </cell>
        </row>
        <row r="57">
          <cell r="D57">
            <v>1</v>
          </cell>
          <cell r="E57">
            <v>1510</v>
          </cell>
          <cell r="R57">
            <v>1667</v>
          </cell>
        </row>
        <row r="58">
          <cell r="D58">
            <v>2</v>
          </cell>
          <cell r="E58">
            <v>1484</v>
          </cell>
          <cell r="R58">
            <v>1627</v>
          </cell>
        </row>
        <row r="59">
          <cell r="D59">
            <v>3</v>
          </cell>
          <cell r="E59">
            <v>1504</v>
          </cell>
          <cell r="R59">
            <v>1640</v>
          </cell>
        </row>
        <row r="60">
          <cell r="D60">
            <v>1</v>
          </cell>
          <cell r="E60">
            <v>1502</v>
          </cell>
          <cell r="R60">
            <v>1628</v>
          </cell>
        </row>
        <row r="61">
          <cell r="D61">
            <v>2</v>
          </cell>
          <cell r="E61">
            <v>1506</v>
          </cell>
          <cell r="R61">
            <v>1623</v>
          </cell>
        </row>
        <row r="62">
          <cell r="D62">
            <v>3</v>
          </cell>
          <cell r="E62">
            <v>1529</v>
          </cell>
          <cell r="R62">
            <v>1642</v>
          </cell>
        </row>
        <row r="63">
          <cell r="D63">
            <v>1</v>
          </cell>
          <cell r="E63">
            <v>1504</v>
          </cell>
          <cell r="R63">
            <v>1608</v>
          </cell>
        </row>
        <row r="64">
          <cell r="D64">
            <v>2</v>
          </cell>
          <cell r="E64">
            <v>1505</v>
          </cell>
          <cell r="R64">
            <v>1606</v>
          </cell>
        </row>
        <row r="65">
          <cell r="D65">
            <v>3</v>
          </cell>
          <cell r="E65">
            <v>1500</v>
          </cell>
          <cell r="R65">
            <v>1597</v>
          </cell>
        </row>
        <row r="66">
          <cell r="D66">
            <v>1</v>
          </cell>
          <cell r="E66">
            <v>1506</v>
          </cell>
          <cell r="R66">
            <v>1600</v>
          </cell>
        </row>
        <row r="67">
          <cell r="D67">
            <v>2</v>
          </cell>
          <cell r="E67">
            <v>1522</v>
          </cell>
          <cell r="R67">
            <v>1613</v>
          </cell>
        </row>
        <row r="68">
          <cell r="D68">
            <v>3</v>
          </cell>
          <cell r="E68">
            <v>1528</v>
          </cell>
          <cell r="R68">
            <v>1614</v>
          </cell>
        </row>
        <row r="69">
          <cell r="D69">
            <v>1</v>
          </cell>
          <cell r="E69">
            <v>1549</v>
          </cell>
          <cell r="R69">
            <v>1631</v>
          </cell>
        </row>
        <row r="70">
          <cell r="D70">
            <v>2</v>
          </cell>
          <cell r="E70">
            <v>1544</v>
          </cell>
          <cell r="R70">
            <v>1622</v>
          </cell>
        </row>
        <row r="71">
          <cell r="D71">
            <v>3</v>
          </cell>
          <cell r="E71">
            <v>1549</v>
          </cell>
          <cell r="R71">
            <v>1624</v>
          </cell>
        </row>
        <row r="72">
          <cell r="D72">
            <v>1</v>
          </cell>
          <cell r="E72">
            <v>1536</v>
          </cell>
          <cell r="R72">
            <v>1609</v>
          </cell>
        </row>
        <row r="73">
          <cell r="D73">
            <v>2</v>
          </cell>
          <cell r="E73">
            <v>1542</v>
          </cell>
          <cell r="R73">
            <v>1613</v>
          </cell>
        </row>
        <row r="74">
          <cell r="D74">
            <v>3</v>
          </cell>
          <cell r="E74">
            <v>1532</v>
          </cell>
          <cell r="R74">
            <v>1602</v>
          </cell>
        </row>
        <row r="75">
          <cell r="D75">
            <v>1</v>
          </cell>
          <cell r="E75">
            <v>1538</v>
          </cell>
          <cell r="R75">
            <v>1605</v>
          </cell>
        </row>
        <row r="76">
          <cell r="D76">
            <v>2</v>
          </cell>
          <cell r="E76">
            <v>1540</v>
          </cell>
          <cell r="R76">
            <v>1603</v>
          </cell>
        </row>
        <row r="77">
          <cell r="D77">
            <v>3</v>
          </cell>
          <cell r="E77">
            <v>1551</v>
          </cell>
          <cell r="R77">
            <v>1610</v>
          </cell>
        </row>
        <row r="78">
          <cell r="D78">
            <v>1</v>
          </cell>
          <cell r="E78">
            <v>1567</v>
          </cell>
          <cell r="R78">
            <v>1619</v>
          </cell>
        </row>
        <row r="79">
          <cell r="D79">
            <v>2</v>
          </cell>
          <cell r="E79">
            <v>1584</v>
          </cell>
          <cell r="R79">
            <v>1632</v>
          </cell>
        </row>
        <row r="80">
          <cell r="D80">
            <v>3</v>
          </cell>
          <cell r="E80">
            <v>1594</v>
          </cell>
          <cell r="R80">
            <v>1637</v>
          </cell>
        </row>
        <row r="81">
          <cell r="D81">
            <v>1</v>
          </cell>
          <cell r="E81">
            <v>1594</v>
          </cell>
          <cell r="R81">
            <v>1633</v>
          </cell>
        </row>
        <row r="82">
          <cell r="D82">
            <v>2</v>
          </cell>
          <cell r="E82">
            <v>1587</v>
          </cell>
          <cell r="R82">
            <v>1623</v>
          </cell>
        </row>
        <row r="83">
          <cell r="D83">
            <v>3</v>
          </cell>
          <cell r="E83">
            <v>1591</v>
          </cell>
          <cell r="R83">
            <v>1623</v>
          </cell>
        </row>
        <row r="84">
          <cell r="D84">
            <v>1</v>
          </cell>
          <cell r="E84">
            <v>1610</v>
          </cell>
          <cell r="R84">
            <v>1632</v>
          </cell>
        </row>
        <row r="85">
          <cell r="D85">
            <v>2</v>
          </cell>
          <cell r="E85">
            <v>1619</v>
          </cell>
          <cell r="R85">
            <v>1631</v>
          </cell>
        </row>
        <row r="86">
          <cell r="D86">
            <v>3</v>
          </cell>
          <cell r="E86">
            <v>1623</v>
          </cell>
          <cell r="R86">
            <v>1627</v>
          </cell>
        </row>
        <row r="87">
          <cell r="D87">
            <v>1</v>
          </cell>
          <cell r="E87">
            <v>1602</v>
          </cell>
          <cell r="R87">
            <v>1602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21" refreshError="1"/>
      <sheetData sheetId="12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2015</v>
          </cell>
          <cell r="D9">
            <v>1</v>
          </cell>
          <cell r="E9">
            <v>2695</v>
          </cell>
          <cell r="R9">
            <v>3067</v>
          </cell>
        </row>
        <row r="10">
          <cell r="D10">
            <v>2</v>
          </cell>
          <cell r="E10">
            <v>2796</v>
          </cell>
          <cell r="R10">
            <v>3150</v>
          </cell>
        </row>
        <row r="11">
          <cell r="D11">
            <v>3</v>
          </cell>
          <cell r="E11">
            <v>2778</v>
          </cell>
          <cell r="R11">
            <v>3098</v>
          </cell>
        </row>
        <row r="12">
          <cell r="D12">
            <v>1</v>
          </cell>
          <cell r="E12">
            <v>2860</v>
          </cell>
          <cell r="R12">
            <v>3163</v>
          </cell>
        </row>
        <row r="13">
          <cell r="D13">
            <v>2</v>
          </cell>
          <cell r="E13">
            <v>2802</v>
          </cell>
          <cell r="R13">
            <v>3079</v>
          </cell>
        </row>
        <row r="14">
          <cell r="D14">
            <v>3</v>
          </cell>
          <cell r="E14">
            <v>2897</v>
          </cell>
          <cell r="R14">
            <v>3164</v>
          </cell>
        </row>
        <row r="15">
          <cell r="D15">
            <v>1</v>
          </cell>
          <cell r="E15">
            <v>2905</v>
          </cell>
          <cell r="R15">
            <v>3156</v>
          </cell>
        </row>
        <row r="16">
          <cell r="D16">
            <v>2</v>
          </cell>
          <cell r="E16">
            <v>2939</v>
          </cell>
          <cell r="R16">
            <v>3176</v>
          </cell>
        </row>
        <row r="17">
          <cell r="D17">
            <v>3</v>
          </cell>
          <cell r="E17">
            <v>2987</v>
          </cell>
          <cell r="R17">
            <v>3214</v>
          </cell>
        </row>
        <row r="18">
          <cell r="D18">
            <v>1</v>
          </cell>
          <cell r="E18">
            <v>2835</v>
          </cell>
          <cell r="R18">
            <v>3039</v>
          </cell>
        </row>
        <row r="19">
          <cell r="D19">
            <v>2</v>
          </cell>
          <cell r="E19">
            <v>2821</v>
          </cell>
          <cell r="R19">
            <v>3016</v>
          </cell>
        </row>
        <row r="20">
          <cell r="D20">
            <v>3</v>
          </cell>
          <cell r="E20">
            <v>2779</v>
          </cell>
          <cell r="R20">
            <v>2966</v>
          </cell>
        </row>
        <row r="21">
          <cell r="D21">
            <v>1</v>
          </cell>
          <cell r="E21">
            <v>2821</v>
          </cell>
          <cell r="R21">
            <v>3004</v>
          </cell>
        </row>
        <row r="22">
          <cell r="D22">
            <v>2</v>
          </cell>
          <cell r="E22">
            <v>2863</v>
          </cell>
          <cell r="R22">
            <v>3041</v>
          </cell>
        </row>
        <row r="23">
          <cell r="D23">
            <v>3</v>
          </cell>
          <cell r="E23">
            <v>2883</v>
          </cell>
          <cell r="R23">
            <v>3053</v>
          </cell>
        </row>
        <row r="24">
          <cell r="D24">
            <v>1</v>
          </cell>
          <cell r="E24">
            <v>2912</v>
          </cell>
          <cell r="R24">
            <v>3074</v>
          </cell>
        </row>
        <row r="25">
          <cell r="D25">
            <v>2</v>
          </cell>
          <cell r="E25">
            <v>2881</v>
          </cell>
          <cell r="R25">
            <v>3033</v>
          </cell>
        </row>
        <row r="26">
          <cell r="D26">
            <v>3</v>
          </cell>
          <cell r="E26">
            <v>2890</v>
          </cell>
          <cell r="R26">
            <v>3035</v>
          </cell>
        </row>
        <row r="27">
          <cell r="D27">
            <v>1</v>
          </cell>
          <cell r="E27">
            <v>2890</v>
          </cell>
          <cell r="R27">
            <v>3033</v>
          </cell>
        </row>
        <row r="28">
          <cell r="D28">
            <v>2</v>
          </cell>
          <cell r="E28">
            <v>2912</v>
          </cell>
          <cell r="R28">
            <v>3053</v>
          </cell>
        </row>
        <row r="29">
          <cell r="D29">
            <v>3</v>
          </cell>
          <cell r="E29">
            <v>2893</v>
          </cell>
          <cell r="R29">
            <v>3031</v>
          </cell>
        </row>
        <row r="30">
          <cell r="D30">
            <v>1</v>
          </cell>
          <cell r="E30">
            <v>2897</v>
          </cell>
          <cell r="R30">
            <v>3029</v>
          </cell>
        </row>
        <row r="31">
          <cell r="D31">
            <v>2</v>
          </cell>
          <cell r="E31">
            <v>2877</v>
          </cell>
          <cell r="R31">
            <v>2999</v>
          </cell>
        </row>
        <row r="32">
          <cell r="D32">
            <v>3</v>
          </cell>
          <cell r="E32">
            <v>2892</v>
          </cell>
          <cell r="R32">
            <v>3005</v>
          </cell>
        </row>
        <row r="33">
          <cell r="D33">
            <v>1</v>
          </cell>
          <cell r="E33">
            <v>2915</v>
          </cell>
          <cell r="R33">
            <v>3016</v>
          </cell>
        </row>
        <row r="34">
          <cell r="D34">
            <v>2</v>
          </cell>
          <cell r="E34">
            <v>2993</v>
          </cell>
          <cell r="R34">
            <v>3086</v>
          </cell>
        </row>
        <row r="35">
          <cell r="D35">
            <v>3</v>
          </cell>
          <cell r="E35">
            <v>3000</v>
          </cell>
          <cell r="R35">
            <v>3083</v>
          </cell>
        </row>
        <row r="36">
          <cell r="D36">
            <v>1</v>
          </cell>
          <cell r="E36">
            <v>3055</v>
          </cell>
          <cell r="R36">
            <v>3132</v>
          </cell>
        </row>
        <row r="37">
          <cell r="D37">
            <v>2</v>
          </cell>
          <cell r="E37">
            <v>3018</v>
          </cell>
          <cell r="R37">
            <v>3088</v>
          </cell>
        </row>
        <row r="38">
          <cell r="D38">
            <v>3</v>
          </cell>
          <cell r="E38">
            <v>3052</v>
          </cell>
          <cell r="R38">
            <v>3116</v>
          </cell>
        </row>
        <row r="39">
          <cell r="D39">
            <v>1</v>
          </cell>
          <cell r="E39">
            <v>3060</v>
          </cell>
          <cell r="R39">
            <v>3105</v>
          </cell>
        </row>
        <row r="40">
          <cell r="D40">
            <v>2</v>
          </cell>
          <cell r="E40">
            <v>3065</v>
          </cell>
          <cell r="R40">
            <v>3089</v>
          </cell>
        </row>
        <row r="41">
          <cell r="D41">
            <v>3</v>
          </cell>
          <cell r="E41">
            <v>3093</v>
          </cell>
          <cell r="R41">
            <v>3101</v>
          </cell>
        </row>
        <row r="42">
          <cell r="D42">
            <v>1</v>
          </cell>
          <cell r="E42">
            <v>3002</v>
          </cell>
          <cell r="R42">
            <v>3002</v>
          </cell>
        </row>
        <row r="43">
          <cell r="D43">
            <v>0</v>
          </cell>
          <cell r="E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R48">
            <v>0</v>
          </cell>
        </row>
      </sheetData>
      <sheetData sheetId="123" refreshError="1"/>
      <sheetData sheetId="12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2015</v>
          </cell>
          <cell r="D9">
            <v>1</v>
          </cell>
          <cell r="E9">
            <v>1163</v>
          </cell>
          <cell r="R9">
            <v>1322</v>
          </cell>
        </row>
        <row r="10">
          <cell r="D10">
            <v>2</v>
          </cell>
          <cell r="E10">
            <v>1163</v>
          </cell>
          <cell r="R10">
            <v>1307</v>
          </cell>
        </row>
        <row r="11">
          <cell r="D11">
            <v>3</v>
          </cell>
          <cell r="E11">
            <v>1163</v>
          </cell>
          <cell r="R11">
            <v>1293</v>
          </cell>
        </row>
        <row r="12">
          <cell r="D12">
            <v>1</v>
          </cell>
          <cell r="E12">
            <v>1169</v>
          </cell>
          <cell r="R12">
            <v>1290</v>
          </cell>
        </row>
        <row r="13">
          <cell r="D13">
            <v>2</v>
          </cell>
          <cell r="E13">
            <v>1161</v>
          </cell>
          <cell r="R13">
            <v>1272</v>
          </cell>
        </row>
        <row r="14">
          <cell r="D14">
            <v>3</v>
          </cell>
          <cell r="E14">
            <v>1171</v>
          </cell>
          <cell r="R14">
            <v>1275</v>
          </cell>
        </row>
        <row r="15">
          <cell r="D15">
            <v>1</v>
          </cell>
          <cell r="E15">
            <v>1167</v>
          </cell>
          <cell r="R15">
            <v>1263</v>
          </cell>
        </row>
        <row r="16">
          <cell r="D16">
            <v>2</v>
          </cell>
          <cell r="E16">
            <v>1172</v>
          </cell>
          <cell r="R16">
            <v>1262</v>
          </cell>
        </row>
        <row r="17">
          <cell r="D17">
            <v>3</v>
          </cell>
          <cell r="E17">
            <v>1183</v>
          </cell>
          <cell r="R17">
            <v>1268</v>
          </cell>
        </row>
        <row r="18">
          <cell r="D18">
            <v>1</v>
          </cell>
          <cell r="E18">
            <v>1194</v>
          </cell>
          <cell r="R18">
            <v>1275</v>
          </cell>
        </row>
        <row r="19">
          <cell r="D19">
            <v>2</v>
          </cell>
          <cell r="E19">
            <v>1200</v>
          </cell>
          <cell r="R19">
            <v>1278</v>
          </cell>
        </row>
        <row r="20">
          <cell r="D20">
            <v>3</v>
          </cell>
          <cell r="E20">
            <v>1209</v>
          </cell>
          <cell r="R20">
            <v>1286</v>
          </cell>
        </row>
        <row r="21">
          <cell r="D21">
            <v>1</v>
          </cell>
          <cell r="E21">
            <v>1210</v>
          </cell>
          <cell r="R21">
            <v>1284</v>
          </cell>
        </row>
        <row r="22">
          <cell r="D22">
            <v>2</v>
          </cell>
          <cell r="E22">
            <v>1219</v>
          </cell>
          <cell r="R22">
            <v>1290</v>
          </cell>
        </row>
        <row r="23">
          <cell r="D23">
            <v>3</v>
          </cell>
          <cell r="E23">
            <v>1220</v>
          </cell>
          <cell r="R23">
            <v>1287</v>
          </cell>
        </row>
        <row r="24">
          <cell r="D24">
            <v>1</v>
          </cell>
          <cell r="E24">
            <v>1237</v>
          </cell>
          <cell r="R24">
            <v>1301</v>
          </cell>
        </row>
        <row r="25">
          <cell r="D25">
            <v>2</v>
          </cell>
          <cell r="E25">
            <v>1240</v>
          </cell>
          <cell r="R25">
            <v>1301</v>
          </cell>
        </row>
        <row r="26">
          <cell r="D26">
            <v>3</v>
          </cell>
          <cell r="E26">
            <v>1245</v>
          </cell>
          <cell r="R26">
            <v>1303</v>
          </cell>
        </row>
        <row r="27">
          <cell r="D27">
            <v>1</v>
          </cell>
          <cell r="E27">
            <v>1232</v>
          </cell>
          <cell r="R27">
            <v>1288</v>
          </cell>
        </row>
        <row r="28">
          <cell r="D28">
            <v>2</v>
          </cell>
          <cell r="E28">
            <v>1233</v>
          </cell>
          <cell r="R28">
            <v>1288</v>
          </cell>
        </row>
        <row r="29">
          <cell r="D29">
            <v>3</v>
          </cell>
          <cell r="E29">
            <v>1225</v>
          </cell>
          <cell r="R29">
            <v>1279</v>
          </cell>
        </row>
        <row r="30">
          <cell r="D30">
            <v>1</v>
          </cell>
          <cell r="E30">
            <v>1230</v>
          </cell>
          <cell r="R30">
            <v>1282</v>
          </cell>
        </row>
        <row r="31">
          <cell r="D31">
            <v>2</v>
          </cell>
          <cell r="E31">
            <v>1233</v>
          </cell>
          <cell r="R31">
            <v>1282</v>
          </cell>
        </row>
        <row r="32">
          <cell r="D32">
            <v>3</v>
          </cell>
          <cell r="E32">
            <v>1237</v>
          </cell>
          <cell r="R32">
            <v>1283</v>
          </cell>
        </row>
        <row r="33">
          <cell r="D33">
            <v>1</v>
          </cell>
          <cell r="E33">
            <v>1245</v>
          </cell>
          <cell r="R33">
            <v>1286</v>
          </cell>
        </row>
        <row r="34">
          <cell r="D34">
            <v>2</v>
          </cell>
          <cell r="E34">
            <v>1248</v>
          </cell>
          <cell r="R34">
            <v>1285</v>
          </cell>
        </row>
        <row r="35">
          <cell r="D35">
            <v>3</v>
          </cell>
          <cell r="E35">
            <v>1261</v>
          </cell>
          <cell r="R35">
            <v>1295</v>
          </cell>
        </row>
        <row r="36">
          <cell r="D36">
            <v>1</v>
          </cell>
          <cell r="E36">
            <v>1250</v>
          </cell>
          <cell r="R36">
            <v>1280</v>
          </cell>
        </row>
        <row r="37">
          <cell r="D37">
            <v>2</v>
          </cell>
          <cell r="E37">
            <v>1251</v>
          </cell>
          <cell r="R37">
            <v>1279</v>
          </cell>
        </row>
        <row r="38">
          <cell r="D38">
            <v>3</v>
          </cell>
          <cell r="E38">
            <v>1248</v>
          </cell>
          <cell r="R38">
            <v>1273</v>
          </cell>
        </row>
        <row r="39">
          <cell r="D39">
            <v>1</v>
          </cell>
          <cell r="E39">
            <v>1264</v>
          </cell>
          <cell r="R39">
            <v>1281</v>
          </cell>
        </row>
        <row r="40">
          <cell r="D40">
            <v>2</v>
          </cell>
          <cell r="E40">
            <v>1271</v>
          </cell>
          <cell r="R40">
            <v>1279</v>
          </cell>
        </row>
        <row r="41">
          <cell r="D41">
            <v>3</v>
          </cell>
          <cell r="E41">
            <v>1268</v>
          </cell>
          <cell r="R41">
            <v>1271</v>
          </cell>
        </row>
        <row r="42">
          <cell r="D42">
            <v>1</v>
          </cell>
          <cell r="E42">
            <v>1263</v>
          </cell>
          <cell r="R42">
            <v>1263</v>
          </cell>
        </row>
        <row r="43">
          <cell r="D43">
            <v>0</v>
          </cell>
          <cell r="E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R48">
            <v>0</v>
          </cell>
        </row>
      </sheetData>
      <sheetData sheetId="125" refreshError="1"/>
      <sheetData sheetId="12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770</v>
          </cell>
          <cell r="R9">
            <v>1131</v>
          </cell>
        </row>
        <row r="10">
          <cell r="D10">
            <v>2</v>
          </cell>
          <cell r="E10">
            <v>784</v>
          </cell>
          <cell r="R10">
            <v>1146</v>
          </cell>
        </row>
        <row r="11">
          <cell r="D11">
            <v>3</v>
          </cell>
          <cell r="E11">
            <v>791</v>
          </cell>
          <cell r="R11">
            <v>1151</v>
          </cell>
        </row>
        <row r="12">
          <cell r="D12">
            <v>1</v>
          </cell>
          <cell r="E12">
            <v>800</v>
          </cell>
          <cell r="R12">
            <v>1160</v>
          </cell>
        </row>
        <row r="13">
          <cell r="D13">
            <v>2</v>
          </cell>
          <cell r="E13">
            <v>797</v>
          </cell>
          <cell r="R13">
            <v>1153</v>
          </cell>
        </row>
        <row r="14">
          <cell r="D14">
            <v>3</v>
          </cell>
          <cell r="E14">
            <v>810</v>
          </cell>
          <cell r="R14">
            <v>1167</v>
          </cell>
        </row>
        <row r="15">
          <cell r="D15">
            <v>1</v>
          </cell>
          <cell r="E15">
            <v>813</v>
          </cell>
          <cell r="R15">
            <v>1165</v>
          </cell>
        </row>
        <row r="16">
          <cell r="D16">
            <v>2</v>
          </cell>
          <cell r="E16">
            <v>825</v>
          </cell>
          <cell r="R16">
            <v>1177</v>
          </cell>
        </row>
        <row r="17">
          <cell r="D17">
            <v>3</v>
          </cell>
          <cell r="E17">
            <v>824</v>
          </cell>
          <cell r="R17">
            <v>1168</v>
          </cell>
        </row>
        <row r="18">
          <cell r="D18">
            <v>1</v>
          </cell>
          <cell r="E18">
            <v>831</v>
          </cell>
          <cell r="R18">
            <v>1171</v>
          </cell>
        </row>
        <row r="19">
          <cell r="D19">
            <v>2</v>
          </cell>
          <cell r="E19">
            <v>844</v>
          </cell>
          <cell r="R19">
            <v>1180</v>
          </cell>
        </row>
        <row r="20">
          <cell r="D20">
            <v>3</v>
          </cell>
          <cell r="E20">
            <v>855</v>
          </cell>
          <cell r="R20">
            <v>1187</v>
          </cell>
        </row>
        <row r="21">
          <cell r="D21">
            <v>1</v>
          </cell>
          <cell r="E21">
            <v>860</v>
          </cell>
          <cell r="R21">
            <v>1185</v>
          </cell>
        </row>
        <row r="22">
          <cell r="D22">
            <v>2</v>
          </cell>
          <cell r="E22">
            <v>856</v>
          </cell>
          <cell r="R22">
            <v>1174</v>
          </cell>
        </row>
        <row r="23">
          <cell r="D23">
            <v>3</v>
          </cell>
          <cell r="E23">
            <v>863</v>
          </cell>
          <cell r="R23">
            <v>1178</v>
          </cell>
        </row>
        <row r="24">
          <cell r="D24">
            <v>1</v>
          </cell>
          <cell r="E24">
            <v>872</v>
          </cell>
          <cell r="R24">
            <v>1186</v>
          </cell>
        </row>
        <row r="25">
          <cell r="D25">
            <v>2</v>
          </cell>
          <cell r="E25">
            <v>875</v>
          </cell>
          <cell r="R25">
            <v>1187</v>
          </cell>
        </row>
        <row r="26">
          <cell r="D26">
            <v>3</v>
          </cell>
          <cell r="E26">
            <v>888</v>
          </cell>
          <cell r="R26">
            <v>1202</v>
          </cell>
        </row>
        <row r="27">
          <cell r="D27">
            <v>1</v>
          </cell>
          <cell r="E27">
            <v>900</v>
          </cell>
          <cell r="R27">
            <v>1216</v>
          </cell>
        </row>
        <row r="28">
          <cell r="D28">
            <v>2</v>
          </cell>
          <cell r="E28">
            <v>913</v>
          </cell>
          <cell r="R28">
            <v>1229</v>
          </cell>
        </row>
        <row r="29">
          <cell r="D29">
            <v>3</v>
          </cell>
          <cell r="E29">
            <v>922</v>
          </cell>
          <cell r="R29">
            <v>1235</v>
          </cell>
        </row>
        <row r="30">
          <cell r="D30">
            <v>1</v>
          </cell>
          <cell r="E30">
            <v>924</v>
          </cell>
          <cell r="R30">
            <v>1231</v>
          </cell>
        </row>
        <row r="31">
          <cell r="D31">
            <v>2</v>
          </cell>
          <cell r="E31">
            <v>920</v>
          </cell>
          <cell r="R31">
            <v>1217</v>
          </cell>
        </row>
        <row r="32">
          <cell r="D32">
            <v>3</v>
          </cell>
          <cell r="E32">
            <v>936</v>
          </cell>
          <cell r="R32">
            <v>1230</v>
          </cell>
        </row>
        <row r="33">
          <cell r="D33">
            <v>1</v>
          </cell>
          <cell r="E33">
            <v>947</v>
          </cell>
          <cell r="R33">
            <v>1236</v>
          </cell>
        </row>
        <row r="34">
          <cell r="D34">
            <v>2</v>
          </cell>
          <cell r="E34">
            <v>971</v>
          </cell>
          <cell r="R34">
            <v>1257</v>
          </cell>
        </row>
        <row r="35">
          <cell r="D35">
            <v>3</v>
          </cell>
          <cell r="E35">
            <v>971</v>
          </cell>
          <cell r="R35">
            <v>1250</v>
          </cell>
        </row>
        <row r="36">
          <cell r="D36">
            <v>1</v>
          </cell>
          <cell r="E36">
            <v>968</v>
          </cell>
          <cell r="R36">
            <v>1239</v>
          </cell>
        </row>
        <row r="37">
          <cell r="D37">
            <v>2</v>
          </cell>
          <cell r="E37">
            <v>954</v>
          </cell>
          <cell r="R37">
            <v>1216</v>
          </cell>
        </row>
        <row r="38">
          <cell r="D38">
            <v>3</v>
          </cell>
          <cell r="E38">
            <v>971</v>
          </cell>
          <cell r="R38">
            <v>1235</v>
          </cell>
        </row>
        <row r="39">
          <cell r="D39">
            <v>1</v>
          </cell>
          <cell r="E39">
            <v>974</v>
          </cell>
          <cell r="R39">
            <v>1237</v>
          </cell>
        </row>
        <row r="40">
          <cell r="D40">
            <v>2</v>
          </cell>
          <cell r="E40">
            <v>991</v>
          </cell>
          <cell r="R40">
            <v>1253</v>
          </cell>
        </row>
        <row r="41">
          <cell r="D41">
            <v>3</v>
          </cell>
          <cell r="E41">
            <v>980</v>
          </cell>
          <cell r="R41">
            <v>1232</v>
          </cell>
        </row>
        <row r="42">
          <cell r="D42">
            <v>1</v>
          </cell>
          <cell r="E42">
            <v>1001</v>
          </cell>
          <cell r="R42">
            <v>1251</v>
          </cell>
        </row>
        <row r="43">
          <cell r="D43">
            <v>2</v>
          </cell>
          <cell r="E43">
            <v>1014</v>
          </cell>
          <cell r="R43">
            <v>1259</v>
          </cell>
        </row>
        <row r="44">
          <cell r="D44">
            <v>3</v>
          </cell>
          <cell r="E44">
            <v>1029</v>
          </cell>
          <cell r="R44">
            <v>1264</v>
          </cell>
        </row>
        <row r="45">
          <cell r="D45">
            <v>1</v>
          </cell>
          <cell r="E45">
            <v>1039</v>
          </cell>
          <cell r="R45">
            <v>1261</v>
          </cell>
        </row>
        <row r="46">
          <cell r="D46">
            <v>2</v>
          </cell>
          <cell r="E46">
            <v>1037</v>
          </cell>
          <cell r="R46">
            <v>1245</v>
          </cell>
        </row>
        <row r="47">
          <cell r="D47">
            <v>3</v>
          </cell>
          <cell r="E47">
            <v>1031</v>
          </cell>
          <cell r="R47">
            <v>1225</v>
          </cell>
        </row>
        <row r="48">
          <cell r="D48">
            <v>1</v>
          </cell>
          <cell r="E48">
            <v>1031</v>
          </cell>
          <cell r="R48">
            <v>1216</v>
          </cell>
        </row>
        <row r="49">
          <cell r="D49">
            <v>2</v>
          </cell>
          <cell r="E49">
            <v>1029</v>
          </cell>
          <cell r="R49">
            <v>1205</v>
          </cell>
        </row>
        <row r="50">
          <cell r="D50">
            <v>3</v>
          </cell>
          <cell r="E50">
            <v>1039</v>
          </cell>
          <cell r="R50">
            <v>1209</v>
          </cell>
        </row>
        <row r="51">
          <cell r="D51">
            <v>1</v>
          </cell>
          <cell r="E51">
            <v>1041</v>
          </cell>
          <cell r="R51">
            <v>1207</v>
          </cell>
        </row>
        <row r="52">
          <cell r="D52">
            <v>2</v>
          </cell>
          <cell r="E52">
            <v>1051</v>
          </cell>
          <cell r="R52">
            <v>1213</v>
          </cell>
        </row>
        <row r="53">
          <cell r="D53">
            <v>3</v>
          </cell>
          <cell r="E53">
            <v>1057</v>
          </cell>
          <cell r="R53">
            <v>1210</v>
          </cell>
        </row>
        <row r="54">
          <cell r="D54">
            <v>1</v>
          </cell>
          <cell r="E54">
            <v>1067</v>
          </cell>
          <cell r="R54">
            <v>1210</v>
          </cell>
        </row>
        <row r="55">
          <cell r="D55">
            <v>2</v>
          </cell>
          <cell r="E55">
            <v>1072</v>
          </cell>
          <cell r="R55">
            <v>1203</v>
          </cell>
        </row>
        <row r="56">
          <cell r="D56">
            <v>3</v>
          </cell>
          <cell r="E56">
            <v>1055</v>
          </cell>
          <cell r="R56">
            <v>1172</v>
          </cell>
        </row>
        <row r="57">
          <cell r="D57">
            <v>1</v>
          </cell>
          <cell r="E57">
            <v>1057</v>
          </cell>
          <cell r="R57">
            <v>1163</v>
          </cell>
        </row>
        <row r="58">
          <cell r="D58">
            <v>2</v>
          </cell>
          <cell r="E58">
            <v>1063</v>
          </cell>
          <cell r="R58">
            <v>1163</v>
          </cell>
        </row>
        <row r="59">
          <cell r="D59">
            <v>3</v>
          </cell>
          <cell r="E59">
            <v>1065</v>
          </cell>
          <cell r="R59">
            <v>1157</v>
          </cell>
        </row>
        <row r="60">
          <cell r="D60">
            <v>1</v>
          </cell>
          <cell r="E60">
            <v>1061</v>
          </cell>
          <cell r="R60">
            <v>1146</v>
          </cell>
        </row>
        <row r="61">
          <cell r="D61">
            <v>2</v>
          </cell>
          <cell r="E61">
            <v>1086</v>
          </cell>
          <cell r="R61">
            <v>1166</v>
          </cell>
        </row>
        <row r="62">
          <cell r="D62">
            <v>3</v>
          </cell>
          <cell r="E62">
            <v>1109</v>
          </cell>
          <cell r="R62">
            <v>1187</v>
          </cell>
        </row>
        <row r="63">
          <cell r="D63">
            <v>1</v>
          </cell>
          <cell r="E63">
            <v>1123</v>
          </cell>
          <cell r="R63">
            <v>1198</v>
          </cell>
        </row>
        <row r="64">
          <cell r="D64">
            <v>2</v>
          </cell>
          <cell r="E64">
            <v>1144</v>
          </cell>
          <cell r="R64">
            <v>1217</v>
          </cell>
        </row>
        <row r="65">
          <cell r="D65">
            <v>3</v>
          </cell>
          <cell r="E65">
            <v>1156</v>
          </cell>
          <cell r="R65">
            <v>1227</v>
          </cell>
        </row>
        <row r="66">
          <cell r="D66">
            <v>1</v>
          </cell>
          <cell r="E66">
            <v>1159</v>
          </cell>
          <cell r="R66">
            <v>1228</v>
          </cell>
        </row>
        <row r="67">
          <cell r="D67">
            <v>2</v>
          </cell>
          <cell r="E67">
            <v>1177</v>
          </cell>
          <cell r="R67">
            <v>1244</v>
          </cell>
        </row>
        <row r="68">
          <cell r="D68">
            <v>3</v>
          </cell>
          <cell r="E68">
            <v>1189</v>
          </cell>
          <cell r="R68">
            <v>1252</v>
          </cell>
        </row>
        <row r="69">
          <cell r="D69">
            <v>1</v>
          </cell>
          <cell r="E69">
            <v>1187</v>
          </cell>
          <cell r="R69">
            <v>1246</v>
          </cell>
        </row>
        <row r="70">
          <cell r="D70">
            <v>2</v>
          </cell>
          <cell r="E70">
            <v>1182</v>
          </cell>
          <cell r="R70">
            <v>1238</v>
          </cell>
        </row>
        <row r="71">
          <cell r="D71">
            <v>3</v>
          </cell>
          <cell r="E71">
            <v>1192</v>
          </cell>
          <cell r="R71">
            <v>1247</v>
          </cell>
        </row>
        <row r="72">
          <cell r="D72">
            <v>1</v>
          </cell>
          <cell r="E72">
            <v>1246</v>
          </cell>
          <cell r="R72">
            <v>1303</v>
          </cell>
        </row>
        <row r="73">
          <cell r="D73">
            <v>2</v>
          </cell>
          <cell r="E73">
            <v>1249</v>
          </cell>
          <cell r="R73">
            <v>1305</v>
          </cell>
        </row>
        <row r="74">
          <cell r="D74">
            <v>3</v>
          </cell>
          <cell r="E74">
            <v>1243</v>
          </cell>
          <cell r="R74">
            <v>1298</v>
          </cell>
        </row>
        <row r="75">
          <cell r="D75">
            <v>1</v>
          </cell>
          <cell r="E75">
            <v>1239</v>
          </cell>
          <cell r="R75">
            <v>1291</v>
          </cell>
        </row>
        <row r="76">
          <cell r="D76">
            <v>2</v>
          </cell>
          <cell r="E76">
            <v>1237</v>
          </cell>
          <cell r="R76">
            <v>1286</v>
          </cell>
        </row>
        <row r="77">
          <cell r="D77">
            <v>3</v>
          </cell>
          <cell r="E77">
            <v>1242</v>
          </cell>
          <cell r="R77">
            <v>1287</v>
          </cell>
        </row>
        <row r="78">
          <cell r="D78">
            <v>1</v>
          </cell>
          <cell r="E78">
            <v>1225</v>
          </cell>
          <cell r="R78">
            <v>1265</v>
          </cell>
        </row>
        <row r="79">
          <cell r="D79">
            <v>2</v>
          </cell>
          <cell r="E79">
            <v>1227</v>
          </cell>
          <cell r="R79">
            <v>1263</v>
          </cell>
        </row>
        <row r="80">
          <cell r="D80">
            <v>3</v>
          </cell>
          <cell r="E80">
            <v>1220</v>
          </cell>
          <cell r="R80">
            <v>1252</v>
          </cell>
        </row>
        <row r="81">
          <cell r="D81">
            <v>1</v>
          </cell>
          <cell r="E81">
            <v>1231</v>
          </cell>
          <cell r="R81">
            <v>1261</v>
          </cell>
        </row>
        <row r="82">
          <cell r="D82">
            <v>2</v>
          </cell>
          <cell r="E82">
            <v>1222</v>
          </cell>
          <cell r="R82">
            <v>1250</v>
          </cell>
        </row>
        <row r="83">
          <cell r="D83">
            <v>3</v>
          </cell>
          <cell r="E83">
            <v>1233</v>
          </cell>
          <cell r="R83">
            <v>1257</v>
          </cell>
        </row>
        <row r="84">
          <cell r="D84">
            <v>1</v>
          </cell>
          <cell r="E84">
            <v>1232</v>
          </cell>
          <cell r="R84">
            <v>1248</v>
          </cell>
        </row>
        <row r="85">
          <cell r="D85">
            <v>2</v>
          </cell>
          <cell r="E85">
            <v>1249</v>
          </cell>
          <cell r="R85">
            <v>1257</v>
          </cell>
        </row>
        <row r="86">
          <cell r="D86">
            <v>3</v>
          </cell>
          <cell r="E86">
            <v>1257</v>
          </cell>
          <cell r="R86">
            <v>1259</v>
          </cell>
        </row>
        <row r="87">
          <cell r="D87">
            <v>1</v>
          </cell>
          <cell r="E87">
            <v>1273</v>
          </cell>
          <cell r="R87">
            <v>1273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27" refreshError="1"/>
      <sheetData sheetId="12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1444</v>
          </cell>
          <cell r="R9">
            <v>2130</v>
          </cell>
        </row>
        <row r="10">
          <cell r="D10">
            <v>2</v>
          </cell>
          <cell r="E10">
            <v>1467</v>
          </cell>
          <cell r="R10">
            <v>2155</v>
          </cell>
        </row>
        <row r="11">
          <cell r="D11">
            <v>3</v>
          </cell>
          <cell r="E11">
            <v>1458</v>
          </cell>
          <cell r="R11">
            <v>2133</v>
          </cell>
        </row>
        <row r="12">
          <cell r="D12">
            <v>1</v>
          </cell>
          <cell r="E12">
            <v>1461</v>
          </cell>
          <cell r="R12">
            <v>2130</v>
          </cell>
        </row>
        <row r="13">
          <cell r="D13">
            <v>2</v>
          </cell>
          <cell r="E13">
            <v>1462</v>
          </cell>
          <cell r="R13">
            <v>2125</v>
          </cell>
        </row>
        <row r="14">
          <cell r="D14">
            <v>3</v>
          </cell>
          <cell r="E14">
            <v>1483</v>
          </cell>
          <cell r="R14">
            <v>2149</v>
          </cell>
        </row>
        <row r="15">
          <cell r="D15">
            <v>1</v>
          </cell>
          <cell r="E15">
            <v>1478</v>
          </cell>
          <cell r="R15">
            <v>2132</v>
          </cell>
        </row>
        <row r="16">
          <cell r="D16">
            <v>2</v>
          </cell>
          <cell r="E16">
            <v>1474</v>
          </cell>
          <cell r="R16">
            <v>2115</v>
          </cell>
        </row>
        <row r="17">
          <cell r="D17">
            <v>3</v>
          </cell>
          <cell r="E17">
            <v>1496</v>
          </cell>
          <cell r="R17">
            <v>2135</v>
          </cell>
        </row>
        <row r="18">
          <cell r="D18">
            <v>1</v>
          </cell>
          <cell r="E18">
            <v>1503</v>
          </cell>
          <cell r="R18">
            <v>2131</v>
          </cell>
        </row>
        <row r="19">
          <cell r="D19">
            <v>2</v>
          </cell>
          <cell r="E19">
            <v>1531</v>
          </cell>
          <cell r="R19">
            <v>2155</v>
          </cell>
        </row>
        <row r="20">
          <cell r="D20">
            <v>3</v>
          </cell>
          <cell r="E20">
            <v>1520</v>
          </cell>
          <cell r="R20">
            <v>2124</v>
          </cell>
        </row>
        <row r="21">
          <cell r="D21">
            <v>1</v>
          </cell>
          <cell r="E21">
            <v>1536</v>
          </cell>
          <cell r="R21">
            <v>2133</v>
          </cell>
        </row>
        <row r="22">
          <cell r="D22">
            <v>2</v>
          </cell>
          <cell r="E22">
            <v>1559</v>
          </cell>
          <cell r="R22">
            <v>2154</v>
          </cell>
        </row>
        <row r="23">
          <cell r="D23">
            <v>3</v>
          </cell>
          <cell r="E23">
            <v>1573</v>
          </cell>
          <cell r="R23">
            <v>2164</v>
          </cell>
        </row>
        <row r="24">
          <cell r="D24">
            <v>1</v>
          </cell>
          <cell r="E24">
            <v>1591</v>
          </cell>
          <cell r="R24">
            <v>2180</v>
          </cell>
        </row>
        <row r="25">
          <cell r="D25">
            <v>2</v>
          </cell>
          <cell r="E25">
            <v>1603</v>
          </cell>
          <cell r="R25">
            <v>2193</v>
          </cell>
        </row>
        <row r="26">
          <cell r="D26">
            <v>3</v>
          </cell>
          <cell r="E26">
            <v>1605</v>
          </cell>
          <cell r="R26">
            <v>2190</v>
          </cell>
        </row>
        <row r="27">
          <cell r="D27">
            <v>1</v>
          </cell>
          <cell r="E27">
            <v>1612</v>
          </cell>
          <cell r="R27">
            <v>2194</v>
          </cell>
        </row>
        <row r="28">
          <cell r="D28">
            <v>2</v>
          </cell>
          <cell r="E28">
            <v>1622</v>
          </cell>
          <cell r="R28">
            <v>2199</v>
          </cell>
        </row>
        <row r="29">
          <cell r="D29">
            <v>3</v>
          </cell>
          <cell r="E29">
            <v>1635</v>
          </cell>
          <cell r="R29">
            <v>2206</v>
          </cell>
        </row>
        <row r="30">
          <cell r="D30">
            <v>1</v>
          </cell>
          <cell r="E30">
            <v>1625</v>
          </cell>
          <cell r="R30">
            <v>2177</v>
          </cell>
        </row>
        <row r="31">
          <cell r="D31">
            <v>2</v>
          </cell>
          <cell r="E31">
            <v>1656</v>
          </cell>
          <cell r="R31">
            <v>2204</v>
          </cell>
        </row>
        <row r="32">
          <cell r="D32">
            <v>3</v>
          </cell>
          <cell r="E32">
            <v>1680</v>
          </cell>
          <cell r="R32">
            <v>2221</v>
          </cell>
        </row>
        <row r="33">
          <cell r="D33">
            <v>1</v>
          </cell>
          <cell r="E33">
            <v>1726</v>
          </cell>
          <cell r="R33">
            <v>2266</v>
          </cell>
        </row>
        <row r="34">
          <cell r="D34">
            <v>2</v>
          </cell>
          <cell r="E34">
            <v>1735</v>
          </cell>
          <cell r="R34">
            <v>2260</v>
          </cell>
        </row>
        <row r="35">
          <cell r="D35">
            <v>3</v>
          </cell>
          <cell r="E35">
            <v>1738</v>
          </cell>
          <cell r="R35">
            <v>2249</v>
          </cell>
        </row>
        <row r="36">
          <cell r="D36">
            <v>1</v>
          </cell>
          <cell r="E36">
            <v>1700</v>
          </cell>
          <cell r="R36">
            <v>2188</v>
          </cell>
        </row>
        <row r="37">
          <cell r="D37">
            <v>2</v>
          </cell>
          <cell r="E37">
            <v>1665</v>
          </cell>
          <cell r="R37">
            <v>2137</v>
          </cell>
        </row>
        <row r="38">
          <cell r="D38">
            <v>3</v>
          </cell>
          <cell r="E38">
            <v>1717</v>
          </cell>
          <cell r="R38">
            <v>2198</v>
          </cell>
        </row>
        <row r="39">
          <cell r="D39">
            <v>1</v>
          </cell>
          <cell r="E39">
            <v>1750</v>
          </cell>
          <cell r="R39">
            <v>2234</v>
          </cell>
        </row>
        <row r="40">
          <cell r="D40">
            <v>2</v>
          </cell>
          <cell r="E40">
            <v>1754</v>
          </cell>
          <cell r="R40">
            <v>2231</v>
          </cell>
        </row>
        <row r="41">
          <cell r="D41">
            <v>3</v>
          </cell>
          <cell r="E41">
            <v>1721</v>
          </cell>
          <cell r="R41">
            <v>2177</v>
          </cell>
        </row>
        <row r="42">
          <cell r="D42">
            <v>1</v>
          </cell>
          <cell r="E42">
            <v>1712</v>
          </cell>
          <cell r="R42">
            <v>2154</v>
          </cell>
        </row>
        <row r="43">
          <cell r="D43">
            <v>2</v>
          </cell>
          <cell r="E43">
            <v>1752</v>
          </cell>
          <cell r="R43">
            <v>2186</v>
          </cell>
        </row>
        <row r="44">
          <cell r="D44">
            <v>3</v>
          </cell>
          <cell r="E44">
            <v>1797</v>
          </cell>
          <cell r="R44">
            <v>2218</v>
          </cell>
        </row>
        <row r="45">
          <cell r="D45">
            <v>1</v>
          </cell>
          <cell r="E45">
            <v>1861</v>
          </cell>
          <cell r="R45">
            <v>2268</v>
          </cell>
        </row>
        <row r="46">
          <cell r="D46">
            <v>2</v>
          </cell>
          <cell r="E46">
            <v>1869</v>
          </cell>
          <cell r="R46">
            <v>2254</v>
          </cell>
        </row>
        <row r="47">
          <cell r="D47">
            <v>3</v>
          </cell>
          <cell r="E47">
            <v>1886</v>
          </cell>
          <cell r="R47">
            <v>2253</v>
          </cell>
        </row>
        <row r="48">
          <cell r="D48">
            <v>1</v>
          </cell>
          <cell r="E48">
            <v>1916</v>
          </cell>
          <cell r="R48">
            <v>2272</v>
          </cell>
        </row>
        <row r="49">
          <cell r="D49">
            <v>2</v>
          </cell>
          <cell r="E49">
            <v>1912</v>
          </cell>
          <cell r="R49">
            <v>2251</v>
          </cell>
        </row>
        <row r="50">
          <cell r="D50">
            <v>3</v>
          </cell>
          <cell r="E50">
            <v>1910</v>
          </cell>
          <cell r="R50">
            <v>2236</v>
          </cell>
        </row>
        <row r="51">
          <cell r="D51">
            <v>1</v>
          </cell>
          <cell r="E51">
            <v>1901</v>
          </cell>
          <cell r="R51">
            <v>2213</v>
          </cell>
        </row>
        <row r="52">
          <cell r="D52">
            <v>2</v>
          </cell>
          <cell r="E52">
            <v>1905</v>
          </cell>
          <cell r="R52">
            <v>2206</v>
          </cell>
        </row>
        <row r="53">
          <cell r="D53">
            <v>3</v>
          </cell>
          <cell r="E53">
            <v>1906</v>
          </cell>
          <cell r="R53">
            <v>2190</v>
          </cell>
        </row>
        <row r="54">
          <cell r="D54">
            <v>1</v>
          </cell>
          <cell r="E54">
            <v>1942</v>
          </cell>
          <cell r="R54">
            <v>2212</v>
          </cell>
        </row>
        <row r="55">
          <cell r="D55">
            <v>2</v>
          </cell>
          <cell r="E55">
            <v>1965</v>
          </cell>
          <cell r="R55">
            <v>2214</v>
          </cell>
        </row>
        <row r="56">
          <cell r="D56">
            <v>3</v>
          </cell>
          <cell r="E56">
            <v>1981</v>
          </cell>
          <cell r="R56">
            <v>2210</v>
          </cell>
        </row>
        <row r="57">
          <cell r="D57">
            <v>1</v>
          </cell>
          <cell r="E57">
            <v>1986</v>
          </cell>
          <cell r="R57">
            <v>2197</v>
          </cell>
        </row>
        <row r="58">
          <cell r="D58">
            <v>2</v>
          </cell>
          <cell r="E58">
            <v>1992</v>
          </cell>
          <cell r="R58">
            <v>2189</v>
          </cell>
        </row>
        <row r="59">
          <cell r="D59">
            <v>3</v>
          </cell>
          <cell r="E59">
            <v>2010</v>
          </cell>
          <cell r="R59">
            <v>2195</v>
          </cell>
        </row>
        <row r="60">
          <cell r="D60">
            <v>1</v>
          </cell>
          <cell r="E60">
            <v>1985</v>
          </cell>
          <cell r="R60">
            <v>2155</v>
          </cell>
        </row>
        <row r="61">
          <cell r="D61">
            <v>2</v>
          </cell>
          <cell r="E61">
            <v>2016</v>
          </cell>
          <cell r="R61">
            <v>2177</v>
          </cell>
        </row>
        <row r="62">
          <cell r="D62">
            <v>3</v>
          </cell>
          <cell r="E62">
            <v>2029</v>
          </cell>
          <cell r="R62">
            <v>2182</v>
          </cell>
        </row>
        <row r="63">
          <cell r="D63">
            <v>1</v>
          </cell>
          <cell r="E63">
            <v>2049</v>
          </cell>
          <cell r="R63">
            <v>2196</v>
          </cell>
        </row>
        <row r="64">
          <cell r="D64">
            <v>2</v>
          </cell>
          <cell r="E64">
            <v>2038</v>
          </cell>
          <cell r="R64">
            <v>2178</v>
          </cell>
        </row>
        <row r="65">
          <cell r="D65">
            <v>3</v>
          </cell>
          <cell r="E65">
            <v>2014</v>
          </cell>
          <cell r="R65">
            <v>2149</v>
          </cell>
        </row>
        <row r="66">
          <cell r="D66">
            <v>1</v>
          </cell>
          <cell r="E66">
            <v>1980</v>
          </cell>
          <cell r="R66">
            <v>2107</v>
          </cell>
        </row>
        <row r="67">
          <cell r="D67">
            <v>2</v>
          </cell>
          <cell r="E67">
            <v>2016</v>
          </cell>
          <cell r="R67">
            <v>2139</v>
          </cell>
        </row>
        <row r="68">
          <cell r="D68">
            <v>3</v>
          </cell>
          <cell r="E68">
            <v>2038</v>
          </cell>
          <cell r="R68">
            <v>2156</v>
          </cell>
        </row>
        <row r="69">
          <cell r="D69">
            <v>1</v>
          </cell>
          <cell r="E69">
            <v>2065</v>
          </cell>
          <cell r="R69">
            <v>2179</v>
          </cell>
        </row>
        <row r="70">
          <cell r="D70">
            <v>2</v>
          </cell>
          <cell r="E70">
            <v>2063</v>
          </cell>
          <cell r="R70">
            <v>2171</v>
          </cell>
        </row>
        <row r="71">
          <cell r="D71">
            <v>3</v>
          </cell>
          <cell r="E71">
            <v>2071</v>
          </cell>
          <cell r="R71">
            <v>2175</v>
          </cell>
        </row>
        <row r="72">
          <cell r="D72">
            <v>1</v>
          </cell>
          <cell r="E72">
            <v>2073</v>
          </cell>
          <cell r="R72">
            <v>2176</v>
          </cell>
        </row>
        <row r="73">
          <cell r="D73">
            <v>2</v>
          </cell>
          <cell r="E73">
            <v>2074</v>
          </cell>
          <cell r="R73">
            <v>2175</v>
          </cell>
        </row>
        <row r="74">
          <cell r="D74">
            <v>3</v>
          </cell>
          <cell r="E74">
            <v>2104</v>
          </cell>
          <cell r="R74">
            <v>2204</v>
          </cell>
        </row>
        <row r="75">
          <cell r="D75">
            <v>1</v>
          </cell>
          <cell r="E75">
            <v>2104</v>
          </cell>
          <cell r="R75">
            <v>2200</v>
          </cell>
        </row>
        <row r="76">
          <cell r="D76">
            <v>2</v>
          </cell>
          <cell r="E76">
            <v>2105</v>
          </cell>
          <cell r="R76">
            <v>2194</v>
          </cell>
        </row>
        <row r="77">
          <cell r="D77">
            <v>3</v>
          </cell>
          <cell r="E77">
            <v>2113</v>
          </cell>
          <cell r="R77">
            <v>2195</v>
          </cell>
        </row>
        <row r="78">
          <cell r="D78">
            <v>1</v>
          </cell>
          <cell r="E78">
            <v>2147</v>
          </cell>
          <cell r="R78">
            <v>2222</v>
          </cell>
        </row>
        <row r="79">
          <cell r="D79">
            <v>2</v>
          </cell>
          <cell r="E79">
            <v>2191</v>
          </cell>
          <cell r="R79">
            <v>2259</v>
          </cell>
        </row>
        <row r="80">
          <cell r="D80">
            <v>3</v>
          </cell>
          <cell r="E80">
            <v>2199</v>
          </cell>
          <cell r="R80">
            <v>2259</v>
          </cell>
        </row>
        <row r="81">
          <cell r="D81">
            <v>1</v>
          </cell>
          <cell r="E81">
            <v>2211</v>
          </cell>
          <cell r="R81">
            <v>2266</v>
          </cell>
        </row>
        <row r="82">
          <cell r="D82">
            <v>2</v>
          </cell>
          <cell r="E82">
            <v>2193</v>
          </cell>
          <cell r="R82">
            <v>2244</v>
          </cell>
        </row>
        <row r="83">
          <cell r="D83">
            <v>3</v>
          </cell>
          <cell r="E83">
            <v>2197</v>
          </cell>
          <cell r="R83">
            <v>2243</v>
          </cell>
        </row>
        <row r="84">
          <cell r="D84">
            <v>1</v>
          </cell>
          <cell r="E84">
            <v>2214</v>
          </cell>
          <cell r="R84">
            <v>2246</v>
          </cell>
        </row>
        <row r="85">
          <cell r="D85">
            <v>2</v>
          </cell>
          <cell r="E85">
            <v>2229</v>
          </cell>
          <cell r="R85">
            <v>2247</v>
          </cell>
        </row>
        <row r="86">
          <cell r="D86">
            <v>3</v>
          </cell>
          <cell r="E86">
            <v>2257</v>
          </cell>
          <cell r="R86">
            <v>2264</v>
          </cell>
        </row>
        <row r="87">
          <cell r="D87">
            <v>1</v>
          </cell>
          <cell r="E87">
            <v>2257</v>
          </cell>
          <cell r="R87">
            <v>2257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29" refreshError="1"/>
      <sheetData sheetId="13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1162</v>
          </cell>
          <cell r="R9">
            <v>1710</v>
          </cell>
        </row>
        <row r="10">
          <cell r="D10">
            <v>2</v>
          </cell>
          <cell r="E10">
            <v>1165</v>
          </cell>
          <cell r="R10">
            <v>1707</v>
          </cell>
        </row>
        <row r="11">
          <cell r="D11">
            <v>3</v>
          </cell>
          <cell r="E11">
            <v>1193</v>
          </cell>
          <cell r="R11">
            <v>1742</v>
          </cell>
        </row>
        <row r="12">
          <cell r="D12">
            <v>1</v>
          </cell>
          <cell r="E12">
            <v>1205</v>
          </cell>
          <cell r="R12">
            <v>1754</v>
          </cell>
        </row>
        <row r="13">
          <cell r="D13">
            <v>2</v>
          </cell>
          <cell r="E13">
            <v>1233</v>
          </cell>
          <cell r="R13">
            <v>1789</v>
          </cell>
        </row>
        <row r="14">
          <cell r="D14">
            <v>3</v>
          </cell>
          <cell r="E14">
            <v>1257</v>
          </cell>
          <cell r="R14">
            <v>1818</v>
          </cell>
        </row>
        <row r="15">
          <cell r="D15">
            <v>1</v>
          </cell>
          <cell r="E15">
            <v>1248</v>
          </cell>
          <cell r="R15">
            <v>1797</v>
          </cell>
        </row>
        <row r="16">
          <cell r="D16">
            <v>2</v>
          </cell>
          <cell r="E16">
            <v>1262</v>
          </cell>
          <cell r="R16">
            <v>1807</v>
          </cell>
        </row>
        <row r="17">
          <cell r="D17">
            <v>3</v>
          </cell>
          <cell r="E17">
            <v>1243</v>
          </cell>
          <cell r="R17">
            <v>1768</v>
          </cell>
        </row>
        <row r="18">
          <cell r="D18">
            <v>1</v>
          </cell>
          <cell r="E18">
            <v>1236</v>
          </cell>
          <cell r="R18">
            <v>1747</v>
          </cell>
        </row>
        <row r="19">
          <cell r="D19">
            <v>2</v>
          </cell>
          <cell r="E19">
            <v>1239</v>
          </cell>
          <cell r="R19">
            <v>1738</v>
          </cell>
        </row>
        <row r="20">
          <cell r="D20">
            <v>3</v>
          </cell>
          <cell r="E20">
            <v>1260</v>
          </cell>
          <cell r="R20">
            <v>1755</v>
          </cell>
        </row>
        <row r="21">
          <cell r="D21">
            <v>1</v>
          </cell>
          <cell r="E21">
            <v>1296</v>
          </cell>
          <cell r="R21">
            <v>1793</v>
          </cell>
        </row>
        <row r="22">
          <cell r="D22">
            <v>2</v>
          </cell>
          <cell r="E22">
            <v>1321</v>
          </cell>
          <cell r="R22">
            <v>1818</v>
          </cell>
        </row>
        <row r="23">
          <cell r="D23">
            <v>3</v>
          </cell>
          <cell r="E23">
            <v>1418</v>
          </cell>
          <cell r="R23">
            <v>1944</v>
          </cell>
        </row>
        <row r="24">
          <cell r="D24">
            <v>1</v>
          </cell>
          <cell r="E24">
            <v>1453</v>
          </cell>
          <cell r="R24">
            <v>1985</v>
          </cell>
        </row>
        <row r="25">
          <cell r="D25">
            <v>2</v>
          </cell>
          <cell r="E25">
            <v>1459</v>
          </cell>
          <cell r="R25">
            <v>1989</v>
          </cell>
        </row>
        <row r="26">
          <cell r="D26">
            <v>3</v>
          </cell>
          <cell r="E26">
            <v>1388</v>
          </cell>
          <cell r="R26">
            <v>1888</v>
          </cell>
        </row>
        <row r="27">
          <cell r="D27">
            <v>1</v>
          </cell>
          <cell r="E27">
            <v>1396</v>
          </cell>
          <cell r="R27">
            <v>1896</v>
          </cell>
        </row>
        <row r="28">
          <cell r="D28">
            <v>2</v>
          </cell>
          <cell r="E28">
            <v>1398</v>
          </cell>
          <cell r="R28">
            <v>1890</v>
          </cell>
        </row>
        <row r="29">
          <cell r="D29">
            <v>3</v>
          </cell>
          <cell r="E29">
            <v>1390</v>
          </cell>
          <cell r="R29">
            <v>1870</v>
          </cell>
        </row>
        <row r="30">
          <cell r="D30">
            <v>1</v>
          </cell>
          <cell r="E30">
            <v>1377</v>
          </cell>
          <cell r="R30">
            <v>1840</v>
          </cell>
        </row>
        <row r="31">
          <cell r="D31">
            <v>2</v>
          </cell>
          <cell r="E31">
            <v>1405</v>
          </cell>
          <cell r="R31">
            <v>1865</v>
          </cell>
        </row>
        <row r="32">
          <cell r="D32">
            <v>3</v>
          </cell>
          <cell r="E32">
            <v>1430</v>
          </cell>
          <cell r="R32">
            <v>1886</v>
          </cell>
        </row>
        <row r="33">
          <cell r="D33">
            <v>1</v>
          </cell>
          <cell r="E33">
            <v>1457</v>
          </cell>
          <cell r="R33">
            <v>1908</v>
          </cell>
        </row>
        <row r="34">
          <cell r="D34">
            <v>2</v>
          </cell>
          <cell r="E34">
            <v>1463</v>
          </cell>
          <cell r="R34">
            <v>1902</v>
          </cell>
        </row>
        <row r="35">
          <cell r="D35">
            <v>3</v>
          </cell>
          <cell r="E35">
            <v>1473</v>
          </cell>
          <cell r="R35">
            <v>1900</v>
          </cell>
        </row>
        <row r="36">
          <cell r="D36">
            <v>1</v>
          </cell>
          <cell r="E36">
            <v>1436</v>
          </cell>
          <cell r="R36">
            <v>1843</v>
          </cell>
        </row>
        <row r="37">
          <cell r="D37">
            <v>2</v>
          </cell>
          <cell r="E37">
            <v>1403</v>
          </cell>
          <cell r="R37">
            <v>1796</v>
          </cell>
        </row>
        <row r="38">
          <cell r="D38">
            <v>3</v>
          </cell>
          <cell r="E38">
            <v>1379</v>
          </cell>
          <cell r="R38">
            <v>1760</v>
          </cell>
        </row>
        <row r="39">
          <cell r="D39">
            <v>1</v>
          </cell>
          <cell r="E39">
            <v>1397</v>
          </cell>
          <cell r="R39">
            <v>1778</v>
          </cell>
        </row>
        <row r="40">
          <cell r="D40">
            <v>2</v>
          </cell>
          <cell r="E40">
            <v>1427</v>
          </cell>
          <cell r="R40">
            <v>1809</v>
          </cell>
        </row>
        <row r="41">
          <cell r="D41">
            <v>3</v>
          </cell>
          <cell r="E41">
            <v>1431</v>
          </cell>
          <cell r="R41">
            <v>1805</v>
          </cell>
        </row>
        <row r="42">
          <cell r="D42">
            <v>1</v>
          </cell>
          <cell r="E42">
            <v>1440</v>
          </cell>
          <cell r="R42">
            <v>1806</v>
          </cell>
        </row>
        <row r="43">
          <cell r="D43">
            <v>2</v>
          </cell>
          <cell r="E43">
            <v>1442</v>
          </cell>
          <cell r="R43">
            <v>1794</v>
          </cell>
        </row>
        <row r="44">
          <cell r="D44">
            <v>3</v>
          </cell>
          <cell r="E44">
            <v>1449</v>
          </cell>
          <cell r="R44">
            <v>1784</v>
          </cell>
        </row>
        <row r="45">
          <cell r="D45">
            <v>1</v>
          </cell>
          <cell r="E45">
            <v>1472</v>
          </cell>
          <cell r="R45">
            <v>1789</v>
          </cell>
        </row>
        <row r="46">
          <cell r="D46">
            <v>2</v>
          </cell>
          <cell r="E46">
            <v>1479</v>
          </cell>
          <cell r="R46">
            <v>1779</v>
          </cell>
        </row>
        <row r="47">
          <cell r="D47">
            <v>3</v>
          </cell>
          <cell r="E47">
            <v>1489</v>
          </cell>
          <cell r="R47">
            <v>1775</v>
          </cell>
        </row>
        <row r="48">
          <cell r="D48">
            <v>1</v>
          </cell>
          <cell r="E48">
            <v>1490</v>
          </cell>
          <cell r="R48">
            <v>1762</v>
          </cell>
        </row>
        <row r="49">
          <cell r="D49">
            <v>2</v>
          </cell>
          <cell r="E49">
            <v>1486</v>
          </cell>
          <cell r="R49">
            <v>1745</v>
          </cell>
        </row>
        <row r="50">
          <cell r="D50">
            <v>3</v>
          </cell>
          <cell r="E50">
            <v>1495</v>
          </cell>
          <cell r="R50">
            <v>1746</v>
          </cell>
        </row>
        <row r="51">
          <cell r="D51">
            <v>1</v>
          </cell>
          <cell r="E51">
            <v>1515</v>
          </cell>
          <cell r="R51">
            <v>1762</v>
          </cell>
        </row>
        <row r="52">
          <cell r="D52">
            <v>2</v>
          </cell>
          <cell r="E52">
            <v>1542</v>
          </cell>
          <cell r="R52">
            <v>1784</v>
          </cell>
        </row>
        <row r="53">
          <cell r="D53">
            <v>3</v>
          </cell>
          <cell r="E53">
            <v>1557</v>
          </cell>
          <cell r="R53">
            <v>1787</v>
          </cell>
        </row>
        <row r="54">
          <cell r="D54">
            <v>1</v>
          </cell>
          <cell r="E54">
            <v>1578</v>
          </cell>
          <cell r="R54">
            <v>1795</v>
          </cell>
        </row>
        <row r="55">
          <cell r="D55">
            <v>2</v>
          </cell>
          <cell r="E55">
            <v>1578</v>
          </cell>
          <cell r="R55">
            <v>1775</v>
          </cell>
        </row>
        <row r="56">
          <cell r="D56">
            <v>3</v>
          </cell>
          <cell r="E56">
            <v>1616</v>
          </cell>
          <cell r="R56">
            <v>1800</v>
          </cell>
        </row>
        <row r="57">
          <cell r="D57">
            <v>1</v>
          </cell>
          <cell r="E57">
            <v>1623</v>
          </cell>
          <cell r="R57">
            <v>1793</v>
          </cell>
        </row>
        <row r="58">
          <cell r="D58">
            <v>2</v>
          </cell>
          <cell r="E58">
            <v>1636</v>
          </cell>
          <cell r="R58">
            <v>1795</v>
          </cell>
        </row>
        <row r="59">
          <cell r="D59">
            <v>3</v>
          </cell>
          <cell r="E59">
            <v>1649</v>
          </cell>
          <cell r="R59">
            <v>1798</v>
          </cell>
        </row>
        <row r="60">
          <cell r="D60">
            <v>1</v>
          </cell>
          <cell r="E60">
            <v>1666</v>
          </cell>
          <cell r="R60">
            <v>1807</v>
          </cell>
        </row>
        <row r="61">
          <cell r="D61">
            <v>2</v>
          </cell>
          <cell r="E61">
            <v>1658</v>
          </cell>
          <cell r="R61">
            <v>1788</v>
          </cell>
        </row>
        <row r="62">
          <cell r="D62">
            <v>3</v>
          </cell>
          <cell r="E62">
            <v>1631</v>
          </cell>
          <cell r="R62">
            <v>1751</v>
          </cell>
        </row>
        <row r="63">
          <cell r="D63">
            <v>1</v>
          </cell>
          <cell r="E63">
            <v>1626</v>
          </cell>
          <cell r="R63">
            <v>1740</v>
          </cell>
        </row>
        <row r="64">
          <cell r="D64">
            <v>2</v>
          </cell>
          <cell r="E64">
            <v>1643</v>
          </cell>
          <cell r="R64">
            <v>1752</v>
          </cell>
        </row>
        <row r="65">
          <cell r="D65">
            <v>3</v>
          </cell>
          <cell r="E65">
            <v>1672</v>
          </cell>
          <cell r="R65">
            <v>1781</v>
          </cell>
        </row>
        <row r="66">
          <cell r="D66">
            <v>1</v>
          </cell>
          <cell r="E66">
            <v>1682</v>
          </cell>
          <cell r="R66">
            <v>1786</v>
          </cell>
        </row>
        <row r="67">
          <cell r="D67">
            <v>2</v>
          </cell>
          <cell r="E67">
            <v>1667</v>
          </cell>
          <cell r="R67">
            <v>1766</v>
          </cell>
        </row>
        <row r="68">
          <cell r="D68">
            <v>3</v>
          </cell>
          <cell r="E68">
            <v>1685</v>
          </cell>
          <cell r="R68">
            <v>1780</v>
          </cell>
        </row>
        <row r="69">
          <cell r="D69">
            <v>1</v>
          </cell>
          <cell r="E69">
            <v>1651</v>
          </cell>
          <cell r="R69">
            <v>1739</v>
          </cell>
        </row>
        <row r="70">
          <cell r="D70">
            <v>2</v>
          </cell>
          <cell r="E70">
            <v>1671</v>
          </cell>
          <cell r="R70">
            <v>1756</v>
          </cell>
        </row>
        <row r="71">
          <cell r="D71">
            <v>3</v>
          </cell>
          <cell r="E71">
            <v>1650</v>
          </cell>
          <cell r="R71">
            <v>1729</v>
          </cell>
        </row>
        <row r="72">
          <cell r="D72">
            <v>1</v>
          </cell>
          <cell r="E72">
            <v>1669</v>
          </cell>
          <cell r="R72">
            <v>1749</v>
          </cell>
        </row>
        <row r="73">
          <cell r="D73">
            <v>2</v>
          </cell>
          <cell r="E73">
            <v>1676</v>
          </cell>
          <cell r="R73">
            <v>1754</v>
          </cell>
        </row>
        <row r="74">
          <cell r="D74">
            <v>3</v>
          </cell>
          <cell r="E74">
            <v>1663</v>
          </cell>
          <cell r="R74">
            <v>1740</v>
          </cell>
        </row>
        <row r="75">
          <cell r="D75">
            <v>1</v>
          </cell>
          <cell r="E75">
            <v>1663</v>
          </cell>
          <cell r="R75">
            <v>1735</v>
          </cell>
        </row>
        <row r="76">
          <cell r="D76">
            <v>2</v>
          </cell>
          <cell r="E76">
            <v>1681</v>
          </cell>
          <cell r="R76">
            <v>1750</v>
          </cell>
        </row>
        <row r="77">
          <cell r="D77">
            <v>3</v>
          </cell>
          <cell r="E77">
            <v>1681</v>
          </cell>
          <cell r="R77">
            <v>1744</v>
          </cell>
        </row>
        <row r="78">
          <cell r="D78">
            <v>1</v>
          </cell>
          <cell r="E78">
            <v>1693</v>
          </cell>
          <cell r="R78">
            <v>1750</v>
          </cell>
        </row>
        <row r="79">
          <cell r="D79">
            <v>2</v>
          </cell>
          <cell r="E79">
            <v>1672</v>
          </cell>
          <cell r="R79">
            <v>1723</v>
          </cell>
        </row>
        <row r="80">
          <cell r="D80">
            <v>3</v>
          </cell>
          <cell r="E80">
            <v>1696</v>
          </cell>
          <cell r="R80">
            <v>1742</v>
          </cell>
        </row>
        <row r="81">
          <cell r="D81">
            <v>1</v>
          </cell>
          <cell r="E81">
            <v>1715</v>
          </cell>
          <cell r="R81">
            <v>1757</v>
          </cell>
        </row>
        <row r="82">
          <cell r="D82">
            <v>2</v>
          </cell>
          <cell r="E82">
            <v>1756</v>
          </cell>
          <cell r="R82">
            <v>1796</v>
          </cell>
        </row>
        <row r="83">
          <cell r="D83">
            <v>3</v>
          </cell>
          <cell r="E83">
            <v>1737</v>
          </cell>
          <cell r="R83">
            <v>1772</v>
          </cell>
        </row>
        <row r="84">
          <cell r="D84">
            <v>1</v>
          </cell>
          <cell r="E84">
            <v>1710</v>
          </cell>
          <cell r="R84">
            <v>1734</v>
          </cell>
        </row>
        <row r="85">
          <cell r="D85">
            <v>2</v>
          </cell>
          <cell r="E85">
            <v>1695</v>
          </cell>
          <cell r="R85">
            <v>1707</v>
          </cell>
        </row>
        <row r="86">
          <cell r="D86">
            <v>3</v>
          </cell>
          <cell r="E86">
            <v>1714</v>
          </cell>
          <cell r="R86">
            <v>1718</v>
          </cell>
        </row>
        <row r="87">
          <cell r="D87">
            <v>1</v>
          </cell>
          <cell r="E87">
            <v>1732</v>
          </cell>
          <cell r="R87">
            <v>1732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31" refreshError="1"/>
      <sheetData sheetId="13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1243</v>
          </cell>
          <cell r="R9">
            <v>1831</v>
          </cell>
        </row>
        <row r="10">
          <cell r="D10">
            <v>2</v>
          </cell>
          <cell r="E10">
            <v>1255</v>
          </cell>
          <cell r="R10">
            <v>1841</v>
          </cell>
        </row>
        <row r="11">
          <cell r="D11">
            <v>3</v>
          </cell>
          <cell r="E11">
            <v>1247</v>
          </cell>
          <cell r="R11">
            <v>1822</v>
          </cell>
        </row>
        <row r="12">
          <cell r="D12">
            <v>1</v>
          </cell>
          <cell r="E12">
            <v>1248</v>
          </cell>
          <cell r="R12">
            <v>1817</v>
          </cell>
        </row>
        <row r="13">
          <cell r="D13">
            <v>2</v>
          </cell>
          <cell r="E13">
            <v>1268</v>
          </cell>
          <cell r="R13">
            <v>1842</v>
          </cell>
        </row>
        <row r="14">
          <cell r="D14">
            <v>3</v>
          </cell>
          <cell r="E14">
            <v>1271</v>
          </cell>
          <cell r="R14">
            <v>1840</v>
          </cell>
        </row>
        <row r="15">
          <cell r="D15">
            <v>1</v>
          </cell>
          <cell r="E15">
            <v>1287</v>
          </cell>
          <cell r="R15">
            <v>1854</v>
          </cell>
        </row>
        <row r="16">
          <cell r="D16">
            <v>2</v>
          </cell>
          <cell r="E16">
            <v>1284</v>
          </cell>
          <cell r="R16">
            <v>1841</v>
          </cell>
        </row>
        <row r="17">
          <cell r="D17">
            <v>3</v>
          </cell>
          <cell r="E17">
            <v>1293</v>
          </cell>
          <cell r="R17">
            <v>1843</v>
          </cell>
        </row>
        <row r="18">
          <cell r="D18">
            <v>1</v>
          </cell>
          <cell r="E18">
            <v>1293</v>
          </cell>
          <cell r="R18">
            <v>1829</v>
          </cell>
        </row>
        <row r="19">
          <cell r="D19">
            <v>2</v>
          </cell>
          <cell r="E19">
            <v>1306</v>
          </cell>
          <cell r="R19">
            <v>1834</v>
          </cell>
        </row>
        <row r="20">
          <cell r="D20">
            <v>3</v>
          </cell>
          <cell r="E20">
            <v>1329</v>
          </cell>
          <cell r="R20">
            <v>1853</v>
          </cell>
        </row>
        <row r="21">
          <cell r="D21">
            <v>1</v>
          </cell>
          <cell r="E21">
            <v>1336</v>
          </cell>
          <cell r="R21">
            <v>1849</v>
          </cell>
        </row>
        <row r="22">
          <cell r="D22">
            <v>2</v>
          </cell>
          <cell r="E22">
            <v>1343</v>
          </cell>
          <cell r="R22">
            <v>1849</v>
          </cell>
        </row>
        <row r="23">
          <cell r="D23">
            <v>3</v>
          </cell>
          <cell r="E23">
            <v>1360</v>
          </cell>
          <cell r="R23">
            <v>1864</v>
          </cell>
        </row>
        <row r="24">
          <cell r="D24">
            <v>1</v>
          </cell>
          <cell r="E24">
            <v>1376</v>
          </cell>
          <cell r="R24">
            <v>1880</v>
          </cell>
        </row>
        <row r="25">
          <cell r="D25">
            <v>2</v>
          </cell>
          <cell r="E25">
            <v>1390</v>
          </cell>
          <cell r="R25">
            <v>1895</v>
          </cell>
        </row>
        <row r="26">
          <cell r="D26">
            <v>3</v>
          </cell>
          <cell r="E26">
            <v>1405</v>
          </cell>
          <cell r="R26">
            <v>1912</v>
          </cell>
        </row>
        <row r="27">
          <cell r="D27">
            <v>1</v>
          </cell>
          <cell r="E27">
            <v>1401</v>
          </cell>
          <cell r="R27">
            <v>1903</v>
          </cell>
        </row>
        <row r="28">
          <cell r="D28">
            <v>2</v>
          </cell>
          <cell r="E28">
            <v>1418</v>
          </cell>
          <cell r="R28">
            <v>1918</v>
          </cell>
        </row>
        <row r="29">
          <cell r="D29">
            <v>3</v>
          </cell>
          <cell r="E29">
            <v>1412</v>
          </cell>
          <cell r="R29">
            <v>1900</v>
          </cell>
        </row>
        <row r="30">
          <cell r="D30">
            <v>1</v>
          </cell>
          <cell r="E30">
            <v>1416</v>
          </cell>
          <cell r="R30">
            <v>1894</v>
          </cell>
        </row>
        <row r="31">
          <cell r="D31">
            <v>2</v>
          </cell>
          <cell r="E31">
            <v>1409</v>
          </cell>
          <cell r="R31">
            <v>1872</v>
          </cell>
        </row>
        <row r="32">
          <cell r="D32">
            <v>3</v>
          </cell>
          <cell r="E32">
            <v>1421</v>
          </cell>
          <cell r="R32">
            <v>1874</v>
          </cell>
        </row>
        <row r="33">
          <cell r="D33">
            <v>1</v>
          </cell>
          <cell r="E33">
            <v>1438</v>
          </cell>
          <cell r="R33">
            <v>1884</v>
          </cell>
        </row>
        <row r="34">
          <cell r="D34">
            <v>2</v>
          </cell>
          <cell r="E34">
            <v>1451</v>
          </cell>
          <cell r="R34">
            <v>1887</v>
          </cell>
        </row>
        <row r="35">
          <cell r="D35">
            <v>3</v>
          </cell>
          <cell r="E35">
            <v>1448</v>
          </cell>
          <cell r="R35">
            <v>1870</v>
          </cell>
        </row>
        <row r="36">
          <cell r="D36">
            <v>1</v>
          </cell>
          <cell r="E36">
            <v>1431</v>
          </cell>
          <cell r="R36">
            <v>1838</v>
          </cell>
        </row>
        <row r="37">
          <cell r="D37">
            <v>2</v>
          </cell>
          <cell r="E37">
            <v>1411</v>
          </cell>
          <cell r="R37">
            <v>1806</v>
          </cell>
        </row>
        <row r="38">
          <cell r="D38">
            <v>3</v>
          </cell>
          <cell r="E38">
            <v>1416</v>
          </cell>
          <cell r="R38">
            <v>1809</v>
          </cell>
        </row>
        <row r="39">
          <cell r="D39">
            <v>1</v>
          </cell>
          <cell r="E39">
            <v>1442</v>
          </cell>
          <cell r="R39">
            <v>1837</v>
          </cell>
        </row>
        <row r="40">
          <cell r="D40">
            <v>2</v>
          </cell>
          <cell r="E40">
            <v>1466</v>
          </cell>
          <cell r="R40">
            <v>1860</v>
          </cell>
        </row>
        <row r="41">
          <cell r="D41">
            <v>3</v>
          </cell>
          <cell r="E41">
            <v>1479</v>
          </cell>
          <cell r="R41">
            <v>1868</v>
          </cell>
        </row>
        <row r="42">
          <cell r="D42">
            <v>1</v>
          </cell>
          <cell r="E42">
            <v>1493</v>
          </cell>
          <cell r="R42">
            <v>1875</v>
          </cell>
        </row>
        <row r="43">
          <cell r="D43">
            <v>2</v>
          </cell>
          <cell r="E43">
            <v>1503</v>
          </cell>
          <cell r="R43">
            <v>1871</v>
          </cell>
        </row>
        <row r="44">
          <cell r="D44">
            <v>3</v>
          </cell>
          <cell r="E44">
            <v>1522</v>
          </cell>
          <cell r="R44">
            <v>1875</v>
          </cell>
        </row>
        <row r="45">
          <cell r="D45">
            <v>1</v>
          </cell>
          <cell r="E45">
            <v>1551</v>
          </cell>
          <cell r="R45">
            <v>1887</v>
          </cell>
        </row>
        <row r="46">
          <cell r="D46">
            <v>2</v>
          </cell>
          <cell r="E46">
            <v>1556</v>
          </cell>
          <cell r="R46">
            <v>1872</v>
          </cell>
        </row>
        <row r="47">
          <cell r="D47">
            <v>3</v>
          </cell>
          <cell r="E47">
            <v>1551</v>
          </cell>
          <cell r="R47">
            <v>1850</v>
          </cell>
        </row>
        <row r="48">
          <cell r="D48">
            <v>1</v>
          </cell>
          <cell r="E48">
            <v>1551</v>
          </cell>
          <cell r="R48">
            <v>1836</v>
          </cell>
        </row>
        <row r="49">
          <cell r="D49">
            <v>2</v>
          </cell>
          <cell r="E49">
            <v>1567</v>
          </cell>
          <cell r="R49">
            <v>1841</v>
          </cell>
        </row>
        <row r="50">
          <cell r="D50">
            <v>3</v>
          </cell>
          <cell r="E50">
            <v>1563</v>
          </cell>
          <cell r="R50">
            <v>1827</v>
          </cell>
        </row>
        <row r="51">
          <cell r="D51">
            <v>1</v>
          </cell>
          <cell r="E51">
            <v>1564</v>
          </cell>
          <cell r="R51">
            <v>1820</v>
          </cell>
        </row>
        <row r="52">
          <cell r="D52">
            <v>2</v>
          </cell>
          <cell r="E52">
            <v>1559</v>
          </cell>
          <cell r="R52">
            <v>1804</v>
          </cell>
        </row>
        <row r="53">
          <cell r="D53">
            <v>3</v>
          </cell>
          <cell r="E53">
            <v>1558</v>
          </cell>
          <cell r="R53">
            <v>1789</v>
          </cell>
        </row>
        <row r="54">
          <cell r="D54">
            <v>1</v>
          </cell>
          <cell r="E54">
            <v>1557</v>
          </cell>
          <cell r="R54">
            <v>1771</v>
          </cell>
        </row>
        <row r="55">
          <cell r="D55">
            <v>2</v>
          </cell>
          <cell r="E55">
            <v>1576</v>
          </cell>
          <cell r="R55">
            <v>1773</v>
          </cell>
        </row>
        <row r="56">
          <cell r="D56">
            <v>3</v>
          </cell>
          <cell r="E56">
            <v>1590</v>
          </cell>
          <cell r="R56">
            <v>1770</v>
          </cell>
        </row>
        <row r="57">
          <cell r="D57">
            <v>1</v>
          </cell>
          <cell r="E57">
            <v>1618</v>
          </cell>
          <cell r="R57">
            <v>1787</v>
          </cell>
        </row>
        <row r="58">
          <cell r="D58">
            <v>2</v>
          </cell>
          <cell r="E58">
            <v>1625</v>
          </cell>
          <cell r="R58">
            <v>1782</v>
          </cell>
        </row>
        <row r="59">
          <cell r="D59">
            <v>3</v>
          </cell>
          <cell r="E59">
            <v>1630</v>
          </cell>
          <cell r="R59">
            <v>1777</v>
          </cell>
        </row>
        <row r="60">
          <cell r="D60">
            <v>1</v>
          </cell>
          <cell r="E60">
            <v>1632</v>
          </cell>
          <cell r="R60">
            <v>1769</v>
          </cell>
        </row>
        <row r="61">
          <cell r="D61">
            <v>2</v>
          </cell>
          <cell r="E61">
            <v>1621</v>
          </cell>
          <cell r="R61">
            <v>1747</v>
          </cell>
        </row>
        <row r="62">
          <cell r="D62">
            <v>3</v>
          </cell>
          <cell r="E62">
            <v>1664</v>
          </cell>
          <cell r="R62">
            <v>1786</v>
          </cell>
        </row>
        <row r="63">
          <cell r="D63">
            <v>1</v>
          </cell>
          <cell r="E63">
            <v>1675</v>
          </cell>
          <cell r="R63">
            <v>1792</v>
          </cell>
        </row>
        <row r="64">
          <cell r="D64">
            <v>2</v>
          </cell>
          <cell r="E64">
            <v>1694</v>
          </cell>
          <cell r="R64">
            <v>1807</v>
          </cell>
        </row>
        <row r="65">
          <cell r="D65">
            <v>3</v>
          </cell>
          <cell r="E65">
            <v>1683</v>
          </cell>
          <cell r="R65">
            <v>1793</v>
          </cell>
        </row>
        <row r="66">
          <cell r="D66">
            <v>1</v>
          </cell>
          <cell r="E66">
            <v>1695</v>
          </cell>
          <cell r="R66">
            <v>1801</v>
          </cell>
        </row>
        <row r="67">
          <cell r="D67">
            <v>2</v>
          </cell>
          <cell r="E67">
            <v>1695</v>
          </cell>
          <cell r="R67">
            <v>1796</v>
          </cell>
        </row>
        <row r="68">
          <cell r="D68">
            <v>3</v>
          </cell>
          <cell r="E68">
            <v>1715</v>
          </cell>
          <cell r="R68">
            <v>1811</v>
          </cell>
        </row>
        <row r="69">
          <cell r="D69">
            <v>1</v>
          </cell>
          <cell r="E69">
            <v>1724</v>
          </cell>
          <cell r="R69">
            <v>1815</v>
          </cell>
        </row>
        <row r="70">
          <cell r="D70">
            <v>2</v>
          </cell>
          <cell r="E70">
            <v>1730</v>
          </cell>
          <cell r="R70">
            <v>1817</v>
          </cell>
        </row>
        <row r="71">
          <cell r="D71">
            <v>3</v>
          </cell>
          <cell r="E71">
            <v>1716</v>
          </cell>
          <cell r="R71">
            <v>1798</v>
          </cell>
        </row>
        <row r="72">
          <cell r="D72">
            <v>1</v>
          </cell>
          <cell r="E72">
            <v>1707</v>
          </cell>
          <cell r="R72">
            <v>1787</v>
          </cell>
        </row>
        <row r="73">
          <cell r="D73">
            <v>2</v>
          </cell>
          <cell r="E73">
            <v>1707</v>
          </cell>
          <cell r="R73">
            <v>1785</v>
          </cell>
        </row>
        <row r="74">
          <cell r="D74">
            <v>3</v>
          </cell>
          <cell r="E74">
            <v>1697</v>
          </cell>
          <cell r="R74">
            <v>1774</v>
          </cell>
        </row>
        <row r="75">
          <cell r="D75">
            <v>1</v>
          </cell>
          <cell r="E75">
            <v>1713</v>
          </cell>
          <cell r="R75">
            <v>1787</v>
          </cell>
        </row>
        <row r="76">
          <cell r="D76">
            <v>2</v>
          </cell>
          <cell r="E76">
            <v>1723</v>
          </cell>
          <cell r="R76">
            <v>1793</v>
          </cell>
        </row>
        <row r="77">
          <cell r="D77">
            <v>3</v>
          </cell>
          <cell r="E77">
            <v>1720</v>
          </cell>
          <cell r="R77">
            <v>1784</v>
          </cell>
        </row>
        <row r="78">
          <cell r="D78">
            <v>1</v>
          </cell>
          <cell r="E78">
            <v>1741</v>
          </cell>
          <cell r="R78">
            <v>1799</v>
          </cell>
        </row>
        <row r="79">
          <cell r="D79">
            <v>2</v>
          </cell>
          <cell r="E79">
            <v>1742</v>
          </cell>
          <cell r="R79">
            <v>1795</v>
          </cell>
        </row>
        <row r="80">
          <cell r="D80">
            <v>3</v>
          </cell>
          <cell r="E80">
            <v>1761</v>
          </cell>
          <cell r="R80">
            <v>1808</v>
          </cell>
        </row>
        <row r="81">
          <cell r="D81">
            <v>1</v>
          </cell>
          <cell r="E81">
            <v>1726</v>
          </cell>
          <cell r="R81">
            <v>1768</v>
          </cell>
        </row>
        <row r="82">
          <cell r="D82">
            <v>2</v>
          </cell>
          <cell r="E82">
            <v>1734</v>
          </cell>
          <cell r="R82">
            <v>1773</v>
          </cell>
        </row>
        <row r="83">
          <cell r="D83">
            <v>3</v>
          </cell>
          <cell r="E83">
            <v>1732</v>
          </cell>
          <cell r="R83">
            <v>1767</v>
          </cell>
        </row>
        <row r="84">
          <cell r="D84">
            <v>1</v>
          </cell>
          <cell r="E84">
            <v>1747</v>
          </cell>
          <cell r="R84">
            <v>1771</v>
          </cell>
        </row>
        <row r="85">
          <cell r="D85">
            <v>2</v>
          </cell>
          <cell r="E85">
            <v>1763</v>
          </cell>
          <cell r="R85">
            <v>1775</v>
          </cell>
        </row>
        <row r="86">
          <cell r="D86">
            <v>3</v>
          </cell>
          <cell r="E86">
            <v>1797</v>
          </cell>
          <cell r="R86">
            <v>1801</v>
          </cell>
        </row>
        <row r="87">
          <cell r="D87">
            <v>1</v>
          </cell>
          <cell r="E87">
            <v>1788</v>
          </cell>
          <cell r="R87">
            <v>1788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33" refreshError="1"/>
      <sheetData sheetId="13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1532</v>
          </cell>
          <cell r="R9">
            <v>2259</v>
          </cell>
        </row>
        <row r="10">
          <cell r="D10">
            <v>2</v>
          </cell>
          <cell r="E10">
            <v>1566</v>
          </cell>
          <cell r="R10">
            <v>2299</v>
          </cell>
        </row>
        <row r="11">
          <cell r="D11">
            <v>3</v>
          </cell>
          <cell r="E11">
            <v>1558</v>
          </cell>
          <cell r="R11">
            <v>2279</v>
          </cell>
        </row>
        <row r="12">
          <cell r="D12">
            <v>1</v>
          </cell>
          <cell r="E12">
            <v>1558</v>
          </cell>
          <cell r="R12">
            <v>2270</v>
          </cell>
        </row>
        <row r="13">
          <cell r="D13">
            <v>2</v>
          </cell>
          <cell r="E13">
            <v>1542</v>
          </cell>
          <cell r="R13">
            <v>2240</v>
          </cell>
        </row>
        <row r="14">
          <cell r="D14">
            <v>3</v>
          </cell>
          <cell r="E14">
            <v>1546</v>
          </cell>
          <cell r="R14">
            <v>2240</v>
          </cell>
        </row>
        <row r="15">
          <cell r="D15">
            <v>1</v>
          </cell>
          <cell r="E15">
            <v>1536</v>
          </cell>
          <cell r="R15">
            <v>2215</v>
          </cell>
        </row>
        <row r="16">
          <cell r="D16">
            <v>2</v>
          </cell>
          <cell r="E16">
            <v>1552</v>
          </cell>
          <cell r="R16">
            <v>2227</v>
          </cell>
        </row>
        <row r="17">
          <cell r="D17">
            <v>3</v>
          </cell>
          <cell r="E17">
            <v>1561</v>
          </cell>
          <cell r="R17">
            <v>2227</v>
          </cell>
        </row>
        <row r="18">
          <cell r="D18">
            <v>1</v>
          </cell>
          <cell r="E18">
            <v>1583</v>
          </cell>
          <cell r="R18">
            <v>2243</v>
          </cell>
        </row>
        <row r="19">
          <cell r="D19">
            <v>2</v>
          </cell>
          <cell r="E19">
            <v>1587</v>
          </cell>
          <cell r="R19">
            <v>2232</v>
          </cell>
        </row>
        <row r="20">
          <cell r="D20">
            <v>3</v>
          </cell>
          <cell r="E20">
            <v>1596</v>
          </cell>
          <cell r="R20">
            <v>2227</v>
          </cell>
        </row>
        <row r="21">
          <cell r="D21">
            <v>1</v>
          </cell>
          <cell r="E21">
            <v>1587</v>
          </cell>
          <cell r="R21">
            <v>2201</v>
          </cell>
        </row>
        <row r="22">
          <cell r="D22">
            <v>2</v>
          </cell>
          <cell r="E22">
            <v>1599</v>
          </cell>
          <cell r="R22">
            <v>2206</v>
          </cell>
        </row>
        <row r="23">
          <cell r="D23">
            <v>3</v>
          </cell>
          <cell r="E23">
            <v>1642</v>
          </cell>
          <cell r="R23">
            <v>2255</v>
          </cell>
        </row>
        <row r="24">
          <cell r="D24">
            <v>1</v>
          </cell>
          <cell r="E24">
            <v>1681</v>
          </cell>
          <cell r="R24">
            <v>2300</v>
          </cell>
        </row>
        <row r="25">
          <cell r="D25">
            <v>2</v>
          </cell>
          <cell r="E25">
            <v>1712</v>
          </cell>
          <cell r="R25">
            <v>2338</v>
          </cell>
        </row>
        <row r="26">
          <cell r="D26">
            <v>3</v>
          </cell>
          <cell r="E26">
            <v>1718</v>
          </cell>
          <cell r="R26">
            <v>2342</v>
          </cell>
        </row>
        <row r="27">
          <cell r="D27">
            <v>1</v>
          </cell>
          <cell r="E27">
            <v>1729</v>
          </cell>
          <cell r="R27">
            <v>2352</v>
          </cell>
        </row>
        <row r="28">
          <cell r="D28">
            <v>2</v>
          </cell>
          <cell r="E28">
            <v>1732</v>
          </cell>
          <cell r="R28">
            <v>2346</v>
          </cell>
        </row>
        <row r="29">
          <cell r="D29">
            <v>3</v>
          </cell>
          <cell r="E29">
            <v>1717</v>
          </cell>
          <cell r="R29">
            <v>2314</v>
          </cell>
        </row>
        <row r="30">
          <cell r="D30">
            <v>1</v>
          </cell>
          <cell r="E30">
            <v>1703</v>
          </cell>
          <cell r="R30">
            <v>2280</v>
          </cell>
        </row>
        <row r="31">
          <cell r="D31">
            <v>2</v>
          </cell>
          <cell r="E31">
            <v>1702</v>
          </cell>
          <cell r="R31">
            <v>2264</v>
          </cell>
        </row>
        <row r="32">
          <cell r="D32">
            <v>3</v>
          </cell>
          <cell r="E32">
            <v>1735</v>
          </cell>
          <cell r="R32">
            <v>2291</v>
          </cell>
        </row>
        <row r="33">
          <cell r="D33">
            <v>1</v>
          </cell>
          <cell r="E33">
            <v>1783</v>
          </cell>
          <cell r="R33">
            <v>2338</v>
          </cell>
        </row>
        <row r="34">
          <cell r="D34">
            <v>2</v>
          </cell>
          <cell r="E34">
            <v>1796</v>
          </cell>
          <cell r="R34">
            <v>2336</v>
          </cell>
        </row>
        <row r="35">
          <cell r="D35">
            <v>3</v>
          </cell>
          <cell r="E35">
            <v>1820</v>
          </cell>
          <cell r="R35">
            <v>2352</v>
          </cell>
        </row>
        <row r="36">
          <cell r="D36">
            <v>1</v>
          </cell>
          <cell r="E36">
            <v>1783</v>
          </cell>
          <cell r="R36">
            <v>2292</v>
          </cell>
        </row>
        <row r="37">
          <cell r="D37">
            <v>2</v>
          </cell>
          <cell r="E37">
            <v>1780</v>
          </cell>
          <cell r="R37">
            <v>2281</v>
          </cell>
        </row>
        <row r="38">
          <cell r="D38">
            <v>3</v>
          </cell>
          <cell r="E38">
            <v>1760</v>
          </cell>
          <cell r="R38">
            <v>2251</v>
          </cell>
        </row>
        <row r="39">
          <cell r="D39">
            <v>1</v>
          </cell>
          <cell r="E39">
            <v>1792</v>
          </cell>
          <cell r="R39">
            <v>2285</v>
          </cell>
        </row>
        <row r="40">
          <cell r="D40">
            <v>2</v>
          </cell>
          <cell r="E40">
            <v>1817</v>
          </cell>
          <cell r="R40">
            <v>2307</v>
          </cell>
        </row>
        <row r="41">
          <cell r="D41">
            <v>3</v>
          </cell>
          <cell r="E41">
            <v>1841</v>
          </cell>
          <cell r="R41">
            <v>2326</v>
          </cell>
        </row>
        <row r="42">
          <cell r="D42">
            <v>1</v>
          </cell>
          <cell r="E42">
            <v>1890</v>
          </cell>
          <cell r="R42">
            <v>2375</v>
          </cell>
        </row>
        <row r="43">
          <cell r="D43">
            <v>2</v>
          </cell>
          <cell r="E43">
            <v>1915</v>
          </cell>
          <cell r="R43">
            <v>2386</v>
          </cell>
        </row>
        <row r="44">
          <cell r="D44">
            <v>3</v>
          </cell>
          <cell r="E44">
            <v>1900</v>
          </cell>
          <cell r="R44">
            <v>2341</v>
          </cell>
        </row>
        <row r="45">
          <cell r="D45">
            <v>1</v>
          </cell>
          <cell r="E45">
            <v>1890</v>
          </cell>
          <cell r="R45">
            <v>2300</v>
          </cell>
        </row>
        <row r="46">
          <cell r="D46">
            <v>2</v>
          </cell>
          <cell r="E46">
            <v>1895</v>
          </cell>
          <cell r="R46">
            <v>2282</v>
          </cell>
        </row>
        <row r="47">
          <cell r="D47">
            <v>3</v>
          </cell>
          <cell r="E47">
            <v>1901</v>
          </cell>
          <cell r="R47">
            <v>2267</v>
          </cell>
        </row>
        <row r="48">
          <cell r="D48">
            <v>1</v>
          </cell>
          <cell r="E48">
            <v>1905</v>
          </cell>
          <cell r="R48">
            <v>2256</v>
          </cell>
        </row>
        <row r="49">
          <cell r="D49">
            <v>2</v>
          </cell>
          <cell r="E49">
            <v>1910</v>
          </cell>
          <cell r="R49">
            <v>2245</v>
          </cell>
        </row>
        <row r="50">
          <cell r="D50">
            <v>3</v>
          </cell>
          <cell r="E50">
            <v>1927</v>
          </cell>
          <cell r="R50">
            <v>2253</v>
          </cell>
        </row>
        <row r="51">
          <cell r="D51">
            <v>1</v>
          </cell>
          <cell r="E51">
            <v>1932</v>
          </cell>
          <cell r="R51">
            <v>2248</v>
          </cell>
        </row>
        <row r="52">
          <cell r="D52">
            <v>2</v>
          </cell>
          <cell r="E52">
            <v>1947</v>
          </cell>
          <cell r="R52">
            <v>2254</v>
          </cell>
        </row>
        <row r="53">
          <cell r="D53">
            <v>3</v>
          </cell>
          <cell r="E53">
            <v>1935</v>
          </cell>
          <cell r="R53">
            <v>2223</v>
          </cell>
        </row>
        <row r="54">
          <cell r="D54">
            <v>1</v>
          </cell>
          <cell r="E54">
            <v>1958</v>
          </cell>
          <cell r="R54">
            <v>2229</v>
          </cell>
        </row>
        <row r="55">
          <cell r="D55">
            <v>2</v>
          </cell>
          <cell r="E55">
            <v>1961</v>
          </cell>
          <cell r="R55">
            <v>2208</v>
          </cell>
        </row>
        <row r="56">
          <cell r="D56">
            <v>3</v>
          </cell>
          <cell r="E56">
            <v>1970</v>
          </cell>
          <cell r="R56">
            <v>2196</v>
          </cell>
        </row>
        <row r="57">
          <cell r="D57">
            <v>1</v>
          </cell>
          <cell r="E57">
            <v>1997</v>
          </cell>
          <cell r="R57">
            <v>2206</v>
          </cell>
        </row>
        <row r="58">
          <cell r="D58">
            <v>2</v>
          </cell>
          <cell r="E58">
            <v>1981</v>
          </cell>
          <cell r="R58">
            <v>2175</v>
          </cell>
        </row>
        <row r="59">
          <cell r="D59">
            <v>3</v>
          </cell>
          <cell r="E59">
            <v>2009</v>
          </cell>
          <cell r="R59">
            <v>2192</v>
          </cell>
        </row>
        <row r="60">
          <cell r="D60">
            <v>1</v>
          </cell>
          <cell r="E60">
            <v>2016</v>
          </cell>
          <cell r="R60">
            <v>2187</v>
          </cell>
        </row>
        <row r="61">
          <cell r="D61">
            <v>2</v>
          </cell>
          <cell r="E61">
            <v>2027</v>
          </cell>
          <cell r="R61">
            <v>2188</v>
          </cell>
        </row>
        <row r="62">
          <cell r="D62">
            <v>3</v>
          </cell>
          <cell r="E62">
            <v>2030</v>
          </cell>
          <cell r="R62">
            <v>2181</v>
          </cell>
        </row>
        <row r="63">
          <cell r="D63">
            <v>1</v>
          </cell>
          <cell r="E63">
            <v>2045</v>
          </cell>
          <cell r="R63">
            <v>2189</v>
          </cell>
        </row>
        <row r="64">
          <cell r="D64">
            <v>2</v>
          </cell>
          <cell r="E64">
            <v>2017</v>
          </cell>
          <cell r="R64">
            <v>2154</v>
          </cell>
        </row>
        <row r="65">
          <cell r="D65">
            <v>3</v>
          </cell>
          <cell r="E65">
            <v>2016</v>
          </cell>
          <cell r="R65">
            <v>2150</v>
          </cell>
        </row>
        <row r="66">
          <cell r="D66">
            <v>1</v>
          </cell>
          <cell r="E66">
            <v>2392</v>
          </cell>
          <cell r="R66">
            <v>2548</v>
          </cell>
        </row>
        <row r="67">
          <cell r="D67">
            <v>2</v>
          </cell>
          <cell r="E67">
            <v>2389</v>
          </cell>
          <cell r="R67">
            <v>2537</v>
          </cell>
        </row>
        <row r="68">
          <cell r="D68">
            <v>3</v>
          </cell>
          <cell r="E68">
            <v>2389</v>
          </cell>
          <cell r="R68">
            <v>2529</v>
          </cell>
        </row>
        <row r="69">
          <cell r="D69">
            <v>1</v>
          </cell>
          <cell r="E69">
            <v>2332</v>
          </cell>
          <cell r="R69">
            <v>2460</v>
          </cell>
        </row>
        <row r="70">
          <cell r="D70">
            <v>2</v>
          </cell>
          <cell r="E70">
            <v>2354</v>
          </cell>
          <cell r="R70">
            <v>2478</v>
          </cell>
        </row>
        <row r="71">
          <cell r="D71">
            <v>3</v>
          </cell>
          <cell r="E71">
            <v>2364</v>
          </cell>
          <cell r="R71">
            <v>2482</v>
          </cell>
        </row>
        <row r="72">
          <cell r="D72">
            <v>1</v>
          </cell>
          <cell r="E72">
            <v>2401</v>
          </cell>
          <cell r="R72">
            <v>2518</v>
          </cell>
        </row>
        <row r="73">
          <cell r="D73">
            <v>2</v>
          </cell>
          <cell r="E73">
            <v>2398</v>
          </cell>
          <cell r="R73">
            <v>2513</v>
          </cell>
        </row>
        <row r="74">
          <cell r="D74">
            <v>3</v>
          </cell>
          <cell r="E74">
            <v>2406</v>
          </cell>
          <cell r="R74">
            <v>2520</v>
          </cell>
        </row>
        <row r="75">
          <cell r="D75">
            <v>1</v>
          </cell>
          <cell r="E75">
            <v>2303</v>
          </cell>
          <cell r="R75">
            <v>2405</v>
          </cell>
        </row>
        <row r="76">
          <cell r="D76">
            <v>2</v>
          </cell>
          <cell r="E76">
            <v>2336</v>
          </cell>
          <cell r="R76">
            <v>2434</v>
          </cell>
        </row>
        <row r="77">
          <cell r="D77">
            <v>3</v>
          </cell>
          <cell r="E77">
            <v>2356</v>
          </cell>
          <cell r="R77">
            <v>2448</v>
          </cell>
        </row>
        <row r="78">
          <cell r="D78">
            <v>1</v>
          </cell>
          <cell r="E78">
            <v>2462</v>
          </cell>
          <cell r="R78">
            <v>2547</v>
          </cell>
        </row>
        <row r="79">
          <cell r="D79">
            <v>2</v>
          </cell>
          <cell r="E79">
            <v>2480</v>
          </cell>
          <cell r="R79">
            <v>2557</v>
          </cell>
        </row>
        <row r="80">
          <cell r="D80">
            <v>3</v>
          </cell>
          <cell r="E80">
            <v>2510</v>
          </cell>
          <cell r="R80">
            <v>2579</v>
          </cell>
        </row>
        <row r="81">
          <cell r="D81">
            <v>1</v>
          </cell>
          <cell r="E81">
            <v>2121</v>
          </cell>
          <cell r="R81">
            <v>2174</v>
          </cell>
        </row>
        <row r="82">
          <cell r="D82">
            <v>2</v>
          </cell>
          <cell r="E82">
            <v>2104</v>
          </cell>
          <cell r="R82">
            <v>2151</v>
          </cell>
        </row>
        <row r="83">
          <cell r="D83">
            <v>3</v>
          </cell>
          <cell r="E83">
            <v>2111</v>
          </cell>
          <cell r="R83">
            <v>2154</v>
          </cell>
        </row>
        <row r="84">
          <cell r="D84">
            <v>1</v>
          </cell>
          <cell r="E84">
            <v>2149</v>
          </cell>
          <cell r="R84">
            <v>2179</v>
          </cell>
        </row>
        <row r="85">
          <cell r="D85">
            <v>2</v>
          </cell>
          <cell r="E85">
            <v>2174</v>
          </cell>
          <cell r="R85">
            <v>2190</v>
          </cell>
        </row>
        <row r="86">
          <cell r="D86">
            <v>3</v>
          </cell>
          <cell r="E86">
            <v>2162</v>
          </cell>
          <cell r="R86">
            <v>2167</v>
          </cell>
        </row>
        <row r="87">
          <cell r="D87">
            <v>1</v>
          </cell>
          <cell r="E87">
            <v>2148</v>
          </cell>
          <cell r="R87">
            <v>2148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35" refreshError="1"/>
      <sheetData sheetId="13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1068</v>
          </cell>
          <cell r="R9">
            <v>1575</v>
          </cell>
        </row>
        <row r="10">
          <cell r="D10">
            <v>2</v>
          </cell>
          <cell r="E10">
            <v>1069</v>
          </cell>
          <cell r="R10">
            <v>1570</v>
          </cell>
        </row>
        <row r="11">
          <cell r="D11">
            <v>3</v>
          </cell>
          <cell r="E11">
            <v>1059</v>
          </cell>
          <cell r="R11">
            <v>1550</v>
          </cell>
        </row>
        <row r="12">
          <cell r="D12">
            <v>1</v>
          </cell>
          <cell r="E12">
            <v>1079</v>
          </cell>
          <cell r="R12">
            <v>1573</v>
          </cell>
        </row>
        <row r="13">
          <cell r="D13">
            <v>2</v>
          </cell>
          <cell r="E13">
            <v>1074</v>
          </cell>
          <cell r="R13">
            <v>1560</v>
          </cell>
        </row>
        <row r="14">
          <cell r="D14">
            <v>3</v>
          </cell>
          <cell r="E14">
            <v>1065</v>
          </cell>
          <cell r="R14">
            <v>1544</v>
          </cell>
        </row>
        <row r="15">
          <cell r="D15">
            <v>1</v>
          </cell>
          <cell r="E15">
            <v>1045</v>
          </cell>
          <cell r="R15">
            <v>1507</v>
          </cell>
        </row>
        <row r="16">
          <cell r="D16">
            <v>2</v>
          </cell>
          <cell r="E16">
            <v>1049</v>
          </cell>
          <cell r="R16">
            <v>1504</v>
          </cell>
        </row>
        <row r="17">
          <cell r="D17">
            <v>3</v>
          </cell>
          <cell r="E17">
            <v>1069</v>
          </cell>
          <cell r="R17">
            <v>1523</v>
          </cell>
        </row>
        <row r="18">
          <cell r="D18">
            <v>1</v>
          </cell>
          <cell r="E18">
            <v>1061</v>
          </cell>
          <cell r="R18">
            <v>1502</v>
          </cell>
        </row>
        <row r="19">
          <cell r="D19">
            <v>2</v>
          </cell>
          <cell r="E19">
            <v>1094</v>
          </cell>
          <cell r="R19">
            <v>1536</v>
          </cell>
        </row>
        <row r="20">
          <cell r="D20">
            <v>3</v>
          </cell>
          <cell r="E20">
            <v>1103</v>
          </cell>
          <cell r="R20">
            <v>1538</v>
          </cell>
        </row>
        <row r="21">
          <cell r="D21">
            <v>1</v>
          </cell>
          <cell r="E21">
            <v>1142</v>
          </cell>
          <cell r="R21">
            <v>1581</v>
          </cell>
        </row>
        <row r="22">
          <cell r="D22">
            <v>2</v>
          </cell>
          <cell r="E22">
            <v>1161</v>
          </cell>
          <cell r="R22">
            <v>1600</v>
          </cell>
        </row>
        <row r="23">
          <cell r="D23">
            <v>3</v>
          </cell>
          <cell r="E23">
            <v>1165</v>
          </cell>
          <cell r="R23">
            <v>1598</v>
          </cell>
        </row>
        <row r="24">
          <cell r="D24">
            <v>1</v>
          </cell>
          <cell r="E24">
            <v>1156</v>
          </cell>
          <cell r="R24">
            <v>1579</v>
          </cell>
        </row>
        <row r="25">
          <cell r="D25">
            <v>2</v>
          </cell>
          <cell r="E25">
            <v>1165</v>
          </cell>
          <cell r="R25">
            <v>1588</v>
          </cell>
        </row>
        <row r="26">
          <cell r="D26">
            <v>3</v>
          </cell>
          <cell r="E26">
            <v>1169</v>
          </cell>
          <cell r="R26">
            <v>1591</v>
          </cell>
        </row>
        <row r="27">
          <cell r="D27">
            <v>1</v>
          </cell>
          <cell r="E27">
            <v>1208</v>
          </cell>
          <cell r="R27">
            <v>1640</v>
          </cell>
        </row>
        <row r="28">
          <cell r="D28">
            <v>2</v>
          </cell>
          <cell r="E28">
            <v>1214</v>
          </cell>
          <cell r="R28">
            <v>1642</v>
          </cell>
        </row>
        <row r="29">
          <cell r="D29">
            <v>3</v>
          </cell>
          <cell r="E29">
            <v>1245</v>
          </cell>
          <cell r="R29">
            <v>1676</v>
          </cell>
        </row>
        <row r="30">
          <cell r="D30">
            <v>1</v>
          </cell>
          <cell r="E30">
            <v>1237</v>
          </cell>
          <cell r="R30">
            <v>1655</v>
          </cell>
        </row>
        <row r="31">
          <cell r="D31">
            <v>2</v>
          </cell>
          <cell r="E31">
            <v>1256</v>
          </cell>
          <cell r="R31">
            <v>1669</v>
          </cell>
        </row>
        <row r="32">
          <cell r="D32">
            <v>3</v>
          </cell>
          <cell r="E32">
            <v>1280</v>
          </cell>
          <cell r="R32">
            <v>1690</v>
          </cell>
        </row>
        <row r="33">
          <cell r="D33">
            <v>1</v>
          </cell>
          <cell r="E33">
            <v>1273</v>
          </cell>
          <cell r="R33">
            <v>1668</v>
          </cell>
        </row>
        <row r="34">
          <cell r="D34">
            <v>2</v>
          </cell>
          <cell r="E34">
            <v>1262</v>
          </cell>
          <cell r="R34">
            <v>1641</v>
          </cell>
        </row>
        <row r="35">
          <cell r="D35">
            <v>3</v>
          </cell>
          <cell r="E35">
            <v>1248</v>
          </cell>
          <cell r="R35">
            <v>1613</v>
          </cell>
        </row>
        <row r="36">
          <cell r="D36">
            <v>1</v>
          </cell>
          <cell r="E36">
            <v>1258</v>
          </cell>
          <cell r="R36">
            <v>1616</v>
          </cell>
        </row>
        <row r="37">
          <cell r="D37">
            <v>2</v>
          </cell>
          <cell r="E37">
            <v>1232</v>
          </cell>
          <cell r="R37">
            <v>1578</v>
          </cell>
        </row>
        <row r="38">
          <cell r="D38">
            <v>3</v>
          </cell>
          <cell r="E38">
            <v>1258</v>
          </cell>
          <cell r="R38">
            <v>1608</v>
          </cell>
        </row>
        <row r="39">
          <cell r="D39">
            <v>1</v>
          </cell>
          <cell r="E39">
            <v>1268</v>
          </cell>
          <cell r="R39">
            <v>1616</v>
          </cell>
        </row>
        <row r="40">
          <cell r="D40">
            <v>2</v>
          </cell>
          <cell r="E40">
            <v>1290</v>
          </cell>
          <cell r="R40">
            <v>1638</v>
          </cell>
        </row>
        <row r="41">
          <cell r="D41">
            <v>3</v>
          </cell>
          <cell r="E41">
            <v>1258</v>
          </cell>
          <cell r="R41">
            <v>1588</v>
          </cell>
        </row>
        <row r="42">
          <cell r="D42">
            <v>1</v>
          </cell>
          <cell r="E42">
            <v>1284</v>
          </cell>
          <cell r="R42">
            <v>1612</v>
          </cell>
        </row>
        <row r="43">
          <cell r="D43">
            <v>2</v>
          </cell>
          <cell r="E43">
            <v>1283</v>
          </cell>
          <cell r="R43">
            <v>1598</v>
          </cell>
        </row>
        <row r="44">
          <cell r="D44">
            <v>3</v>
          </cell>
          <cell r="E44">
            <v>1308</v>
          </cell>
          <cell r="R44">
            <v>1612</v>
          </cell>
        </row>
        <row r="45">
          <cell r="D45">
            <v>1</v>
          </cell>
          <cell r="E45">
            <v>1291</v>
          </cell>
          <cell r="R45">
            <v>1571</v>
          </cell>
        </row>
        <row r="46">
          <cell r="D46">
            <v>2</v>
          </cell>
          <cell r="E46">
            <v>1290</v>
          </cell>
          <cell r="R46">
            <v>1553</v>
          </cell>
        </row>
        <row r="47">
          <cell r="D47">
            <v>3</v>
          </cell>
          <cell r="E47">
            <v>1295</v>
          </cell>
          <cell r="R47">
            <v>1545</v>
          </cell>
        </row>
        <row r="48">
          <cell r="D48">
            <v>1</v>
          </cell>
          <cell r="E48">
            <v>1300</v>
          </cell>
          <cell r="R48">
            <v>1539</v>
          </cell>
        </row>
        <row r="49">
          <cell r="D49">
            <v>2</v>
          </cell>
          <cell r="E49">
            <v>1325</v>
          </cell>
          <cell r="R49">
            <v>1558</v>
          </cell>
        </row>
        <row r="50">
          <cell r="D50">
            <v>3</v>
          </cell>
          <cell r="E50">
            <v>1338</v>
          </cell>
          <cell r="R50">
            <v>1565</v>
          </cell>
        </row>
        <row r="51">
          <cell r="D51">
            <v>1</v>
          </cell>
          <cell r="E51">
            <v>1369</v>
          </cell>
          <cell r="R51">
            <v>1594</v>
          </cell>
        </row>
        <row r="52">
          <cell r="D52">
            <v>2</v>
          </cell>
          <cell r="E52">
            <v>1341</v>
          </cell>
          <cell r="R52">
            <v>1553</v>
          </cell>
        </row>
        <row r="53">
          <cell r="D53">
            <v>3</v>
          </cell>
          <cell r="E53">
            <v>1348</v>
          </cell>
          <cell r="R53">
            <v>1549</v>
          </cell>
        </row>
        <row r="54">
          <cell r="D54">
            <v>1</v>
          </cell>
          <cell r="E54">
            <v>1357</v>
          </cell>
          <cell r="R54">
            <v>1545</v>
          </cell>
        </row>
        <row r="55">
          <cell r="D55">
            <v>2</v>
          </cell>
          <cell r="E55">
            <v>1412</v>
          </cell>
          <cell r="R55">
            <v>1590</v>
          </cell>
        </row>
        <row r="56">
          <cell r="D56">
            <v>3</v>
          </cell>
          <cell r="E56">
            <v>1381</v>
          </cell>
          <cell r="R56">
            <v>1539</v>
          </cell>
        </row>
        <row r="57">
          <cell r="D57">
            <v>1</v>
          </cell>
          <cell r="E57">
            <v>1374</v>
          </cell>
          <cell r="R57">
            <v>1517</v>
          </cell>
        </row>
        <row r="58">
          <cell r="D58">
            <v>2</v>
          </cell>
          <cell r="E58">
            <v>1346</v>
          </cell>
          <cell r="R58">
            <v>1477</v>
          </cell>
        </row>
        <row r="59">
          <cell r="D59">
            <v>3</v>
          </cell>
          <cell r="E59">
            <v>1376</v>
          </cell>
          <cell r="R59">
            <v>1501</v>
          </cell>
        </row>
        <row r="60">
          <cell r="D60">
            <v>1</v>
          </cell>
          <cell r="E60">
            <v>1375</v>
          </cell>
          <cell r="R60">
            <v>1491</v>
          </cell>
        </row>
        <row r="61">
          <cell r="D61">
            <v>2</v>
          </cell>
          <cell r="E61">
            <v>1382</v>
          </cell>
          <cell r="R61">
            <v>1491</v>
          </cell>
        </row>
        <row r="62">
          <cell r="D62">
            <v>3</v>
          </cell>
          <cell r="E62">
            <v>1379</v>
          </cell>
          <cell r="R62">
            <v>1481</v>
          </cell>
        </row>
        <row r="63">
          <cell r="D63">
            <v>1</v>
          </cell>
          <cell r="E63">
            <v>1378</v>
          </cell>
          <cell r="R63">
            <v>1475</v>
          </cell>
        </row>
        <row r="64">
          <cell r="D64">
            <v>2</v>
          </cell>
          <cell r="E64">
            <v>1378</v>
          </cell>
          <cell r="R64">
            <v>1471</v>
          </cell>
        </row>
        <row r="65">
          <cell r="D65">
            <v>3</v>
          </cell>
          <cell r="E65">
            <v>1378</v>
          </cell>
          <cell r="R65">
            <v>1469</v>
          </cell>
        </row>
        <row r="66">
          <cell r="D66">
            <v>1</v>
          </cell>
          <cell r="E66">
            <v>1401</v>
          </cell>
          <cell r="R66">
            <v>1490</v>
          </cell>
        </row>
        <row r="67">
          <cell r="D67">
            <v>2</v>
          </cell>
          <cell r="E67">
            <v>1406</v>
          </cell>
          <cell r="R67">
            <v>1490</v>
          </cell>
        </row>
        <row r="68">
          <cell r="D68">
            <v>3</v>
          </cell>
          <cell r="E68">
            <v>1404</v>
          </cell>
          <cell r="R68">
            <v>1483</v>
          </cell>
        </row>
        <row r="69">
          <cell r="D69">
            <v>1</v>
          </cell>
          <cell r="E69">
            <v>1409</v>
          </cell>
          <cell r="R69">
            <v>1484</v>
          </cell>
        </row>
        <row r="70">
          <cell r="D70">
            <v>2</v>
          </cell>
          <cell r="E70">
            <v>1395</v>
          </cell>
          <cell r="R70">
            <v>1466</v>
          </cell>
        </row>
        <row r="71">
          <cell r="D71">
            <v>3</v>
          </cell>
          <cell r="E71">
            <v>1405</v>
          </cell>
          <cell r="R71">
            <v>1472</v>
          </cell>
        </row>
        <row r="72">
          <cell r="D72">
            <v>1</v>
          </cell>
          <cell r="E72">
            <v>1388</v>
          </cell>
          <cell r="R72">
            <v>1453</v>
          </cell>
        </row>
        <row r="73">
          <cell r="D73">
            <v>2</v>
          </cell>
          <cell r="E73">
            <v>1392</v>
          </cell>
          <cell r="R73">
            <v>1456</v>
          </cell>
        </row>
        <row r="74">
          <cell r="D74">
            <v>3</v>
          </cell>
          <cell r="E74">
            <v>1398</v>
          </cell>
          <cell r="R74">
            <v>1461</v>
          </cell>
        </row>
        <row r="75">
          <cell r="D75">
            <v>1</v>
          </cell>
          <cell r="E75">
            <v>1379</v>
          </cell>
          <cell r="R75">
            <v>1439</v>
          </cell>
        </row>
        <row r="76">
          <cell r="D76">
            <v>2</v>
          </cell>
          <cell r="E76">
            <v>1365</v>
          </cell>
          <cell r="R76">
            <v>1421</v>
          </cell>
        </row>
        <row r="77">
          <cell r="D77">
            <v>3</v>
          </cell>
          <cell r="E77">
            <v>1353</v>
          </cell>
          <cell r="R77">
            <v>1404</v>
          </cell>
        </row>
        <row r="78">
          <cell r="D78">
            <v>1</v>
          </cell>
          <cell r="E78">
            <v>1354</v>
          </cell>
          <cell r="R78">
            <v>1400</v>
          </cell>
        </row>
        <row r="79">
          <cell r="D79">
            <v>2</v>
          </cell>
          <cell r="E79">
            <v>1400</v>
          </cell>
          <cell r="R79">
            <v>1443</v>
          </cell>
        </row>
        <row r="80">
          <cell r="D80">
            <v>3</v>
          </cell>
          <cell r="E80">
            <v>1394</v>
          </cell>
          <cell r="R80">
            <v>1431</v>
          </cell>
        </row>
        <row r="81">
          <cell r="D81">
            <v>1</v>
          </cell>
          <cell r="E81">
            <v>1430</v>
          </cell>
          <cell r="R81">
            <v>1465</v>
          </cell>
        </row>
        <row r="82">
          <cell r="D82">
            <v>2</v>
          </cell>
          <cell r="E82">
            <v>1427</v>
          </cell>
          <cell r="R82">
            <v>1459</v>
          </cell>
        </row>
        <row r="83">
          <cell r="D83">
            <v>3</v>
          </cell>
          <cell r="E83">
            <v>1437</v>
          </cell>
          <cell r="R83">
            <v>1466</v>
          </cell>
        </row>
        <row r="84">
          <cell r="D84">
            <v>1</v>
          </cell>
          <cell r="E84">
            <v>1467</v>
          </cell>
          <cell r="R84">
            <v>1487</v>
          </cell>
        </row>
        <row r="85">
          <cell r="D85">
            <v>2</v>
          </cell>
          <cell r="E85">
            <v>1449</v>
          </cell>
          <cell r="R85">
            <v>1459</v>
          </cell>
        </row>
        <row r="86">
          <cell r="D86">
            <v>3</v>
          </cell>
          <cell r="E86">
            <v>1445</v>
          </cell>
          <cell r="R86">
            <v>1448</v>
          </cell>
        </row>
        <row r="87">
          <cell r="D87">
            <v>1</v>
          </cell>
          <cell r="E87">
            <v>1442</v>
          </cell>
          <cell r="R87">
            <v>1442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37" refreshError="1"/>
      <sheetData sheetId="13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2026</v>
          </cell>
          <cell r="R9">
            <v>2991</v>
          </cell>
        </row>
        <row r="10">
          <cell r="D10">
            <v>2</v>
          </cell>
          <cell r="E10">
            <v>2044</v>
          </cell>
          <cell r="R10">
            <v>3004</v>
          </cell>
        </row>
        <row r="11">
          <cell r="D11">
            <v>3</v>
          </cell>
          <cell r="E11">
            <v>2072</v>
          </cell>
          <cell r="R11">
            <v>3033</v>
          </cell>
        </row>
        <row r="12">
          <cell r="D12">
            <v>1</v>
          </cell>
          <cell r="E12">
            <v>2074</v>
          </cell>
          <cell r="R12">
            <v>3025</v>
          </cell>
        </row>
        <row r="13">
          <cell r="D13">
            <v>2</v>
          </cell>
          <cell r="E13">
            <v>2103</v>
          </cell>
          <cell r="R13">
            <v>3059</v>
          </cell>
        </row>
        <row r="14">
          <cell r="D14">
            <v>3</v>
          </cell>
          <cell r="E14">
            <v>2084</v>
          </cell>
          <cell r="R14">
            <v>3023</v>
          </cell>
        </row>
        <row r="15">
          <cell r="D15">
            <v>1</v>
          </cell>
          <cell r="E15">
            <v>2096</v>
          </cell>
          <cell r="R15">
            <v>3027</v>
          </cell>
        </row>
        <row r="16">
          <cell r="D16">
            <v>2</v>
          </cell>
          <cell r="E16">
            <v>2104</v>
          </cell>
          <cell r="R16">
            <v>3023</v>
          </cell>
        </row>
        <row r="17">
          <cell r="D17">
            <v>3</v>
          </cell>
          <cell r="E17">
            <v>2129</v>
          </cell>
          <cell r="R17">
            <v>3041</v>
          </cell>
        </row>
        <row r="18">
          <cell r="D18">
            <v>1</v>
          </cell>
          <cell r="E18">
            <v>2169</v>
          </cell>
          <cell r="R18">
            <v>3080</v>
          </cell>
        </row>
        <row r="19">
          <cell r="D19">
            <v>2</v>
          </cell>
          <cell r="E19">
            <v>2193</v>
          </cell>
          <cell r="R19">
            <v>3090</v>
          </cell>
        </row>
        <row r="20">
          <cell r="D20">
            <v>3</v>
          </cell>
          <cell r="E20">
            <v>2252</v>
          </cell>
          <cell r="R20">
            <v>3150</v>
          </cell>
        </row>
        <row r="21">
          <cell r="D21">
            <v>1</v>
          </cell>
          <cell r="E21">
            <v>2286</v>
          </cell>
          <cell r="R21">
            <v>3177</v>
          </cell>
        </row>
        <row r="22">
          <cell r="D22">
            <v>2</v>
          </cell>
          <cell r="E22">
            <v>2292</v>
          </cell>
          <cell r="R22">
            <v>3169</v>
          </cell>
        </row>
        <row r="23">
          <cell r="D23">
            <v>3</v>
          </cell>
          <cell r="E23">
            <v>2246</v>
          </cell>
          <cell r="R23">
            <v>3090</v>
          </cell>
        </row>
        <row r="24">
          <cell r="D24">
            <v>1</v>
          </cell>
          <cell r="E24">
            <v>2272</v>
          </cell>
          <cell r="R24">
            <v>3114</v>
          </cell>
        </row>
        <row r="25">
          <cell r="D25">
            <v>2</v>
          </cell>
          <cell r="E25">
            <v>2293</v>
          </cell>
          <cell r="R25">
            <v>3137</v>
          </cell>
        </row>
        <row r="26">
          <cell r="D26">
            <v>3</v>
          </cell>
          <cell r="E26">
            <v>2317</v>
          </cell>
          <cell r="R26">
            <v>3163</v>
          </cell>
        </row>
        <row r="27">
          <cell r="D27">
            <v>1</v>
          </cell>
          <cell r="E27">
            <v>2319</v>
          </cell>
          <cell r="R27">
            <v>3159</v>
          </cell>
        </row>
        <row r="28">
          <cell r="D28">
            <v>2</v>
          </cell>
          <cell r="E28">
            <v>2341</v>
          </cell>
          <cell r="R28">
            <v>3176</v>
          </cell>
        </row>
        <row r="29">
          <cell r="D29">
            <v>3</v>
          </cell>
          <cell r="E29">
            <v>2340</v>
          </cell>
          <cell r="R29">
            <v>3158</v>
          </cell>
        </row>
        <row r="30">
          <cell r="D30">
            <v>1</v>
          </cell>
          <cell r="E30">
            <v>2327</v>
          </cell>
          <cell r="R30">
            <v>3120</v>
          </cell>
        </row>
        <row r="31">
          <cell r="D31">
            <v>2</v>
          </cell>
          <cell r="E31">
            <v>2310</v>
          </cell>
          <cell r="R31">
            <v>3077</v>
          </cell>
        </row>
        <row r="32">
          <cell r="D32">
            <v>3</v>
          </cell>
          <cell r="E32">
            <v>2365</v>
          </cell>
          <cell r="R32">
            <v>3127</v>
          </cell>
        </row>
        <row r="33">
          <cell r="D33">
            <v>1</v>
          </cell>
          <cell r="E33">
            <v>2433</v>
          </cell>
          <cell r="R33">
            <v>3193</v>
          </cell>
        </row>
        <row r="34">
          <cell r="D34">
            <v>2</v>
          </cell>
          <cell r="E34">
            <v>2452</v>
          </cell>
          <cell r="R34">
            <v>3194</v>
          </cell>
        </row>
        <row r="35">
          <cell r="D35">
            <v>3</v>
          </cell>
          <cell r="E35">
            <v>2482</v>
          </cell>
          <cell r="R35">
            <v>3213</v>
          </cell>
        </row>
        <row r="36">
          <cell r="D36">
            <v>1</v>
          </cell>
          <cell r="E36">
            <v>2473</v>
          </cell>
          <cell r="R36">
            <v>3186</v>
          </cell>
        </row>
        <row r="37">
          <cell r="D37">
            <v>2</v>
          </cell>
          <cell r="E37">
            <v>2445</v>
          </cell>
          <cell r="R37">
            <v>3140</v>
          </cell>
        </row>
        <row r="38">
          <cell r="D38">
            <v>3</v>
          </cell>
          <cell r="E38">
            <v>2429</v>
          </cell>
          <cell r="R38">
            <v>3112</v>
          </cell>
        </row>
        <row r="39">
          <cell r="D39">
            <v>1</v>
          </cell>
          <cell r="E39">
            <v>2428</v>
          </cell>
          <cell r="R39">
            <v>3101</v>
          </cell>
        </row>
        <row r="40">
          <cell r="D40">
            <v>2</v>
          </cell>
          <cell r="E40">
            <v>2472</v>
          </cell>
          <cell r="R40">
            <v>3144</v>
          </cell>
        </row>
        <row r="41">
          <cell r="D41">
            <v>3</v>
          </cell>
          <cell r="E41">
            <v>2481</v>
          </cell>
          <cell r="R41">
            <v>3140</v>
          </cell>
        </row>
        <row r="42">
          <cell r="D42">
            <v>1</v>
          </cell>
          <cell r="E42">
            <v>2525</v>
          </cell>
          <cell r="R42">
            <v>3178</v>
          </cell>
        </row>
        <row r="43">
          <cell r="D43">
            <v>2</v>
          </cell>
          <cell r="E43">
            <v>2571</v>
          </cell>
          <cell r="R43">
            <v>3209</v>
          </cell>
        </row>
        <row r="44">
          <cell r="D44">
            <v>3</v>
          </cell>
          <cell r="E44">
            <v>2594</v>
          </cell>
          <cell r="R44">
            <v>3202</v>
          </cell>
        </row>
        <row r="45">
          <cell r="D45">
            <v>1</v>
          </cell>
          <cell r="E45">
            <v>2621</v>
          </cell>
          <cell r="R45">
            <v>3196</v>
          </cell>
        </row>
        <row r="46">
          <cell r="D46">
            <v>2</v>
          </cell>
          <cell r="E46">
            <v>2651</v>
          </cell>
          <cell r="R46">
            <v>3198</v>
          </cell>
        </row>
        <row r="47">
          <cell r="D47">
            <v>3</v>
          </cell>
          <cell r="E47">
            <v>2625</v>
          </cell>
          <cell r="R47">
            <v>3138</v>
          </cell>
        </row>
        <row r="48">
          <cell r="D48">
            <v>1</v>
          </cell>
          <cell r="E48">
            <v>2687</v>
          </cell>
          <cell r="R48">
            <v>3189</v>
          </cell>
        </row>
        <row r="49">
          <cell r="D49">
            <v>2</v>
          </cell>
          <cell r="E49">
            <v>2671</v>
          </cell>
          <cell r="R49">
            <v>3147</v>
          </cell>
        </row>
        <row r="50">
          <cell r="D50">
            <v>3</v>
          </cell>
          <cell r="E50">
            <v>2660</v>
          </cell>
          <cell r="R50">
            <v>3117</v>
          </cell>
        </row>
        <row r="51">
          <cell r="D51">
            <v>1</v>
          </cell>
          <cell r="E51">
            <v>2643</v>
          </cell>
          <cell r="R51">
            <v>3082</v>
          </cell>
        </row>
        <row r="52">
          <cell r="D52">
            <v>2</v>
          </cell>
          <cell r="E52">
            <v>2668</v>
          </cell>
          <cell r="R52">
            <v>3094</v>
          </cell>
        </row>
        <row r="53">
          <cell r="D53">
            <v>3</v>
          </cell>
          <cell r="E53">
            <v>2718</v>
          </cell>
          <cell r="R53">
            <v>3127</v>
          </cell>
        </row>
        <row r="54">
          <cell r="D54">
            <v>1</v>
          </cell>
          <cell r="E54">
            <v>2719</v>
          </cell>
          <cell r="R54">
            <v>3099</v>
          </cell>
        </row>
        <row r="55">
          <cell r="D55">
            <v>2</v>
          </cell>
          <cell r="E55">
            <v>2773</v>
          </cell>
          <cell r="R55">
            <v>3127</v>
          </cell>
        </row>
        <row r="56">
          <cell r="D56">
            <v>3</v>
          </cell>
          <cell r="E56">
            <v>2819</v>
          </cell>
          <cell r="R56">
            <v>3147</v>
          </cell>
        </row>
        <row r="57">
          <cell r="D57">
            <v>1</v>
          </cell>
          <cell r="E57">
            <v>2925</v>
          </cell>
          <cell r="R57">
            <v>3238</v>
          </cell>
        </row>
        <row r="58">
          <cell r="D58">
            <v>2</v>
          </cell>
          <cell r="E58">
            <v>2897</v>
          </cell>
          <cell r="R58">
            <v>3187</v>
          </cell>
        </row>
        <row r="59">
          <cell r="D59">
            <v>3</v>
          </cell>
          <cell r="E59">
            <v>2929</v>
          </cell>
          <cell r="R59">
            <v>3204</v>
          </cell>
        </row>
        <row r="60">
          <cell r="D60">
            <v>1</v>
          </cell>
          <cell r="E60">
            <v>2821</v>
          </cell>
          <cell r="R60">
            <v>3068</v>
          </cell>
        </row>
        <row r="61">
          <cell r="D61">
            <v>2</v>
          </cell>
          <cell r="E61">
            <v>2848</v>
          </cell>
          <cell r="R61">
            <v>3080</v>
          </cell>
        </row>
        <row r="62">
          <cell r="D62">
            <v>3</v>
          </cell>
          <cell r="E62">
            <v>2903</v>
          </cell>
          <cell r="R62">
            <v>3126</v>
          </cell>
        </row>
        <row r="63">
          <cell r="D63">
            <v>1</v>
          </cell>
          <cell r="E63">
            <v>2910</v>
          </cell>
          <cell r="R63">
            <v>3123</v>
          </cell>
        </row>
        <row r="64">
          <cell r="D64">
            <v>2</v>
          </cell>
          <cell r="E64">
            <v>2949</v>
          </cell>
          <cell r="R64">
            <v>3156</v>
          </cell>
        </row>
        <row r="65">
          <cell r="D65">
            <v>3</v>
          </cell>
          <cell r="E65">
            <v>2982</v>
          </cell>
          <cell r="R65">
            <v>3187</v>
          </cell>
        </row>
        <row r="66">
          <cell r="D66">
            <v>1</v>
          </cell>
          <cell r="E66">
            <v>3000</v>
          </cell>
          <cell r="R66">
            <v>3198</v>
          </cell>
        </row>
        <row r="67">
          <cell r="D67">
            <v>2</v>
          </cell>
          <cell r="E67">
            <v>3012</v>
          </cell>
          <cell r="R67">
            <v>3201</v>
          </cell>
        </row>
        <row r="68">
          <cell r="D68">
            <v>3</v>
          </cell>
          <cell r="E68">
            <v>2984</v>
          </cell>
          <cell r="R68">
            <v>3161</v>
          </cell>
        </row>
        <row r="69">
          <cell r="D69">
            <v>1</v>
          </cell>
          <cell r="E69">
            <v>3093</v>
          </cell>
          <cell r="R69">
            <v>3267</v>
          </cell>
        </row>
        <row r="70">
          <cell r="D70">
            <v>2</v>
          </cell>
          <cell r="E70">
            <v>3106</v>
          </cell>
          <cell r="R70">
            <v>3273</v>
          </cell>
        </row>
        <row r="71">
          <cell r="D71">
            <v>3</v>
          </cell>
          <cell r="E71">
            <v>3091</v>
          </cell>
          <cell r="R71">
            <v>3248</v>
          </cell>
        </row>
        <row r="72">
          <cell r="D72">
            <v>1</v>
          </cell>
          <cell r="E72">
            <v>3019</v>
          </cell>
          <cell r="R72">
            <v>3170</v>
          </cell>
        </row>
        <row r="73">
          <cell r="D73">
            <v>2</v>
          </cell>
          <cell r="E73">
            <v>3025</v>
          </cell>
          <cell r="R73">
            <v>3172</v>
          </cell>
        </row>
        <row r="74">
          <cell r="D74">
            <v>3</v>
          </cell>
          <cell r="E74">
            <v>3012</v>
          </cell>
          <cell r="R74">
            <v>3156</v>
          </cell>
        </row>
        <row r="75">
          <cell r="D75">
            <v>1</v>
          </cell>
          <cell r="E75">
            <v>3108</v>
          </cell>
          <cell r="R75">
            <v>3250</v>
          </cell>
        </row>
        <row r="76">
          <cell r="D76">
            <v>2</v>
          </cell>
          <cell r="E76">
            <v>3121</v>
          </cell>
          <cell r="R76">
            <v>3254</v>
          </cell>
        </row>
        <row r="77">
          <cell r="D77">
            <v>3</v>
          </cell>
          <cell r="E77">
            <v>3158</v>
          </cell>
          <cell r="R77">
            <v>3283</v>
          </cell>
        </row>
        <row r="78">
          <cell r="D78">
            <v>1</v>
          </cell>
          <cell r="E78">
            <v>3117</v>
          </cell>
          <cell r="R78">
            <v>3225</v>
          </cell>
        </row>
        <row r="79">
          <cell r="D79">
            <v>2</v>
          </cell>
          <cell r="E79">
            <v>3120</v>
          </cell>
          <cell r="R79">
            <v>3217</v>
          </cell>
        </row>
        <row r="80">
          <cell r="D80">
            <v>3</v>
          </cell>
          <cell r="E80">
            <v>3161</v>
          </cell>
          <cell r="R80">
            <v>3247</v>
          </cell>
        </row>
        <row r="81">
          <cell r="D81">
            <v>1</v>
          </cell>
          <cell r="E81">
            <v>3178</v>
          </cell>
          <cell r="R81">
            <v>3258</v>
          </cell>
        </row>
        <row r="82">
          <cell r="D82">
            <v>2</v>
          </cell>
          <cell r="E82">
            <v>3189</v>
          </cell>
          <cell r="R82">
            <v>3263</v>
          </cell>
        </row>
        <row r="83">
          <cell r="D83">
            <v>3</v>
          </cell>
          <cell r="E83">
            <v>3192</v>
          </cell>
          <cell r="R83">
            <v>3258</v>
          </cell>
        </row>
        <row r="84">
          <cell r="D84">
            <v>1</v>
          </cell>
          <cell r="E84">
            <v>3164</v>
          </cell>
          <cell r="R84">
            <v>3211</v>
          </cell>
        </row>
        <row r="85">
          <cell r="D85">
            <v>2</v>
          </cell>
          <cell r="E85">
            <v>3193</v>
          </cell>
          <cell r="R85">
            <v>3219</v>
          </cell>
        </row>
        <row r="86">
          <cell r="D86">
            <v>3</v>
          </cell>
          <cell r="E86">
            <v>3214</v>
          </cell>
          <cell r="R86">
            <v>3223</v>
          </cell>
        </row>
        <row r="87">
          <cell r="D87">
            <v>1</v>
          </cell>
          <cell r="E87">
            <v>3207</v>
          </cell>
          <cell r="R87">
            <v>3207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39" refreshError="1"/>
      <sheetData sheetId="14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2028</v>
          </cell>
          <cell r="R9">
            <v>2988</v>
          </cell>
        </row>
        <row r="10">
          <cell r="D10">
            <v>2</v>
          </cell>
          <cell r="E10">
            <v>2025</v>
          </cell>
          <cell r="R10">
            <v>2969</v>
          </cell>
        </row>
        <row r="11">
          <cell r="D11">
            <v>3</v>
          </cell>
          <cell r="E11">
            <v>2009</v>
          </cell>
          <cell r="R11">
            <v>2935</v>
          </cell>
        </row>
        <row r="12">
          <cell r="D12">
            <v>1</v>
          </cell>
          <cell r="E12">
            <v>2033</v>
          </cell>
          <cell r="R12">
            <v>2959</v>
          </cell>
        </row>
        <row r="13">
          <cell r="D13">
            <v>2</v>
          </cell>
          <cell r="E13">
            <v>2055</v>
          </cell>
          <cell r="R13">
            <v>2982</v>
          </cell>
        </row>
        <row r="14">
          <cell r="D14">
            <v>3</v>
          </cell>
          <cell r="E14">
            <v>2074</v>
          </cell>
          <cell r="R14">
            <v>3002</v>
          </cell>
        </row>
        <row r="15">
          <cell r="D15">
            <v>1</v>
          </cell>
          <cell r="E15">
            <v>2071</v>
          </cell>
          <cell r="R15">
            <v>2983</v>
          </cell>
        </row>
        <row r="16">
          <cell r="D16">
            <v>2</v>
          </cell>
          <cell r="E16">
            <v>2072</v>
          </cell>
          <cell r="R16">
            <v>2968</v>
          </cell>
        </row>
        <row r="17">
          <cell r="D17">
            <v>3</v>
          </cell>
          <cell r="E17">
            <v>2074</v>
          </cell>
          <cell r="R17">
            <v>2952</v>
          </cell>
        </row>
        <row r="18">
          <cell r="D18">
            <v>1</v>
          </cell>
          <cell r="E18">
            <v>2101</v>
          </cell>
          <cell r="R18">
            <v>2971</v>
          </cell>
        </row>
        <row r="19">
          <cell r="D19">
            <v>2</v>
          </cell>
          <cell r="E19">
            <v>2143</v>
          </cell>
          <cell r="R19">
            <v>3007</v>
          </cell>
        </row>
        <row r="20">
          <cell r="D20">
            <v>3</v>
          </cell>
          <cell r="E20">
            <v>2176</v>
          </cell>
          <cell r="R20">
            <v>3031</v>
          </cell>
        </row>
        <row r="21">
          <cell r="D21">
            <v>1</v>
          </cell>
          <cell r="E21">
            <v>2205</v>
          </cell>
          <cell r="R21">
            <v>3051</v>
          </cell>
        </row>
        <row r="22">
          <cell r="D22">
            <v>2</v>
          </cell>
          <cell r="E22">
            <v>2206</v>
          </cell>
          <cell r="R22">
            <v>3036</v>
          </cell>
        </row>
        <row r="23">
          <cell r="D23">
            <v>3</v>
          </cell>
          <cell r="E23">
            <v>2219</v>
          </cell>
          <cell r="R23">
            <v>3039</v>
          </cell>
        </row>
        <row r="24">
          <cell r="D24">
            <v>1</v>
          </cell>
          <cell r="E24">
            <v>2231</v>
          </cell>
          <cell r="R24">
            <v>3043</v>
          </cell>
        </row>
        <row r="25">
          <cell r="D25">
            <v>2</v>
          </cell>
          <cell r="E25">
            <v>2247</v>
          </cell>
          <cell r="R25">
            <v>3060</v>
          </cell>
        </row>
        <row r="26">
          <cell r="D26">
            <v>3</v>
          </cell>
          <cell r="E26">
            <v>2273</v>
          </cell>
          <cell r="R26">
            <v>3090</v>
          </cell>
        </row>
        <row r="27">
          <cell r="D27">
            <v>1</v>
          </cell>
          <cell r="E27">
            <v>2270</v>
          </cell>
          <cell r="R27">
            <v>3079</v>
          </cell>
        </row>
        <row r="28">
          <cell r="D28">
            <v>2</v>
          </cell>
          <cell r="E28">
            <v>2274</v>
          </cell>
          <cell r="R28">
            <v>3073</v>
          </cell>
        </row>
        <row r="29">
          <cell r="D29">
            <v>3</v>
          </cell>
          <cell r="E29">
            <v>2293</v>
          </cell>
          <cell r="R29">
            <v>3083</v>
          </cell>
        </row>
        <row r="30">
          <cell r="D30">
            <v>1</v>
          </cell>
          <cell r="E30">
            <v>2318</v>
          </cell>
          <cell r="R30">
            <v>3096</v>
          </cell>
        </row>
        <row r="31">
          <cell r="D31">
            <v>2</v>
          </cell>
          <cell r="E31">
            <v>2355</v>
          </cell>
          <cell r="R31">
            <v>3125</v>
          </cell>
        </row>
        <row r="32">
          <cell r="D32">
            <v>3</v>
          </cell>
          <cell r="E32">
            <v>2376</v>
          </cell>
          <cell r="R32">
            <v>3132</v>
          </cell>
        </row>
        <row r="33">
          <cell r="D33">
            <v>1</v>
          </cell>
          <cell r="E33">
            <v>2389</v>
          </cell>
          <cell r="R33">
            <v>3126</v>
          </cell>
        </row>
        <row r="34">
          <cell r="D34">
            <v>2</v>
          </cell>
          <cell r="E34">
            <v>2397</v>
          </cell>
          <cell r="R34">
            <v>3114</v>
          </cell>
        </row>
        <row r="35">
          <cell r="D35">
            <v>3</v>
          </cell>
          <cell r="E35">
            <v>2401</v>
          </cell>
          <cell r="R35">
            <v>3098</v>
          </cell>
        </row>
        <row r="36">
          <cell r="D36">
            <v>1</v>
          </cell>
          <cell r="E36">
            <v>2382</v>
          </cell>
          <cell r="R36">
            <v>3057</v>
          </cell>
        </row>
        <row r="37">
          <cell r="D37">
            <v>2</v>
          </cell>
          <cell r="E37">
            <v>2376</v>
          </cell>
          <cell r="R37">
            <v>3041</v>
          </cell>
        </row>
        <row r="38">
          <cell r="D38">
            <v>3</v>
          </cell>
          <cell r="E38">
            <v>2366</v>
          </cell>
          <cell r="R38">
            <v>3021</v>
          </cell>
        </row>
        <row r="39">
          <cell r="D39">
            <v>1</v>
          </cell>
          <cell r="E39">
            <v>2396</v>
          </cell>
          <cell r="R39">
            <v>3050</v>
          </cell>
        </row>
        <row r="40">
          <cell r="D40">
            <v>2</v>
          </cell>
          <cell r="E40">
            <v>2424</v>
          </cell>
          <cell r="R40">
            <v>3074</v>
          </cell>
        </row>
        <row r="41">
          <cell r="D41">
            <v>3</v>
          </cell>
          <cell r="E41">
            <v>2447</v>
          </cell>
          <cell r="R41">
            <v>3088</v>
          </cell>
        </row>
        <row r="42">
          <cell r="D42">
            <v>1</v>
          </cell>
          <cell r="E42">
            <v>2474</v>
          </cell>
          <cell r="R42">
            <v>3103</v>
          </cell>
        </row>
        <row r="43">
          <cell r="D43">
            <v>2</v>
          </cell>
          <cell r="E43">
            <v>2548</v>
          </cell>
          <cell r="R43">
            <v>3170</v>
          </cell>
        </row>
        <row r="44">
          <cell r="D44">
            <v>3</v>
          </cell>
          <cell r="E44">
            <v>2582</v>
          </cell>
          <cell r="R44">
            <v>3179</v>
          </cell>
        </row>
        <row r="45">
          <cell r="D45">
            <v>1</v>
          </cell>
          <cell r="E45">
            <v>2598</v>
          </cell>
          <cell r="R45">
            <v>3160</v>
          </cell>
        </row>
        <row r="46">
          <cell r="D46">
            <v>2</v>
          </cell>
          <cell r="E46">
            <v>2613</v>
          </cell>
          <cell r="R46">
            <v>3144</v>
          </cell>
        </row>
        <row r="47">
          <cell r="D47">
            <v>3</v>
          </cell>
          <cell r="E47">
            <v>2640</v>
          </cell>
          <cell r="R47">
            <v>3148</v>
          </cell>
        </row>
        <row r="48">
          <cell r="D48">
            <v>1</v>
          </cell>
          <cell r="E48">
            <v>2669</v>
          </cell>
          <cell r="R48">
            <v>3158</v>
          </cell>
        </row>
        <row r="49">
          <cell r="D49">
            <v>2</v>
          </cell>
          <cell r="E49">
            <v>2661</v>
          </cell>
          <cell r="R49">
            <v>3128</v>
          </cell>
        </row>
        <row r="50">
          <cell r="D50">
            <v>3</v>
          </cell>
          <cell r="E50">
            <v>2665</v>
          </cell>
          <cell r="R50">
            <v>3115</v>
          </cell>
        </row>
        <row r="51">
          <cell r="D51">
            <v>1</v>
          </cell>
          <cell r="E51">
            <v>2694</v>
          </cell>
          <cell r="R51">
            <v>3135</v>
          </cell>
        </row>
        <row r="52">
          <cell r="D52">
            <v>2</v>
          </cell>
          <cell r="E52">
            <v>2706</v>
          </cell>
          <cell r="R52">
            <v>3132</v>
          </cell>
        </row>
        <row r="53">
          <cell r="D53">
            <v>3</v>
          </cell>
          <cell r="E53">
            <v>2710</v>
          </cell>
          <cell r="R53">
            <v>3112</v>
          </cell>
        </row>
        <row r="54">
          <cell r="D54">
            <v>1</v>
          </cell>
          <cell r="E54">
            <v>2746</v>
          </cell>
          <cell r="R54">
            <v>3124</v>
          </cell>
        </row>
        <row r="55">
          <cell r="D55">
            <v>2</v>
          </cell>
          <cell r="E55">
            <v>2803</v>
          </cell>
          <cell r="R55">
            <v>3154</v>
          </cell>
        </row>
        <row r="56">
          <cell r="D56">
            <v>3</v>
          </cell>
          <cell r="E56">
            <v>2800</v>
          </cell>
          <cell r="R56">
            <v>3117</v>
          </cell>
        </row>
        <row r="57">
          <cell r="D57">
            <v>1</v>
          </cell>
          <cell r="E57">
            <v>2835</v>
          </cell>
          <cell r="R57">
            <v>3130</v>
          </cell>
        </row>
        <row r="58">
          <cell r="D58">
            <v>2</v>
          </cell>
          <cell r="E58">
            <v>2818</v>
          </cell>
          <cell r="R58">
            <v>3090</v>
          </cell>
        </row>
        <row r="59">
          <cell r="D59">
            <v>3</v>
          </cell>
          <cell r="E59">
            <v>2859</v>
          </cell>
          <cell r="R59">
            <v>3117</v>
          </cell>
        </row>
        <row r="60">
          <cell r="D60">
            <v>1</v>
          </cell>
          <cell r="E60">
            <v>2879</v>
          </cell>
          <cell r="R60">
            <v>3121</v>
          </cell>
        </row>
        <row r="61">
          <cell r="D61">
            <v>2</v>
          </cell>
          <cell r="E61">
            <v>2906</v>
          </cell>
          <cell r="R61">
            <v>3133</v>
          </cell>
        </row>
        <row r="62">
          <cell r="D62">
            <v>3</v>
          </cell>
          <cell r="E62">
            <v>2930</v>
          </cell>
          <cell r="R62">
            <v>3146</v>
          </cell>
        </row>
        <row r="63">
          <cell r="D63">
            <v>1</v>
          </cell>
          <cell r="E63">
            <v>2914</v>
          </cell>
          <cell r="R63">
            <v>3117</v>
          </cell>
        </row>
        <row r="64">
          <cell r="D64">
            <v>2</v>
          </cell>
          <cell r="E64">
            <v>2909</v>
          </cell>
          <cell r="R64">
            <v>3103</v>
          </cell>
        </row>
        <row r="65">
          <cell r="D65">
            <v>3</v>
          </cell>
          <cell r="E65">
            <v>2931</v>
          </cell>
          <cell r="R65">
            <v>3122</v>
          </cell>
        </row>
        <row r="66">
          <cell r="D66">
            <v>1</v>
          </cell>
          <cell r="E66">
            <v>2972</v>
          </cell>
          <cell r="R66">
            <v>3157</v>
          </cell>
        </row>
        <row r="67">
          <cell r="D67">
            <v>2</v>
          </cell>
          <cell r="E67">
            <v>3034</v>
          </cell>
          <cell r="R67">
            <v>3213</v>
          </cell>
        </row>
        <row r="68">
          <cell r="D68">
            <v>3</v>
          </cell>
          <cell r="E68">
            <v>3059</v>
          </cell>
          <cell r="R68">
            <v>3229</v>
          </cell>
        </row>
        <row r="69">
          <cell r="D69">
            <v>1</v>
          </cell>
          <cell r="E69">
            <v>3073</v>
          </cell>
          <cell r="R69">
            <v>3232</v>
          </cell>
        </row>
        <row r="70">
          <cell r="D70">
            <v>2</v>
          </cell>
          <cell r="E70">
            <v>3015</v>
          </cell>
          <cell r="R70">
            <v>3163</v>
          </cell>
        </row>
        <row r="71">
          <cell r="D71">
            <v>3</v>
          </cell>
          <cell r="E71">
            <v>3025</v>
          </cell>
          <cell r="R71">
            <v>3167</v>
          </cell>
        </row>
        <row r="72">
          <cell r="D72">
            <v>1</v>
          </cell>
          <cell r="E72">
            <v>3025</v>
          </cell>
          <cell r="R72">
            <v>3165</v>
          </cell>
        </row>
        <row r="73">
          <cell r="D73">
            <v>2</v>
          </cell>
          <cell r="E73">
            <v>3020</v>
          </cell>
          <cell r="R73">
            <v>3156</v>
          </cell>
        </row>
        <row r="74">
          <cell r="D74">
            <v>3</v>
          </cell>
          <cell r="E74">
            <v>3018</v>
          </cell>
          <cell r="R74">
            <v>3152</v>
          </cell>
        </row>
        <row r="75">
          <cell r="D75">
            <v>1</v>
          </cell>
          <cell r="E75">
            <v>3021</v>
          </cell>
          <cell r="R75">
            <v>3149</v>
          </cell>
        </row>
        <row r="76">
          <cell r="D76">
            <v>2</v>
          </cell>
          <cell r="E76">
            <v>3041</v>
          </cell>
          <cell r="R76">
            <v>3161</v>
          </cell>
        </row>
        <row r="77">
          <cell r="D77">
            <v>3</v>
          </cell>
          <cell r="E77">
            <v>3080</v>
          </cell>
          <cell r="R77">
            <v>3193</v>
          </cell>
        </row>
        <row r="78">
          <cell r="D78">
            <v>1</v>
          </cell>
          <cell r="E78">
            <v>3088</v>
          </cell>
          <cell r="R78">
            <v>3190</v>
          </cell>
        </row>
        <row r="79">
          <cell r="D79">
            <v>2</v>
          </cell>
          <cell r="E79">
            <v>3137</v>
          </cell>
          <cell r="R79">
            <v>3230</v>
          </cell>
        </row>
        <row r="80">
          <cell r="D80">
            <v>3</v>
          </cell>
          <cell r="E80">
            <v>3147</v>
          </cell>
          <cell r="R80">
            <v>3230</v>
          </cell>
        </row>
        <row r="81">
          <cell r="D81">
            <v>1</v>
          </cell>
          <cell r="E81">
            <v>3176</v>
          </cell>
          <cell r="R81">
            <v>3253</v>
          </cell>
        </row>
        <row r="82">
          <cell r="D82">
            <v>2</v>
          </cell>
          <cell r="E82">
            <v>3195</v>
          </cell>
          <cell r="R82">
            <v>3266</v>
          </cell>
        </row>
        <row r="83">
          <cell r="D83">
            <v>3</v>
          </cell>
          <cell r="E83">
            <v>3224</v>
          </cell>
          <cell r="R83">
            <v>3287</v>
          </cell>
        </row>
        <row r="84">
          <cell r="D84">
            <v>1</v>
          </cell>
          <cell r="E84">
            <v>3236</v>
          </cell>
          <cell r="R84">
            <v>3279</v>
          </cell>
        </row>
        <row r="85">
          <cell r="D85">
            <v>2</v>
          </cell>
          <cell r="E85">
            <v>3234</v>
          </cell>
          <cell r="R85">
            <v>3256</v>
          </cell>
        </row>
        <row r="86">
          <cell r="D86">
            <v>3</v>
          </cell>
          <cell r="E86">
            <v>3272</v>
          </cell>
          <cell r="R86">
            <v>3279</v>
          </cell>
        </row>
        <row r="87">
          <cell r="D87">
            <v>1</v>
          </cell>
          <cell r="E87">
            <v>3273</v>
          </cell>
          <cell r="R87">
            <v>3273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41" refreshError="1"/>
      <sheetData sheetId="14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1151</v>
          </cell>
          <cell r="R9">
            <v>1697</v>
          </cell>
        </row>
        <row r="10">
          <cell r="D10">
            <v>2</v>
          </cell>
          <cell r="E10">
            <v>1174</v>
          </cell>
          <cell r="R10">
            <v>1724</v>
          </cell>
        </row>
        <row r="11">
          <cell r="D11">
            <v>3</v>
          </cell>
          <cell r="E11">
            <v>1171</v>
          </cell>
          <cell r="R11">
            <v>1713</v>
          </cell>
        </row>
        <row r="12">
          <cell r="D12">
            <v>1</v>
          </cell>
          <cell r="E12">
            <v>1158</v>
          </cell>
          <cell r="R12">
            <v>1687</v>
          </cell>
        </row>
        <row r="13">
          <cell r="D13">
            <v>2</v>
          </cell>
          <cell r="E13">
            <v>1150</v>
          </cell>
          <cell r="R13">
            <v>1671</v>
          </cell>
        </row>
        <row r="14">
          <cell r="D14">
            <v>3</v>
          </cell>
          <cell r="E14">
            <v>1123</v>
          </cell>
          <cell r="R14">
            <v>1627</v>
          </cell>
        </row>
        <row r="15">
          <cell r="D15">
            <v>1</v>
          </cell>
          <cell r="E15">
            <v>1119</v>
          </cell>
          <cell r="R15">
            <v>1614</v>
          </cell>
        </row>
        <row r="16">
          <cell r="D16">
            <v>2</v>
          </cell>
          <cell r="E16">
            <v>1125</v>
          </cell>
          <cell r="R16">
            <v>1615</v>
          </cell>
        </row>
        <row r="17">
          <cell r="D17">
            <v>3</v>
          </cell>
          <cell r="E17">
            <v>1147</v>
          </cell>
          <cell r="R17">
            <v>1635</v>
          </cell>
        </row>
        <row r="18">
          <cell r="D18">
            <v>1</v>
          </cell>
          <cell r="E18">
            <v>1161</v>
          </cell>
          <cell r="R18">
            <v>1644</v>
          </cell>
        </row>
        <row r="19">
          <cell r="D19">
            <v>2</v>
          </cell>
          <cell r="E19">
            <v>1164</v>
          </cell>
          <cell r="R19">
            <v>1636</v>
          </cell>
        </row>
        <row r="20">
          <cell r="D20">
            <v>3</v>
          </cell>
          <cell r="E20">
            <v>1184</v>
          </cell>
          <cell r="R20">
            <v>1652</v>
          </cell>
        </row>
        <row r="21">
          <cell r="D21">
            <v>1</v>
          </cell>
          <cell r="E21">
            <v>1212</v>
          </cell>
          <cell r="R21">
            <v>1681</v>
          </cell>
        </row>
        <row r="22">
          <cell r="D22">
            <v>2</v>
          </cell>
          <cell r="E22">
            <v>1231</v>
          </cell>
          <cell r="R22">
            <v>1698</v>
          </cell>
        </row>
        <row r="23">
          <cell r="D23">
            <v>3</v>
          </cell>
          <cell r="E23">
            <v>1276</v>
          </cell>
          <cell r="R23">
            <v>1752</v>
          </cell>
        </row>
        <row r="24">
          <cell r="D24">
            <v>1</v>
          </cell>
          <cell r="E24">
            <v>1259</v>
          </cell>
          <cell r="R24">
            <v>1720</v>
          </cell>
        </row>
        <row r="25">
          <cell r="D25">
            <v>2</v>
          </cell>
          <cell r="E25">
            <v>1286</v>
          </cell>
          <cell r="R25">
            <v>1755</v>
          </cell>
        </row>
        <row r="26">
          <cell r="D26">
            <v>3</v>
          </cell>
          <cell r="E26">
            <v>1275</v>
          </cell>
          <cell r="R26">
            <v>1737</v>
          </cell>
        </row>
        <row r="27">
          <cell r="D27">
            <v>1</v>
          </cell>
          <cell r="E27">
            <v>1316</v>
          </cell>
          <cell r="R27">
            <v>1789</v>
          </cell>
        </row>
        <row r="28">
          <cell r="D28">
            <v>2</v>
          </cell>
          <cell r="E28">
            <v>1331</v>
          </cell>
          <cell r="R28">
            <v>1803</v>
          </cell>
        </row>
        <row r="29">
          <cell r="D29">
            <v>3</v>
          </cell>
          <cell r="E29">
            <v>1328</v>
          </cell>
          <cell r="R29">
            <v>1790</v>
          </cell>
        </row>
        <row r="30">
          <cell r="D30">
            <v>1</v>
          </cell>
          <cell r="E30">
            <v>1336</v>
          </cell>
          <cell r="R30">
            <v>1788</v>
          </cell>
        </row>
        <row r="31">
          <cell r="D31">
            <v>2</v>
          </cell>
          <cell r="E31">
            <v>1337</v>
          </cell>
          <cell r="R31">
            <v>1777</v>
          </cell>
        </row>
        <row r="32">
          <cell r="D32">
            <v>3</v>
          </cell>
          <cell r="E32">
            <v>1343</v>
          </cell>
          <cell r="R32">
            <v>1772</v>
          </cell>
        </row>
        <row r="33">
          <cell r="D33">
            <v>1</v>
          </cell>
          <cell r="E33">
            <v>1353</v>
          </cell>
          <cell r="R33">
            <v>1773</v>
          </cell>
        </row>
        <row r="34">
          <cell r="D34">
            <v>2</v>
          </cell>
          <cell r="E34">
            <v>1355</v>
          </cell>
          <cell r="R34">
            <v>1763</v>
          </cell>
        </row>
        <row r="35">
          <cell r="D35">
            <v>3</v>
          </cell>
          <cell r="E35">
            <v>1359</v>
          </cell>
          <cell r="R35">
            <v>1756</v>
          </cell>
        </row>
        <row r="36">
          <cell r="D36">
            <v>1</v>
          </cell>
          <cell r="E36">
            <v>1329</v>
          </cell>
          <cell r="R36">
            <v>1708</v>
          </cell>
        </row>
        <row r="37">
          <cell r="D37">
            <v>2</v>
          </cell>
          <cell r="E37">
            <v>1307</v>
          </cell>
          <cell r="R37">
            <v>1674</v>
          </cell>
        </row>
        <row r="38">
          <cell r="D38">
            <v>3</v>
          </cell>
          <cell r="E38">
            <v>1324</v>
          </cell>
          <cell r="R38">
            <v>1693</v>
          </cell>
        </row>
        <row r="39">
          <cell r="D39">
            <v>1</v>
          </cell>
          <cell r="E39">
            <v>1380</v>
          </cell>
          <cell r="R39">
            <v>1760</v>
          </cell>
        </row>
        <row r="40">
          <cell r="D40">
            <v>2</v>
          </cell>
          <cell r="E40">
            <v>1397</v>
          </cell>
          <cell r="R40">
            <v>1775</v>
          </cell>
        </row>
        <row r="41">
          <cell r="D41">
            <v>3</v>
          </cell>
          <cell r="E41">
            <v>1379</v>
          </cell>
          <cell r="R41">
            <v>1743</v>
          </cell>
        </row>
        <row r="42">
          <cell r="D42">
            <v>1</v>
          </cell>
          <cell r="E42">
            <v>1401</v>
          </cell>
          <cell r="R42">
            <v>1760</v>
          </cell>
        </row>
        <row r="43">
          <cell r="D43">
            <v>2</v>
          </cell>
          <cell r="E43">
            <v>1438</v>
          </cell>
          <cell r="R43">
            <v>1792</v>
          </cell>
        </row>
        <row r="44">
          <cell r="D44">
            <v>3</v>
          </cell>
          <cell r="E44">
            <v>1446</v>
          </cell>
          <cell r="R44">
            <v>1782</v>
          </cell>
        </row>
        <row r="45">
          <cell r="D45">
            <v>1</v>
          </cell>
          <cell r="E45">
            <v>1445</v>
          </cell>
          <cell r="R45">
            <v>1759</v>
          </cell>
        </row>
        <row r="46">
          <cell r="D46">
            <v>2</v>
          </cell>
          <cell r="E46">
            <v>1444</v>
          </cell>
          <cell r="R46">
            <v>1739</v>
          </cell>
        </row>
        <row r="47">
          <cell r="D47">
            <v>3</v>
          </cell>
          <cell r="E47">
            <v>1477</v>
          </cell>
          <cell r="R47">
            <v>1764</v>
          </cell>
        </row>
        <row r="48">
          <cell r="D48">
            <v>1</v>
          </cell>
          <cell r="E48">
            <v>1461</v>
          </cell>
          <cell r="R48">
            <v>1731</v>
          </cell>
        </row>
        <row r="49">
          <cell r="D49">
            <v>2</v>
          </cell>
          <cell r="E49">
            <v>1465</v>
          </cell>
          <cell r="R49">
            <v>1723</v>
          </cell>
        </row>
        <row r="50">
          <cell r="D50">
            <v>3</v>
          </cell>
          <cell r="E50">
            <v>1488</v>
          </cell>
          <cell r="R50">
            <v>1740</v>
          </cell>
        </row>
        <row r="51">
          <cell r="D51">
            <v>1</v>
          </cell>
          <cell r="E51">
            <v>1473</v>
          </cell>
          <cell r="R51">
            <v>1714</v>
          </cell>
        </row>
        <row r="52">
          <cell r="D52">
            <v>2</v>
          </cell>
          <cell r="E52">
            <v>1463</v>
          </cell>
          <cell r="R52">
            <v>1694</v>
          </cell>
        </row>
        <row r="53">
          <cell r="D53">
            <v>3</v>
          </cell>
          <cell r="E53">
            <v>1465</v>
          </cell>
          <cell r="R53">
            <v>1683</v>
          </cell>
        </row>
        <row r="54">
          <cell r="D54">
            <v>1</v>
          </cell>
          <cell r="E54">
            <v>1483</v>
          </cell>
          <cell r="R54">
            <v>1688</v>
          </cell>
        </row>
        <row r="55">
          <cell r="D55">
            <v>2</v>
          </cell>
          <cell r="E55">
            <v>1491</v>
          </cell>
          <cell r="R55">
            <v>1679</v>
          </cell>
        </row>
        <row r="56">
          <cell r="D56">
            <v>3</v>
          </cell>
          <cell r="E56">
            <v>1468</v>
          </cell>
          <cell r="R56">
            <v>1636</v>
          </cell>
        </row>
        <row r="57">
          <cell r="D57">
            <v>1</v>
          </cell>
          <cell r="E57">
            <v>1476</v>
          </cell>
          <cell r="R57">
            <v>1631</v>
          </cell>
        </row>
        <row r="58">
          <cell r="D58">
            <v>2</v>
          </cell>
          <cell r="E58">
            <v>1482</v>
          </cell>
          <cell r="R58">
            <v>1627</v>
          </cell>
        </row>
        <row r="59">
          <cell r="D59">
            <v>3</v>
          </cell>
          <cell r="E59">
            <v>1483</v>
          </cell>
          <cell r="R59">
            <v>1618</v>
          </cell>
        </row>
        <row r="60">
          <cell r="D60">
            <v>1</v>
          </cell>
          <cell r="E60">
            <v>1477</v>
          </cell>
          <cell r="R60">
            <v>1602</v>
          </cell>
        </row>
        <row r="61">
          <cell r="D61">
            <v>2</v>
          </cell>
          <cell r="E61">
            <v>1500</v>
          </cell>
          <cell r="R61">
            <v>1619</v>
          </cell>
        </row>
        <row r="62">
          <cell r="D62">
            <v>3</v>
          </cell>
          <cell r="E62">
            <v>1526</v>
          </cell>
          <cell r="R62">
            <v>1639</v>
          </cell>
        </row>
        <row r="63">
          <cell r="D63">
            <v>1</v>
          </cell>
          <cell r="E63">
            <v>1536</v>
          </cell>
          <cell r="R63">
            <v>1644</v>
          </cell>
        </row>
        <row r="64">
          <cell r="D64">
            <v>2</v>
          </cell>
          <cell r="E64">
            <v>1532</v>
          </cell>
          <cell r="R64">
            <v>1637</v>
          </cell>
        </row>
        <row r="65">
          <cell r="D65">
            <v>3</v>
          </cell>
          <cell r="E65">
            <v>1536</v>
          </cell>
          <cell r="R65">
            <v>1638</v>
          </cell>
        </row>
        <row r="66">
          <cell r="D66">
            <v>1</v>
          </cell>
          <cell r="E66">
            <v>1524</v>
          </cell>
          <cell r="R66">
            <v>1620</v>
          </cell>
        </row>
        <row r="67">
          <cell r="D67">
            <v>2</v>
          </cell>
          <cell r="E67">
            <v>1535</v>
          </cell>
          <cell r="R67">
            <v>1628</v>
          </cell>
        </row>
        <row r="68">
          <cell r="D68">
            <v>3</v>
          </cell>
          <cell r="E68">
            <v>1550</v>
          </cell>
          <cell r="R68">
            <v>1638</v>
          </cell>
        </row>
        <row r="69">
          <cell r="D69">
            <v>1</v>
          </cell>
          <cell r="E69">
            <v>1592</v>
          </cell>
          <cell r="R69">
            <v>1678</v>
          </cell>
        </row>
        <row r="70">
          <cell r="D70">
            <v>2</v>
          </cell>
          <cell r="E70">
            <v>1594</v>
          </cell>
          <cell r="R70">
            <v>1676</v>
          </cell>
        </row>
        <row r="71">
          <cell r="D71">
            <v>3</v>
          </cell>
          <cell r="E71">
            <v>1574</v>
          </cell>
          <cell r="R71">
            <v>1650</v>
          </cell>
        </row>
        <row r="72">
          <cell r="D72">
            <v>1</v>
          </cell>
          <cell r="E72">
            <v>1552</v>
          </cell>
          <cell r="R72">
            <v>1626</v>
          </cell>
        </row>
        <row r="73">
          <cell r="D73">
            <v>2</v>
          </cell>
          <cell r="E73">
            <v>1546</v>
          </cell>
          <cell r="R73">
            <v>1618</v>
          </cell>
        </row>
        <row r="74">
          <cell r="D74">
            <v>3</v>
          </cell>
          <cell r="E74">
            <v>1542</v>
          </cell>
          <cell r="R74">
            <v>1613</v>
          </cell>
        </row>
        <row r="75">
          <cell r="D75">
            <v>1</v>
          </cell>
          <cell r="E75">
            <v>1554</v>
          </cell>
          <cell r="R75">
            <v>1623</v>
          </cell>
        </row>
        <row r="76">
          <cell r="D76">
            <v>2</v>
          </cell>
          <cell r="E76">
            <v>1560</v>
          </cell>
          <cell r="R76">
            <v>1625</v>
          </cell>
        </row>
        <row r="77">
          <cell r="D77">
            <v>3</v>
          </cell>
          <cell r="E77">
            <v>1591</v>
          </cell>
          <cell r="R77">
            <v>1652</v>
          </cell>
        </row>
        <row r="78">
          <cell r="D78">
            <v>1</v>
          </cell>
          <cell r="E78">
            <v>1601</v>
          </cell>
          <cell r="R78">
            <v>1656</v>
          </cell>
        </row>
        <row r="79">
          <cell r="D79">
            <v>2</v>
          </cell>
          <cell r="E79">
            <v>1618</v>
          </cell>
          <cell r="R79">
            <v>1668</v>
          </cell>
        </row>
        <row r="80">
          <cell r="D80">
            <v>3</v>
          </cell>
          <cell r="E80">
            <v>1620</v>
          </cell>
          <cell r="R80">
            <v>1664</v>
          </cell>
        </row>
        <row r="81">
          <cell r="D81">
            <v>1</v>
          </cell>
          <cell r="E81">
            <v>1612</v>
          </cell>
          <cell r="R81">
            <v>1652</v>
          </cell>
        </row>
        <row r="82">
          <cell r="D82">
            <v>2</v>
          </cell>
          <cell r="E82">
            <v>1618</v>
          </cell>
          <cell r="R82">
            <v>1655</v>
          </cell>
        </row>
        <row r="83">
          <cell r="D83">
            <v>3</v>
          </cell>
          <cell r="E83">
            <v>1630</v>
          </cell>
          <cell r="R83">
            <v>1664</v>
          </cell>
        </row>
        <row r="84">
          <cell r="D84">
            <v>1</v>
          </cell>
          <cell r="E84">
            <v>1632</v>
          </cell>
          <cell r="R84">
            <v>1655</v>
          </cell>
        </row>
        <row r="85">
          <cell r="D85">
            <v>2</v>
          </cell>
          <cell r="E85">
            <v>1634</v>
          </cell>
          <cell r="R85">
            <v>1646</v>
          </cell>
        </row>
        <row r="86">
          <cell r="D86">
            <v>3</v>
          </cell>
          <cell r="E86">
            <v>1629</v>
          </cell>
          <cell r="R86">
            <v>1633</v>
          </cell>
        </row>
        <row r="87">
          <cell r="D87">
            <v>1</v>
          </cell>
          <cell r="E87">
            <v>1637</v>
          </cell>
          <cell r="R87">
            <v>1637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43" refreshError="1"/>
      <sheetData sheetId="14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541</v>
          </cell>
          <cell r="R9">
            <v>798</v>
          </cell>
        </row>
        <row r="10">
          <cell r="D10">
            <v>2</v>
          </cell>
          <cell r="E10">
            <v>542</v>
          </cell>
          <cell r="R10">
            <v>796</v>
          </cell>
        </row>
        <row r="11">
          <cell r="D11">
            <v>3</v>
          </cell>
          <cell r="E11">
            <v>547</v>
          </cell>
          <cell r="R11">
            <v>801</v>
          </cell>
        </row>
        <row r="12">
          <cell r="D12">
            <v>1</v>
          </cell>
          <cell r="E12">
            <v>548</v>
          </cell>
          <cell r="R12">
            <v>798</v>
          </cell>
        </row>
        <row r="13">
          <cell r="D13">
            <v>2</v>
          </cell>
          <cell r="E13">
            <v>547</v>
          </cell>
          <cell r="R13">
            <v>795</v>
          </cell>
        </row>
        <row r="14">
          <cell r="D14">
            <v>3</v>
          </cell>
          <cell r="E14">
            <v>551</v>
          </cell>
          <cell r="R14">
            <v>798</v>
          </cell>
        </row>
        <row r="15">
          <cell r="D15">
            <v>1</v>
          </cell>
          <cell r="E15">
            <v>552</v>
          </cell>
          <cell r="R15">
            <v>795</v>
          </cell>
        </row>
        <row r="16">
          <cell r="D16">
            <v>2</v>
          </cell>
          <cell r="E16">
            <v>558</v>
          </cell>
          <cell r="R16">
            <v>801</v>
          </cell>
        </row>
        <row r="17">
          <cell r="D17">
            <v>3</v>
          </cell>
          <cell r="E17">
            <v>562</v>
          </cell>
          <cell r="R17">
            <v>801</v>
          </cell>
        </row>
        <row r="18">
          <cell r="D18">
            <v>1</v>
          </cell>
          <cell r="E18">
            <v>569</v>
          </cell>
          <cell r="R18">
            <v>805</v>
          </cell>
        </row>
        <row r="19">
          <cell r="D19">
            <v>2</v>
          </cell>
          <cell r="E19">
            <v>572</v>
          </cell>
          <cell r="R19">
            <v>805</v>
          </cell>
        </row>
        <row r="20">
          <cell r="D20">
            <v>3</v>
          </cell>
          <cell r="E20">
            <v>585</v>
          </cell>
          <cell r="R20">
            <v>815</v>
          </cell>
        </row>
        <row r="21">
          <cell r="D21">
            <v>1</v>
          </cell>
          <cell r="E21">
            <v>589</v>
          </cell>
          <cell r="R21">
            <v>816</v>
          </cell>
        </row>
        <row r="22">
          <cell r="D22">
            <v>2</v>
          </cell>
          <cell r="E22">
            <v>596</v>
          </cell>
          <cell r="R22">
            <v>821</v>
          </cell>
        </row>
        <row r="23">
          <cell r="D23">
            <v>3</v>
          </cell>
          <cell r="E23">
            <v>599</v>
          </cell>
          <cell r="R23">
            <v>821</v>
          </cell>
        </row>
        <row r="24">
          <cell r="D24">
            <v>1</v>
          </cell>
          <cell r="E24">
            <v>603</v>
          </cell>
          <cell r="R24">
            <v>825</v>
          </cell>
        </row>
        <row r="25">
          <cell r="D25">
            <v>2</v>
          </cell>
          <cell r="E25">
            <v>611</v>
          </cell>
          <cell r="R25">
            <v>833</v>
          </cell>
        </row>
        <row r="26">
          <cell r="D26">
            <v>3</v>
          </cell>
          <cell r="E26">
            <v>612</v>
          </cell>
          <cell r="R26">
            <v>834</v>
          </cell>
        </row>
        <row r="27">
          <cell r="D27">
            <v>1</v>
          </cell>
          <cell r="E27">
            <v>616</v>
          </cell>
          <cell r="R27">
            <v>837</v>
          </cell>
        </row>
        <row r="28">
          <cell r="D28">
            <v>2</v>
          </cell>
          <cell r="E28">
            <v>626</v>
          </cell>
          <cell r="R28">
            <v>847</v>
          </cell>
        </row>
        <row r="29">
          <cell r="D29">
            <v>3</v>
          </cell>
          <cell r="E29">
            <v>632</v>
          </cell>
          <cell r="R29">
            <v>851</v>
          </cell>
        </row>
        <row r="30">
          <cell r="D30">
            <v>1</v>
          </cell>
          <cell r="E30">
            <v>638</v>
          </cell>
          <cell r="R30">
            <v>853</v>
          </cell>
        </row>
        <row r="31">
          <cell r="D31">
            <v>2</v>
          </cell>
          <cell r="E31">
            <v>638</v>
          </cell>
          <cell r="R31">
            <v>848</v>
          </cell>
        </row>
        <row r="32">
          <cell r="D32">
            <v>3</v>
          </cell>
          <cell r="E32">
            <v>653</v>
          </cell>
          <cell r="R32">
            <v>862</v>
          </cell>
        </row>
        <row r="33">
          <cell r="D33">
            <v>1</v>
          </cell>
          <cell r="E33">
            <v>668</v>
          </cell>
          <cell r="R33">
            <v>876</v>
          </cell>
        </row>
        <row r="34">
          <cell r="D34">
            <v>2</v>
          </cell>
          <cell r="E34">
            <v>676</v>
          </cell>
          <cell r="R34">
            <v>879</v>
          </cell>
        </row>
        <row r="35">
          <cell r="D35">
            <v>3</v>
          </cell>
          <cell r="E35">
            <v>675</v>
          </cell>
          <cell r="R35">
            <v>872</v>
          </cell>
        </row>
        <row r="36">
          <cell r="D36">
            <v>1</v>
          </cell>
          <cell r="E36">
            <v>671</v>
          </cell>
          <cell r="R36">
            <v>862</v>
          </cell>
        </row>
        <row r="37">
          <cell r="D37">
            <v>2</v>
          </cell>
          <cell r="E37">
            <v>672</v>
          </cell>
          <cell r="R37">
            <v>862</v>
          </cell>
        </row>
        <row r="38">
          <cell r="D38">
            <v>3</v>
          </cell>
          <cell r="E38">
            <v>674</v>
          </cell>
          <cell r="R38">
            <v>862</v>
          </cell>
        </row>
        <row r="39">
          <cell r="D39">
            <v>1</v>
          </cell>
          <cell r="E39">
            <v>686</v>
          </cell>
          <cell r="R39">
            <v>875</v>
          </cell>
        </row>
        <row r="40">
          <cell r="D40">
            <v>2</v>
          </cell>
          <cell r="E40">
            <v>694</v>
          </cell>
          <cell r="R40">
            <v>882</v>
          </cell>
        </row>
        <row r="41">
          <cell r="D41">
            <v>3</v>
          </cell>
          <cell r="E41">
            <v>699</v>
          </cell>
          <cell r="R41">
            <v>883</v>
          </cell>
        </row>
        <row r="42">
          <cell r="D42">
            <v>1</v>
          </cell>
          <cell r="E42">
            <v>701</v>
          </cell>
          <cell r="R42">
            <v>881</v>
          </cell>
        </row>
        <row r="43">
          <cell r="D43">
            <v>2</v>
          </cell>
          <cell r="E43">
            <v>709</v>
          </cell>
          <cell r="R43">
            <v>883</v>
          </cell>
        </row>
        <row r="44">
          <cell r="D44">
            <v>3</v>
          </cell>
          <cell r="E44">
            <v>718</v>
          </cell>
          <cell r="R44">
            <v>885</v>
          </cell>
        </row>
        <row r="45">
          <cell r="D45">
            <v>1</v>
          </cell>
          <cell r="E45">
            <v>729</v>
          </cell>
          <cell r="R45">
            <v>887</v>
          </cell>
        </row>
        <row r="46">
          <cell r="D46">
            <v>2</v>
          </cell>
          <cell r="E46">
            <v>736</v>
          </cell>
          <cell r="R46">
            <v>886</v>
          </cell>
        </row>
        <row r="47">
          <cell r="D47">
            <v>3</v>
          </cell>
          <cell r="E47">
            <v>742</v>
          </cell>
          <cell r="R47">
            <v>885</v>
          </cell>
        </row>
        <row r="48">
          <cell r="D48">
            <v>1</v>
          </cell>
          <cell r="E48">
            <v>740</v>
          </cell>
          <cell r="R48">
            <v>876</v>
          </cell>
        </row>
        <row r="49">
          <cell r="D49">
            <v>2</v>
          </cell>
          <cell r="E49">
            <v>741</v>
          </cell>
          <cell r="R49">
            <v>871</v>
          </cell>
        </row>
        <row r="50">
          <cell r="D50">
            <v>3</v>
          </cell>
          <cell r="E50">
            <v>738</v>
          </cell>
          <cell r="R50">
            <v>863</v>
          </cell>
        </row>
        <row r="51">
          <cell r="D51">
            <v>1</v>
          </cell>
          <cell r="E51">
            <v>742</v>
          </cell>
          <cell r="R51">
            <v>863</v>
          </cell>
        </row>
        <row r="52">
          <cell r="D52">
            <v>2</v>
          </cell>
          <cell r="E52">
            <v>741</v>
          </cell>
          <cell r="R52">
            <v>859</v>
          </cell>
        </row>
        <row r="53">
          <cell r="D53">
            <v>3</v>
          </cell>
          <cell r="E53">
            <v>750</v>
          </cell>
          <cell r="R53">
            <v>861</v>
          </cell>
        </row>
        <row r="54">
          <cell r="D54">
            <v>1</v>
          </cell>
          <cell r="E54">
            <v>759</v>
          </cell>
          <cell r="R54">
            <v>864</v>
          </cell>
        </row>
        <row r="55">
          <cell r="D55">
            <v>2</v>
          </cell>
          <cell r="E55">
            <v>777</v>
          </cell>
          <cell r="R55">
            <v>874</v>
          </cell>
        </row>
        <row r="56">
          <cell r="D56">
            <v>3</v>
          </cell>
          <cell r="E56">
            <v>788</v>
          </cell>
          <cell r="R56">
            <v>878</v>
          </cell>
        </row>
        <row r="57">
          <cell r="D57">
            <v>1</v>
          </cell>
          <cell r="E57">
            <v>801</v>
          </cell>
          <cell r="R57">
            <v>885</v>
          </cell>
        </row>
        <row r="58">
          <cell r="D58">
            <v>2</v>
          </cell>
          <cell r="E58">
            <v>804</v>
          </cell>
          <cell r="R58">
            <v>883</v>
          </cell>
        </row>
        <row r="59">
          <cell r="D59">
            <v>3</v>
          </cell>
          <cell r="E59">
            <v>807</v>
          </cell>
          <cell r="R59">
            <v>881</v>
          </cell>
        </row>
        <row r="60">
          <cell r="D60">
            <v>1</v>
          </cell>
          <cell r="E60">
            <v>804</v>
          </cell>
          <cell r="R60">
            <v>872</v>
          </cell>
        </row>
        <row r="61">
          <cell r="D61">
            <v>2</v>
          </cell>
          <cell r="E61">
            <v>805</v>
          </cell>
          <cell r="R61">
            <v>868</v>
          </cell>
        </row>
        <row r="62">
          <cell r="D62">
            <v>3</v>
          </cell>
          <cell r="E62">
            <v>810</v>
          </cell>
          <cell r="R62">
            <v>870</v>
          </cell>
        </row>
        <row r="63">
          <cell r="D63">
            <v>1</v>
          </cell>
          <cell r="E63">
            <v>814</v>
          </cell>
          <cell r="R63">
            <v>871</v>
          </cell>
        </row>
        <row r="64">
          <cell r="D64">
            <v>2</v>
          </cell>
          <cell r="E64">
            <v>818</v>
          </cell>
          <cell r="R64">
            <v>873</v>
          </cell>
        </row>
        <row r="65">
          <cell r="D65">
            <v>3</v>
          </cell>
          <cell r="E65">
            <v>816</v>
          </cell>
          <cell r="R65">
            <v>869</v>
          </cell>
        </row>
        <row r="66">
          <cell r="D66">
            <v>1</v>
          </cell>
          <cell r="E66">
            <v>818</v>
          </cell>
          <cell r="R66">
            <v>869</v>
          </cell>
        </row>
        <row r="67">
          <cell r="D67">
            <v>2</v>
          </cell>
          <cell r="E67">
            <v>820</v>
          </cell>
          <cell r="R67">
            <v>869</v>
          </cell>
        </row>
        <row r="68">
          <cell r="D68">
            <v>3</v>
          </cell>
          <cell r="E68">
            <v>827</v>
          </cell>
          <cell r="R68">
            <v>874</v>
          </cell>
        </row>
        <row r="69">
          <cell r="D69">
            <v>1</v>
          </cell>
          <cell r="E69">
            <v>840</v>
          </cell>
          <cell r="R69">
            <v>884</v>
          </cell>
        </row>
        <row r="70">
          <cell r="D70">
            <v>2</v>
          </cell>
          <cell r="E70">
            <v>843</v>
          </cell>
          <cell r="R70">
            <v>886</v>
          </cell>
        </row>
        <row r="71">
          <cell r="D71">
            <v>3</v>
          </cell>
          <cell r="E71">
            <v>846</v>
          </cell>
          <cell r="R71">
            <v>887</v>
          </cell>
        </row>
        <row r="72">
          <cell r="D72">
            <v>1</v>
          </cell>
          <cell r="E72">
            <v>843</v>
          </cell>
          <cell r="R72">
            <v>883</v>
          </cell>
        </row>
        <row r="73">
          <cell r="D73">
            <v>2</v>
          </cell>
          <cell r="E73">
            <v>838</v>
          </cell>
          <cell r="R73">
            <v>877</v>
          </cell>
        </row>
        <row r="74">
          <cell r="D74">
            <v>3</v>
          </cell>
          <cell r="E74">
            <v>836</v>
          </cell>
          <cell r="R74">
            <v>875</v>
          </cell>
        </row>
        <row r="75">
          <cell r="D75">
            <v>1</v>
          </cell>
          <cell r="E75">
            <v>839</v>
          </cell>
          <cell r="R75">
            <v>875</v>
          </cell>
        </row>
        <row r="76">
          <cell r="D76">
            <v>2</v>
          </cell>
          <cell r="E76">
            <v>843</v>
          </cell>
          <cell r="R76">
            <v>878</v>
          </cell>
        </row>
        <row r="77">
          <cell r="D77">
            <v>3</v>
          </cell>
          <cell r="E77">
            <v>847</v>
          </cell>
          <cell r="R77">
            <v>879</v>
          </cell>
        </row>
        <row r="78">
          <cell r="D78">
            <v>1</v>
          </cell>
          <cell r="E78">
            <v>852</v>
          </cell>
          <cell r="R78">
            <v>881</v>
          </cell>
        </row>
        <row r="79">
          <cell r="D79">
            <v>2</v>
          </cell>
          <cell r="E79">
            <v>858</v>
          </cell>
          <cell r="R79">
            <v>884</v>
          </cell>
        </row>
        <row r="80">
          <cell r="D80">
            <v>3</v>
          </cell>
          <cell r="E80">
            <v>868</v>
          </cell>
          <cell r="R80">
            <v>891</v>
          </cell>
        </row>
        <row r="81">
          <cell r="D81">
            <v>1</v>
          </cell>
          <cell r="E81">
            <v>881</v>
          </cell>
          <cell r="R81">
            <v>903</v>
          </cell>
        </row>
        <row r="82">
          <cell r="D82">
            <v>2</v>
          </cell>
          <cell r="E82">
            <v>884</v>
          </cell>
          <cell r="R82">
            <v>904</v>
          </cell>
        </row>
        <row r="83">
          <cell r="D83">
            <v>3</v>
          </cell>
          <cell r="E83">
            <v>882</v>
          </cell>
          <cell r="R83">
            <v>900</v>
          </cell>
        </row>
        <row r="84">
          <cell r="D84">
            <v>1</v>
          </cell>
          <cell r="E84">
            <v>873</v>
          </cell>
          <cell r="R84">
            <v>885</v>
          </cell>
        </row>
        <row r="85">
          <cell r="D85">
            <v>2</v>
          </cell>
          <cell r="E85">
            <v>869</v>
          </cell>
          <cell r="R85">
            <v>876</v>
          </cell>
        </row>
        <row r="86">
          <cell r="D86">
            <v>3</v>
          </cell>
          <cell r="E86">
            <v>867</v>
          </cell>
          <cell r="R86">
            <v>869</v>
          </cell>
        </row>
        <row r="87">
          <cell r="D87">
            <v>1</v>
          </cell>
          <cell r="E87">
            <v>868</v>
          </cell>
          <cell r="R87">
            <v>868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45" refreshError="1"/>
      <sheetData sheetId="14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nominal
(em milhões de R$)</v>
          </cell>
          <cell r="R7" t="str">
            <v>Estimativa real2
(em milhões de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122207</v>
          </cell>
          <cell r="R9">
            <v>180112</v>
          </cell>
        </row>
        <row r="10">
          <cell r="D10">
            <v>2</v>
          </cell>
          <cell r="E10">
            <v>124156</v>
          </cell>
          <cell r="R10">
            <v>182199</v>
          </cell>
        </row>
        <row r="11">
          <cell r="D11">
            <v>3</v>
          </cell>
          <cell r="E11">
            <v>124511</v>
          </cell>
          <cell r="R11">
            <v>181997</v>
          </cell>
        </row>
        <row r="12">
          <cell r="D12">
            <v>1</v>
          </cell>
          <cell r="E12">
            <v>125256</v>
          </cell>
          <cell r="R12">
            <v>182431</v>
          </cell>
        </row>
        <row r="13">
          <cell r="D13">
            <v>2</v>
          </cell>
          <cell r="E13">
            <v>126437</v>
          </cell>
          <cell r="R13">
            <v>183611</v>
          </cell>
        </row>
        <row r="14">
          <cell r="D14">
            <v>3</v>
          </cell>
          <cell r="E14">
            <v>127564</v>
          </cell>
          <cell r="R14">
            <v>184698</v>
          </cell>
        </row>
        <row r="15">
          <cell r="D15">
            <v>1</v>
          </cell>
          <cell r="E15">
            <v>128412</v>
          </cell>
          <cell r="R15">
            <v>185047</v>
          </cell>
        </row>
        <row r="16">
          <cell r="D16">
            <v>2</v>
          </cell>
          <cell r="E16">
            <v>129107</v>
          </cell>
          <cell r="R16">
            <v>185075</v>
          </cell>
        </row>
        <row r="17">
          <cell r="D17">
            <v>3</v>
          </cell>
          <cell r="E17">
            <v>130036</v>
          </cell>
          <cell r="R17">
            <v>185290</v>
          </cell>
        </row>
        <row r="18">
          <cell r="D18">
            <v>1</v>
          </cell>
          <cell r="E18">
            <v>130705</v>
          </cell>
          <cell r="R18">
            <v>185014</v>
          </cell>
        </row>
        <row r="19">
          <cell r="D19">
            <v>2</v>
          </cell>
          <cell r="E19">
            <v>131682</v>
          </cell>
          <cell r="R19">
            <v>185015</v>
          </cell>
        </row>
        <row r="20">
          <cell r="D20">
            <v>3</v>
          </cell>
          <cell r="E20">
            <v>133033</v>
          </cell>
          <cell r="R20">
            <v>185527</v>
          </cell>
        </row>
        <row r="21">
          <cell r="D21">
            <v>1</v>
          </cell>
          <cell r="E21">
            <v>134380</v>
          </cell>
          <cell r="R21">
            <v>186208</v>
          </cell>
        </row>
        <row r="22">
          <cell r="D22">
            <v>2</v>
          </cell>
          <cell r="E22">
            <v>136125</v>
          </cell>
          <cell r="R22">
            <v>187612</v>
          </cell>
        </row>
        <row r="23">
          <cell r="D23">
            <v>3</v>
          </cell>
          <cell r="E23">
            <v>138077</v>
          </cell>
          <cell r="R23">
            <v>189421</v>
          </cell>
        </row>
        <row r="24">
          <cell r="D24">
            <v>1</v>
          </cell>
          <cell r="E24">
            <v>140168</v>
          </cell>
          <cell r="R24">
            <v>191568</v>
          </cell>
        </row>
        <row r="25">
          <cell r="D25">
            <v>2</v>
          </cell>
          <cell r="E25">
            <v>141881</v>
          </cell>
          <cell r="R25">
            <v>193518</v>
          </cell>
        </row>
        <row r="26">
          <cell r="D26">
            <v>3</v>
          </cell>
          <cell r="E26">
            <v>142776</v>
          </cell>
          <cell r="R26">
            <v>194391</v>
          </cell>
        </row>
        <row r="27">
          <cell r="D27">
            <v>1</v>
          </cell>
          <cell r="E27">
            <v>143440</v>
          </cell>
          <cell r="R27">
            <v>194878</v>
          </cell>
        </row>
        <row r="28">
          <cell r="D28">
            <v>2</v>
          </cell>
          <cell r="E28">
            <v>144638</v>
          </cell>
          <cell r="R28">
            <v>195716</v>
          </cell>
        </row>
        <row r="29">
          <cell r="D29">
            <v>3</v>
          </cell>
          <cell r="E29">
            <v>145489</v>
          </cell>
          <cell r="R29">
            <v>195900</v>
          </cell>
        </row>
        <row r="30">
          <cell r="D30">
            <v>1</v>
          </cell>
          <cell r="E30">
            <v>145579</v>
          </cell>
          <cell r="R30">
            <v>194705</v>
          </cell>
        </row>
        <row r="31">
          <cell r="D31">
            <v>2</v>
          </cell>
          <cell r="E31">
            <v>146016</v>
          </cell>
          <cell r="R31">
            <v>194011</v>
          </cell>
        </row>
        <row r="32">
          <cell r="D32">
            <v>3</v>
          </cell>
          <cell r="E32">
            <v>148257</v>
          </cell>
          <cell r="R32">
            <v>195610</v>
          </cell>
        </row>
        <row r="33">
          <cell r="D33">
            <v>1</v>
          </cell>
          <cell r="E33">
            <v>150721</v>
          </cell>
          <cell r="R33">
            <v>197465</v>
          </cell>
        </row>
        <row r="34">
          <cell r="D34">
            <v>2</v>
          </cell>
          <cell r="E34">
            <v>152480</v>
          </cell>
          <cell r="R34">
            <v>198278</v>
          </cell>
        </row>
        <row r="35">
          <cell r="D35">
            <v>3</v>
          </cell>
          <cell r="E35">
            <v>153594</v>
          </cell>
          <cell r="R35">
            <v>198381</v>
          </cell>
        </row>
        <row r="36">
          <cell r="D36">
            <v>1</v>
          </cell>
          <cell r="E36">
            <v>152295</v>
          </cell>
          <cell r="R36">
            <v>195686</v>
          </cell>
        </row>
        <row r="37">
          <cell r="D37">
            <v>2</v>
          </cell>
          <cell r="E37">
            <v>150644</v>
          </cell>
          <cell r="R37">
            <v>192985</v>
          </cell>
        </row>
        <row r="38">
          <cell r="D38">
            <v>3</v>
          </cell>
          <cell r="E38">
            <v>151399</v>
          </cell>
          <cell r="R38">
            <v>193511</v>
          </cell>
        </row>
        <row r="39">
          <cell r="D39">
            <v>1</v>
          </cell>
          <cell r="E39">
            <v>154129</v>
          </cell>
          <cell r="R39">
            <v>196448</v>
          </cell>
        </row>
        <row r="40">
          <cell r="D40">
            <v>2</v>
          </cell>
          <cell r="E40">
            <v>156756</v>
          </cell>
          <cell r="R40">
            <v>198973</v>
          </cell>
        </row>
        <row r="41">
          <cell r="D41">
            <v>3</v>
          </cell>
          <cell r="E41">
            <v>157142</v>
          </cell>
          <cell r="R41">
            <v>198473</v>
          </cell>
        </row>
        <row r="42">
          <cell r="D42">
            <v>1</v>
          </cell>
          <cell r="E42">
            <v>159017</v>
          </cell>
          <cell r="R42">
            <v>199716</v>
          </cell>
        </row>
        <row r="43">
          <cell r="D43">
            <v>2</v>
          </cell>
          <cell r="E43">
            <v>161109</v>
          </cell>
          <cell r="R43">
            <v>200673</v>
          </cell>
        </row>
        <row r="44">
          <cell r="D44">
            <v>3</v>
          </cell>
          <cell r="E44">
            <v>162271</v>
          </cell>
          <cell r="R44">
            <v>199976</v>
          </cell>
        </row>
        <row r="45">
          <cell r="D45">
            <v>1</v>
          </cell>
          <cell r="E45">
            <v>163798</v>
          </cell>
          <cell r="R45">
            <v>199370</v>
          </cell>
        </row>
        <row r="46">
          <cell r="D46">
            <v>2</v>
          </cell>
          <cell r="E46">
            <v>165464</v>
          </cell>
          <cell r="R46">
            <v>199243</v>
          </cell>
        </row>
        <row r="47">
          <cell r="D47">
            <v>3</v>
          </cell>
          <cell r="E47">
            <v>166108</v>
          </cell>
          <cell r="R47">
            <v>198190</v>
          </cell>
        </row>
        <row r="48">
          <cell r="D48">
            <v>1</v>
          </cell>
          <cell r="E48">
            <v>167905</v>
          </cell>
          <cell r="R48">
            <v>198843</v>
          </cell>
        </row>
        <row r="49">
          <cell r="D49">
            <v>2</v>
          </cell>
          <cell r="E49">
            <v>167763</v>
          </cell>
          <cell r="R49">
            <v>197246</v>
          </cell>
        </row>
        <row r="50">
          <cell r="D50">
            <v>3</v>
          </cell>
          <cell r="E50">
            <v>167828</v>
          </cell>
          <cell r="R50">
            <v>196245</v>
          </cell>
        </row>
        <row r="51">
          <cell r="D51">
            <v>1</v>
          </cell>
          <cell r="E51">
            <v>168577</v>
          </cell>
          <cell r="R51">
            <v>196214</v>
          </cell>
        </row>
        <row r="52">
          <cell r="D52">
            <v>2</v>
          </cell>
          <cell r="E52">
            <v>169256</v>
          </cell>
          <cell r="R52">
            <v>195957</v>
          </cell>
        </row>
        <row r="53">
          <cell r="D53">
            <v>3</v>
          </cell>
          <cell r="E53">
            <v>169273</v>
          </cell>
          <cell r="R53">
            <v>194422</v>
          </cell>
        </row>
        <row r="54">
          <cell r="D54">
            <v>1</v>
          </cell>
          <cell r="E54">
            <v>170348</v>
          </cell>
          <cell r="R54">
            <v>193838</v>
          </cell>
        </row>
        <row r="55">
          <cell r="D55">
            <v>2</v>
          </cell>
          <cell r="E55">
            <v>171508</v>
          </cell>
          <cell r="R55">
            <v>193088</v>
          </cell>
        </row>
        <row r="56">
          <cell r="D56">
            <v>3</v>
          </cell>
          <cell r="E56">
            <v>171330</v>
          </cell>
          <cell r="R56">
            <v>190906</v>
          </cell>
        </row>
        <row r="57">
          <cell r="D57">
            <v>1</v>
          </cell>
          <cell r="E57">
            <v>173450</v>
          </cell>
          <cell r="R57">
            <v>191626</v>
          </cell>
        </row>
        <row r="58">
          <cell r="D58">
            <v>2</v>
          </cell>
          <cell r="E58">
            <v>173300</v>
          </cell>
          <cell r="R58">
            <v>190219</v>
          </cell>
        </row>
        <row r="59">
          <cell r="D59">
            <v>3</v>
          </cell>
          <cell r="E59">
            <v>175569</v>
          </cell>
          <cell r="R59">
            <v>191540</v>
          </cell>
        </row>
        <row r="60">
          <cell r="D60">
            <v>1</v>
          </cell>
          <cell r="E60">
            <v>174647</v>
          </cell>
          <cell r="R60">
            <v>189421</v>
          </cell>
        </row>
        <row r="61">
          <cell r="D61">
            <v>2</v>
          </cell>
          <cell r="E61">
            <v>175336</v>
          </cell>
          <cell r="R61">
            <v>189138</v>
          </cell>
        </row>
        <row r="62">
          <cell r="D62">
            <v>3</v>
          </cell>
          <cell r="E62">
            <v>176979</v>
          </cell>
          <cell r="R62">
            <v>190110</v>
          </cell>
        </row>
        <row r="63">
          <cell r="D63">
            <v>1</v>
          </cell>
          <cell r="E63">
            <v>176787</v>
          </cell>
          <cell r="R63">
            <v>189257</v>
          </cell>
        </row>
        <row r="64">
          <cell r="D64">
            <v>2</v>
          </cell>
          <cell r="E64">
            <v>177671</v>
          </cell>
          <cell r="R64">
            <v>189704</v>
          </cell>
        </row>
        <row r="65">
          <cell r="D65">
            <v>3</v>
          </cell>
          <cell r="E65">
            <v>178859</v>
          </cell>
          <cell r="R65">
            <v>190632</v>
          </cell>
        </row>
        <row r="66">
          <cell r="D66">
            <v>1</v>
          </cell>
          <cell r="E66">
            <v>181599</v>
          </cell>
          <cell r="R66">
            <v>193085</v>
          </cell>
        </row>
        <row r="67">
          <cell r="D67">
            <v>2</v>
          </cell>
          <cell r="E67">
            <v>181829</v>
          </cell>
          <cell r="R67">
            <v>192779</v>
          </cell>
        </row>
        <row r="68">
          <cell r="D68">
            <v>3</v>
          </cell>
          <cell r="E68">
            <v>181802</v>
          </cell>
          <cell r="R68">
            <v>192115</v>
          </cell>
        </row>
        <row r="69">
          <cell r="D69">
            <v>1</v>
          </cell>
          <cell r="E69">
            <v>182935</v>
          </cell>
          <cell r="R69">
            <v>192714</v>
          </cell>
        </row>
        <row r="70">
          <cell r="D70">
            <v>2</v>
          </cell>
          <cell r="E70">
            <v>183261</v>
          </cell>
          <cell r="R70">
            <v>192600</v>
          </cell>
        </row>
        <row r="71">
          <cell r="D71">
            <v>3</v>
          </cell>
          <cell r="E71">
            <v>184424</v>
          </cell>
          <cell r="R71">
            <v>193366</v>
          </cell>
        </row>
        <row r="72">
          <cell r="D72">
            <v>1</v>
          </cell>
          <cell r="E72">
            <v>185096</v>
          </cell>
          <cell r="R72">
            <v>193932</v>
          </cell>
        </row>
        <row r="73">
          <cell r="D73">
            <v>2</v>
          </cell>
          <cell r="E73">
            <v>186127</v>
          </cell>
          <cell r="R73">
            <v>194800</v>
          </cell>
        </row>
        <row r="74">
          <cell r="D74">
            <v>3</v>
          </cell>
          <cell r="E74">
            <v>186722</v>
          </cell>
          <cell r="R74">
            <v>195293</v>
          </cell>
        </row>
        <row r="75">
          <cell r="D75">
            <v>1</v>
          </cell>
          <cell r="E75">
            <v>188137</v>
          </cell>
          <cell r="R75">
            <v>196373</v>
          </cell>
        </row>
        <row r="76">
          <cell r="D76">
            <v>2</v>
          </cell>
          <cell r="E76">
            <v>189827</v>
          </cell>
          <cell r="R76">
            <v>197607</v>
          </cell>
        </row>
        <row r="77">
          <cell r="D77">
            <v>3</v>
          </cell>
          <cell r="E77">
            <v>191918</v>
          </cell>
          <cell r="R77">
            <v>199179</v>
          </cell>
        </row>
        <row r="78">
          <cell r="D78">
            <v>1</v>
          </cell>
          <cell r="E78">
            <v>193368</v>
          </cell>
          <cell r="R78">
            <v>199908</v>
          </cell>
        </row>
        <row r="79">
          <cell r="D79">
            <v>2</v>
          </cell>
          <cell r="E79">
            <v>193827</v>
          </cell>
          <cell r="R79">
            <v>199721</v>
          </cell>
        </row>
        <row r="80">
          <cell r="D80">
            <v>3</v>
          </cell>
          <cell r="E80">
            <v>194071</v>
          </cell>
          <cell r="R80">
            <v>199301</v>
          </cell>
        </row>
        <row r="81">
          <cell r="D81">
            <v>1</v>
          </cell>
          <cell r="E81">
            <v>191503</v>
          </cell>
          <cell r="R81">
            <v>196231</v>
          </cell>
        </row>
        <row r="82">
          <cell r="D82">
            <v>2</v>
          </cell>
          <cell r="E82">
            <v>193013</v>
          </cell>
          <cell r="R82">
            <v>197380</v>
          </cell>
        </row>
        <row r="83">
          <cell r="D83">
            <v>3</v>
          </cell>
          <cell r="E83">
            <v>193895</v>
          </cell>
          <cell r="R83">
            <v>197815</v>
          </cell>
        </row>
        <row r="84">
          <cell r="D84">
            <v>1</v>
          </cell>
          <cell r="E84">
            <v>195651</v>
          </cell>
          <cell r="R84">
            <v>198367</v>
          </cell>
        </row>
        <row r="85">
          <cell r="D85">
            <v>2</v>
          </cell>
          <cell r="E85">
            <v>197193</v>
          </cell>
          <cell r="R85">
            <v>198629</v>
          </cell>
        </row>
        <row r="86">
          <cell r="D86">
            <v>3</v>
          </cell>
          <cell r="E86">
            <v>199852</v>
          </cell>
          <cell r="R86">
            <v>200330</v>
          </cell>
        </row>
        <row r="87">
          <cell r="D87">
            <v>1</v>
          </cell>
          <cell r="E87">
            <v>200676</v>
          </cell>
          <cell r="R87">
            <v>200676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47" refreshError="1"/>
      <sheetData sheetId="14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 nominal
(em milhões de R$)</v>
          </cell>
          <cell r="R7" t="str">
            <v>Estimativa real2
(em milhões de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128555</v>
          </cell>
          <cell r="R9">
            <v>190217</v>
          </cell>
        </row>
        <row r="10">
          <cell r="D10">
            <v>2</v>
          </cell>
          <cell r="E10">
            <v>122702</v>
          </cell>
          <cell r="R10">
            <v>180842</v>
          </cell>
        </row>
        <row r="11">
          <cell r="D11">
            <v>3</v>
          </cell>
          <cell r="E11">
            <v>123186</v>
          </cell>
          <cell r="R11">
            <v>180796</v>
          </cell>
        </row>
        <row r="12">
          <cell r="D12">
            <v>1</v>
          </cell>
          <cell r="E12">
            <v>124147</v>
          </cell>
          <cell r="R12">
            <v>181468</v>
          </cell>
        </row>
        <row r="13">
          <cell r="D13">
            <v>2</v>
          </cell>
          <cell r="E13">
            <v>125246</v>
          </cell>
          <cell r="R13">
            <v>182413</v>
          </cell>
        </row>
        <row r="14">
          <cell r="D14">
            <v>3</v>
          </cell>
          <cell r="E14">
            <v>126480</v>
          </cell>
          <cell r="R14">
            <v>183689</v>
          </cell>
        </row>
        <row r="15">
          <cell r="D15">
            <v>1</v>
          </cell>
          <cell r="E15">
            <v>127318</v>
          </cell>
          <cell r="R15">
            <v>184332</v>
          </cell>
        </row>
        <row r="16">
          <cell r="D16">
            <v>2</v>
          </cell>
          <cell r="E16">
            <v>128265</v>
          </cell>
          <cell r="R16">
            <v>184843</v>
          </cell>
        </row>
        <row r="17">
          <cell r="D17">
            <v>3</v>
          </cell>
          <cell r="E17">
            <v>129017</v>
          </cell>
          <cell r="R17">
            <v>184936</v>
          </cell>
        </row>
        <row r="18">
          <cell r="D18">
            <v>1</v>
          </cell>
          <cell r="E18">
            <v>130944</v>
          </cell>
          <cell r="R18">
            <v>186598</v>
          </cell>
        </row>
        <row r="19">
          <cell r="D19">
            <v>2</v>
          </cell>
          <cell r="E19">
            <v>137922</v>
          </cell>
          <cell r="R19">
            <v>195225</v>
          </cell>
        </row>
        <row r="20">
          <cell r="D20">
            <v>3</v>
          </cell>
          <cell r="E20">
            <v>139120</v>
          </cell>
          <cell r="R20">
            <v>195457</v>
          </cell>
        </row>
        <row r="21">
          <cell r="D21">
            <v>1</v>
          </cell>
          <cell r="E21">
            <v>139093</v>
          </cell>
          <cell r="R21">
            <v>193975</v>
          </cell>
        </row>
        <row r="22">
          <cell r="D22">
            <v>2</v>
          </cell>
          <cell r="E22">
            <v>134483</v>
          </cell>
          <cell r="R22">
            <v>186376</v>
          </cell>
        </row>
        <row r="23">
          <cell r="D23">
            <v>3</v>
          </cell>
          <cell r="E23">
            <v>136590</v>
          </cell>
          <cell r="R23">
            <v>188261</v>
          </cell>
        </row>
        <row r="24">
          <cell r="D24">
            <v>1</v>
          </cell>
          <cell r="E24">
            <v>138889</v>
          </cell>
          <cell r="R24">
            <v>190558</v>
          </cell>
        </row>
        <row r="25">
          <cell r="D25">
            <v>2</v>
          </cell>
          <cell r="E25">
            <v>140994</v>
          </cell>
          <cell r="R25">
            <v>192724</v>
          </cell>
        </row>
        <row r="26">
          <cell r="D26">
            <v>3</v>
          </cell>
          <cell r="E26">
            <v>141801</v>
          </cell>
          <cell r="R26">
            <v>193413</v>
          </cell>
        </row>
        <row r="27">
          <cell r="D27">
            <v>1</v>
          </cell>
          <cell r="E27">
            <v>142364</v>
          </cell>
          <cell r="R27">
            <v>193844</v>
          </cell>
        </row>
        <row r="28">
          <cell r="D28">
            <v>2</v>
          </cell>
          <cell r="E28">
            <v>143476</v>
          </cell>
          <cell r="R28">
            <v>194918</v>
          </cell>
        </row>
        <row r="29">
          <cell r="D29">
            <v>3</v>
          </cell>
          <cell r="E29">
            <v>144399</v>
          </cell>
          <cell r="R29">
            <v>195390</v>
          </cell>
        </row>
        <row r="30">
          <cell r="D30">
            <v>1</v>
          </cell>
          <cell r="E30">
            <v>145612</v>
          </cell>
          <cell r="R30">
            <v>196060</v>
          </cell>
        </row>
        <row r="31">
          <cell r="D31">
            <v>2</v>
          </cell>
          <cell r="E31">
            <v>151316</v>
          </cell>
          <cell r="R31">
            <v>202355</v>
          </cell>
        </row>
        <row r="32">
          <cell r="D32">
            <v>3</v>
          </cell>
          <cell r="E32">
            <v>153545</v>
          </cell>
          <cell r="R32">
            <v>203989</v>
          </cell>
        </row>
        <row r="33">
          <cell r="D33">
            <v>1</v>
          </cell>
          <cell r="E33">
            <v>155298</v>
          </cell>
          <cell r="R33">
            <v>204879</v>
          </cell>
        </row>
        <row r="34">
          <cell r="D34">
            <v>2</v>
          </cell>
          <cell r="E34">
            <v>151711</v>
          </cell>
          <cell r="R34">
            <v>198767</v>
          </cell>
        </row>
        <row r="35">
          <cell r="D35">
            <v>3</v>
          </cell>
          <cell r="E35">
            <v>152928</v>
          </cell>
          <cell r="R35">
            <v>198876</v>
          </cell>
        </row>
        <row r="36">
          <cell r="D36">
            <v>1</v>
          </cell>
          <cell r="E36">
            <v>151443</v>
          </cell>
          <cell r="R36">
            <v>195598</v>
          </cell>
        </row>
        <row r="37">
          <cell r="D37">
            <v>2</v>
          </cell>
          <cell r="E37">
            <v>149680</v>
          </cell>
          <cell r="R37">
            <v>192320</v>
          </cell>
        </row>
        <row r="38">
          <cell r="D38">
            <v>3</v>
          </cell>
          <cell r="E38">
            <v>150355</v>
          </cell>
          <cell r="R38">
            <v>192624</v>
          </cell>
        </row>
        <row r="39">
          <cell r="D39">
            <v>1</v>
          </cell>
          <cell r="E39">
            <v>152769</v>
          </cell>
          <cell r="R39">
            <v>195278</v>
          </cell>
        </row>
        <row r="40">
          <cell r="D40">
            <v>2</v>
          </cell>
          <cell r="E40">
            <v>155375</v>
          </cell>
          <cell r="R40">
            <v>198056</v>
          </cell>
        </row>
        <row r="41">
          <cell r="D41">
            <v>3</v>
          </cell>
          <cell r="E41">
            <v>155664</v>
          </cell>
          <cell r="R41">
            <v>197601</v>
          </cell>
        </row>
        <row r="42">
          <cell r="D42">
            <v>1</v>
          </cell>
          <cell r="E42">
            <v>158554</v>
          </cell>
          <cell r="R42">
            <v>200272</v>
          </cell>
        </row>
        <row r="43">
          <cell r="D43">
            <v>2</v>
          </cell>
          <cell r="E43">
            <v>166111</v>
          </cell>
          <cell r="R43">
            <v>208620</v>
          </cell>
        </row>
        <row r="44">
          <cell r="D44">
            <v>3</v>
          </cell>
          <cell r="E44">
            <v>167137</v>
          </cell>
          <cell r="R44">
            <v>208174</v>
          </cell>
        </row>
        <row r="45">
          <cell r="D45">
            <v>1</v>
          </cell>
          <cell r="E45">
            <v>167213</v>
          </cell>
          <cell r="R45">
            <v>206069</v>
          </cell>
        </row>
        <row r="46">
          <cell r="D46">
            <v>2</v>
          </cell>
          <cell r="E46">
            <v>163227</v>
          </cell>
          <cell r="R46">
            <v>198679</v>
          </cell>
        </row>
        <row r="47">
          <cell r="D47">
            <v>3</v>
          </cell>
          <cell r="E47">
            <v>163810</v>
          </cell>
          <cell r="R47">
            <v>197262</v>
          </cell>
        </row>
        <row r="48">
          <cell r="D48">
            <v>1</v>
          </cell>
          <cell r="E48">
            <v>165997</v>
          </cell>
          <cell r="R48">
            <v>198073</v>
          </cell>
        </row>
        <row r="49">
          <cell r="D49">
            <v>2</v>
          </cell>
          <cell r="E49">
            <v>166044</v>
          </cell>
          <cell r="R49">
            <v>196638</v>
          </cell>
        </row>
        <row r="50">
          <cell r="D50">
            <v>3</v>
          </cell>
          <cell r="E50">
            <v>166099</v>
          </cell>
          <cell r="R50">
            <v>195285</v>
          </cell>
        </row>
        <row r="51">
          <cell r="D51">
            <v>1</v>
          </cell>
          <cell r="E51">
            <v>166528</v>
          </cell>
          <cell r="R51">
            <v>194728</v>
          </cell>
        </row>
        <row r="52">
          <cell r="D52">
            <v>2</v>
          </cell>
          <cell r="E52">
            <v>167374</v>
          </cell>
          <cell r="R52">
            <v>194822</v>
          </cell>
        </row>
        <row r="53">
          <cell r="D53">
            <v>3</v>
          </cell>
          <cell r="E53">
            <v>168035</v>
          </cell>
          <cell r="R53">
            <v>194547</v>
          </cell>
        </row>
        <row r="54">
          <cell r="D54">
            <v>1</v>
          </cell>
          <cell r="E54">
            <v>175281</v>
          </cell>
          <cell r="R54">
            <v>201330</v>
          </cell>
        </row>
        <row r="55">
          <cell r="D55">
            <v>2</v>
          </cell>
          <cell r="E55">
            <v>192206</v>
          </cell>
          <cell r="R55">
            <v>218727</v>
          </cell>
        </row>
        <row r="56">
          <cell r="D56">
            <v>3</v>
          </cell>
          <cell r="E56">
            <v>193086</v>
          </cell>
          <cell r="R56">
            <v>217392</v>
          </cell>
        </row>
        <row r="57">
          <cell r="D57">
            <v>1</v>
          </cell>
          <cell r="E57">
            <v>190302</v>
          </cell>
          <cell r="R57">
            <v>212060</v>
          </cell>
        </row>
        <row r="58">
          <cell r="D58">
            <v>2</v>
          </cell>
          <cell r="E58">
            <v>174056</v>
          </cell>
          <cell r="R58">
            <v>192292</v>
          </cell>
        </row>
        <row r="59">
          <cell r="D59">
            <v>3</v>
          </cell>
          <cell r="E59">
            <v>175315</v>
          </cell>
          <cell r="R59">
            <v>192443</v>
          </cell>
        </row>
        <row r="60">
          <cell r="D60">
            <v>1</v>
          </cell>
          <cell r="E60">
            <v>174561</v>
          </cell>
          <cell r="R60">
            <v>190434</v>
          </cell>
        </row>
        <row r="61">
          <cell r="D61">
            <v>2</v>
          </cell>
          <cell r="E61">
            <v>175624</v>
          </cell>
          <cell r="R61">
            <v>190493</v>
          </cell>
        </row>
        <row r="62">
          <cell r="D62">
            <v>3</v>
          </cell>
          <cell r="E62">
            <v>177537</v>
          </cell>
          <cell r="R62">
            <v>191526</v>
          </cell>
        </row>
        <row r="63">
          <cell r="D63">
            <v>1</v>
          </cell>
          <cell r="E63">
            <v>177095</v>
          </cell>
          <cell r="R63">
            <v>190240</v>
          </cell>
        </row>
        <row r="64">
          <cell r="D64">
            <v>2</v>
          </cell>
          <cell r="E64">
            <v>177369</v>
          </cell>
          <cell r="R64">
            <v>189880</v>
          </cell>
        </row>
        <row r="65">
          <cell r="D65">
            <v>3</v>
          </cell>
          <cell r="E65">
            <v>178147</v>
          </cell>
          <cell r="R65">
            <v>190223</v>
          </cell>
        </row>
        <row r="66">
          <cell r="D66">
            <v>1</v>
          </cell>
          <cell r="E66">
            <v>186697</v>
          </cell>
          <cell r="R66">
            <v>199017</v>
          </cell>
        </row>
        <row r="67">
          <cell r="D67">
            <v>2</v>
          </cell>
          <cell r="E67">
            <v>203335</v>
          </cell>
          <cell r="R67">
            <v>216211</v>
          </cell>
        </row>
        <row r="68">
          <cell r="D68">
            <v>3</v>
          </cell>
          <cell r="E68">
            <v>204353</v>
          </cell>
          <cell r="R68">
            <v>216674</v>
          </cell>
        </row>
        <row r="69">
          <cell r="D69">
            <v>1</v>
          </cell>
          <cell r="E69">
            <v>199803</v>
          </cell>
          <cell r="R69">
            <v>211149</v>
          </cell>
        </row>
        <row r="70">
          <cell r="D70">
            <v>2</v>
          </cell>
          <cell r="E70">
            <v>184175</v>
          </cell>
          <cell r="R70">
            <v>194023</v>
          </cell>
        </row>
        <row r="71">
          <cell r="D71">
            <v>3</v>
          </cell>
          <cell r="E71">
            <v>184194</v>
          </cell>
          <cell r="R71">
            <v>193586</v>
          </cell>
        </row>
        <row r="72">
          <cell r="D72">
            <v>1</v>
          </cell>
          <cell r="E72">
            <v>184977</v>
          </cell>
          <cell r="R72">
            <v>193958</v>
          </cell>
        </row>
        <row r="73">
          <cell r="D73">
            <v>2</v>
          </cell>
          <cell r="E73">
            <v>186435</v>
          </cell>
          <cell r="R73">
            <v>195346</v>
          </cell>
        </row>
        <row r="74">
          <cell r="D74">
            <v>3</v>
          </cell>
          <cell r="E74">
            <v>187911</v>
          </cell>
          <cell r="R74">
            <v>196680</v>
          </cell>
        </row>
        <row r="75">
          <cell r="D75">
            <v>1</v>
          </cell>
          <cell r="E75">
            <v>189033</v>
          </cell>
          <cell r="R75">
            <v>197710</v>
          </cell>
        </row>
        <row r="76">
          <cell r="D76">
            <v>2</v>
          </cell>
          <cell r="E76">
            <v>189820</v>
          </cell>
          <cell r="R76">
            <v>198134</v>
          </cell>
        </row>
        <row r="77">
          <cell r="D77">
            <v>3</v>
          </cell>
          <cell r="E77">
            <v>191067</v>
          </cell>
          <cell r="R77">
            <v>198898</v>
          </cell>
        </row>
        <row r="78">
          <cell r="D78">
            <v>1</v>
          </cell>
          <cell r="E78">
            <v>198820</v>
          </cell>
          <cell r="R78">
            <v>206355</v>
          </cell>
        </row>
        <row r="79">
          <cell r="D79">
            <v>2</v>
          </cell>
          <cell r="E79">
            <v>216679</v>
          </cell>
          <cell r="R79">
            <v>224024</v>
          </cell>
        </row>
        <row r="80">
          <cell r="D80">
            <v>3</v>
          </cell>
          <cell r="E80">
            <v>217919</v>
          </cell>
          <cell r="R80">
            <v>224557</v>
          </cell>
        </row>
        <row r="81">
          <cell r="D81">
            <v>1</v>
          </cell>
          <cell r="E81">
            <v>209613</v>
          </cell>
          <cell r="R81">
            <v>215269</v>
          </cell>
        </row>
        <row r="82">
          <cell r="D82">
            <v>2</v>
          </cell>
          <cell r="E82">
            <v>193901</v>
          </cell>
          <cell r="R82">
            <v>198690</v>
          </cell>
        </row>
        <row r="83">
          <cell r="D83">
            <v>3</v>
          </cell>
          <cell r="E83">
            <v>193995</v>
          </cell>
          <cell r="R83">
            <v>198387</v>
          </cell>
        </row>
        <row r="84">
          <cell r="D84">
            <v>1</v>
          </cell>
          <cell r="E84">
            <v>194785</v>
          </cell>
          <cell r="R84">
            <v>198726</v>
          </cell>
        </row>
        <row r="85">
          <cell r="D85">
            <v>2</v>
          </cell>
          <cell r="E85">
            <v>197043</v>
          </cell>
          <cell r="R85">
            <v>199778</v>
          </cell>
        </row>
        <row r="86">
          <cell r="D86">
            <v>3</v>
          </cell>
          <cell r="E86">
            <v>200375</v>
          </cell>
          <cell r="R86">
            <v>201836</v>
          </cell>
        </row>
        <row r="87">
          <cell r="D87">
            <v>1</v>
          </cell>
          <cell r="E87">
            <v>201518</v>
          </cell>
          <cell r="R87">
            <v>201999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49" refreshError="1"/>
      <sheetData sheetId="15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nominal
(em milhões de R$)</v>
          </cell>
          <cell r="R7" t="str">
            <v>Estimativa real2
(em milhões de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82630</v>
          </cell>
          <cell r="R9">
            <v>121796</v>
          </cell>
        </row>
        <row r="10">
          <cell r="D10">
            <v>2</v>
          </cell>
          <cell r="E10">
            <v>83776</v>
          </cell>
          <cell r="R10">
            <v>122960</v>
          </cell>
        </row>
        <row r="11">
          <cell r="D11">
            <v>3</v>
          </cell>
          <cell r="E11">
            <v>84135</v>
          </cell>
          <cell r="R11">
            <v>122999</v>
          </cell>
        </row>
        <row r="12">
          <cell r="D12">
            <v>1</v>
          </cell>
          <cell r="E12">
            <v>85386</v>
          </cell>
          <cell r="R12">
            <v>124392</v>
          </cell>
        </row>
        <row r="13">
          <cell r="D13">
            <v>2</v>
          </cell>
          <cell r="E13">
            <v>86076</v>
          </cell>
          <cell r="R13">
            <v>125029</v>
          </cell>
        </row>
        <row r="14">
          <cell r="D14">
            <v>3</v>
          </cell>
          <cell r="E14">
            <v>86478</v>
          </cell>
          <cell r="R14">
            <v>125235</v>
          </cell>
        </row>
        <row r="15">
          <cell r="D15">
            <v>1</v>
          </cell>
          <cell r="E15">
            <v>86690</v>
          </cell>
          <cell r="R15">
            <v>124949</v>
          </cell>
        </row>
        <row r="16">
          <cell r="D16">
            <v>2</v>
          </cell>
          <cell r="E16">
            <v>87093</v>
          </cell>
          <cell r="R16">
            <v>124872</v>
          </cell>
        </row>
        <row r="17">
          <cell r="D17">
            <v>3</v>
          </cell>
          <cell r="E17">
            <v>87811</v>
          </cell>
          <cell r="R17">
            <v>125157</v>
          </cell>
        </row>
        <row r="18">
          <cell r="D18">
            <v>1</v>
          </cell>
          <cell r="E18">
            <v>88192</v>
          </cell>
          <cell r="R18">
            <v>124873</v>
          </cell>
        </row>
        <row r="19">
          <cell r="D19">
            <v>2</v>
          </cell>
          <cell r="E19">
            <v>88908</v>
          </cell>
          <cell r="R19">
            <v>124954</v>
          </cell>
        </row>
        <row r="20">
          <cell r="D20">
            <v>3</v>
          </cell>
          <cell r="E20">
            <v>89496</v>
          </cell>
          <cell r="R20">
            <v>124843</v>
          </cell>
        </row>
        <row r="21">
          <cell r="D21">
            <v>1</v>
          </cell>
          <cell r="E21">
            <v>90323</v>
          </cell>
          <cell r="R21">
            <v>125190</v>
          </cell>
        </row>
        <row r="22">
          <cell r="D22">
            <v>2</v>
          </cell>
          <cell r="E22">
            <v>91601</v>
          </cell>
          <cell r="R22">
            <v>126272</v>
          </cell>
        </row>
        <row r="23">
          <cell r="D23">
            <v>3</v>
          </cell>
          <cell r="E23">
            <v>92656</v>
          </cell>
          <cell r="R23">
            <v>127133</v>
          </cell>
        </row>
        <row r="24">
          <cell r="D24">
            <v>1</v>
          </cell>
          <cell r="E24">
            <v>93897</v>
          </cell>
          <cell r="R24">
            <v>128349</v>
          </cell>
        </row>
        <row r="25">
          <cell r="D25">
            <v>2</v>
          </cell>
          <cell r="E25">
            <v>94963</v>
          </cell>
          <cell r="R25">
            <v>129556</v>
          </cell>
        </row>
        <row r="26">
          <cell r="D26">
            <v>3</v>
          </cell>
          <cell r="E26">
            <v>96044</v>
          </cell>
          <cell r="R26">
            <v>130797</v>
          </cell>
        </row>
        <row r="27">
          <cell r="D27">
            <v>1</v>
          </cell>
          <cell r="E27">
            <v>96120</v>
          </cell>
          <cell r="R27">
            <v>130611</v>
          </cell>
        </row>
        <row r="28">
          <cell r="D28">
            <v>2</v>
          </cell>
          <cell r="E28">
            <v>97067</v>
          </cell>
          <cell r="R28">
            <v>131363</v>
          </cell>
        </row>
        <row r="29">
          <cell r="D29">
            <v>3</v>
          </cell>
          <cell r="E29">
            <v>97577</v>
          </cell>
          <cell r="R29">
            <v>131410</v>
          </cell>
        </row>
        <row r="30">
          <cell r="D30">
            <v>1</v>
          </cell>
          <cell r="E30">
            <v>98298</v>
          </cell>
          <cell r="R30">
            <v>131498</v>
          </cell>
        </row>
        <row r="31">
          <cell r="D31">
            <v>2</v>
          </cell>
          <cell r="E31">
            <v>98529</v>
          </cell>
          <cell r="R31">
            <v>130941</v>
          </cell>
        </row>
        <row r="32">
          <cell r="D32">
            <v>3</v>
          </cell>
          <cell r="E32">
            <v>99922</v>
          </cell>
          <cell r="R32">
            <v>131861</v>
          </cell>
        </row>
        <row r="33">
          <cell r="D33">
            <v>1</v>
          </cell>
          <cell r="E33">
            <v>101918</v>
          </cell>
          <cell r="R33">
            <v>133550</v>
          </cell>
        </row>
        <row r="34">
          <cell r="D34">
            <v>2</v>
          </cell>
          <cell r="E34">
            <v>103455</v>
          </cell>
          <cell r="R34">
            <v>134547</v>
          </cell>
        </row>
        <row r="35">
          <cell r="D35">
            <v>3</v>
          </cell>
          <cell r="E35">
            <v>104670</v>
          </cell>
          <cell r="R35">
            <v>135213</v>
          </cell>
        </row>
        <row r="36">
          <cell r="D36">
            <v>1</v>
          </cell>
          <cell r="E36">
            <v>103713</v>
          </cell>
          <cell r="R36">
            <v>133285</v>
          </cell>
        </row>
        <row r="37">
          <cell r="D37">
            <v>2</v>
          </cell>
          <cell r="E37">
            <v>102550</v>
          </cell>
          <cell r="R37">
            <v>131399</v>
          </cell>
        </row>
        <row r="38">
          <cell r="D38">
            <v>3</v>
          </cell>
          <cell r="E38">
            <v>102552</v>
          </cell>
          <cell r="R38">
            <v>131099</v>
          </cell>
        </row>
        <row r="39">
          <cell r="D39">
            <v>1</v>
          </cell>
          <cell r="E39">
            <v>104042</v>
          </cell>
          <cell r="R39">
            <v>132634</v>
          </cell>
        </row>
        <row r="40">
          <cell r="D40">
            <v>2</v>
          </cell>
          <cell r="E40">
            <v>105537</v>
          </cell>
          <cell r="R40">
            <v>133983</v>
          </cell>
        </row>
        <row r="41">
          <cell r="D41">
            <v>3</v>
          </cell>
          <cell r="E41">
            <v>105823</v>
          </cell>
          <cell r="R41">
            <v>133679</v>
          </cell>
        </row>
        <row r="42">
          <cell r="D42">
            <v>1</v>
          </cell>
          <cell r="E42">
            <v>106478</v>
          </cell>
          <cell r="R42">
            <v>133747</v>
          </cell>
        </row>
        <row r="43">
          <cell r="D43">
            <v>2</v>
          </cell>
          <cell r="E43">
            <v>107971</v>
          </cell>
          <cell r="R43">
            <v>134502</v>
          </cell>
        </row>
        <row r="44">
          <cell r="D44">
            <v>3</v>
          </cell>
          <cell r="E44">
            <v>108039</v>
          </cell>
          <cell r="R44">
            <v>133151</v>
          </cell>
        </row>
        <row r="45">
          <cell r="D45">
            <v>1</v>
          </cell>
          <cell r="E45">
            <v>109205</v>
          </cell>
          <cell r="R45">
            <v>132930</v>
          </cell>
        </row>
        <row r="46">
          <cell r="D46">
            <v>2</v>
          </cell>
          <cell r="E46">
            <v>110194</v>
          </cell>
          <cell r="R46">
            <v>132702</v>
          </cell>
        </row>
        <row r="47">
          <cell r="D47">
            <v>3</v>
          </cell>
          <cell r="E47">
            <v>111318</v>
          </cell>
          <cell r="R47">
            <v>132839</v>
          </cell>
        </row>
        <row r="48">
          <cell r="D48">
            <v>1</v>
          </cell>
          <cell r="E48">
            <v>111612</v>
          </cell>
          <cell r="R48">
            <v>132193</v>
          </cell>
        </row>
        <row r="49">
          <cell r="D49">
            <v>2</v>
          </cell>
          <cell r="E49">
            <v>111601</v>
          </cell>
          <cell r="R49">
            <v>131230</v>
          </cell>
        </row>
        <row r="50">
          <cell r="D50">
            <v>3</v>
          </cell>
          <cell r="E50">
            <v>111302</v>
          </cell>
          <cell r="R50">
            <v>130167</v>
          </cell>
        </row>
        <row r="51">
          <cell r="D51">
            <v>1</v>
          </cell>
          <cell r="E51">
            <v>112346</v>
          </cell>
          <cell r="R51">
            <v>130788</v>
          </cell>
        </row>
        <row r="52">
          <cell r="D52">
            <v>2</v>
          </cell>
          <cell r="E52">
            <v>112798</v>
          </cell>
          <cell r="R52">
            <v>130616</v>
          </cell>
        </row>
        <row r="53">
          <cell r="D53">
            <v>3</v>
          </cell>
          <cell r="E53">
            <v>113189</v>
          </cell>
          <cell r="R53">
            <v>130024</v>
          </cell>
        </row>
        <row r="54">
          <cell r="D54">
            <v>1</v>
          </cell>
          <cell r="E54">
            <v>113920</v>
          </cell>
          <cell r="R54">
            <v>129646</v>
          </cell>
        </row>
        <row r="55">
          <cell r="D55">
            <v>2</v>
          </cell>
          <cell r="E55">
            <v>114514</v>
          </cell>
          <cell r="R55">
            <v>128937</v>
          </cell>
        </row>
        <row r="56">
          <cell r="D56">
            <v>3</v>
          </cell>
          <cell r="E56">
            <v>114447</v>
          </cell>
          <cell r="R56">
            <v>127536</v>
          </cell>
        </row>
        <row r="57">
          <cell r="D57">
            <v>1</v>
          </cell>
          <cell r="E57">
            <v>115261</v>
          </cell>
          <cell r="R57">
            <v>127348</v>
          </cell>
        </row>
        <row r="58">
          <cell r="D58">
            <v>2</v>
          </cell>
          <cell r="E58">
            <v>116025</v>
          </cell>
          <cell r="R58">
            <v>127364</v>
          </cell>
        </row>
        <row r="59">
          <cell r="D59">
            <v>3</v>
          </cell>
          <cell r="E59">
            <v>117076</v>
          </cell>
          <cell r="R59">
            <v>127736</v>
          </cell>
        </row>
        <row r="60">
          <cell r="D60">
            <v>1</v>
          </cell>
          <cell r="E60">
            <v>117326</v>
          </cell>
          <cell r="R60">
            <v>127263</v>
          </cell>
        </row>
        <row r="61">
          <cell r="D61">
            <v>2</v>
          </cell>
          <cell r="E61">
            <v>117818</v>
          </cell>
          <cell r="R61">
            <v>127108</v>
          </cell>
        </row>
        <row r="62">
          <cell r="D62">
            <v>3</v>
          </cell>
          <cell r="E62">
            <v>118873</v>
          </cell>
          <cell r="R62">
            <v>127709</v>
          </cell>
        </row>
        <row r="63">
          <cell r="D63">
            <v>1</v>
          </cell>
          <cell r="E63">
            <v>119175</v>
          </cell>
          <cell r="R63">
            <v>127598</v>
          </cell>
        </row>
        <row r="64">
          <cell r="D64">
            <v>2</v>
          </cell>
          <cell r="E64">
            <v>119884</v>
          </cell>
          <cell r="R64">
            <v>128016</v>
          </cell>
        </row>
        <row r="65">
          <cell r="D65">
            <v>3</v>
          </cell>
          <cell r="E65">
            <v>120561</v>
          </cell>
          <cell r="R65">
            <v>128509</v>
          </cell>
        </row>
        <row r="66">
          <cell r="D66">
            <v>1</v>
          </cell>
          <cell r="E66">
            <v>120424</v>
          </cell>
          <cell r="R66">
            <v>128038</v>
          </cell>
        </row>
        <row r="67">
          <cell r="D67">
            <v>2</v>
          </cell>
          <cell r="E67">
            <v>120150</v>
          </cell>
          <cell r="R67">
            <v>127379</v>
          </cell>
        </row>
        <row r="68">
          <cell r="D68">
            <v>3</v>
          </cell>
          <cell r="E68">
            <v>120531</v>
          </cell>
          <cell r="R68">
            <v>127359</v>
          </cell>
        </row>
        <row r="69">
          <cell r="D69">
            <v>1</v>
          </cell>
          <cell r="E69">
            <v>120986</v>
          </cell>
          <cell r="R69">
            <v>127444</v>
          </cell>
        </row>
        <row r="70">
          <cell r="D70">
            <v>2</v>
          </cell>
          <cell r="E70">
            <v>120644</v>
          </cell>
          <cell r="R70">
            <v>126780</v>
          </cell>
        </row>
        <row r="71">
          <cell r="D71">
            <v>3</v>
          </cell>
          <cell r="E71">
            <v>121545</v>
          </cell>
          <cell r="R71">
            <v>127430</v>
          </cell>
        </row>
        <row r="72">
          <cell r="D72">
            <v>1</v>
          </cell>
          <cell r="E72">
            <v>122494</v>
          </cell>
          <cell r="R72">
            <v>128334</v>
          </cell>
        </row>
        <row r="73">
          <cell r="D73">
            <v>2</v>
          </cell>
          <cell r="E73">
            <v>122645</v>
          </cell>
          <cell r="R73">
            <v>128352</v>
          </cell>
        </row>
        <row r="74">
          <cell r="D74">
            <v>3</v>
          </cell>
          <cell r="E74">
            <v>123237</v>
          </cell>
          <cell r="R74">
            <v>128886</v>
          </cell>
        </row>
        <row r="75">
          <cell r="D75">
            <v>1</v>
          </cell>
          <cell r="E75">
            <v>124089</v>
          </cell>
          <cell r="R75">
            <v>129517</v>
          </cell>
        </row>
        <row r="76">
          <cell r="D76">
            <v>2</v>
          </cell>
          <cell r="E76">
            <v>124962</v>
          </cell>
          <cell r="R76">
            <v>130079</v>
          </cell>
        </row>
        <row r="77">
          <cell r="D77">
            <v>3</v>
          </cell>
          <cell r="E77">
            <v>126222</v>
          </cell>
          <cell r="R77">
            <v>130992</v>
          </cell>
        </row>
        <row r="78">
          <cell r="D78">
            <v>1</v>
          </cell>
          <cell r="E78">
            <v>126246</v>
          </cell>
          <cell r="R78">
            <v>130513</v>
          </cell>
        </row>
        <row r="79">
          <cell r="D79">
            <v>2</v>
          </cell>
          <cell r="E79">
            <v>126649</v>
          </cell>
          <cell r="R79">
            <v>130496</v>
          </cell>
        </row>
        <row r="80">
          <cell r="D80">
            <v>3</v>
          </cell>
          <cell r="E80">
            <v>126399</v>
          </cell>
          <cell r="R80">
            <v>129800</v>
          </cell>
        </row>
        <row r="81">
          <cell r="D81">
            <v>1</v>
          </cell>
          <cell r="E81">
            <v>125837</v>
          </cell>
          <cell r="R81">
            <v>128937</v>
          </cell>
        </row>
        <row r="82">
          <cell r="D82">
            <v>2</v>
          </cell>
          <cell r="E82">
            <v>126918</v>
          </cell>
          <cell r="R82">
            <v>129781</v>
          </cell>
        </row>
        <row r="83">
          <cell r="D83">
            <v>3</v>
          </cell>
          <cell r="E83">
            <v>127777</v>
          </cell>
          <cell r="R83">
            <v>130353</v>
          </cell>
        </row>
        <row r="84">
          <cell r="D84">
            <v>1</v>
          </cell>
          <cell r="E84">
            <v>128959</v>
          </cell>
          <cell r="R84">
            <v>130744</v>
          </cell>
        </row>
        <row r="85">
          <cell r="D85">
            <v>2</v>
          </cell>
          <cell r="E85">
            <v>130098</v>
          </cell>
          <cell r="R85">
            <v>131043</v>
          </cell>
        </row>
        <row r="86">
          <cell r="D86">
            <v>3</v>
          </cell>
          <cell r="E86">
            <v>131012</v>
          </cell>
          <cell r="R86">
            <v>131325</v>
          </cell>
        </row>
        <row r="87">
          <cell r="D87">
            <v>1</v>
          </cell>
          <cell r="E87">
            <v>132139</v>
          </cell>
          <cell r="R87">
            <v>132139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51" refreshError="1"/>
      <sheetData sheetId="15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nominal
(em milhões de R$)</v>
          </cell>
          <cell r="R7" t="str">
            <v>Estimativa real2
(em milhões de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89134</v>
          </cell>
          <cell r="R9">
            <v>131898</v>
          </cell>
        </row>
        <row r="10">
          <cell r="D10">
            <v>2</v>
          </cell>
          <cell r="E10">
            <v>83371</v>
          </cell>
          <cell r="R10">
            <v>122888</v>
          </cell>
        </row>
        <row r="11">
          <cell r="D11">
            <v>3</v>
          </cell>
          <cell r="E11">
            <v>83594</v>
          </cell>
          <cell r="R11">
            <v>122700</v>
          </cell>
        </row>
        <row r="12">
          <cell r="D12">
            <v>1</v>
          </cell>
          <cell r="E12">
            <v>84940</v>
          </cell>
          <cell r="R12">
            <v>124181</v>
          </cell>
        </row>
        <row r="13">
          <cell r="D13">
            <v>2</v>
          </cell>
          <cell r="E13">
            <v>85607</v>
          </cell>
          <cell r="R13">
            <v>124702</v>
          </cell>
        </row>
        <row r="14">
          <cell r="D14">
            <v>3</v>
          </cell>
          <cell r="E14">
            <v>86180</v>
          </cell>
          <cell r="R14">
            <v>125184</v>
          </cell>
        </row>
        <row r="15">
          <cell r="D15">
            <v>1</v>
          </cell>
          <cell r="E15">
            <v>86428</v>
          </cell>
          <cell r="R15">
            <v>125154</v>
          </cell>
        </row>
        <row r="16">
          <cell r="D16">
            <v>2</v>
          </cell>
          <cell r="E16">
            <v>86943</v>
          </cell>
          <cell r="R16">
            <v>125316</v>
          </cell>
        </row>
        <row r="17">
          <cell r="D17">
            <v>3</v>
          </cell>
          <cell r="E17">
            <v>87562</v>
          </cell>
          <cell r="R17">
            <v>125542</v>
          </cell>
        </row>
        <row r="18">
          <cell r="D18">
            <v>1</v>
          </cell>
          <cell r="E18">
            <v>88997</v>
          </cell>
          <cell r="R18">
            <v>126857</v>
          </cell>
        </row>
        <row r="19">
          <cell r="D19">
            <v>2</v>
          </cell>
          <cell r="E19">
            <v>95109</v>
          </cell>
          <cell r="R19">
            <v>134655</v>
          </cell>
        </row>
        <row r="20">
          <cell r="D20">
            <v>3</v>
          </cell>
          <cell r="E20">
            <v>95640</v>
          </cell>
          <cell r="R20">
            <v>134401</v>
          </cell>
        </row>
        <row r="21">
          <cell r="D21">
            <v>1</v>
          </cell>
          <cell r="E21">
            <v>95385</v>
          </cell>
          <cell r="R21">
            <v>133047</v>
          </cell>
        </row>
        <row r="22">
          <cell r="D22">
            <v>2</v>
          </cell>
          <cell r="E22">
            <v>91105</v>
          </cell>
          <cell r="R22">
            <v>126283</v>
          </cell>
        </row>
        <row r="23">
          <cell r="D23">
            <v>3</v>
          </cell>
          <cell r="E23">
            <v>92062</v>
          </cell>
          <cell r="R23">
            <v>126910</v>
          </cell>
        </row>
        <row r="24">
          <cell r="D24">
            <v>1</v>
          </cell>
          <cell r="E24">
            <v>93237</v>
          </cell>
          <cell r="R24">
            <v>127941</v>
          </cell>
        </row>
        <row r="25">
          <cell r="D25">
            <v>2</v>
          </cell>
          <cell r="E25">
            <v>94501</v>
          </cell>
          <cell r="R25">
            <v>129201</v>
          </cell>
        </row>
        <row r="26">
          <cell r="D26">
            <v>3</v>
          </cell>
          <cell r="E26">
            <v>95667</v>
          </cell>
          <cell r="R26">
            <v>130516</v>
          </cell>
        </row>
        <row r="27">
          <cell r="D27">
            <v>1</v>
          </cell>
          <cell r="E27">
            <v>95747</v>
          </cell>
          <cell r="R27">
            <v>130388</v>
          </cell>
        </row>
        <row r="28">
          <cell r="D28">
            <v>2</v>
          </cell>
          <cell r="E28">
            <v>96612</v>
          </cell>
          <cell r="R28">
            <v>131269</v>
          </cell>
        </row>
        <row r="29">
          <cell r="D29">
            <v>3</v>
          </cell>
          <cell r="E29">
            <v>97140</v>
          </cell>
          <cell r="R29">
            <v>131465</v>
          </cell>
        </row>
        <row r="30">
          <cell r="D30">
            <v>1</v>
          </cell>
          <cell r="E30">
            <v>98813</v>
          </cell>
          <cell r="R30">
            <v>133076</v>
          </cell>
        </row>
        <row r="31">
          <cell r="D31">
            <v>2</v>
          </cell>
          <cell r="E31">
            <v>103914</v>
          </cell>
          <cell r="R31">
            <v>138979</v>
          </cell>
        </row>
        <row r="32">
          <cell r="D32">
            <v>3</v>
          </cell>
          <cell r="E32">
            <v>105338</v>
          </cell>
          <cell r="R32">
            <v>139960</v>
          </cell>
        </row>
        <row r="33">
          <cell r="D33">
            <v>1</v>
          </cell>
          <cell r="E33">
            <v>106572</v>
          </cell>
          <cell r="R33">
            <v>140613</v>
          </cell>
        </row>
        <row r="34">
          <cell r="D34">
            <v>2</v>
          </cell>
          <cell r="E34">
            <v>103257</v>
          </cell>
          <cell r="R34">
            <v>135302</v>
          </cell>
        </row>
        <row r="35">
          <cell r="D35">
            <v>3</v>
          </cell>
          <cell r="E35">
            <v>104377</v>
          </cell>
          <cell r="R35">
            <v>135749</v>
          </cell>
        </row>
        <row r="36">
          <cell r="D36">
            <v>1</v>
          </cell>
          <cell r="E36">
            <v>103286</v>
          </cell>
          <cell r="R36">
            <v>133414</v>
          </cell>
        </row>
        <row r="37">
          <cell r="D37">
            <v>2</v>
          </cell>
          <cell r="E37">
            <v>102072</v>
          </cell>
          <cell r="R37">
            <v>131168</v>
          </cell>
        </row>
        <row r="38">
          <cell r="D38">
            <v>3</v>
          </cell>
          <cell r="E38">
            <v>102115</v>
          </cell>
          <cell r="R38">
            <v>130842</v>
          </cell>
        </row>
        <row r="39">
          <cell r="D39">
            <v>1</v>
          </cell>
          <cell r="E39">
            <v>103520</v>
          </cell>
          <cell r="R39">
            <v>132349</v>
          </cell>
        </row>
        <row r="40">
          <cell r="D40">
            <v>2</v>
          </cell>
          <cell r="E40">
            <v>104978</v>
          </cell>
          <cell r="R40">
            <v>133837</v>
          </cell>
        </row>
        <row r="41">
          <cell r="D41">
            <v>3</v>
          </cell>
          <cell r="E41">
            <v>105172</v>
          </cell>
          <cell r="R41">
            <v>133526</v>
          </cell>
        </row>
        <row r="42">
          <cell r="D42">
            <v>1</v>
          </cell>
          <cell r="E42">
            <v>106748</v>
          </cell>
          <cell r="R42">
            <v>134852</v>
          </cell>
        </row>
        <row r="43">
          <cell r="D43">
            <v>2</v>
          </cell>
          <cell r="E43">
            <v>113307</v>
          </cell>
          <cell r="R43">
            <v>142315</v>
          </cell>
        </row>
        <row r="44">
          <cell r="D44">
            <v>3</v>
          </cell>
          <cell r="E44">
            <v>113460</v>
          </cell>
          <cell r="R44">
            <v>141323</v>
          </cell>
        </row>
        <row r="45">
          <cell r="D45">
            <v>1</v>
          </cell>
          <cell r="E45">
            <v>113507</v>
          </cell>
          <cell r="R45">
            <v>139886</v>
          </cell>
        </row>
        <row r="46">
          <cell r="D46">
            <v>2</v>
          </cell>
          <cell r="E46">
            <v>109442</v>
          </cell>
          <cell r="R46">
            <v>133220</v>
          </cell>
        </row>
        <row r="47">
          <cell r="D47">
            <v>3</v>
          </cell>
          <cell r="E47">
            <v>110521</v>
          </cell>
          <cell r="R47">
            <v>133105</v>
          </cell>
        </row>
        <row r="48">
          <cell r="D48">
            <v>1</v>
          </cell>
          <cell r="E48">
            <v>110960</v>
          </cell>
          <cell r="R48">
            <v>132413</v>
          </cell>
        </row>
        <row r="49">
          <cell r="D49">
            <v>2</v>
          </cell>
          <cell r="E49">
            <v>110982</v>
          </cell>
          <cell r="R49">
            <v>131441</v>
          </cell>
        </row>
        <row r="50">
          <cell r="D50">
            <v>3</v>
          </cell>
          <cell r="E50">
            <v>110705</v>
          </cell>
          <cell r="R50">
            <v>130172</v>
          </cell>
        </row>
        <row r="51">
          <cell r="D51">
            <v>1</v>
          </cell>
          <cell r="E51">
            <v>111683</v>
          </cell>
          <cell r="R51">
            <v>130616</v>
          </cell>
        </row>
        <row r="52">
          <cell r="D52">
            <v>2</v>
          </cell>
          <cell r="E52">
            <v>112667</v>
          </cell>
          <cell r="R52">
            <v>131166</v>
          </cell>
        </row>
        <row r="53">
          <cell r="D53">
            <v>3</v>
          </cell>
          <cell r="E53">
            <v>113791</v>
          </cell>
          <cell r="R53">
            <v>131764</v>
          </cell>
        </row>
        <row r="54">
          <cell r="D54">
            <v>1</v>
          </cell>
          <cell r="E54">
            <v>120478</v>
          </cell>
          <cell r="R54">
            <v>138401</v>
          </cell>
        </row>
        <row r="55">
          <cell r="D55">
            <v>2</v>
          </cell>
          <cell r="E55">
            <v>135665</v>
          </cell>
          <cell r="R55">
            <v>154399</v>
          </cell>
        </row>
        <row r="56">
          <cell r="D56">
            <v>3</v>
          </cell>
          <cell r="E56">
            <v>136823</v>
          </cell>
          <cell r="R56">
            <v>154060</v>
          </cell>
        </row>
        <row r="57">
          <cell r="D57">
            <v>1</v>
          </cell>
          <cell r="E57">
            <v>133234</v>
          </cell>
          <cell r="R57">
            <v>148474</v>
          </cell>
        </row>
        <row r="58">
          <cell r="D58">
            <v>2</v>
          </cell>
          <cell r="E58">
            <v>119073</v>
          </cell>
          <cell r="R58">
            <v>131556</v>
          </cell>
        </row>
        <row r="59">
          <cell r="D59">
            <v>3</v>
          </cell>
          <cell r="E59">
            <v>118819</v>
          </cell>
          <cell r="R59">
            <v>130434</v>
          </cell>
        </row>
        <row r="60">
          <cell r="D60">
            <v>1</v>
          </cell>
          <cell r="E60">
            <v>118720</v>
          </cell>
          <cell r="R60">
            <v>129525</v>
          </cell>
        </row>
        <row r="61">
          <cell r="D61">
            <v>2</v>
          </cell>
          <cell r="E61">
            <v>119416</v>
          </cell>
          <cell r="R61">
            <v>129540</v>
          </cell>
        </row>
        <row r="62">
          <cell r="D62">
            <v>3</v>
          </cell>
          <cell r="E62">
            <v>120902</v>
          </cell>
          <cell r="R62">
            <v>130443</v>
          </cell>
        </row>
        <row r="63">
          <cell r="D63">
            <v>1</v>
          </cell>
          <cell r="E63">
            <v>121252</v>
          </cell>
          <cell r="R63">
            <v>130267</v>
          </cell>
        </row>
        <row r="64">
          <cell r="D64">
            <v>2</v>
          </cell>
          <cell r="E64">
            <v>121523</v>
          </cell>
          <cell r="R64">
            <v>130108</v>
          </cell>
        </row>
        <row r="65">
          <cell r="D65">
            <v>3</v>
          </cell>
          <cell r="E65">
            <v>121791</v>
          </cell>
          <cell r="R65">
            <v>130059</v>
          </cell>
        </row>
        <row r="66">
          <cell r="D66">
            <v>1</v>
          </cell>
          <cell r="E66">
            <v>126986</v>
          </cell>
          <cell r="R66">
            <v>135364</v>
          </cell>
        </row>
        <row r="67">
          <cell r="D67">
            <v>2</v>
          </cell>
          <cell r="E67">
            <v>142291</v>
          </cell>
          <cell r="R67">
            <v>151298</v>
          </cell>
        </row>
        <row r="68">
          <cell r="D68">
            <v>3</v>
          </cell>
          <cell r="E68">
            <v>143949</v>
          </cell>
          <cell r="R68">
            <v>152623</v>
          </cell>
        </row>
        <row r="69">
          <cell r="D69">
            <v>1</v>
          </cell>
          <cell r="E69">
            <v>139543</v>
          </cell>
          <cell r="R69">
            <v>147461</v>
          </cell>
        </row>
        <row r="70">
          <cell r="D70">
            <v>2</v>
          </cell>
          <cell r="E70">
            <v>124081</v>
          </cell>
          <cell r="R70">
            <v>130705</v>
          </cell>
        </row>
        <row r="71">
          <cell r="D71">
            <v>3</v>
          </cell>
          <cell r="E71">
            <v>123483</v>
          </cell>
          <cell r="R71">
            <v>129770</v>
          </cell>
        </row>
        <row r="72">
          <cell r="D72">
            <v>1</v>
          </cell>
          <cell r="E72">
            <v>124214</v>
          </cell>
          <cell r="R72">
            <v>130238</v>
          </cell>
        </row>
        <row r="73">
          <cell r="D73">
            <v>2</v>
          </cell>
          <cell r="E73">
            <v>124409</v>
          </cell>
          <cell r="R73">
            <v>130345</v>
          </cell>
        </row>
        <row r="74">
          <cell r="D74">
            <v>3</v>
          </cell>
          <cell r="E74">
            <v>125920</v>
          </cell>
          <cell r="R74">
            <v>131787</v>
          </cell>
        </row>
        <row r="75">
          <cell r="D75">
            <v>1</v>
          </cell>
          <cell r="E75">
            <v>126524</v>
          </cell>
          <cell r="R75">
            <v>132324</v>
          </cell>
        </row>
        <row r="76">
          <cell r="D76">
            <v>2</v>
          </cell>
          <cell r="E76">
            <v>126927</v>
          </cell>
          <cell r="R76">
            <v>132478</v>
          </cell>
        </row>
        <row r="77">
          <cell r="D77">
            <v>3</v>
          </cell>
          <cell r="E77">
            <v>127560</v>
          </cell>
          <cell r="R77">
            <v>132779</v>
          </cell>
        </row>
        <row r="78">
          <cell r="D78">
            <v>1</v>
          </cell>
          <cell r="E78">
            <v>133684</v>
          </cell>
          <cell r="R78">
            <v>138750</v>
          </cell>
        </row>
        <row r="79">
          <cell r="D79">
            <v>2</v>
          </cell>
          <cell r="E79">
            <v>150696</v>
          </cell>
          <cell r="R79">
            <v>155804</v>
          </cell>
        </row>
        <row r="80">
          <cell r="D80">
            <v>3</v>
          </cell>
          <cell r="E80">
            <v>151651</v>
          </cell>
          <cell r="R80">
            <v>156269</v>
          </cell>
        </row>
        <row r="81">
          <cell r="D81">
            <v>1</v>
          </cell>
          <cell r="E81">
            <v>145704</v>
          </cell>
          <cell r="R81">
            <v>149631</v>
          </cell>
        </row>
        <row r="82">
          <cell r="D82">
            <v>2</v>
          </cell>
          <cell r="E82">
            <v>130262</v>
          </cell>
          <cell r="R82">
            <v>133473</v>
          </cell>
        </row>
        <row r="83">
          <cell r="D83">
            <v>3</v>
          </cell>
          <cell r="E83">
            <v>129830</v>
          </cell>
          <cell r="R83">
            <v>132762</v>
          </cell>
        </row>
        <row r="84">
          <cell r="D84">
            <v>1</v>
          </cell>
          <cell r="E84">
            <v>129997</v>
          </cell>
          <cell r="R84">
            <v>132620</v>
          </cell>
        </row>
        <row r="85">
          <cell r="D85">
            <v>2</v>
          </cell>
          <cell r="E85">
            <v>131747</v>
          </cell>
          <cell r="R85">
            <v>133573</v>
          </cell>
        </row>
        <row r="86">
          <cell r="D86">
            <v>3</v>
          </cell>
          <cell r="E86">
            <v>133573</v>
          </cell>
          <cell r="R86">
            <v>134546</v>
          </cell>
        </row>
        <row r="87">
          <cell r="D87">
            <v>1</v>
          </cell>
          <cell r="E87">
            <v>134946</v>
          </cell>
          <cell r="R87">
            <v>135269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53" refreshError="1"/>
      <sheetData sheetId="15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54271</v>
          </cell>
        </row>
        <row r="10">
          <cell r="D10">
            <v>2</v>
          </cell>
          <cell r="E10">
            <v>54735</v>
          </cell>
        </row>
        <row r="11">
          <cell r="D11">
            <v>3</v>
          </cell>
          <cell r="E11">
            <v>54888</v>
          </cell>
        </row>
        <row r="12">
          <cell r="D12">
            <v>1</v>
          </cell>
          <cell r="E12">
            <v>55153</v>
          </cell>
        </row>
        <row r="13">
          <cell r="D13">
            <v>2</v>
          </cell>
          <cell r="E13">
            <v>55378</v>
          </cell>
        </row>
        <row r="14">
          <cell r="D14">
            <v>3</v>
          </cell>
          <cell r="E14">
            <v>55647</v>
          </cell>
        </row>
        <row r="15">
          <cell r="D15">
            <v>1</v>
          </cell>
          <cell r="E15">
            <v>55838</v>
          </cell>
        </row>
        <row r="16">
          <cell r="D16">
            <v>2</v>
          </cell>
          <cell r="E16">
            <v>55877</v>
          </cell>
        </row>
        <row r="17">
          <cell r="D17">
            <v>3</v>
          </cell>
          <cell r="E17">
            <v>55955</v>
          </cell>
        </row>
        <row r="18">
          <cell r="D18">
            <v>1</v>
          </cell>
          <cell r="E18">
            <v>56088</v>
          </cell>
        </row>
        <row r="19">
          <cell r="D19">
            <v>2</v>
          </cell>
          <cell r="E19">
            <v>56061</v>
          </cell>
        </row>
        <row r="20">
          <cell r="D20">
            <v>3</v>
          </cell>
          <cell r="E20">
            <v>56043</v>
          </cell>
        </row>
        <row r="21">
          <cell r="D21">
            <v>1</v>
          </cell>
          <cell r="E21">
            <v>55964</v>
          </cell>
        </row>
        <row r="22">
          <cell r="D22">
            <v>2</v>
          </cell>
          <cell r="E22">
            <v>56402</v>
          </cell>
        </row>
        <row r="23">
          <cell r="D23">
            <v>3</v>
          </cell>
          <cell r="E23">
            <v>56576</v>
          </cell>
        </row>
        <row r="24">
          <cell r="D24">
            <v>1</v>
          </cell>
          <cell r="E24">
            <v>56813</v>
          </cell>
        </row>
        <row r="25">
          <cell r="D25">
            <v>2</v>
          </cell>
          <cell r="E25">
            <v>57104</v>
          </cell>
        </row>
        <row r="26">
          <cell r="D26">
            <v>3</v>
          </cell>
          <cell r="E26">
            <v>57320</v>
          </cell>
        </row>
        <row r="27">
          <cell r="D27">
            <v>1</v>
          </cell>
          <cell r="E27">
            <v>57516</v>
          </cell>
        </row>
        <row r="28">
          <cell r="D28">
            <v>2</v>
          </cell>
          <cell r="E28">
            <v>57736</v>
          </cell>
        </row>
        <row r="29">
          <cell r="D29">
            <v>3</v>
          </cell>
          <cell r="E29">
            <v>57977</v>
          </cell>
        </row>
        <row r="30">
          <cell r="D30">
            <v>1</v>
          </cell>
          <cell r="E30">
            <v>58061</v>
          </cell>
        </row>
        <row r="31">
          <cell r="D31">
            <v>2</v>
          </cell>
          <cell r="E31">
            <v>58078</v>
          </cell>
        </row>
        <row r="32">
          <cell r="D32">
            <v>3</v>
          </cell>
          <cell r="E32">
            <v>58378</v>
          </cell>
        </row>
        <row r="33">
          <cell r="D33">
            <v>1</v>
          </cell>
          <cell r="E33">
            <v>58630</v>
          </cell>
        </row>
        <row r="34">
          <cell r="D34">
            <v>2</v>
          </cell>
          <cell r="E34">
            <v>58997</v>
          </cell>
        </row>
        <row r="35">
          <cell r="D35">
            <v>3</v>
          </cell>
          <cell r="E35">
            <v>59186</v>
          </cell>
        </row>
        <row r="36">
          <cell r="D36">
            <v>1</v>
          </cell>
          <cell r="E36">
            <v>59484</v>
          </cell>
        </row>
        <row r="37">
          <cell r="D37">
            <v>2</v>
          </cell>
          <cell r="E37">
            <v>59371</v>
          </cell>
        </row>
        <row r="38">
          <cell r="D38">
            <v>3</v>
          </cell>
          <cell r="E38">
            <v>59511</v>
          </cell>
        </row>
        <row r="39">
          <cell r="D39">
            <v>1</v>
          </cell>
          <cell r="E39">
            <v>59670</v>
          </cell>
        </row>
        <row r="40">
          <cell r="D40">
            <v>2</v>
          </cell>
          <cell r="E40">
            <v>59946</v>
          </cell>
        </row>
        <row r="41">
          <cell r="D41">
            <v>3</v>
          </cell>
          <cell r="E41">
            <v>60002</v>
          </cell>
        </row>
        <row r="42">
          <cell r="D42">
            <v>1</v>
          </cell>
          <cell r="E42">
            <v>60071</v>
          </cell>
        </row>
        <row r="43">
          <cell r="D43">
            <v>2</v>
          </cell>
          <cell r="E43">
            <v>59897</v>
          </cell>
        </row>
        <row r="44">
          <cell r="D44">
            <v>3</v>
          </cell>
          <cell r="E44">
            <v>59748</v>
          </cell>
        </row>
        <row r="45">
          <cell r="D45">
            <v>1</v>
          </cell>
          <cell r="E45">
            <v>59715</v>
          </cell>
        </row>
        <row r="46">
          <cell r="D46">
            <v>2</v>
          </cell>
          <cell r="E46">
            <v>59999</v>
          </cell>
        </row>
        <row r="47">
          <cell r="D47">
            <v>3</v>
          </cell>
          <cell r="E47">
            <v>59812</v>
          </cell>
        </row>
        <row r="48">
          <cell r="D48">
            <v>1</v>
          </cell>
          <cell r="E48">
            <v>59865</v>
          </cell>
        </row>
        <row r="49">
          <cell r="D49">
            <v>2</v>
          </cell>
          <cell r="E49">
            <v>59666</v>
          </cell>
        </row>
        <row r="50">
          <cell r="D50">
            <v>3</v>
          </cell>
          <cell r="E50">
            <v>59622</v>
          </cell>
        </row>
        <row r="51">
          <cell r="D51">
            <v>1</v>
          </cell>
          <cell r="E51">
            <v>59525</v>
          </cell>
        </row>
        <row r="52">
          <cell r="D52">
            <v>2</v>
          </cell>
          <cell r="E52">
            <v>59939</v>
          </cell>
        </row>
        <row r="53">
          <cell r="D53">
            <v>3</v>
          </cell>
          <cell r="E53">
            <v>60266</v>
          </cell>
        </row>
        <row r="54">
          <cell r="D54">
            <v>1</v>
          </cell>
          <cell r="E54">
            <v>60577</v>
          </cell>
        </row>
        <row r="55">
          <cell r="D55">
            <v>2</v>
          </cell>
          <cell r="E55">
            <v>60213</v>
          </cell>
        </row>
        <row r="56">
          <cell r="D56">
            <v>3</v>
          </cell>
          <cell r="E56">
            <v>59818</v>
          </cell>
        </row>
        <row r="57">
          <cell r="D57">
            <v>1</v>
          </cell>
          <cell r="E57">
            <v>59537</v>
          </cell>
        </row>
        <row r="58">
          <cell r="D58">
            <v>2</v>
          </cell>
          <cell r="E58">
            <v>59390</v>
          </cell>
        </row>
        <row r="59">
          <cell r="D59">
            <v>3</v>
          </cell>
          <cell r="E59">
            <v>59373</v>
          </cell>
        </row>
        <row r="60">
          <cell r="D60">
            <v>1</v>
          </cell>
          <cell r="E60">
            <v>59343</v>
          </cell>
        </row>
        <row r="61">
          <cell r="D61">
            <v>2</v>
          </cell>
          <cell r="E61">
            <v>59192</v>
          </cell>
        </row>
        <row r="62">
          <cell r="D62">
            <v>3</v>
          </cell>
          <cell r="E62">
            <v>59186</v>
          </cell>
        </row>
        <row r="63">
          <cell r="D63">
            <v>1</v>
          </cell>
          <cell r="E63">
            <v>58962</v>
          </cell>
        </row>
        <row r="64">
          <cell r="D64">
            <v>2</v>
          </cell>
          <cell r="E64">
            <v>59024</v>
          </cell>
        </row>
        <row r="65">
          <cell r="D65">
            <v>3</v>
          </cell>
          <cell r="E65">
            <v>59001</v>
          </cell>
        </row>
        <row r="66">
          <cell r="D66">
            <v>1</v>
          </cell>
          <cell r="E66">
            <v>58998</v>
          </cell>
        </row>
        <row r="67">
          <cell r="D67">
            <v>2</v>
          </cell>
          <cell r="E67">
            <v>58531</v>
          </cell>
        </row>
        <row r="68">
          <cell r="D68">
            <v>3</v>
          </cell>
          <cell r="E68">
            <v>58279</v>
          </cell>
        </row>
        <row r="69">
          <cell r="D69">
            <v>1</v>
          </cell>
          <cell r="E69">
            <v>57799</v>
          </cell>
        </row>
        <row r="70">
          <cell r="D70">
            <v>2</v>
          </cell>
          <cell r="E70">
            <v>57779</v>
          </cell>
        </row>
        <row r="71">
          <cell r="D71">
            <v>3</v>
          </cell>
          <cell r="E71">
            <v>57733</v>
          </cell>
        </row>
        <row r="72">
          <cell r="D72">
            <v>1</v>
          </cell>
          <cell r="E72">
            <v>57948</v>
          </cell>
        </row>
        <row r="73">
          <cell r="D73">
            <v>2</v>
          </cell>
          <cell r="E73">
            <v>58082</v>
          </cell>
        </row>
        <row r="74">
          <cell r="D74">
            <v>3</v>
          </cell>
          <cell r="E74">
            <v>58298</v>
          </cell>
        </row>
        <row r="75">
          <cell r="D75">
            <v>1</v>
          </cell>
          <cell r="E75">
            <v>58265</v>
          </cell>
        </row>
        <row r="76">
          <cell r="D76">
            <v>2</v>
          </cell>
          <cell r="E76">
            <v>58380</v>
          </cell>
        </row>
        <row r="77">
          <cell r="D77">
            <v>3</v>
          </cell>
          <cell r="E77">
            <v>58345</v>
          </cell>
        </row>
        <row r="78">
          <cell r="D78">
            <v>1</v>
          </cell>
          <cell r="E78">
            <v>58442</v>
          </cell>
        </row>
        <row r="79">
          <cell r="D79">
            <v>2</v>
          </cell>
          <cell r="E79">
            <v>58211</v>
          </cell>
        </row>
        <row r="80">
          <cell r="D80">
            <v>3</v>
          </cell>
          <cell r="E80">
            <v>57994</v>
          </cell>
        </row>
        <row r="81">
          <cell r="D81">
            <v>1</v>
          </cell>
          <cell r="E81">
            <v>57748</v>
          </cell>
        </row>
        <row r="82">
          <cell r="D82">
            <v>2</v>
          </cell>
          <cell r="E82">
            <v>57659</v>
          </cell>
        </row>
        <row r="83">
          <cell r="D83">
            <v>3</v>
          </cell>
          <cell r="E83">
            <v>57823</v>
          </cell>
        </row>
        <row r="84">
          <cell r="D84">
            <v>1</v>
          </cell>
          <cell r="E84">
            <v>58079</v>
          </cell>
        </row>
        <row r="85">
          <cell r="D85">
            <v>2</v>
          </cell>
          <cell r="E85">
            <v>58365</v>
          </cell>
        </row>
        <row r="86">
          <cell r="D86">
            <v>3</v>
          </cell>
          <cell r="E86">
            <v>58354</v>
          </cell>
        </row>
        <row r="87">
          <cell r="D87">
            <v>1</v>
          </cell>
          <cell r="E87">
            <v>58398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55" refreshError="1"/>
      <sheetData sheetId="15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61.6</v>
          </cell>
        </row>
        <row r="10">
          <cell r="D10">
            <v>2</v>
          </cell>
          <cell r="E10">
            <v>61.6</v>
          </cell>
        </row>
        <row r="11">
          <cell r="D11">
            <v>3</v>
          </cell>
          <cell r="E11">
            <v>61.5</v>
          </cell>
        </row>
        <row r="12">
          <cell r="D12">
            <v>1</v>
          </cell>
          <cell r="E12">
            <v>61.6</v>
          </cell>
        </row>
        <row r="13">
          <cell r="D13">
            <v>2</v>
          </cell>
          <cell r="E13">
            <v>61.8</v>
          </cell>
        </row>
        <row r="14">
          <cell r="D14">
            <v>3</v>
          </cell>
          <cell r="E14">
            <v>61.9</v>
          </cell>
        </row>
        <row r="15">
          <cell r="D15">
            <v>1</v>
          </cell>
          <cell r="E15">
            <v>62</v>
          </cell>
        </row>
        <row r="16">
          <cell r="D16">
            <v>2</v>
          </cell>
          <cell r="E16">
            <v>62</v>
          </cell>
        </row>
        <row r="17">
          <cell r="D17">
            <v>3</v>
          </cell>
          <cell r="E17">
            <v>62</v>
          </cell>
        </row>
        <row r="18">
          <cell r="D18">
            <v>1</v>
          </cell>
          <cell r="E18">
            <v>62.1</v>
          </cell>
        </row>
        <row r="19">
          <cell r="D19">
            <v>2</v>
          </cell>
          <cell r="E19">
            <v>62.3</v>
          </cell>
        </row>
        <row r="20">
          <cell r="D20">
            <v>3</v>
          </cell>
          <cell r="E20">
            <v>62.6</v>
          </cell>
        </row>
        <row r="21">
          <cell r="D21">
            <v>1</v>
          </cell>
          <cell r="E21">
            <v>62.6</v>
          </cell>
        </row>
        <row r="22">
          <cell r="D22">
            <v>2</v>
          </cell>
          <cell r="E22">
            <v>62.7</v>
          </cell>
        </row>
        <row r="23">
          <cell r="D23">
            <v>3</v>
          </cell>
          <cell r="E23">
            <v>62.7</v>
          </cell>
        </row>
        <row r="24">
          <cell r="D24">
            <v>1</v>
          </cell>
          <cell r="E24">
            <v>62.7</v>
          </cell>
        </row>
        <row r="25">
          <cell r="D25">
            <v>2</v>
          </cell>
          <cell r="E25">
            <v>62.9</v>
          </cell>
        </row>
        <row r="26">
          <cell r="D26">
            <v>3</v>
          </cell>
          <cell r="E26">
            <v>63</v>
          </cell>
        </row>
        <row r="27">
          <cell r="D27">
            <v>1</v>
          </cell>
          <cell r="E27">
            <v>63.1</v>
          </cell>
        </row>
        <row r="28">
          <cell r="D28">
            <v>2</v>
          </cell>
          <cell r="E28">
            <v>63.2</v>
          </cell>
        </row>
        <row r="29">
          <cell r="D29">
            <v>3</v>
          </cell>
          <cell r="E29">
            <v>63.2</v>
          </cell>
        </row>
        <row r="30">
          <cell r="D30">
            <v>1</v>
          </cell>
          <cell r="E30">
            <v>63.2</v>
          </cell>
        </row>
        <row r="31">
          <cell r="D31">
            <v>2</v>
          </cell>
          <cell r="E31">
            <v>63.4</v>
          </cell>
        </row>
        <row r="32">
          <cell r="D32">
            <v>3</v>
          </cell>
          <cell r="E32">
            <v>63.8</v>
          </cell>
        </row>
        <row r="33">
          <cell r="D33">
            <v>1</v>
          </cell>
          <cell r="E33">
            <v>64.3</v>
          </cell>
        </row>
        <row r="34">
          <cell r="D34">
            <v>2</v>
          </cell>
          <cell r="E34">
            <v>64.400000000000006</v>
          </cell>
        </row>
        <row r="35">
          <cell r="D35">
            <v>3</v>
          </cell>
          <cell r="E35">
            <v>64.5</v>
          </cell>
        </row>
        <row r="36">
          <cell r="D36">
            <v>1</v>
          </cell>
          <cell r="E36">
            <v>64.599999999999994</v>
          </cell>
        </row>
        <row r="37">
          <cell r="D37">
            <v>2</v>
          </cell>
          <cell r="E37">
            <v>64.599999999999994</v>
          </cell>
        </row>
        <row r="38">
          <cell r="D38">
            <v>3</v>
          </cell>
          <cell r="E38">
            <v>64.7</v>
          </cell>
        </row>
        <row r="39">
          <cell r="D39">
            <v>1</v>
          </cell>
          <cell r="E39">
            <v>64.7</v>
          </cell>
        </row>
        <row r="40">
          <cell r="D40">
            <v>2</v>
          </cell>
          <cell r="E40">
            <v>64.7</v>
          </cell>
        </row>
        <row r="41">
          <cell r="D41">
            <v>3</v>
          </cell>
          <cell r="E41">
            <v>64.7</v>
          </cell>
        </row>
        <row r="42">
          <cell r="D42">
            <v>1</v>
          </cell>
          <cell r="E42">
            <v>64.7</v>
          </cell>
        </row>
        <row r="43">
          <cell r="D43">
            <v>2</v>
          </cell>
          <cell r="E43">
            <v>64.599999999999994</v>
          </cell>
        </row>
        <row r="44">
          <cell r="D44">
            <v>3</v>
          </cell>
          <cell r="E44">
            <v>64.7</v>
          </cell>
        </row>
        <row r="45">
          <cell r="D45">
            <v>1</v>
          </cell>
          <cell r="E45">
            <v>64.900000000000006</v>
          </cell>
        </row>
        <row r="46">
          <cell r="D46">
            <v>2</v>
          </cell>
          <cell r="E46">
            <v>65.099999999999994</v>
          </cell>
        </row>
        <row r="47">
          <cell r="D47">
            <v>3</v>
          </cell>
          <cell r="E47">
            <v>64.900000000000006</v>
          </cell>
        </row>
        <row r="48">
          <cell r="D48">
            <v>1</v>
          </cell>
          <cell r="E48">
            <v>64.900000000000006</v>
          </cell>
        </row>
        <row r="49">
          <cell r="D49">
            <v>2</v>
          </cell>
          <cell r="E49">
            <v>64.7</v>
          </cell>
        </row>
        <row r="50">
          <cell r="D50">
            <v>3</v>
          </cell>
          <cell r="E50">
            <v>64.7</v>
          </cell>
        </row>
        <row r="51">
          <cell r="D51">
            <v>1</v>
          </cell>
          <cell r="E51">
            <v>64.599999999999994</v>
          </cell>
        </row>
        <row r="52">
          <cell r="D52">
            <v>2</v>
          </cell>
          <cell r="E52">
            <v>65</v>
          </cell>
        </row>
        <row r="53">
          <cell r="D53">
            <v>3</v>
          </cell>
          <cell r="E53">
            <v>65.400000000000006</v>
          </cell>
        </row>
        <row r="54">
          <cell r="D54">
            <v>1</v>
          </cell>
          <cell r="E54">
            <v>65.7</v>
          </cell>
        </row>
        <row r="55">
          <cell r="D55">
            <v>2</v>
          </cell>
          <cell r="E55">
            <v>65.7</v>
          </cell>
        </row>
        <row r="56">
          <cell r="D56">
            <v>3</v>
          </cell>
          <cell r="E56">
            <v>65.599999999999994</v>
          </cell>
        </row>
        <row r="57">
          <cell r="D57">
            <v>1</v>
          </cell>
          <cell r="E57">
            <v>65.7</v>
          </cell>
        </row>
        <row r="58">
          <cell r="D58">
            <v>2</v>
          </cell>
          <cell r="E58">
            <v>65.5</v>
          </cell>
        </row>
        <row r="59">
          <cell r="D59">
            <v>3</v>
          </cell>
          <cell r="E59">
            <v>65.400000000000006</v>
          </cell>
        </row>
        <row r="60">
          <cell r="D60">
            <v>1</v>
          </cell>
          <cell r="E60">
            <v>65.400000000000006</v>
          </cell>
        </row>
        <row r="61">
          <cell r="D61">
            <v>2</v>
          </cell>
          <cell r="E61">
            <v>65.400000000000006</v>
          </cell>
        </row>
        <row r="62">
          <cell r="D62">
            <v>3</v>
          </cell>
          <cell r="E62">
            <v>65.7</v>
          </cell>
        </row>
        <row r="63">
          <cell r="D63">
            <v>1</v>
          </cell>
          <cell r="E63">
            <v>65.599999999999994</v>
          </cell>
        </row>
        <row r="64">
          <cell r="D64">
            <v>2</v>
          </cell>
          <cell r="E64">
            <v>65.7</v>
          </cell>
        </row>
        <row r="65">
          <cell r="D65">
            <v>3</v>
          </cell>
          <cell r="E65">
            <v>65.400000000000006</v>
          </cell>
        </row>
        <row r="66">
          <cell r="D66">
            <v>1</v>
          </cell>
          <cell r="E66">
            <v>65.400000000000006</v>
          </cell>
        </row>
        <row r="67">
          <cell r="D67">
            <v>2</v>
          </cell>
          <cell r="E67">
            <v>65.099999999999994</v>
          </cell>
        </row>
        <row r="68">
          <cell r="D68">
            <v>3</v>
          </cell>
          <cell r="E68">
            <v>65.2</v>
          </cell>
        </row>
        <row r="69">
          <cell r="D69">
            <v>1</v>
          </cell>
          <cell r="E69">
            <v>65</v>
          </cell>
        </row>
        <row r="70">
          <cell r="D70">
            <v>2</v>
          </cell>
          <cell r="E70">
            <v>64.7</v>
          </cell>
        </row>
        <row r="71">
          <cell r="D71">
            <v>3</v>
          </cell>
          <cell r="E71">
            <v>64.400000000000006</v>
          </cell>
        </row>
        <row r="72">
          <cell r="D72">
            <v>1</v>
          </cell>
          <cell r="E72">
            <v>64.2</v>
          </cell>
        </row>
        <row r="73">
          <cell r="D73">
            <v>2</v>
          </cell>
          <cell r="E73">
            <v>64.099999999999994</v>
          </cell>
        </row>
        <row r="74">
          <cell r="D74">
            <v>3</v>
          </cell>
          <cell r="E74">
            <v>64</v>
          </cell>
        </row>
        <row r="75">
          <cell r="D75">
            <v>1</v>
          </cell>
          <cell r="E75">
            <v>63.8</v>
          </cell>
        </row>
        <row r="76">
          <cell r="D76">
            <v>2</v>
          </cell>
          <cell r="E76">
            <v>63.8</v>
          </cell>
        </row>
        <row r="77">
          <cell r="D77">
            <v>3</v>
          </cell>
          <cell r="E77">
            <v>63.5</v>
          </cell>
        </row>
        <row r="78">
          <cell r="D78">
            <v>1</v>
          </cell>
          <cell r="E78">
            <v>63.4</v>
          </cell>
        </row>
        <row r="79">
          <cell r="D79">
            <v>2</v>
          </cell>
          <cell r="E79">
            <v>63.5</v>
          </cell>
        </row>
        <row r="80">
          <cell r="D80">
            <v>3</v>
          </cell>
          <cell r="E80">
            <v>63.7</v>
          </cell>
        </row>
        <row r="81">
          <cell r="D81">
            <v>1</v>
          </cell>
          <cell r="E81">
            <v>63.8</v>
          </cell>
        </row>
        <row r="82">
          <cell r="D82">
            <v>2</v>
          </cell>
          <cell r="E82">
            <v>63.5</v>
          </cell>
        </row>
        <row r="83">
          <cell r="D83">
            <v>3</v>
          </cell>
          <cell r="E83">
            <v>63.6</v>
          </cell>
        </row>
        <row r="84">
          <cell r="D84">
            <v>1</v>
          </cell>
          <cell r="E84">
            <v>63.7</v>
          </cell>
        </row>
        <row r="85">
          <cell r="D85">
            <v>2</v>
          </cell>
          <cell r="E85">
            <v>63.7</v>
          </cell>
        </row>
        <row r="86">
          <cell r="D86">
            <v>3</v>
          </cell>
          <cell r="E86">
            <v>63.4</v>
          </cell>
        </row>
        <row r="87">
          <cell r="D87">
            <v>1</v>
          </cell>
          <cell r="E87">
            <v>63.1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57" refreshError="1"/>
      <sheetData sheetId="15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7051</v>
          </cell>
        </row>
        <row r="10">
          <cell r="D10">
            <v>2</v>
          </cell>
          <cell r="E10">
            <v>6740</v>
          </cell>
        </row>
        <row r="11">
          <cell r="D11">
            <v>3</v>
          </cell>
          <cell r="E11">
            <v>6549</v>
          </cell>
        </row>
        <row r="12">
          <cell r="D12">
            <v>1</v>
          </cell>
          <cell r="E12">
            <v>6376</v>
          </cell>
        </row>
        <row r="13">
          <cell r="D13">
            <v>2</v>
          </cell>
          <cell r="E13">
            <v>6032</v>
          </cell>
        </row>
        <row r="14">
          <cell r="D14">
            <v>3</v>
          </cell>
          <cell r="E14">
            <v>5687</v>
          </cell>
        </row>
        <row r="15">
          <cell r="D15">
            <v>1</v>
          </cell>
          <cell r="E15">
            <v>5433</v>
          </cell>
        </row>
        <row r="16">
          <cell r="D16">
            <v>2</v>
          </cell>
          <cell r="E16">
            <v>5436</v>
          </cell>
        </row>
        <row r="17">
          <cell r="D17">
            <v>3</v>
          </cell>
          <cell r="E17">
            <v>5418</v>
          </cell>
        </row>
        <row r="18">
          <cell r="D18">
            <v>1</v>
          </cell>
          <cell r="E18">
            <v>5317</v>
          </cell>
        </row>
        <row r="19">
          <cell r="D19">
            <v>2</v>
          </cell>
          <cell r="E19">
            <v>5214</v>
          </cell>
        </row>
        <row r="20">
          <cell r="D20">
            <v>3</v>
          </cell>
          <cell r="E20">
            <v>5156</v>
          </cell>
        </row>
        <row r="21">
          <cell r="D21">
            <v>1</v>
          </cell>
          <cell r="E21">
            <v>5300</v>
          </cell>
        </row>
        <row r="22">
          <cell r="D22">
            <v>2</v>
          </cell>
          <cell r="E22">
            <v>5286</v>
          </cell>
        </row>
        <row r="23">
          <cell r="D23">
            <v>3</v>
          </cell>
          <cell r="E23">
            <v>5280</v>
          </cell>
        </row>
        <row r="24">
          <cell r="D24">
            <v>1</v>
          </cell>
          <cell r="E24">
            <v>5154</v>
          </cell>
        </row>
        <row r="25">
          <cell r="D25">
            <v>2</v>
          </cell>
          <cell r="E25">
            <v>5048</v>
          </cell>
        </row>
        <row r="26">
          <cell r="D26">
            <v>3</v>
          </cell>
          <cell r="E26">
            <v>5000</v>
          </cell>
        </row>
        <row r="27">
          <cell r="D27">
            <v>1</v>
          </cell>
          <cell r="E27">
            <v>4889</v>
          </cell>
        </row>
        <row r="28">
          <cell r="D28">
            <v>2</v>
          </cell>
          <cell r="E28">
            <v>4873</v>
          </cell>
        </row>
        <row r="29">
          <cell r="D29">
            <v>3</v>
          </cell>
          <cell r="E29">
            <v>4803</v>
          </cell>
        </row>
        <row r="30">
          <cell r="D30">
            <v>1</v>
          </cell>
          <cell r="E30">
            <v>4794</v>
          </cell>
        </row>
        <row r="31">
          <cell r="D31">
            <v>2</v>
          </cell>
          <cell r="E31">
            <v>4699</v>
          </cell>
        </row>
        <row r="32">
          <cell r="D32">
            <v>3</v>
          </cell>
          <cell r="E32">
            <v>4620</v>
          </cell>
        </row>
        <row r="33">
          <cell r="D33">
            <v>1</v>
          </cell>
          <cell r="E33">
            <v>4550</v>
          </cell>
        </row>
        <row r="34">
          <cell r="D34">
            <v>2</v>
          </cell>
          <cell r="E34">
            <v>4589</v>
          </cell>
        </row>
        <row r="35">
          <cell r="D35">
            <v>3</v>
          </cell>
          <cell r="E35">
            <v>4500</v>
          </cell>
        </row>
        <row r="36">
          <cell r="D36">
            <v>1</v>
          </cell>
          <cell r="E36">
            <v>4439</v>
          </cell>
        </row>
        <row r="37">
          <cell r="D37">
            <v>2</v>
          </cell>
          <cell r="E37">
            <v>4297</v>
          </cell>
        </row>
        <row r="38">
          <cell r="D38">
            <v>3</v>
          </cell>
          <cell r="E38">
            <v>4367</v>
          </cell>
        </row>
        <row r="39">
          <cell r="D39">
            <v>1</v>
          </cell>
          <cell r="E39">
            <v>4469</v>
          </cell>
        </row>
        <row r="40">
          <cell r="D40">
            <v>2</v>
          </cell>
          <cell r="E40">
            <v>4577</v>
          </cell>
        </row>
        <row r="41">
          <cell r="D41">
            <v>3</v>
          </cell>
          <cell r="E41">
            <v>4686</v>
          </cell>
        </row>
        <row r="42">
          <cell r="D42">
            <v>1</v>
          </cell>
          <cell r="E42">
            <v>4717</v>
          </cell>
        </row>
        <row r="43">
          <cell r="D43">
            <v>2</v>
          </cell>
          <cell r="E43">
            <v>4752</v>
          </cell>
        </row>
        <row r="44">
          <cell r="D44">
            <v>3</v>
          </cell>
          <cell r="E44">
            <v>4809</v>
          </cell>
        </row>
        <row r="45">
          <cell r="D45">
            <v>1</v>
          </cell>
          <cell r="E45">
            <v>4811</v>
          </cell>
        </row>
        <row r="46">
          <cell r="D46">
            <v>2</v>
          </cell>
          <cell r="E46">
            <v>4975</v>
          </cell>
        </row>
        <row r="47">
          <cell r="D47">
            <v>3</v>
          </cell>
          <cell r="E47">
            <v>5029</v>
          </cell>
        </row>
        <row r="48">
          <cell r="D48">
            <v>1</v>
          </cell>
          <cell r="E48">
            <v>5263</v>
          </cell>
        </row>
        <row r="49">
          <cell r="D49">
            <v>2</v>
          </cell>
          <cell r="E49">
            <v>5391</v>
          </cell>
        </row>
        <row r="50">
          <cell r="D50">
            <v>3</v>
          </cell>
          <cell r="E50">
            <v>5482</v>
          </cell>
        </row>
        <row r="51">
          <cell r="D51">
            <v>1</v>
          </cell>
          <cell r="E51">
            <v>5533</v>
          </cell>
        </row>
        <row r="52">
          <cell r="D52">
            <v>0</v>
          </cell>
          <cell r="E52">
            <v>0</v>
          </cell>
        </row>
        <row r="53">
          <cell r="D53">
            <v>1</v>
          </cell>
          <cell r="E53">
            <v>4112</v>
          </cell>
        </row>
        <row r="54">
          <cell r="D54">
            <v>2</v>
          </cell>
          <cell r="E54">
            <v>4053</v>
          </cell>
        </row>
        <row r="55">
          <cell r="D55">
            <v>3</v>
          </cell>
          <cell r="E55">
            <v>4043</v>
          </cell>
        </row>
        <row r="56">
          <cell r="D56">
            <v>1</v>
          </cell>
          <cell r="E56">
            <v>4194</v>
          </cell>
        </row>
        <row r="57">
          <cell r="D57">
            <v>2</v>
          </cell>
          <cell r="E57">
            <v>4440</v>
          </cell>
        </row>
        <row r="58">
          <cell r="D58">
            <v>3</v>
          </cell>
          <cell r="E58">
            <v>4712</v>
          </cell>
        </row>
        <row r="59">
          <cell r="D59">
            <v>1</v>
          </cell>
          <cell r="E59">
            <v>4834</v>
          </cell>
        </row>
        <row r="60">
          <cell r="D60">
            <v>2</v>
          </cell>
          <cell r="E60">
            <v>4805</v>
          </cell>
        </row>
        <row r="61">
          <cell r="D61">
            <v>3</v>
          </cell>
          <cell r="E61">
            <v>4727</v>
          </cell>
        </row>
        <row r="62">
          <cell r="D62">
            <v>1</v>
          </cell>
          <cell r="E62">
            <v>4800</v>
          </cell>
        </row>
        <row r="63">
          <cell r="D63">
            <v>2</v>
          </cell>
          <cell r="E63">
            <v>4861</v>
          </cell>
        </row>
        <row r="64">
          <cell r="D64">
            <v>3</v>
          </cell>
          <cell r="E64">
            <v>5144</v>
          </cell>
        </row>
        <row r="65">
          <cell r="D65">
            <v>1</v>
          </cell>
          <cell r="E65">
            <v>5271</v>
          </cell>
        </row>
        <row r="66">
          <cell r="D66">
            <v>2</v>
          </cell>
          <cell r="E66">
            <v>5320</v>
          </cell>
        </row>
        <row r="67">
          <cell r="D67">
            <v>3</v>
          </cell>
          <cell r="E67">
            <v>5265</v>
          </cell>
        </row>
        <row r="68">
          <cell r="D68">
            <v>1</v>
          </cell>
          <cell r="E68">
            <v>5258</v>
          </cell>
        </row>
        <row r="69">
          <cell r="D69">
            <v>2</v>
          </cell>
          <cell r="E69">
            <v>5440</v>
          </cell>
        </row>
        <row r="70">
          <cell r="D70">
            <v>3</v>
          </cell>
          <cell r="E70">
            <v>5665</v>
          </cell>
        </row>
        <row r="71">
          <cell r="D71">
            <v>1</v>
          </cell>
          <cell r="E71">
            <v>5829</v>
          </cell>
        </row>
        <row r="72">
          <cell r="D72">
            <v>2</v>
          </cell>
          <cell r="E72">
            <v>6009</v>
          </cell>
        </row>
        <row r="73">
          <cell r="D73">
            <v>3</v>
          </cell>
          <cell r="E73">
            <v>6164</v>
          </cell>
        </row>
        <row r="74">
          <cell r="D74">
            <v>1</v>
          </cell>
          <cell r="E74">
            <v>6276</v>
          </cell>
        </row>
        <row r="75">
          <cell r="D75">
            <v>2</v>
          </cell>
          <cell r="E75">
            <v>6326</v>
          </cell>
        </row>
        <row r="76">
          <cell r="D76">
            <v>3</v>
          </cell>
          <cell r="E76">
            <v>6459</v>
          </cell>
        </row>
        <row r="77">
          <cell r="D77">
            <v>1</v>
          </cell>
          <cell r="E77">
            <v>6464</v>
          </cell>
        </row>
        <row r="78">
          <cell r="D78">
            <v>2</v>
          </cell>
          <cell r="E78">
            <v>6353</v>
          </cell>
        </row>
        <row r="79">
          <cell r="D79">
            <v>3</v>
          </cell>
          <cell r="E79">
            <v>6196</v>
          </cell>
        </row>
        <row r="80">
          <cell r="D80">
            <v>1</v>
          </cell>
          <cell r="E80">
            <v>6191</v>
          </cell>
        </row>
        <row r="81">
          <cell r="D81">
            <v>2</v>
          </cell>
          <cell r="E81">
            <v>6298</v>
          </cell>
        </row>
        <row r="82">
          <cell r="D82">
            <v>3</v>
          </cell>
          <cell r="E82">
            <v>6373</v>
          </cell>
        </row>
        <row r="83">
          <cell r="D83">
            <v>1</v>
          </cell>
          <cell r="E83">
            <v>6508</v>
          </cell>
        </row>
        <row r="84">
          <cell r="D84">
            <v>2</v>
          </cell>
          <cell r="E84">
            <v>6569</v>
          </cell>
        </row>
        <row r="85">
          <cell r="D85">
            <v>3</v>
          </cell>
          <cell r="E85">
            <v>6711</v>
          </cell>
        </row>
        <row r="86">
          <cell r="D86">
            <v>1</v>
          </cell>
          <cell r="E86">
            <v>6859</v>
          </cell>
        </row>
        <row r="87">
          <cell r="D87">
            <v>0</v>
          </cell>
          <cell r="E87">
            <v>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</sheetData>
      <sheetData sheetId="159" refreshError="1"/>
      <sheetData sheetId="16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14653</v>
          </cell>
        </row>
        <row r="10">
          <cell r="D10">
            <v>2</v>
          </cell>
          <cell r="E10">
            <v>14210</v>
          </cell>
        </row>
        <row r="11">
          <cell r="D11">
            <v>3</v>
          </cell>
          <cell r="E11">
            <v>13907</v>
          </cell>
        </row>
        <row r="12">
          <cell r="D12">
            <v>1</v>
          </cell>
          <cell r="E12">
            <v>13664</v>
          </cell>
        </row>
        <row r="13">
          <cell r="D13">
            <v>2</v>
          </cell>
          <cell r="E13">
            <v>13236</v>
          </cell>
        </row>
        <row r="14">
          <cell r="D14">
            <v>3</v>
          </cell>
          <cell r="E14">
            <v>12759</v>
          </cell>
        </row>
        <row r="15">
          <cell r="D15">
            <v>1</v>
          </cell>
          <cell r="E15">
            <v>12290</v>
          </cell>
        </row>
        <row r="16">
          <cell r="D16">
            <v>2</v>
          </cell>
          <cell r="E16">
            <v>12115</v>
          </cell>
        </row>
        <row r="17">
          <cell r="D17">
            <v>3</v>
          </cell>
          <cell r="E17">
            <v>11978</v>
          </cell>
        </row>
        <row r="18">
          <cell r="D18">
            <v>1</v>
          </cell>
          <cell r="E18">
            <v>11969</v>
          </cell>
        </row>
        <row r="19">
          <cell r="D19">
            <v>2</v>
          </cell>
          <cell r="E19">
            <v>12212</v>
          </cell>
        </row>
        <row r="20">
          <cell r="D20">
            <v>3</v>
          </cell>
          <cell r="E20">
            <v>12650</v>
          </cell>
        </row>
        <row r="21">
          <cell r="D21">
            <v>1</v>
          </cell>
          <cell r="E21">
            <v>13054</v>
          </cell>
        </row>
        <row r="22">
          <cell r="D22">
            <v>2</v>
          </cell>
          <cell r="E22">
            <v>12931</v>
          </cell>
        </row>
        <row r="23">
          <cell r="D23">
            <v>3</v>
          </cell>
          <cell r="E23">
            <v>12683</v>
          </cell>
        </row>
        <row r="24">
          <cell r="D24">
            <v>1</v>
          </cell>
          <cell r="E24">
            <v>12425</v>
          </cell>
        </row>
        <row r="25">
          <cell r="D25">
            <v>2</v>
          </cell>
          <cell r="E25">
            <v>12186</v>
          </cell>
        </row>
        <row r="26">
          <cell r="D26">
            <v>3</v>
          </cell>
          <cell r="E26">
            <v>11961</v>
          </cell>
        </row>
        <row r="27">
          <cell r="D27">
            <v>1</v>
          </cell>
          <cell r="E27">
            <v>11685</v>
          </cell>
        </row>
        <row r="28">
          <cell r="D28">
            <v>2</v>
          </cell>
          <cell r="E28">
            <v>11443</v>
          </cell>
        </row>
        <row r="29">
          <cell r="D29">
            <v>3</v>
          </cell>
          <cell r="E29">
            <v>11153</v>
          </cell>
        </row>
        <row r="30">
          <cell r="D30">
            <v>1</v>
          </cell>
          <cell r="E30">
            <v>10846</v>
          </cell>
        </row>
        <row r="31">
          <cell r="D31">
            <v>2</v>
          </cell>
          <cell r="E31">
            <v>10957</v>
          </cell>
        </row>
        <row r="32">
          <cell r="D32">
            <v>3</v>
          </cell>
          <cell r="E32">
            <v>11243</v>
          </cell>
        </row>
        <row r="33">
          <cell r="D33">
            <v>1</v>
          </cell>
          <cell r="E33">
            <v>11599</v>
          </cell>
        </row>
        <row r="34">
          <cell r="D34">
            <v>2</v>
          </cell>
          <cell r="E34">
            <v>11632</v>
          </cell>
        </row>
        <row r="35">
          <cell r="D35">
            <v>3</v>
          </cell>
          <cell r="E35">
            <v>11388</v>
          </cell>
        </row>
        <row r="36">
          <cell r="D36">
            <v>1</v>
          </cell>
          <cell r="E36">
            <v>11206</v>
          </cell>
        </row>
        <row r="37">
          <cell r="D37">
            <v>2</v>
          </cell>
          <cell r="E37">
            <v>11110</v>
          </cell>
        </row>
        <row r="38">
          <cell r="D38">
            <v>3</v>
          </cell>
          <cell r="E38">
            <v>11163</v>
          </cell>
        </row>
        <row r="39">
          <cell r="D39">
            <v>1</v>
          </cell>
          <cell r="E39">
            <v>11173</v>
          </cell>
        </row>
        <row r="40">
          <cell r="D40">
            <v>2</v>
          </cell>
          <cell r="E40">
            <v>11141</v>
          </cell>
        </row>
        <row r="41">
          <cell r="D41">
            <v>3</v>
          </cell>
          <cell r="E41">
            <v>11137</v>
          </cell>
        </row>
        <row r="42">
          <cell r="D42">
            <v>1</v>
          </cell>
          <cell r="E42">
            <v>11169</v>
          </cell>
        </row>
        <row r="43">
          <cell r="D43">
            <v>2</v>
          </cell>
          <cell r="E43">
            <v>11515</v>
          </cell>
        </row>
        <row r="44">
          <cell r="D44">
            <v>3</v>
          </cell>
          <cell r="E44">
            <v>12210</v>
          </cell>
        </row>
        <row r="45">
          <cell r="D45">
            <v>1</v>
          </cell>
          <cell r="E45">
            <v>12744</v>
          </cell>
        </row>
        <row r="46">
          <cell r="D46">
            <v>2</v>
          </cell>
          <cell r="E46">
            <v>13003</v>
          </cell>
        </row>
        <row r="47">
          <cell r="D47">
            <v>3</v>
          </cell>
          <cell r="E47">
            <v>13186</v>
          </cell>
        </row>
        <row r="48">
          <cell r="D48">
            <v>1</v>
          </cell>
          <cell r="E48">
            <v>13618</v>
          </cell>
        </row>
        <row r="49">
          <cell r="D49">
            <v>2</v>
          </cell>
          <cell r="E49">
            <v>14013</v>
          </cell>
        </row>
        <row r="50">
          <cell r="D50">
            <v>3</v>
          </cell>
          <cell r="E50">
            <v>14286</v>
          </cell>
        </row>
        <row r="51">
          <cell r="D51">
            <v>1</v>
          </cell>
          <cell r="E51">
            <v>14512</v>
          </cell>
        </row>
        <row r="52">
          <cell r="D52">
            <v>0</v>
          </cell>
          <cell r="E52">
            <v>0</v>
          </cell>
        </row>
        <row r="53">
          <cell r="D53">
            <v>1</v>
          </cell>
          <cell r="E53">
            <v>13185</v>
          </cell>
        </row>
        <row r="54">
          <cell r="D54">
            <v>2</v>
          </cell>
          <cell r="E54">
            <v>13672</v>
          </cell>
        </row>
        <row r="55">
          <cell r="D55">
            <v>3</v>
          </cell>
          <cell r="E55">
            <v>14414</v>
          </cell>
        </row>
        <row r="56">
          <cell r="D56">
            <v>1</v>
          </cell>
          <cell r="E56">
            <v>15283</v>
          </cell>
        </row>
        <row r="57">
          <cell r="D57">
            <v>2</v>
          </cell>
          <cell r="E57">
            <v>15851</v>
          </cell>
        </row>
        <row r="58">
          <cell r="D58">
            <v>3</v>
          </cell>
          <cell r="E58">
            <v>16152</v>
          </cell>
        </row>
        <row r="59">
          <cell r="D59">
            <v>1</v>
          </cell>
          <cell r="E59">
            <v>16419</v>
          </cell>
        </row>
        <row r="60">
          <cell r="D60">
            <v>2</v>
          </cell>
          <cell r="E60">
            <v>16651</v>
          </cell>
        </row>
        <row r="61">
          <cell r="D61">
            <v>3</v>
          </cell>
          <cell r="E61">
            <v>16751</v>
          </cell>
        </row>
        <row r="62">
          <cell r="D62">
            <v>1</v>
          </cell>
          <cell r="E62">
            <v>16822</v>
          </cell>
        </row>
        <row r="63">
          <cell r="D63">
            <v>2</v>
          </cell>
          <cell r="E63">
            <v>16903</v>
          </cell>
        </row>
        <row r="64">
          <cell r="D64">
            <v>3</v>
          </cell>
          <cell r="E64">
            <v>17275</v>
          </cell>
        </row>
        <row r="65">
          <cell r="D65">
            <v>1</v>
          </cell>
          <cell r="E65">
            <v>17613</v>
          </cell>
        </row>
        <row r="66">
          <cell r="D66">
            <v>2</v>
          </cell>
          <cell r="E66">
            <v>18241</v>
          </cell>
        </row>
        <row r="67">
          <cell r="D67">
            <v>3</v>
          </cell>
          <cell r="E67">
            <v>18812</v>
          </cell>
        </row>
        <row r="68">
          <cell r="D68">
            <v>1</v>
          </cell>
          <cell r="E68">
            <v>19433</v>
          </cell>
        </row>
        <row r="69">
          <cell r="D69">
            <v>2</v>
          </cell>
          <cell r="E69">
            <v>19488</v>
          </cell>
        </row>
        <row r="70">
          <cell r="D70">
            <v>3</v>
          </cell>
          <cell r="E70">
            <v>19436</v>
          </cell>
        </row>
        <row r="71">
          <cell r="D71">
            <v>1</v>
          </cell>
          <cell r="E71">
            <v>19315</v>
          </cell>
        </row>
        <row r="72">
          <cell r="D72">
            <v>2</v>
          </cell>
          <cell r="E72">
            <v>19335</v>
          </cell>
        </row>
        <row r="73">
          <cell r="D73">
            <v>3</v>
          </cell>
          <cell r="E73">
            <v>19277</v>
          </cell>
        </row>
        <row r="74">
          <cell r="D74">
            <v>1</v>
          </cell>
          <cell r="E74">
            <v>19238</v>
          </cell>
        </row>
        <row r="75">
          <cell r="D75">
            <v>2</v>
          </cell>
          <cell r="E75">
            <v>19066</v>
          </cell>
        </row>
        <row r="76">
          <cell r="D76">
            <v>3</v>
          </cell>
          <cell r="E76">
            <v>19029</v>
          </cell>
        </row>
        <row r="77">
          <cell r="D77">
            <v>1</v>
          </cell>
          <cell r="E77">
            <v>18775</v>
          </cell>
        </row>
        <row r="78">
          <cell r="D78">
            <v>2</v>
          </cell>
          <cell r="E78">
            <v>19043</v>
          </cell>
        </row>
        <row r="79">
          <cell r="D79">
            <v>3</v>
          </cell>
          <cell r="E79">
            <v>19317</v>
          </cell>
        </row>
        <row r="80">
          <cell r="D80">
            <v>1</v>
          </cell>
          <cell r="E80">
            <v>19881</v>
          </cell>
        </row>
        <row r="81">
          <cell r="D81">
            <v>2</v>
          </cell>
          <cell r="E81">
            <v>19711</v>
          </cell>
        </row>
        <row r="82">
          <cell r="D82">
            <v>3</v>
          </cell>
          <cell r="E82">
            <v>19609</v>
          </cell>
        </row>
        <row r="83">
          <cell r="D83">
            <v>1</v>
          </cell>
          <cell r="E83">
            <v>19474</v>
          </cell>
        </row>
        <row r="84">
          <cell r="D84">
            <v>2</v>
          </cell>
          <cell r="E84">
            <v>19437</v>
          </cell>
        </row>
        <row r="85">
          <cell r="D85">
            <v>3</v>
          </cell>
          <cell r="E85">
            <v>19418</v>
          </cell>
        </row>
        <row r="86">
          <cell r="D86">
            <v>1</v>
          </cell>
          <cell r="E86">
            <v>19351</v>
          </cell>
        </row>
        <row r="87">
          <cell r="D87">
            <v>0</v>
          </cell>
          <cell r="E87">
            <v>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</sheetData>
      <sheetData sheetId="161" refreshError="1"/>
      <sheetData sheetId="16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6743</v>
          </cell>
        </row>
        <row r="10">
          <cell r="D10">
            <v>2</v>
          </cell>
          <cell r="E10">
            <v>6184</v>
          </cell>
        </row>
        <row r="11">
          <cell r="D11">
            <v>3</v>
          </cell>
          <cell r="E11">
            <v>5827</v>
          </cell>
        </row>
        <row r="12">
          <cell r="D12">
            <v>1</v>
          </cell>
          <cell r="E12">
            <v>5737</v>
          </cell>
        </row>
        <row r="13">
          <cell r="D13">
            <v>2</v>
          </cell>
          <cell r="E13">
            <v>5566</v>
          </cell>
        </row>
        <row r="14">
          <cell r="D14">
            <v>3</v>
          </cell>
          <cell r="E14">
            <v>5378</v>
          </cell>
        </row>
        <row r="15">
          <cell r="D15">
            <v>1</v>
          </cell>
          <cell r="E15">
            <v>5124</v>
          </cell>
        </row>
        <row r="16">
          <cell r="D16">
            <v>2</v>
          </cell>
          <cell r="E16">
            <v>5083</v>
          </cell>
        </row>
        <row r="17">
          <cell r="D17">
            <v>3</v>
          </cell>
          <cell r="E17">
            <v>5002</v>
          </cell>
        </row>
        <row r="18">
          <cell r="D18">
            <v>1</v>
          </cell>
          <cell r="E18">
            <v>5102</v>
          </cell>
        </row>
        <row r="19">
          <cell r="D19">
            <v>2</v>
          </cell>
          <cell r="E19">
            <v>5163</v>
          </cell>
        </row>
        <row r="20">
          <cell r="D20">
            <v>3</v>
          </cell>
          <cell r="E20">
            <v>5280</v>
          </cell>
        </row>
        <row r="21">
          <cell r="D21">
            <v>1</v>
          </cell>
          <cell r="E21">
            <v>5273</v>
          </cell>
        </row>
        <row r="22">
          <cell r="D22">
            <v>2</v>
          </cell>
          <cell r="E22">
            <v>5132</v>
          </cell>
        </row>
        <row r="23">
          <cell r="D23">
            <v>3</v>
          </cell>
          <cell r="E23">
            <v>4943</v>
          </cell>
        </row>
        <row r="24">
          <cell r="D24">
            <v>1</v>
          </cell>
          <cell r="E24">
            <v>4829</v>
          </cell>
        </row>
        <row r="25">
          <cell r="D25">
            <v>2</v>
          </cell>
          <cell r="E25">
            <v>4708</v>
          </cell>
        </row>
        <row r="26">
          <cell r="D26">
            <v>3</v>
          </cell>
          <cell r="E26">
            <v>4764</v>
          </cell>
        </row>
        <row r="27">
          <cell r="D27">
            <v>1</v>
          </cell>
          <cell r="E27">
            <v>4696</v>
          </cell>
        </row>
        <row r="28">
          <cell r="D28">
            <v>2</v>
          </cell>
          <cell r="E28">
            <v>4672</v>
          </cell>
        </row>
        <row r="29">
          <cell r="D29">
            <v>3</v>
          </cell>
          <cell r="E29">
            <v>4521</v>
          </cell>
        </row>
        <row r="30">
          <cell r="D30">
            <v>1</v>
          </cell>
          <cell r="E30">
            <v>4438</v>
          </cell>
        </row>
        <row r="31">
          <cell r="D31">
            <v>2</v>
          </cell>
          <cell r="E31">
            <v>4467</v>
          </cell>
        </row>
        <row r="32">
          <cell r="D32">
            <v>3</v>
          </cell>
          <cell r="E32">
            <v>4434</v>
          </cell>
        </row>
        <row r="33">
          <cell r="D33">
            <v>1</v>
          </cell>
          <cell r="E33">
            <v>4391</v>
          </cell>
        </row>
        <row r="34">
          <cell r="D34">
            <v>2</v>
          </cell>
          <cell r="E34">
            <v>4250</v>
          </cell>
        </row>
        <row r="35">
          <cell r="D35">
            <v>3</v>
          </cell>
          <cell r="E35">
            <v>4229</v>
          </cell>
        </row>
        <row r="36">
          <cell r="D36">
            <v>1</v>
          </cell>
          <cell r="E36">
            <v>4101</v>
          </cell>
        </row>
        <row r="37">
          <cell r="D37">
            <v>2</v>
          </cell>
          <cell r="E37">
            <v>4047</v>
          </cell>
        </row>
        <row r="38">
          <cell r="D38">
            <v>3</v>
          </cell>
          <cell r="E38">
            <v>4039</v>
          </cell>
        </row>
        <row r="39">
          <cell r="D39">
            <v>1</v>
          </cell>
          <cell r="E39">
            <v>4084</v>
          </cell>
        </row>
        <row r="40">
          <cell r="D40">
            <v>2</v>
          </cell>
          <cell r="E40">
            <v>4145</v>
          </cell>
        </row>
        <row r="41">
          <cell r="D41">
            <v>3</v>
          </cell>
          <cell r="E41">
            <v>4176</v>
          </cell>
        </row>
        <row r="42">
          <cell r="D42">
            <v>1</v>
          </cell>
          <cell r="E42">
            <v>4279</v>
          </cell>
        </row>
        <row r="43">
          <cell r="D43">
            <v>2</v>
          </cell>
          <cell r="E43">
            <v>4404</v>
          </cell>
        </row>
        <row r="44">
          <cell r="D44">
            <v>3</v>
          </cell>
          <cell r="E44">
            <v>4500</v>
          </cell>
        </row>
        <row r="45">
          <cell r="D45">
            <v>1</v>
          </cell>
          <cell r="E45">
            <v>4523</v>
          </cell>
        </row>
        <row r="46">
          <cell r="D46">
            <v>2</v>
          </cell>
          <cell r="E46">
            <v>4452</v>
          </cell>
        </row>
        <row r="47">
          <cell r="D47">
            <v>3</v>
          </cell>
          <cell r="E47">
            <v>4455</v>
          </cell>
        </row>
        <row r="48">
          <cell r="D48">
            <v>1</v>
          </cell>
          <cell r="E48">
            <v>4435</v>
          </cell>
        </row>
        <row r="49">
          <cell r="D49">
            <v>2</v>
          </cell>
          <cell r="E49">
            <v>4529</v>
          </cell>
        </row>
        <row r="50">
          <cell r="D50">
            <v>3</v>
          </cell>
          <cell r="E50">
            <v>4491</v>
          </cell>
        </row>
        <row r="51">
          <cell r="D51">
            <v>1</v>
          </cell>
          <cell r="E51">
            <v>4541</v>
          </cell>
        </row>
        <row r="52">
          <cell r="D52">
            <v>2</v>
          </cell>
          <cell r="E52">
            <v>4787</v>
          </cell>
        </row>
        <row r="53">
          <cell r="D53">
            <v>3</v>
          </cell>
          <cell r="E53">
            <v>5014</v>
          </cell>
        </row>
        <row r="54">
          <cell r="D54">
            <v>1</v>
          </cell>
          <cell r="E54">
            <v>5305</v>
          </cell>
        </row>
        <row r="55">
          <cell r="D55">
            <v>2</v>
          </cell>
          <cell r="E55">
            <v>5345</v>
          </cell>
        </row>
        <row r="56">
          <cell r="D56">
            <v>3</v>
          </cell>
          <cell r="E56">
            <v>5440</v>
          </cell>
        </row>
        <row r="57">
          <cell r="D57">
            <v>1</v>
          </cell>
          <cell r="E57">
            <v>5394</v>
          </cell>
        </row>
        <row r="58">
          <cell r="D58">
            <v>2</v>
          </cell>
          <cell r="E58">
            <v>5698</v>
          </cell>
        </row>
        <row r="59">
          <cell r="D59">
            <v>3</v>
          </cell>
          <cell r="E59">
            <v>5947</v>
          </cell>
        </row>
        <row r="60">
          <cell r="D60">
            <v>1</v>
          </cell>
          <cell r="E60">
            <v>6231</v>
          </cell>
        </row>
        <row r="61">
          <cell r="D61">
            <v>2</v>
          </cell>
          <cell r="E61">
            <v>6154</v>
          </cell>
        </row>
        <row r="62">
          <cell r="D62">
            <v>3</v>
          </cell>
          <cell r="E62">
            <v>6129</v>
          </cell>
        </row>
        <row r="63">
          <cell r="D63">
            <v>1</v>
          </cell>
          <cell r="E63">
            <v>6101</v>
          </cell>
        </row>
        <row r="64">
          <cell r="D64">
            <v>2</v>
          </cell>
          <cell r="E64">
            <v>6288</v>
          </cell>
        </row>
        <row r="65">
          <cell r="D65">
            <v>3</v>
          </cell>
          <cell r="E65">
            <v>6421</v>
          </cell>
        </row>
        <row r="66">
          <cell r="D66">
            <v>1</v>
          </cell>
          <cell r="E66">
            <v>6675</v>
          </cell>
        </row>
        <row r="67">
          <cell r="D67">
            <v>2</v>
          </cell>
          <cell r="E67">
            <v>6918</v>
          </cell>
        </row>
        <row r="68">
          <cell r="D68">
            <v>3</v>
          </cell>
          <cell r="E68">
            <v>7050</v>
          </cell>
        </row>
        <row r="69">
          <cell r="D69">
            <v>1</v>
          </cell>
          <cell r="E69">
            <v>7083</v>
          </cell>
        </row>
        <row r="70">
          <cell r="D70">
            <v>2</v>
          </cell>
          <cell r="E70">
            <v>6932</v>
          </cell>
        </row>
        <row r="71">
          <cell r="D71">
            <v>3</v>
          </cell>
          <cell r="E71">
            <v>6938</v>
          </cell>
        </row>
        <row r="72">
          <cell r="D72">
            <v>1</v>
          </cell>
          <cell r="E72">
            <v>7022</v>
          </cell>
        </row>
        <row r="73">
          <cell r="D73">
            <v>2</v>
          </cell>
          <cell r="E73">
            <v>7307</v>
          </cell>
        </row>
        <row r="74">
          <cell r="D74">
            <v>3</v>
          </cell>
          <cell r="E74">
            <v>7473</v>
          </cell>
        </row>
        <row r="75">
          <cell r="D75">
            <v>1</v>
          </cell>
          <cell r="E75">
            <v>7525</v>
          </cell>
        </row>
        <row r="76">
          <cell r="D76">
            <v>2</v>
          </cell>
          <cell r="E76">
            <v>7488</v>
          </cell>
        </row>
        <row r="77">
          <cell r="D77">
            <v>3</v>
          </cell>
          <cell r="E77">
            <v>7513</v>
          </cell>
        </row>
        <row r="78">
          <cell r="D78">
            <v>1</v>
          </cell>
          <cell r="E78">
            <v>7641</v>
          </cell>
        </row>
        <row r="79">
          <cell r="D79">
            <v>2</v>
          </cell>
          <cell r="E79">
            <v>7745</v>
          </cell>
        </row>
        <row r="80">
          <cell r="D80">
            <v>3</v>
          </cell>
          <cell r="E80">
            <v>7817</v>
          </cell>
        </row>
        <row r="81">
          <cell r="D81">
            <v>1</v>
          </cell>
          <cell r="E81">
            <v>7788</v>
          </cell>
        </row>
        <row r="82">
          <cell r="D82">
            <v>2</v>
          </cell>
          <cell r="E82">
            <v>7821</v>
          </cell>
        </row>
        <row r="83">
          <cell r="D83">
            <v>3</v>
          </cell>
          <cell r="E83">
            <v>8006</v>
          </cell>
        </row>
        <row r="84">
          <cell r="D84">
            <v>1</v>
          </cell>
          <cell r="E84">
            <v>8162</v>
          </cell>
        </row>
        <row r="85">
          <cell r="D85">
            <v>2</v>
          </cell>
          <cell r="E85">
            <v>8118</v>
          </cell>
        </row>
        <row r="86">
          <cell r="D86">
            <v>3</v>
          </cell>
          <cell r="E86">
            <v>8088</v>
          </cell>
        </row>
        <row r="87">
          <cell r="D87">
            <v>1</v>
          </cell>
          <cell r="E87">
            <v>7970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63" refreshError="1"/>
      <sheetData sheetId="16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14345</v>
          </cell>
        </row>
        <row r="10">
          <cell r="D10">
            <v>2</v>
          </cell>
          <cell r="E10">
            <v>13653</v>
          </cell>
        </row>
        <row r="11">
          <cell r="D11">
            <v>3</v>
          </cell>
          <cell r="E11">
            <v>13186</v>
          </cell>
        </row>
        <row r="12">
          <cell r="D12">
            <v>1</v>
          </cell>
          <cell r="E12">
            <v>13025</v>
          </cell>
        </row>
        <row r="13">
          <cell r="D13">
            <v>2</v>
          </cell>
          <cell r="E13">
            <v>12770</v>
          </cell>
        </row>
        <row r="14">
          <cell r="D14">
            <v>3</v>
          </cell>
          <cell r="E14">
            <v>12450</v>
          </cell>
        </row>
        <row r="15">
          <cell r="D15">
            <v>1</v>
          </cell>
          <cell r="E15">
            <v>11981</v>
          </cell>
        </row>
        <row r="16">
          <cell r="D16">
            <v>2</v>
          </cell>
          <cell r="E16">
            <v>11762</v>
          </cell>
        </row>
        <row r="17">
          <cell r="D17">
            <v>3</v>
          </cell>
          <cell r="E17">
            <v>11561</v>
          </cell>
        </row>
        <row r="18">
          <cell r="D18">
            <v>1</v>
          </cell>
          <cell r="E18">
            <v>11755</v>
          </cell>
        </row>
        <row r="19">
          <cell r="D19">
            <v>2</v>
          </cell>
          <cell r="E19">
            <v>12161</v>
          </cell>
        </row>
        <row r="20">
          <cell r="D20">
            <v>3</v>
          </cell>
          <cell r="E20">
            <v>12773</v>
          </cell>
        </row>
        <row r="21">
          <cell r="D21">
            <v>1</v>
          </cell>
          <cell r="E21">
            <v>13028</v>
          </cell>
        </row>
        <row r="22">
          <cell r="D22">
            <v>2</v>
          </cell>
          <cell r="E22">
            <v>12778</v>
          </cell>
        </row>
        <row r="23">
          <cell r="D23">
            <v>3</v>
          </cell>
          <cell r="E23">
            <v>12346</v>
          </cell>
        </row>
        <row r="24">
          <cell r="D24">
            <v>1</v>
          </cell>
          <cell r="E24">
            <v>12101</v>
          </cell>
        </row>
        <row r="25">
          <cell r="D25">
            <v>2</v>
          </cell>
          <cell r="E25">
            <v>11846</v>
          </cell>
        </row>
        <row r="26">
          <cell r="D26">
            <v>3</v>
          </cell>
          <cell r="E26">
            <v>11725</v>
          </cell>
        </row>
        <row r="27">
          <cell r="D27">
            <v>1</v>
          </cell>
          <cell r="E27">
            <v>11492</v>
          </cell>
        </row>
        <row r="28">
          <cell r="D28">
            <v>2</v>
          </cell>
          <cell r="E28">
            <v>11242</v>
          </cell>
        </row>
        <row r="29">
          <cell r="D29">
            <v>3</v>
          </cell>
          <cell r="E29">
            <v>10871</v>
          </cell>
        </row>
        <row r="30">
          <cell r="D30">
            <v>1</v>
          </cell>
          <cell r="E30">
            <v>10490</v>
          </cell>
        </row>
        <row r="31">
          <cell r="D31">
            <v>2</v>
          </cell>
          <cell r="E31">
            <v>10726</v>
          </cell>
        </row>
        <row r="32">
          <cell r="D32">
            <v>3</v>
          </cell>
          <cell r="E32">
            <v>11056</v>
          </cell>
        </row>
        <row r="33">
          <cell r="D33">
            <v>1</v>
          </cell>
          <cell r="E33">
            <v>11440</v>
          </cell>
        </row>
        <row r="34">
          <cell r="D34">
            <v>2</v>
          </cell>
          <cell r="E34">
            <v>11294</v>
          </cell>
        </row>
        <row r="35">
          <cell r="D35">
            <v>3</v>
          </cell>
          <cell r="E35">
            <v>11117</v>
          </cell>
        </row>
        <row r="36">
          <cell r="D36">
            <v>1</v>
          </cell>
          <cell r="E36">
            <v>10868</v>
          </cell>
        </row>
        <row r="37">
          <cell r="D37">
            <v>2</v>
          </cell>
          <cell r="E37">
            <v>10860</v>
          </cell>
        </row>
        <row r="38">
          <cell r="D38">
            <v>3</v>
          </cell>
          <cell r="E38">
            <v>10834</v>
          </cell>
        </row>
        <row r="39">
          <cell r="D39">
            <v>1</v>
          </cell>
          <cell r="E39">
            <v>10788</v>
          </cell>
        </row>
        <row r="40">
          <cell r="D40">
            <v>2</v>
          </cell>
          <cell r="E40">
            <v>10710</v>
          </cell>
        </row>
        <row r="41">
          <cell r="D41">
            <v>3</v>
          </cell>
          <cell r="E41">
            <v>10626</v>
          </cell>
        </row>
        <row r="42">
          <cell r="D42">
            <v>1</v>
          </cell>
          <cell r="E42">
            <v>10731</v>
          </cell>
        </row>
        <row r="43">
          <cell r="D43">
            <v>2</v>
          </cell>
          <cell r="E43">
            <v>11167</v>
          </cell>
        </row>
        <row r="44">
          <cell r="D44">
            <v>3</v>
          </cell>
          <cell r="E44">
            <v>11900</v>
          </cell>
        </row>
        <row r="45">
          <cell r="D45">
            <v>1</v>
          </cell>
          <cell r="E45">
            <v>12456</v>
          </cell>
        </row>
        <row r="46">
          <cell r="D46">
            <v>2</v>
          </cell>
          <cell r="E46">
            <v>12481</v>
          </cell>
        </row>
        <row r="47">
          <cell r="D47">
            <v>3</v>
          </cell>
          <cell r="E47">
            <v>12612</v>
          </cell>
        </row>
        <row r="48">
          <cell r="D48">
            <v>1</v>
          </cell>
          <cell r="E48">
            <v>12789</v>
          </cell>
        </row>
        <row r="49">
          <cell r="D49">
            <v>2</v>
          </cell>
          <cell r="E49">
            <v>13151</v>
          </cell>
        </row>
        <row r="50">
          <cell r="D50">
            <v>3</v>
          </cell>
          <cell r="E50">
            <v>13295</v>
          </cell>
        </row>
        <row r="51">
          <cell r="D51">
            <v>1</v>
          </cell>
          <cell r="E51">
            <v>13520</v>
          </cell>
        </row>
        <row r="52">
          <cell r="D52">
            <v>2</v>
          </cell>
          <cell r="E52">
            <v>13858</v>
          </cell>
        </row>
        <row r="53">
          <cell r="D53">
            <v>3</v>
          </cell>
          <cell r="E53">
            <v>14128</v>
          </cell>
        </row>
        <row r="54">
          <cell r="D54">
            <v>1</v>
          </cell>
          <cell r="E54">
            <v>14378</v>
          </cell>
        </row>
        <row r="55">
          <cell r="D55">
            <v>2</v>
          </cell>
          <cell r="E55">
            <v>14964</v>
          </cell>
        </row>
        <row r="56">
          <cell r="D56">
            <v>3</v>
          </cell>
          <cell r="E56">
            <v>15811</v>
          </cell>
        </row>
        <row r="57">
          <cell r="D57">
            <v>1</v>
          </cell>
          <cell r="E57">
            <v>16483</v>
          </cell>
        </row>
        <row r="58">
          <cell r="D58">
            <v>2</v>
          </cell>
          <cell r="E58">
            <v>17109</v>
          </cell>
        </row>
        <row r="59">
          <cell r="D59">
            <v>3</v>
          </cell>
          <cell r="E59">
            <v>17387</v>
          </cell>
        </row>
        <row r="60">
          <cell r="D60">
            <v>1</v>
          </cell>
          <cell r="E60">
            <v>17817</v>
          </cell>
        </row>
        <row r="61">
          <cell r="D61">
            <v>2</v>
          </cell>
          <cell r="E61">
            <v>18001</v>
          </cell>
        </row>
        <row r="62">
          <cell r="D62">
            <v>3</v>
          </cell>
          <cell r="E62">
            <v>18153</v>
          </cell>
        </row>
        <row r="63">
          <cell r="D63">
            <v>1</v>
          </cell>
          <cell r="E63">
            <v>18124</v>
          </cell>
        </row>
        <row r="64">
          <cell r="D64">
            <v>2</v>
          </cell>
          <cell r="E64">
            <v>18330</v>
          </cell>
        </row>
        <row r="65">
          <cell r="D65">
            <v>3</v>
          </cell>
          <cell r="E65">
            <v>18553</v>
          </cell>
        </row>
        <row r="66">
          <cell r="D66">
            <v>1</v>
          </cell>
          <cell r="E66">
            <v>19017</v>
          </cell>
        </row>
        <row r="67">
          <cell r="D67">
            <v>2</v>
          </cell>
          <cell r="E67">
            <v>19839</v>
          </cell>
        </row>
        <row r="68">
          <cell r="D68">
            <v>3</v>
          </cell>
          <cell r="E68">
            <v>20596</v>
          </cell>
        </row>
        <row r="69">
          <cell r="D69">
            <v>1</v>
          </cell>
          <cell r="E69">
            <v>21258</v>
          </cell>
        </row>
        <row r="70">
          <cell r="D70">
            <v>2</v>
          </cell>
          <cell r="E70">
            <v>20980</v>
          </cell>
        </row>
        <row r="71">
          <cell r="D71">
            <v>3</v>
          </cell>
          <cell r="E71">
            <v>20709</v>
          </cell>
        </row>
        <row r="72">
          <cell r="D72">
            <v>1</v>
          </cell>
          <cell r="E72">
            <v>20508</v>
          </cell>
        </row>
        <row r="73">
          <cell r="D73">
            <v>2</v>
          </cell>
          <cell r="E73">
            <v>20633</v>
          </cell>
        </row>
        <row r="74">
          <cell r="D74">
            <v>3</v>
          </cell>
          <cell r="E74">
            <v>20586</v>
          </cell>
        </row>
        <row r="75">
          <cell r="D75">
            <v>1</v>
          </cell>
          <cell r="E75">
            <v>20486</v>
          </cell>
        </row>
        <row r="76">
          <cell r="D76">
            <v>2</v>
          </cell>
          <cell r="E76">
            <v>20228</v>
          </cell>
        </row>
        <row r="77">
          <cell r="D77">
            <v>3</v>
          </cell>
          <cell r="E77">
            <v>20083</v>
          </cell>
        </row>
        <row r="78">
          <cell r="D78">
            <v>1</v>
          </cell>
          <cell r="E78">
            <v>19951</v>
          </cell>
        </row>
        <row r="79">
          <cell r="D79">
            <v>2</v>
          </cell>
          <cell r="E79">
            <v>20435</v>
          </cell>
        </row>
        <row r="80">
          <cell r="D80">
            <v>3</v>
          </cell>
          <cell r="E80">
            <v>20938</v>
          </cell>
        </row>
        <row r="81">
          <cell r="D81">
            <v>1</v>
          </cell>
          <cell r="E81">
            <v>21477</v>
          </cell>
        </row>
        <row r="82">
          <cell r="D82">
            <v>2</v>
          </cell>
          <cell r="E82">
            <v>21234</v>
          </cell>
        </row>
        <row r="83">
          <cell r="D83">
            <v>3</v>
          </cell>
          <cell r="E83">
            <v>21241</v>
          </cell>
        </row>
        <row r="84">
          <cell r="D84">
            <v>1</v>
          </cell>
          <cell r="E84">
            <v>21128</v>
          </cell>
        </row>
        <row r="85">
          <cell r="D85">
            <v>2</v>
          </cell>
          <cell r="E85">
            <v>20986</v>
          </cell>
        </row>
        <row r="86">
          <cell r="D86">
            <v>3</v>
          </cell>
          <cell r="E86">
            <v>20794</v>
          </cell>
        </row>
        <row r="87">
          <cell r="D87">
            <v>1</v>
          </cell>
          <cell r="E87">
            <v>20462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65" refreshError="1"/>
      <sheetData sheetId="16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21396</v>
          </cell>
        </row>
        <row r="10">
          <cell r="D10">
            <v>2</v>
          </cell>
          <cell r="E10">
            <v>20393</v>
          </cell>
        </row>
        <row r="11">
          <cell r="D11">
            <v>3</v>
          </cell>
          <cell r="E11">
            <v>19735</v>
          </cell>
        </row>
        <row r="12">
          <cell r="D12">
            <v>1</v>
          </cell>
          <cell r="E12">
            <v>19401</v>
          </cell>
        </row>
        <row r="13">
          <cell r="D13">
            <v>2</v>
          </cell>
          <cell r="E13">
            <v>18802</v>
          </cell>
        </row>
        <row r="14">
          <cell r="D14">
            <v>3</v>
          </cell>
          <cell r="E14">
            <v>18137</v>
          </cell>
        </row>
        <row r="15">
          <cell r="D15">
            <v>1</v>
          </cell>
          <cell r="E15">
            <v>17414</v>
          </cell>
        </row>
        <row r="16">
          <cell r="D16">
            <v>2</v>
          </cell>
          <cell r="E16">
            <v>17198</v>
          </cell>
        </row>
        <row r="17">
          <cell r="D17">
            <v>3</v>
          </cell>
          <cell r="E17">
            <v>16980</v>
          </cell>
        </row>
        <row r="18">
          <cell r="D18">
            <v>1</v>
          </cell>
          <cell r="E18">
            <v>17072</v>
          </cell>
        </row>
        <row r="19">
          <cell r="D19">
            <v>2</v>
          </cell>
          <cell r="E19">
            <v>17375</v>
          </cell>
        </row>
        <row r="20">
          <cell r="D20">
            <v>3</v>
          </cell>
          <cell r="E20">
            <v>17930</v>
          </cell>
        </row>
        <row r="21">
          <cell r="D21">
            <v>1</v>
          </cell>
          <cell r="E21">
            <v>18327</v>
          </cell>
        </row>
        <row r="22">
          <cell r="D22">
            <v>2</v>
          </cell>
          <cell r="E22">
            <v>18064</v>
          </cell>
        </row>
        <row r="23">
          <cell r="D23">
            <v>3</v>
          </cell>
          <cell r="E23">
            <v>17626</v>
          </cell>
        </row>
        <row r="24">
          <cell r="D24">
            <v>1</v>
          </cell>
          <cell r="E24">
            <v>17254</v>
          </cell>
        </row>
        <row r="25">
          <cell r="D25">
            <v>2</v>
          </cell>
          <cell r="E25">
            <v>16894</v>
          </cell>
        </row>
        <row r="26">
          <cell r="D26">
            <v>3</v>
          </cell>
          <cell r="E26">
            <v>16726</v>
          </cell>
        </row>
        <row r="27">
          <cell r="D27">
            <v>1</v>
          </cell>
          <cell r="E27">
            <v>16381</v>
          </cell>
        </row>
        <row r="28">
          <cell r="D28">
            <v>2</v>
          </cell>
          <cell r="E28">
            <v>16115</v>
          </cell>
        </row>
        <row r="29">
          <cell r="D29">
            <v>3</v>
          </cell>
          <cell r="E29">
            <v>15674</v>
          </cell>
        </row>
        <row r="30">
          <cell r="D30">
            <v>1</v>
          </cell>
          <cell r="E30">
            <v>15284</v>
          </cell>
        </row>
        <row r="31">
          <cell r="D31">
            <v>2</v>
          </cell>
          <cell r="E31">
            <v>15424</v>
          </cell>
        </row>
        <row r="32">
          <cell r="D32">
            <v>3</v>
          </cell>
          <cell r="E32">
            <v>15676</v>
          </cell>
        </row>
        <row r="33">
          <cell r="D33">
            <v>1</v>
          </cell>
          <cell r="E33">
            <v>15990</v>
          </cell>
        </row>
        <row r="34">
          <cell r="D34">
            <v>2</v>
          </cell>
          <cell r="E34">
            <v>15882</v>
          </cell>
        </row>
        <row r="35">
          <cell r="D35">
            <v>3</v>
          </cell>
          <cell r="E35">
            <v>15618</v>
          </cell>
        </row>
        <row r="36">
          <cell r="D36">
            <v>1</v>
          </cell>
          <cell r="E36">
            <v>15307</v>
          </cell>
        </row>
        <row r="37">
          <cell r="D37">
            <v>2</v>
          </cell>
          <cell r="E37">
            <v>15157</v>
          </cell>
        </row>
        <row r="38">
          <cell r="D38">
            <v>3</v>
          </cell>
          <cell r="E38">
            <v>15201</v>
          </cell>
        </row>
        <row r="39">
          <cell r="D39">
            <v>1</v>
          </cell>
          <cell r="E39">
            <v>15257</v>
          </cell>
        </row>
        <row r="40">
          <cell r="D40">
            <v>2</v>
          </cell>
          <cell r="E40">
            <v>15287</v>
          </cell>
        </row>
        <row r="41">
          <cell r="D41">
            <v>3</v>
          </cell>
          <cell r="E41">
            <v>15312</v>
          </cell>
        </row>
        <row r="42">
          <cell r="D42">
            <v>1</v>
          </cell>
          <cell r="E42">
            <v>15448</v>
          </cell>
        </row>
        <row r="43">
          <cell r="D43">
            <v>2</v>
          </cell>
          <cell r="E43">
            <v>15919</v>
          </cell>
        </row>
        <row r="44">
          <cell r="D44">
            <v>3</v>
          </cell>
          <cell r="E44">
            <v>16710</v>
          </cell>
        </row>
        <row r="45">
          <cell r="D45">
            <v>1</v>
          </cell>
          <cell r="E45">
            <v>17267</v>
          </cell>
        </row>
        <row r="46">
          <cell r="D46">
            <v>2</v>
          </cell>
          <cell r="E46">
            <v>17456</v>
          </cell>
        </row>
        <row r="47">
          <cell r="D47">
            <v>3</v>
          </cell>
          <cell r="E47">
            <v>17641</v>
          </cell>
        </row>
        <row r="48">
          <cell r="D48">
            <v>1</v>
          </cell>
          <cell r="E48">
            <v>18053</v>
          </cell>
        </row>
        <row r="49">
          <cell r="D49">
            <v>2</v>
          </cell>
          <cell r="E49">
            <v>18541</v>
          </cell>
        </row>
        <row r="50">
          <cell r="D50">
            <v>3</v>
          </cell>
          <cell r="E50">
            <v>18777</v>
          </cell>
        </row>
        <row r="51">
          <cell r="D51">
            <v>1</v>
          </cell>
          <cell r="E51">
            <v>19053</v>
          </cell>
        </row>
        <row r="52">
          <cell r="D52">
            <v>0</v>
          </cell>
          <cell r="E52">
            <v>0</v>
          </cell>
        </row>
        <row r="53">
          <cell r="D53">
            <v>1</v>
          </cell>
          <cell r="E53">
            <v>18491</v>
          </cell>
        </row>
        <row r="54">
          <cell r="D54">
            <v>2</v>
          </cell>
          <cell r="E54">
            <v>19017</v>
          </cell>
        </row>
        <row r="55">
          <cell r="D55">
            <v>3</v>
          </cell>
          <cell r="E55">
            <v>19853</v>
          </cell>
        </row>
        <row r="56">
          <cell r="D56">
            <v>1</v>
          </cell>
          <cell r="E56">
            <v>20677</v>
          </cell>
        </row>
        <row r="57">
          <cell r="D57">
            <v>2</v>
          </cell>
          <cell r="E57">
            <v>21549</v>
          </cell>
        </row>
        <row r="58">
          <cell r="D58">
            <v>3</v>
          </cell>
          <cell r="E58">
            <v>22099</v>
          </cell>
        </row>
        <row r="59">
          <cell r="D59">
            <v>1</v>
          </cell>
          <cell r="E59">
            <v>22651</v>
          </cell>
        </row>
        <row r="60">
          <cell r="D60">
            <v>2</v>
          </cell>
          <cell r="E60">
            <v>22806</v>
          </cell>
        </row>
        <row r="61">
          <cell r="D61">
            <v>3</v>
          </cell>
          <cell r="E61">
            <v>22879</v>
          </cell>
        </row>
        <row r="62">
          <cell r="D62">
            <v>1</v>
          </cell>
          <cell r="E62">
            <v>22923</v>
          </cell>
        </row>
        <row r="63">
          <cell r="D63">
            <v>2</v>
          </cell>
          <cell r="E63">
            <v>23191</v>
          </cell>
        </row>
        <row r="64">
          <cell r="D64">
            <v>3</v>
          </cell>
          <cell r="E64">
            <v>23697</v>
          </cell>
        </row>
        <row r="65">
          <cell r="D65">
            <v>1</v>
          </cell>
          <cell r="E65">
            <v>24288</v>
          </cell>
        </row>
        <row r="66">
          <cell r="D66">
            <v>2</v>
          </cell>
          <cell r="E66">
            <v>25159</v>
          </cell>
        </row>
        <row r="67">
          <cell r="D67">
            <v>3</v>
          </cell>
          <cell r="E67">
            <v>25862</v>
          </cell>
        </row>
        <row r="68">
          <cell r="D68">
            <v>1</v>
          </cell>
          <cell r="E68">
            <v>26516</v>
          </cell>
        </row>
        <row r="69">
          <cell r="D69">
            <v>2</v>
          </cell>
          <cell r="E69">
            <v>26420</v>
          </cell>
        </row>
        <row r="70">
          <cell r="D70">
            <v>3</v>
          </cell>
          <cell r="E70">
            <v>26374</v>
          </cell>
        </row>
        <row r="71">
          <cell r="D71">
            <v>1</v>
          </cell>
          <cell r="E71">
            <v>26337</v>
          </cell>
        </row>
        <row r="72">
          <cell r="D72">
            <v>2</v>
          </cell>
          <cell r="E72">
            <v>26642</v>
          </cell>
        </row>
        <row r="73">
          <cell r="D73">
            <v>3</v>
          </cell>
          <cell r="E73">
            <v>26750</v>
          </cell>
        </row>
        <row r="74">
          <cell r="D74">
            <v>1</v>
          </cell>
          <cell r="E74">
            <v>26762</v>
          </cell>
        </row>
        <row r="75">
          <cell r="D75">
            <v>2</v>
          </cell>
          <cell r="E75">
            <v>26554</v>
          </cell>
        </row>
        <row r="76">
          <cell r="D76">
            <v>3</v>
          </cell>
          <cell r="E76">
            <v>26542</v>
          </cell>
        </row>
        <row r="77">
          <cell r="D77">
            <v>1</v>
          </cell>
          <cell r="E77">
            <v>26416</v>
          </cell>
        </row>
        <row r="78">
          <cell r="D78">
            <v>2</v>
          </cell>
          <cell r="E78">
            <v>26788</v>
          </cell>
        </row>
        <row r="79">
          <cell r="D79">
            <v>3</v>
          </cell>
          <cell r="E79">
            <v>27134</v>
          </cell>
        </row>
        <row r="80">
          <cell r="D80">
            <v>1</v>
          </cell>
          <cell r="E80">
            <v>27669</v>
          </cell>
        </row>
        <row r="81">
          <cell r="D81">
            <v>2</v>
          </cell>
          <cell r="E81">
            <v>27532</v>
          </cell>
        </row>
        <row r="82">
          <cell r="D82">
            <v>3</v>
          </cell>
          <cell r="E82">
            <v>27615</v>
          </cell>
        </row>
        <row r="83">
          <cell r="D83">
            <v>1</v>
          </cell>
          <cell r="E83">
            <v>27636</v>
          </cell>
        </row>
        <row r="84">
          <cell r="D84">
            <v>2</v>
          </cell>
          <cell r="E84">
            <v>27555</v>
          </cell>
        </row>
        <row r="85">
          <cell r="D85">
            <v>3</v>
          </cell>
          <cell r="E85">
            <v>27506</v>
          </cell>
        </row>
        <row r="86">
          <cell r="D86">
            <v>1</v>
          </cell>
          <cell r="E86">
            <v>27321</v>
          </cell>
        </row>
        <row r="87">
          <cell r="D87">
            <v>0</v>
          </cell>
          <cell r="E87">
            <v>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</sheetData>
      <sheetData sheetId="167" refreshError="1"/>
      <sheetData sheetId="16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102387</v>
          </cell>
        </row>
        <row r="10">
          <cell r="D10">
            <v>2</v>
          </cell>
          <cell r="E10">
            <v>102477</v>
          </cell>
        </row>
        <row r="11">
          <cell r="D11">
            <v>3</v>
          </cell>
          <cell r="E11">
            <v>102472</v>
          </cell>
        </row>
        <row r="12">
          <cell r="D12">
            <v>1</v>
          </cell>
          <cell r="E12">
            <v>102581</v>
          </cell>
        </row>
        <row r="13">
          <cell r="D13">
            <v>2</v>
          </cell>
          <cell r="E13">
            <v>102381</v>
          </cell>
        </row>
        <row r="14">
          <cell r="D14">
            <v>3</v>
          </cell>
          <cell r="E14">
            <v>102314</v>
          </cell>
        </row>
        <row r="15">
          <cell r="D15">
            <v>1</v>
          </cell>
          <cell r="E15">
            <v>102062</v>
          </cell>
        </row>
        <row r="16">
          <cell r="D16">
            <v>2</v>
          </cell>
          <cell r="E16">
            <v>101930</v>
          </cell>
        </row>
        <row r="17">
          <cell r="D17">
            <v>3</v>
          </cell>
          <cell r="E17">
            <v>101876</v>
          </cell>
        </row>
        <row r="18">
          <cell r="D18">
            <v>1</v>
          </cell>
          <cell r="E18">
            <v>102061</v>
          </cell>
        </row>
        <row r="19">
          <cell r="D19">
            <v>2</v>
          </cell>
          <cell r="E19">
            <v>102128</v>
          </cell>
        </row>
        <row r="20">
          <cell r="D20">
            <v>3</v>
          </cell>
          <cell r="E20">
            <v>102352</v>
          </cell>
        </row>
        <row r="21">
          <cell r="D21">
            <v>1</v>
          </cell>
          <cell r="E21">
            <v>102470</v>
          </cell>
        </row>
        <row r="22">
          <cell r="D22">
            <v>2</v>
          </cell>
          <cell r="E22">
            <v>102663</v>
          </cell>
        </row>
        <row r="23">
          <cell r="D23">
            <v>3</v>
          </cell>
          <cell r="E23">
            <v>102639</v>
          </cell>
        </row>
        <row r="24">
          <cell r="D24">
            <v>1</v>
          </cell>
          <cell r="E24">
            <v>102658</v>
          </cell>
        </row>
        <row r="25">
          <cell r="D25">
            <v>2</v>
          </cell>
          <cell r="E25">
            <v>102697</v>
          </cell>
        </row>
        <row r="26">
          <cell r="D26">
            <v>3</v>
          </cell>
          <cell r="E26">
            <v>102696</v>
          </cell>
        </row>
        <row r="27">
          <cell r="D27">
            <v>1</v>
          </cell>
          <cell r="E27">
            <v>102667</v>
          </cell>
        </row>
        <row r="28">
          <cell r="D28">
            <v>2</v>
          </cell>
          <cell r="E28">
            <v>102543</v>
          </cell>
        </row>
        <row r="29">
          <cell r="D29">
            <v>3</v>
          </cell>
          <cell r="E29">
            <v>102554</v>
          </cell>
        </row>
        <row r="30">
          <cell r="D30">
            <v>1</v>
          </cell>
          <cell r="E30">
            <v>102372</v>
          </cell>
        </row>
        <row r="31">
          <cell r="D31">
            <v>2</v>
          </cell>
          <cell r="E31">
            <v>102314</v>
          </cell>
        </row>
        <row r="32">
          <cell r="D32">
            <v>3</v>
          </cell>
          <cell r="E32">
            <v>102544</v>
          </cell>
        </row>
        <row r="33">
          <cell r="D33">
            <v>1</v>
          </cell>
          <cell r="E33">
            <v>102691</v>
          </cell>
        </row>
        <row r="34">
          <cell r="D34">
            <v>2</v>
          </cell>
          <cell r="E34">
            <v>102844</v>
          </cell>
        </row>
        <row r="35">
          <cell r="D35">
            <v>3</v>
          </cell>
          <cell r="E35">
            <v>102925</v>
          </cell>
        </row>
        <row r="36">
          <cell r="D36">
            <v>1</v>
          </cell>
          <cell r="E36">
            <v>102920</v>
          </cell>
        </row>
        <row r="37">
          <cell r="D37">
            <v>2</v>
          </cell>
          <cell r="E37">
            <v>102790</v>
          </cell>
        </row>
        <row r="38">
          <cell r="D38">
            <v>3</v>
          </cell>
          <cell r="E38">
            <v>102773</v>
          </cell>
        </row>
        <row r="39">
          <cell r="D39">
            <v>1</v>
          </cell>
          <cell r="E39">
            <v>103058</v>
          </cell>
        </row>
        <row r="40">
          <cell r="D40">
            <v>2</v>
          </cell>
          <cell r="E40">
            <v>103302</v>
          </cell>
        </row>
        <row r="41">
          <cell r="D41">
            <v>3</v>
          </cell>
          <cell r="E41">
            <v>103332</v>
          </cell>
        </row>
        <row r="42">
          <cell r="D42">
            <v>1</v>
          </cell>
          <cell r="E42">
            <v>103606</v>
          </cell>
        </row>
        <row r="43">
          <cell r="D43">
            <v>2</v>
          </cell>
          <cell r="E43">
            <v>103857</v>
          </cell>
        </row>
        <row r="44">
          <cell r="D44">
            <v>3</v>
          </cell>
          <cell r="E44">
            <v>104205</v>
          </cell>
        </row>
        <row r="45">
          <cell r="D45">
            <v>1</v>
          </cell>
          <cell r="E45">
            <v>104479</v>
          </cell>
        </row>
        <row r="46">
          <cell r="D46">
            <v>2</v>
          </cell>
          <cell r="E46">
            <v>104660</v>
          </cell>
        </row>
        <row r="47">
          <cell r="D47">
            <v>3</v>
          </cell>
          <cell r="E47">
            <v>104716</v>
          </cell>
        </row>
        <row r="48">
          <cell r="D48">
            <v>1</v>
          </cell>
          <cell r="E48">
            <v>105001</v>
          </cell>
        </row>
        <row r="49">
          <cell r="D49">
            <v>2</v>
          </cell>
          <cell r="E49">
            <v>105336</v>
          </cell>
        </row>
        <row r="50">
          <cell r="D50">
            <v>3</v>
          </cell>
          <cell r="E50">
            <v>105422</v>
          </cell>
        </row>
        <row r="51">
          <cell r="D51">
            <v>1</v>
          </cell>
          <cell r="E51">
            <v>105609</v>
          </cell>
        </row>
        <row r="52">
          <cell r="D52">
            <v>2</v>
          </cell>
          <cell r="E52">
            <v>106142</v>
          </cell>
        </row>
        <row r="53">
          <cell r="D53">
            <v>3</v>
          </cell>
          <cell r="E53">
            <v>106279</v>
          </cell>
        </row>
        <row r="54">
          <cell r="D54">
            <v>1</v>
          </cell>
          <cell r="E54">
            <v>106623</v>
          </cell>
        </row>
        <row r="55">
          <cell r="D55">
            <v>2</v>
          </cell>
          <cell r="E55">
            <v>106565</v>
          </cell>
        </row>
        <row r="56">
          <cell r="D56">
            <v>3</v>
          </cell>
          <cell r="E56">
            <v>106944</v>
          </cell>
        </row>
        <row r="57">
          <cell r="D57">
            <v>1</v>
          </cell>
          <cell r="E57">
            <v>107122</v>
          </cell>
        </row>
        <row r="58">
          <cell r="D58">
            <v>2</v>
          </cell>
          <cell r="E58">
            <v>107743</v>
          </cell>
        </row>
        <row r="59">
          <cell r="D59">
            <v>3</v>
          </cell>
          <cell r="E59">
            <v>108236</v>
          </cell>
        </row>
        <row r="60">
          <cell r="D60">
            <v>1</v>
          </cell>
          <cell r="E60">
            <v>108615</v>
          </cell>
        </row>
        <row r="61">
          <cell r="D61">
            <v>2</v>
          </cell>
          <cell r="E61">
            <v>108488</v>
          </cell>
        </row>
        <row r="62">
          <cell r="D62">
            <v>3</v>
          </cell>
          <cell r="E62">
            <v>108289</v>
          </cell>
        </row>
        <row r="63">
          <cell r="D63">
            <v>1</v>
          </cell>
          <cell r="E63">
            <v>107958</v>
          </cell>
        </row>
        <row r="64">
          <cell r="D64">
            <v>2</v>
          </cell>
          <cell r="E64">
            <v>108213</v>
          </cell>
        </row>
        <row r="65">
          <cell r="D65">
            <v>3</v>
          </cell>
          <cell r="E65">
            <v>108763</v>
          </cell>
        </row>
        <row r="66">
          <cell r="D66">
            <v>1</v>
          </cell>
          <cell r="E66">
            <v>109279</v>
          </cell>
        </row>
        <row r="67">
          <cell r="D67">
            <v>2</v>
          </cell>
          <cell r="E67">
            <v>109693</v>
          </cell>
        </row>
        <row r="68">
          <cell r="D68">
            <v>3</v>
          </cell>
          <cell r="E68">
            <v>109942</v>
          </cell>
        </row>
        <row r="69">
          <cell r="D69">
            <v>1</v>
          </cell>
          <cell r="E69">
            <v>110205</v>
          </cell>
        </row>
        <row r="70">
          <cell r="D70">
            <v>2</v>
          </cell>
          <cell r="E70">
            <v>110218</v>
          </cell>
        </row>
        <row r="71">
          <cell r="D71">
            <v>3</v>
          </cell>
          <cell r="E71">
            <v>110396</v>
          </cell>
        </row>
        <row r="72">
          <cell r="D72">
            <v>1</v>
          </cell>
          <cell r="E72">
            <v>110744</v>
          </cell>
        </row>
        <row r="73">
          <cell r="D73">
            <v>2</v>
          </cell>
          <cell r="E73">
            <v>111311</v>
          </cell>
        </row>
        <row r="74">
          <cell r="D74">
            <v>3</v>
          </cell>
          <cell r="E74">
            <v>111648</v>
          </cell>
        </row>
        <row r="75">
          <cell r="D75">
            <v>1</v>
          </cell>
          <cell r="E75">
            <v>111783</v>
          </cell>
        </row>
        <row r="76">
          <cell r="D76">
            <v>2</v>
          </cell>
          <cell r="E76">
            <v>111773</v>
          </cell>
        </row>
        <row r="77">
          <cell r="D77">
            <v>3</v>
          </cell>
          <cell r="E77">
            <v>112032</v>
          </cell>
        </row>
        <row r="78">
          <cell r="D78">
            <v>1</v>
          </cell>
          <cell r="E78">
            <v>112060</v>
          </cell>
        </row>
        <row r="79">
          <cell r="D79">
            <v>2</v>
          </cell>
          <cell r="E79">
            <v>112137</v>
          </cell>
        </row>
        <row r="80">
          <cell r="D80">
            <v>3</v>
          </cell>
          <cell r="E80">
            <v>112029</v>
          </cell>
        </row>
        <row r="81">
          <cell r="D81">
            <v>1</v>
          </cell>
          <cell r="E81">
            <v>112058</v>
          </cell>
        </row>
        <row r="82">
          <cell r="D82">
            <v>2</v>
          </cell>
          <cell r="E82">
            <v>111967</v>
          </cell>
        </row>
        <row r="83">
          <cell r="D83">
            <v>3</v>
          </cell>
          <cell r="E83">
            <v>112128</v>
          </cell>
        </row>
        <row r="84">
          <cell r="D84">
            <v>1</v>
          </cell>
          <cell r="E84">
            <v>112365</v>
          </cell>
        </row>
        <row r="85">
          <cell r="D85">
            <v>2</v>
          </cell>
          <cell r="E85">
            <v>112647</v>
          </cell>
        </row>
        <row r="86">
          <cell r="D86">
            <v>3</v>
          </cell>
          <cell r="E86">
            <v>112876</v>
          </cell>
        </row>
        <row r="87">
          <cell r="D87">
            <v>1</v>
          </cell>
          <cell r="E87">
            <v>113084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69" refreshError="1"/>
      <sheetData sheetId="17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1995</v>
          </cell>
        </row>
        <row r="10">
          <cell r="D10">
            <v>2</v>
          </cell>
          <cell r="E10">
            <v>1949</v>
          </cell>
        </row>
        <row r="11">
          <cell r="D11">
            <v>3</v>
          </cell>
          <cell r="E11">
            <v>1926</v>
          </cell>
        </row>
        <row r="12">
          <cell r="D12">
            <v>1</v>
          </cell>
          <cell r="E12">
            <v>1942</v>
          </cell>
        </row>
        <row r="13">
          <cell r="D13">
            <v>2</v>
          </cell>
          <cell r="E13">
            <v>1936</v>
          </cell>
        </row>
        <row r="14">
          <cell r="D14">
            <v>3</v>
          </cell>
          <cell r="E14">
            <v>1912</v>
          </cell>
        </row>
        <row r="15">
          <cell r="D15">
            <v>1</v>
          </cell>
          <cell r="E15">
            <v>1900</v>
          </cell>
        </row>
        <row r="16">
          <cell r="D16">
            <v>2</v>
          </cell>
          <cell r="E16">
            <v>1936</v>
          </cell>
        </row>
        <row r="17">
          <cell r="D17">
            <v>3</v>
          </cell>
          <cell r="E17">
            <v>1924</v>
          </cell>
        </row>
        <row r="18">
          <cell r="D18">
            <v>1</v>
          </cell>
          <cell r="E18">
            <v>1939</v>
          </cell>
        </row>
        <row r="19">
          <cell r="D19">
            <v>2</v>
          </cell>
          <cell r="E19">
            <v>1919</v>
          </cell>
        </row>
        <row r="20">
          <cell r="D20">
            <v>3</v>
          </cell>
          <cell r="E20">
            <v>1982</v>
          </cell>
        </row>
        <row r="21">
          <cell r="D21">
            <v>1</v>
          </cell>
          <cell r="E21">
            <v>2002</v>
          </cell>
        </row>
        <row r="22">
          <cell r="D22">
            <v>2</v>
          </cell>
          <cell r="E22">
            <v>1987</v>
          </cell>
        </row>
        <row r="23">
          <cell r="D23">
            <v>3</v>
          </cell>
          <cell r="E23">
            <v>1928</v>
          </cell>
        </row>
        <row r="24">
          <cell r="D24">
            <v>1</v>
          </cell>
          <cell r="E24">
            <v>1877</v>
          </cell>
        </row>
        <row r="25">
          <cell r="D25">
            <v>2</v>
          </cell>
          <cell r="E25">
            <v>1806</v>
          </cell>
        </row>
        <row r="26">
          <cell r="D26">
            <v>3</v>
          </cell>
          <cell r="E26">
            <v>1817</v>
          </cell>
        </row>
        <row r="27">
          <cell r="D27">
            <v>1</v>
          </cell>
          <cell r="E27">
            <v>1802</v>
          </cell>
        </row>
        <row r="28">
          <cell r="D28">
            <v>2</v>
          </cell>
          <cell r="E28">
            <v>1810</v>
          </cell>
        </row>
        <row r="29">
          <cell r="D29">
            <v>3</v>
          </cell>
          <cell r="E29">
            <v>1735</v>
          </cell>
        </row>
        <row r="30">
          <cell r="D30">
            <v>1</v>
          </cell>
          <cell r="E30">
            <v>1661</v>
          </cell>
        </row>
        <row r="31">
          <cell r="D31">
            <v>2</v>
          </cell>
          <cell r="E31">
            <v>1644</v>
          </cell>
        </row>
        <row r="32">
          <cell r="D32">
            <v>3</v>
          </cell>
          <cell r="E32">
            <v>1586</v>
          </cell>
        </row>
        <row r="33">
          <cell r="D33">
            <v>1</v>
          </cell>
          <cell r="E33">
            <v>1570</v>
          </cell>
        </row>
        <row r="34">
          <cell r="D34">
            <v>2</v>
          </cell>
          <cell r="E34">
            <v>1506</v>
          </cell>
        </row>
        <row r="35">
          <cell r="D35">
            <v>3</v>
          </cell>
          <cell r="E35">
            <v>1514</v>
          </cell>
        </row>
        <row r="36">
          <cell r="D36">
            <v>1</v>
          </cell>
          <cell r="E36">
            <v>1474</v>
          </cell>
        </row>
        <row r="37">
          <cell r="D37">
            <v>2</v>
          </cell>
          <cell r="E37">
            <v>1480</v>
          </cell>
        </row>
        <row r="38">
          <cell r="D38">
            <v>3</v>
          </cell>
          <cell r="E38">
            <v>1488</v>
          </cell>
        </row>
        <row r="39">
          <cell r="D39">
            <v>1</v>
          </cell>
          <cell r="E39">
            <v>1487</v>
          </cell>
        </row>
        <row r="40">
          <cell r="D40">
            <v>2</v>
          </cell>
          <cell r="E40">
            <v>1560</v>
          </cell>
        </row>
        <row r="41">
          <cell r="D41">
            <v>3</v>
          </cell>
          <cell r="E41">
            <v>1570</v>
          </cell>
        </row>
        <row r="42">
          <cell r="D42">
            <v>1</v>
          </cell>
          <cell r="E42">
            <v>1598</v>
          </cell>
        </row>
        <row r="43">
          <cell r="D43">
            <v>2</v>
          </cell>
          <cell r="E43">
            <v>1589</v>
          </cell>
        </row>
        <row r="44">
          <cell r="D44">
            <v>3</v>
          </cell>
          <cell r="E44">
            <v>1639</v>
          </cell>
        </row>
        <row r="45">
          <cell r="D45">
            <v>1</v>
          </cell>
          <cell r="E45">
            <v>1678</v>
          </cell>
        </row>
        <row r="46">
          <cell r="D46">
            <v>2</v>
          </cell>
          <cell r="E46">
            <v>1645</v>
          </cell>
        </row>
        <row r="47">
          <cell r="D47">
            <v>3</v>
          </cell>
          <cell r="E47">
            <v>1676</v>
          </cell>
        </row>
        <row r="48">
          <cell r="D48">
            <v>1</v>
          </cell>
          <cell r="E48">
            <v>1687</v>
          </cell>
        </row>
        <row r="49">
          <cell r="D49">
            <v>2</v>
          </cell>
          <cell r="E49">
            <v>1781</v>
          </cell>
        </row>
        <row r="50">
          <cell r="D50">
            <v>3</v>
          </cell>
          <cell r="E50">
            <v>1779</v>
          </cell>
        </row>
        <row r="51">
          <cell r="D51">
            <v>1</v>
          </cell>
          <cell r="E51">
            <v>1851</v>
          </cell>
        </row>
        <row r="52">
          <cell r="D52">
            <v>2</v>
          </cell>
          <cell r="E52">
            <v>2119</v>
          </cell>
        </row>
        <row r="53">
          <cell r="D53">
            <v>3</v>
          </cell>
          <cell r="E53">
            <v>2378</v>
          </cell>
        </row>
        <row r="54">
          <cell r="D54">
            <v>1</v>
          </cell>
          <cell r="E54">
            <v>2690</v>
          </cell>
        </row>
        <row r="55">
          <cell r="D55">
            <v>2</v>
          </cell>
          <cell r="E55">
            <v>2756</v>
          </cell>
        </row>
        <row r="56">
          <cell r="D56">
            <v>3</v>
          </cell>
          <cell r="E56">
            <v>2863</v>
          </cell>
        </row>
        <row r="57">
          <cell r="D57">
            <v>1</v>
          </cell>
          <cell r="E57">
            <v>2841</v>
          </cell>
        </row>
        <row r="58">
          <cell r="D58">
            <v>2</v>
          </cell>
          <cell r="E58">
            <v>2981</v>
          </cell>
        </row>
        <row r="59">
          <cell r="D59">
            <v>3</v>
          </cell>
          <cell r="E59">
            <v>3088</v>
          </cell>
        </row>
        <row r="60">
          <cell r="D60">
            <v>1</v>
          </cell>
          <cell r="E60">
            <v>3242</v>
          </cell>
        </row>
        <row r="61">
          <cell r="D61">
            <v>2</v>
          </cell>
          <cell r="E61">
            <v>3273</v>
          </cell>
        </row>
        <row r="62">
          <cell r="D62">
            <v>3</v>
          </cell>
          <cell r="E62">
            <v>3386</v>
          </cell>
        </row>
        <row r="63">
          <cell r="D63">
            <v>1</v>
          </cell>
          <cell r="E63">
            <v>3530</v>
          </cell>
        </row>
        <row r="64">
          <cell r="D64">
            <v>2</v>
          </cell>
          <cell r="E64">
            <v>3691</v>
          </cell>
        </row>
        <row r="65">
          <cell r="D65">
            <v>3</v>
          </cell>
          <cell r="E65">
            <v>3757</v>
          </cell>
        </row>
        <row r="66">
          <cell r="D66">
            <v>1</v>
          </cell>
          <cell r="E66">
            <v>3871</v>
          </cell>
        </row>
        <row r="67">
          <cell r="D67">
            <v>2</v>
          </cell>
          <cell r="E67">
            <v>4024</v>
          </cell>
        </row>
        <row r="68">
          <cell r="D68">
            <v>3</v>
          </cell>
          <cell r="E68">
            <v>4114</v>
          </cell>
        </row>
        <row r="69">
          <cell r="D69">
            <v>1</v>
          </cell>
          <cell r="E69">
            <v>4119</v>
          </cell>
        </row>
        <row r="70">
          <cell r="D70">
            <v>2</v>
          </cell>
          <cell r="E70">
            <v>4022</v>
          </cell>
        </row>
        <row r="71">
          <cell r="D71">
            <v>3</v>
          </cell>
          <cell r="E71">
            <v>3986</v>
          </cell>
        </row>
        <row r="72">
          <cell r="D72">
            <v>1</v>
          </cell>
          <cell r="E72">
            <v>3994</v>
          </cell>
        </row>
        <row r="73">
          <cell r="D73">
            <v>2</v>
          </cell>
          <cell r="E73">
            <v>4090</v>
          </cell>
        </row>
        <row r="74">
          <cell r="D74">
            <v>3</v>
          </cell>
          <cell r="E74">
            <v>4199</v>
          </cell>
        </row>
        <row r="75">
          <cell r="D75">
            <v>1</v>
          </cell>
          <cell r="E75">
            <v>4243</v>
          </cell>
        </row>
        <row r="76">
          <cell r="D76">
            <v>2</v>
          </cell>
          <cell r="E76">
            <v>4278</v>
          </cell>
        </row>
        <row r="77">
          <cell r="D77">
            <v>3</v>
          </cell>
          <cell r="E77">
            <v>4280</v>
          </cell>
        </row>
        <row r="78">
          <cell r="D78">
            <v>1</v>
          </cell>
          <cell r="E78">
            <v>4352</v>
          </cell>
        </row>
        <row r="79">
          <cell r="D79">
            <v>2</v>
          </cell>
          <cell r="E79">
            <v>4420</v>
          </cell>
        </row>
        <row r="80">
          <cell r="D80">
            <v>3</v>
          </cell>
          <cell r="E80">
            <v>4580</v>
          </cell>
        </row>
        <row r="81">
          <cell r="D81">
            <v>1</v>
          </cell>
          <cell r="E81">
            <v>4630</v>
          </cell>
        </row>
        <row r="82">
          <cell r="D82">
            <v>2</v>
          </cell>
          <cell r="E82">
            <v>4720</v>
          </cell>
        </row>
        <row r="83">
          <cell r="D83">
            <v>3</v>
          </cell>
          <cell r="E83">
            <v>4775</v>
          </cell>
        </row>
        <row r="84">
          <cell r="D84">
            <v>1</v>
          </cell>
          <cell r="E84">
            <v>4833</v>
          </cell>
        </row>
        <row r="85">
          <cell r="D85">
            <v>2</v>
          </cell>
          <cell r="E85">
            <v>4818</v>
          </cell>
        </row>
        <row r="86">
          <cell r="D86">
            <v>3</v>
          </cell>
          <cell r="E86">
            <v>4754</v>
          </cell>
        </row>
        <row r="87">
          <cell r="D87">
            <v>1</v>
          </cell>
          <cell r="E87">
            <v>4776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71" refreshError="1"/>
      <sheetData sheetId="17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  <cell r="E6">
            <v>0</v>
          </cell>
        </row>
        <row r="7">
          <cell r="D7" t="str">
            <v>Código da série</v>
          </cell>
          <cell r="E7" t="str">
            <v>Estimativa
(em milhares)</v>
          </cell>
        </row>
        <row r="8">
          <cell r="D8">
            <v>0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97639</v>
          </cell>
        </row>
        <row r="10">
          <cell r="D10">
            <v>2</v>
          </cell>
          <cell r="E10">
            <v>98242</v>
          </cell>
        </row>
        <row r="11">
          <cell r="D11">
            <v>3</v>
          </cell>
          <cell r="E11">
            <v>98571</v>
          </cell>
        </row>
        <row r="12">
          <cell r="D12">
            <v>1</v>
          </cell>
          <cell r="E12">
            <v>98786</v>
          </cell>
        </row>
        <row r="13">
          <cell r="D13">
            <v>2</v>
          </cell>
          <cell r="E13">
            <v>98751</v>
          </cell>
        </row>
        <row r="14">
          <cell r="D14">
            <v>3</v>
          </cell>
          <cell r="E14">
            <v>98847</v>
          </cell>
        </row>
        <row r="15">
          <cell r="D15">
            <v>1</v>
          </cell>
          <cell r="E15">
            <v>98838</v>
          </cell>
        </row>
        <row r="16">
          <cell r="D16">
            <v>2</v>
          </cell>
          <cell r="E16">
            <v>98783</v>
          </cell>
        </row>
        <row r="17">
          <cell r="D17">
            <v>3</v>
          </cell>
          <cell r="E17">
            <v>98798</v>
          </cell>
        </row>
        <row r="18">
          <cell r="D18">
            <v>1</v>
          </cell>
          <cell r="E18">
            <v>98898</v>
          </cell>
        </row>
        <row r="19">
          <cell r="D19">
            <v>2</v>
          </cell>
          <cell r="E19">
            <v>98885</v>
          </cell>
        </row>
        <row r="20">
          <cell r="D20">
            <v>3</v>
          </cell>
          <cell r="E20">
            <v>99054</v>
          </cell>
        </row>
        <row r="21">
          <cell r="D21">
            <v>1</v>
          </cell>
          <cell r="E21">
            <v>99199</v>
          </cell>
        </row>
        <row r="22">
          <cell r="D22">
            <v>2</v>
          </cell>
          <cell r="E22">
            <v>99517</v>
          </cell>
        </row>
        <row r="23">
          <cell r="D23">
            <v>3</v>
          </cell>
          <cell r="E23">
            <v>99624</v>
          </cell>
        </row>
        <row r="24">
          <cell r="D24">
            <v>1</v>
          </cell>
          <cell r="E24">
            <v>99705</v>
          </cell>
        </row>
        <row r="25">
          <cell r="D25">
            <v>2</v>
          </cell>
          <cell r="E25">
            <v>99795</v>
          </cell>
        </row>
        <row r="26">
          <cell r="D26">
            <v>3</v>
          </cell>
          <cell r="E26">
            <v>99748</v>
          </cell>
        </row>
        <row r="27">
          <cell r="D27">
            <v>1</v>
          </cell>
          <cell r="E27">
            <v>99773</v>
          </cell>
        </row>
        <row r="28">
          <cell r="D28">
            <v>2</v>
          </cell>
          <cell r="E28">
            <v>99681</v>
          </cell>
        </row>
        <row r="29">
          <cell r="D29">
            <v>3</v>
          </cell>
          <cell r="E29">
            <v>99768</v>
          </cell>
        </row>
        <row r="30">
          <cell r="D30">
            <v>1</v>
          </cell>
          <cell r="E30">
            <v>99595</v>
          </cell>
        </row>
        <row r="31">
          <cell r="D31">
            <v>2</v>
          </cell>
          <cell r="E31">
            <v>99491</v>
          </cell>
        </row>
        <row r="32">
          <cell r="D32">
            <v>3</v>
          </cell>
          <cell r="E32">
            <v>99696</v>
          </cell>
        </row>
        <row r="33">
          <cell r="D33">
            <v>1</v>
          </cell>
          <cell r="E33">
            <v>99870</v>
          </cell>
        </row>
        <row r="34">
          <cell r="D34">
            <v>2</v>
          </cell>
          <cell r="E34">
            <v>100100</v>
          </cell>
        </row>
        <row r="35">
          <cell r="D35">
            <v>3</v>
          </cell>
          <cell r="E35">
            <v>100209</v>
          </cell>
        </row>
        <row r="36">
          <cell r="D36">
            <v>1</v>
          </cell>
          <cell r="E36">
            <v>100293</v>
          </cell>
        </row>
        <row r="37">
          <cell r="D37">
            <v>2</v>
          </cell>
          <cell r="E37">
            <v>100223</v>
          </cell>
        </row>
        <row r="38">
          <cell r="D38">
            <v>3</v>
          </cell>
          <cell r="E38">
            <v>100222</v>
          </cell>
        </row>
        <row r="39">
          <cell r="D39">
            <v>1</v>
          </cell>
          <cell r="E39">
            <v>100460</v>
          </cell>
        </row>
        <row r="40">
          <cell r="D40">
            <v>2</v>
          </cell>
          <cell r="E40">
            <v>100716</v>
          </cell>
        </row>
        <row r="41">
          <cell r="D41">
            <v>3</v>
          </cell>
          <cell r="E41">
            <v>100726</v>
          </cell>
        </row>
        <row r="42">
          <cell r="D42">
            <v>1</v>
          </cell>
          <cell r="E42">
            <v>100924</v>
          </cell>
        </row>
        <row r="43">
          <cell r="D43">
            <v>2</v>
          </cell>
          <cell r="E43">
            <v>101042</v>
          </cell>
        </row>
        <row r="44">
          <cell r="D44">
            <v>3</v>
          </cell>
          <cell r="E44">
            <v>101344</v>
          </cell>
        </row>
        <row r="45">
          <cell r="D45">
            <v>1</v>
          </cell>
          <cell r="E45">
            <v>101634</v>
          </cell>
        </row>
        <row r="46">
          <cell r="D46">
            <v>2</v>
          </cell>
          <cell r="E46">
            <v>101852</v>
          </cell>
        </row>
        <row r="47">
          <cell r="D47">
            <v>3</v>
          </cell>
          <cell r="E47">
            <v>101937</v>
          </cell>
        </row>
        <row r="48">
          <cell r="D48">
            <v>1</v>
          </cell>
          <cell r="E48">
            <v>102252</v>
          </cell>
        </row>
        <row r="49">
          <cell r="D49">
            <v>2</v>
          </cell>
          <cell r="E49">
            <v>102588</v>
          </cell>
        </row>
        <row r="50">
          <cell r="D50">
            <v>3</v>
          </cell>
          <cell r="E50">
            <v>102711</v>
          </cell>
        </row>
        <row r="51">
          <cell r="D51">
            <v>1</v>
          </cell>
          <cell r="E51">
            <v>102920</v>
          </cell>
        </row>
        <row r="52">
          <cell r="D52">
            <v>2</v>
          </cell>
          <cell r="E52">
            <v>103474</v>
          </cell>
        </row>
        <row r="53">
          <cell r="D53">
            <v>3</v>
          </cell>
          <cell r="E53">
            <v>103643</v>
          </cell>
        </row>
        <row r="54">
          <cell r="D54">
            <v>1</v>
          </cell>
          <cell r="E54">
            <v>104008</v>
          </cell>
        </row>
        <row r="55">
          <cell r="D55">
            <v>2</v>
          </cell>
          <cell r="E55">
            <v>103976</v>
          </cell>
        </row>
        <row r="56">
          <cell r="D56">
            <v>3</v>
          </cell>
          <cell r="E56">
            <v>104367</v>
          </cell>
        </row>
        <row r="57">
          <cell r="D57">
            <v>1</v>
          </cell>
          <cell r="E57">
            <v>104569</v>
          </cell>
        </row>
        <row r="58">
          <cell r="D58">
            <v>2</v>
          </cell>
          <cell r="E58">
            <v>105025</v>
          </cell>
        </row>
        <row r="59">
          <cell r="D59">
            <v>3</v>
          </cell>
          <cell r="E59">
            <v>105377</v>
          </cell>
        </row>
        <row r="60">
          <cell r="D60">
            <v>1</v>
          </cell>
          <cell r="E60">
            <v>105625</v>
          </cell>
        </row>
        <row r="61">
          <cell r="D61">
            <v>2</v>
          </cell>
          <cell r="E61">
            <v>105607</v>
          </cell>
        </row>
        <row r="62">
          <cell r="D62">
            <v>3</v>
          </cell>
          <cell r="E62">
            <v>105547</v>
          </cell>
        </row>
        <row r="63">
          <cell r="D63">
            <v>1</v>
          </cell>
          <cell r="E63">
            <v>105387</v>
          </cell>
        </row>
        <row r="64">
          <cell r="D64">
            <v>2</v>
          </cell>
          <cell r="E64">
            <v>105616</v>
          </cell>
        </row>
        <row r="65">
          <cell r="D65">
            <v>3</v>
          </cell>
          <cell r="E65">
            <v>106099</v>
          </cell>
        </row>
        <row r="66">
          <cell r="D66">
            <v>1</v>
          </cell>
          <cell r="E66">
            <v>106475</v>
          </cell>
        </row>
        <row r="67">
          <cell r="D67">
            <v>2</v>
          </cell>
          <cell r="E67">
            <v>106798</v>
          </cell>
        </row>
        <row r="68">
          <cell r="D68">
            <v>3</v>
          </cell>
          <cell r="E68">
            <v>107006</v>
          </cell>
        </row>
        <row r="69">
          <cell r="D69">
            <v>1</v>
          </cell>
          <cell r="E69">
            <v>107242</v>
          </cell>
        </row>
        <row r="70">
          <cell r="D70">
            <v>2</v>
          </cell>
          <cell r="E70">
            <v>107308</v>
          </cell>
        </row>
        <row r="71">
          <cell r="D71">
            <v>3</v>
          </cell>
          <cell r="E71">
            <v>107444</v>
          </cell>
        </row>
        <row r="72">
          <cell r="D72">
            <v>1</v>
          </cell>
          <cell r="E72">
            <v>107716</v>
          </cell>
        </row>
        <row r="73">
          <cell r="D73">
            <v>2</v>
          </cell>
          <cell r="E73">
            <v>108093</v>
          </cell>
        </row>
        <row r="74">
          <cell r="D74">
            <v>3</v>
          </cell>
          <cell r="E74">
            <v>108373</v>
          </cell>
        </row>
        <row r="75">
          <cell r="D75">
            <v>1</v>
          </cell>
          <cell r="E75">
            <v>108501</v>
          </cell>
        </row>
        <row r="76">
          <cell r="D76">
            <v>2</v>
          </cell>
          <cell r="E76">
            <v>108563</v>
          </cell>
        </row>
        <row r="77">
          <cell r="D77">
            <v>3</v>
          </cell>
          <cell r="E77">
            <v>108799</v>
          </cell>
        </row>
        <row r="78">
          <cell r="D78">
            <v>1</v>
          </cell>
          <cell r="E78">
            <v>108771</v>
          </cell>
        </row>
        <row r="79">
          <cell r="D79">
            <v>2</v>
          </cell>
          <cell r="E79">
            <v>108811</v>
          </cell>
        </row>
        <row r="80">
          <cell r="D80">
            <v>3</v>
          </cell>
          <cell r="E80">
            <v>108792</v>
          </cell>
        </row>
        <row r="81">
          <cell r="D81">
            <v>1</v>
          </cell>
          <cell r="E81">
            <v>108900</v>
          </cell>
        </row>
        <row r="82">
          <cell r="D82">
            <v>2</v>
          </cell>
          <cell r="E82">
            <v>108866</v>
          </cell>
        </row>
        <row r="83">
          <cell r="D83">
            <v>3</v>
          </cell>
          <cell r="E83">
            <v>108897</v>
          </cell>
        </row>
        <row r="84">
          <cell r="D84">
            <v>1</v>
          </cell>
          <cell r="E84">
            <v>109036</v>
          </cell>
        </row>
        <row r="85">
          <cell r="D85">
            <v>2</v>
          </cell>
          <cell r="E85">
            <v>109347</v>
          </cell>
        </row>
        <row r="86">
          <cell r="D86">
            <v>3</v>
          </cell>
          <cell r="E86">
            <v>109542</v>
          </cell>
        </row>
        <row r="87">
          <cell r="D87">
            <v>1</v>
          </cell>
          <cell r="E87">
            <v>109889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73" refreshError="1"/>
      <sheetData sheetId="17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15.3</v>
          </cell>
        </row>
        <row r="10">
          <cell r="D10">
            <v>2</v>
          </cell>
          <cell r="E10">
            <v>14.8</v>
          </cell>
        </row>
        <row r="11">
          <cell r="D11">
            <v>3</v>
          </cell>
          <cell r="E11">
            <v>14.4</v>
          </cell>
        </row>
        <row r="12">
          <cell r="D12">
            <v>1</v>
          </cell>
          <cell r="E12">
            <v>14.1</v>
          </cell>
        </row>
        <row r="13">
          <cell r="D13">
            <v>2</v>
          </cell>
          <cell r="E13">
            <v>13.7</v>
          </cell>
        </row>
        <row r="14">
          <cell r="D14">
            <v>3</v>
          </cell>
          <cell r="E14">
            <v>13.2</v>
          </cell>
        </row>
        <row r="15">
          <cell r="D15">
            <v>1</v>
          </cell>
          <cell r="E15">
            <v>12.7</v>
          </cell>
        </row>
        <row r="16">
          <cell r="D16">
            <v>2</v>
          </cell>
          <cell r="E16">
            <v>12.5</v>
          </cell>
        </row>
        <row r="17">
          <cell r="D17">
            <v>3</v>
          </cell>
          <cell r="E17">
            <v>12.4</v>
          </cell>
        </row>
        <row r="18">
          <cell r="D18">
            <v>1</v>
          </cell>
          <cell r="E18">
            <v>12.3</v>
          </cell>
        </row>
        <row r="19">
          <cell r="D19">
            <v>2</v>
          </cell>
          <cell r="E19">
            <v>12.6</v>
          </cell>
        </row>
        <row r="20">
          <cell r="D20">
            <v>3</v>
          </cell>
          <cell r="E20">
            <v>13</v>
          </cell>
        </row>
        <row r="21">
          <cell r="D21">
            <v>1</v>
          </cell>
          <cell r="E21">
            <v>13.4</v>
          </cell>
        </row>
        <row r="22">
          <cell r="D22">
            <v>2</v>
          </cell>
          <cell r="E22">
            <v>13.3</v>
          </cell>
        </row>
        <row r="23">
          <cell r="D23">
            <v>3</v>
          </cell>
          <cell r="E23">
            <v>13</v>
          </cell>
        </row>
        <row r="24">
          <cell r="D24">
            <v>1</v>
          </cell>
          <cell r="E24">
            <v>12.7</v>
          </cell>
        </row>
        <row r="25">
          <cell r="D25">
            <v>2</v>
          </cell>
          <cell r="E25">
            <v>12.4</v>
          </cell>
        </row>
        <row r="26">
          <cell r="D26">
            <v>3</v>
          </cell>
          <cell r="E26">
            <v>12.2</v>
          </cell>
        </row>
        <row r="27">
          <cell r="D27">
            <v>1</v>
          </cell>
          <cell r="E27">
            <v>11.9</v>
          </cell>
        </row>
        <row r="28">
          <cell r="D28">
            <v>2</v>
          </cell>
          <cell r="E28">
            <v>11.7</v>
          </cell>
        </row>
        <row r="29">
          <cell r="D29">
            <v>3</v>
          </cell>
          <cell r="E29">
            <v>11.4</v>
          </cell>
        </row>
        <row r="30">
          <cell r="D30">
            <v>1</v>
          </cell>
          <cell r="E30">
            <v>11.1</v>
          </cell>
        </row>
        <row r="31">
          <cell r="D31">
            <v>2</v>
          </cell>
          <cell r="E31">
            <v>11.2</v>
          </cell>
        </row>
        <row r="32">
          <cell r="D32">
            <v>3</v>
          </cell>
          <cell r="E32">
            <v>11.5</v>
          </cell>
        </row>
        <row r="33">
          <cell r="D33">
            <v>1</v>
          </cell>
          <cell r="E33">
            <v>11.8</v>
          </cell>
        </row>
        <row r="34">
          <cell r="D34">
            <v>2</v>
          </cell>
          <cell r="E34">
            <v>11.8</v>
          </cell>
        </row>
        <row r="35">
          <cell r="D35">
            <v>3</v>
          </cell>
          <cell r="E35">
            <v>11.5</v>
          </cell>
        </row>
        <row r="36">
          <cell r="D36">
            <v>1</v>
          </cell>
          <cell r="E36">
            <v>11.3</v>
          </cell>
        </row>
        <row r="37">
          <cell r="D37">
            <v>2</v>
          </cell>
          <cell r="E37">
            <v>11.3</v>
          </cell>
        </row>
        <row r="38">
          <cell r="D38">
            <v>3</v>
          </cell>
          <cell r="E38">
            <v>11.3</v>
          </cell>
        </row>
        <row r="39">
          <cell r="D39">
            <v>1</v>
          </cell>
          <cell r="E39">
            <v>11.3</v>
          </cell>
        </row>
        <row r="40">
          <cell r="D40">
            <v>2</v>
          </cell>
          <cell r="E40">
            <v>11.2</v>
          </cell>
        </row>
        <row r="41">
          <cell r="D41">
            <v>3</v>
          </cell>
          <cell r="E41">
            <v>11.2</v>
          </cell>
        </row>
        <row r="42">
          <cell r="D42">
            <v>1</v>
          </cell>
          <cell r="E42">
            <v>11.2</v>
          </cell>
        </row>
        <row r="43">
          <cell r="D43">
            <v>2</v>
          </cell>
          <cell r="E43">
            <v>11.6</v>
          </cell>
        </row>
        <row r="44">
          <cell r="D44">
            <v>3</v>
          </cell>
          <cell r="E44">
            <v>12.2</v>
          </cell>
        </row>
        <row r="45">
          <cell r="D45">
            <v>1</v>
          </cell>
          <cell r="E45">
            <v>12.7</v>
          </cell>
        </row>
        <row r="46">
          <cell r="D46">
            <v>2</v>
          </cell>
          <cell r="E46">
            <v>13</v>
          </cell>
        </row>
        <row r="47">
          <cell r="D47">
            <v>3</v>
          </cell>
          <cell r="E47">
            <v>13.2</v>
          </cell>
        </row>
        <row r="48">
          <cell r="D48">
            <v>1</v>
          </cell>
          <cell r="E48">
            <v>13.5</v>
          </cell>
        </row>
        <row r="49">
          <cell r="D49">
            <v>2</v>
          </cell>
          <cell r="E49">
            <v>13.9</v>
          </cell>
        </row>
        <row r="50">
          <cell r="D50">
            <v>3</v>
          </cell>
          <cell r="E50">
            <v>14.2</v>
          </cell>
        </row>
        <row r="51">
          <cell r="D51">
            <v>1</v>
          </cell>
          <cell r="E51">
            <v>14.4</v>
          </cell>
        </row>
        <row r="52">
          <cell r="D52">
            <v>0</v>
          </cell>
          <cell r="E52">
            <v>0</v>
          </cell>
        </row>
        <row r="53">
          <cell r="D53">
            <v>1</v>
          </cell>
          <cell r="E53">
            <v>13</v>
          </cell>
        </row>
        <row r="54">
          <cell r="D54">
            <v>2</v>
          </cell>
          <cell r="E54">
            <v>13.5</v>
          </cell>
        </row>
        <row r="55">
          <cell r="D55">
            <v>3</v>
          </cell>
          <cell r="E55">
            <v>14.2</v>
          </cell>
        </row>
        <row r="56">
          <cell r="D56">
            <v>1</v>
          </cell>
          <cell r="E56">
            <v>15</v>
          </cell>
        </row>
        <row r="57">
          <cell r="D57">
            <v>2</v>
          </cell>
          <cell r="E57">
            <v>15.5</v>
          </cell>
        </row>
        <row r="58">
          <cell r="D58">
            <v>3</v>
          </cell>
          <cell r="E58">
            <v>15.8</v>
          </cell>
        </row>
        <row r="59">
          <cell r="D59">
            <v>1</v>
          </cell>
          <cell r="E59">
            <v>16</v>
          </cell>
        </row>
        <row r="60">
          <cell r="D60">
            <v>2</v>
          </cell>
          <cell r="E60">
            <v>16.3</v>
          </cell>
        </row>
        <row r="61">
          <cell r="D61">
            <v>3</v>
          </cell>
          <cell r="E61">
            <v>16.399999999999999</v>
          </cell>
        </row>
        <row r="62">
          <cell r="D62">
            <v>1</v>
          </cell>
          <cell r="E62">
            <v>16.5</v>
          </cell>
        </row>
        <row r="63">
          <cell r="D63">
            <v>2</v>
          </cell>
          <cell r="E63">
            <v>16.600000000000001</v>
          </cell>
        </row>
        <row r="64">
          <cell r="D64">
            <v>3</v>
          </cell>
          <cell r="E64">
            <v>16.899999999999999</v>
          </cell>
        </row>
        <row r="65">
          <cell r="D65">
            <v>1</v>
          </cell>
          <cell r="E65">
            <v>17.2</v>
          </cell>
        </row>
        <row r="66">
          <cell r="D66">
            <v>2</v>
          </cell>
          <cell r="E66">
            <v>17.7</v>
          </cell>
        </row>
        <row r="67">
          <cell r="D67">
            <v>3</v>
          </cell>
          <cell r="E67">
            <v>18.3</v>
          </cell>
        </row>
        <row r="68">
          <cell r="D68">
            <v>1</v>
          </cell>
          <cell r="E68">
            <v>18.8</v>
          </cell>
        </row>
        <row r="69">
          <cell r="D69">
            <v>2</v>
          </cell>
          <cell r="E69">
            <v>18.899999999999999</v>
          </cell>
        </row>
        <row r="70">
          <cell r="D70">
            <v>3</v>
          </cell>
          <cell r="E70">
            <v>18.8</v>
          </cell>
        </row>
        <row r="71">
          <cell r="D71">
            <v>1</v>
          </cell>
          <cell r="E71">
            <v>18.600000000000001</v>
          </cell>
        </row>
        <row r="72">
          <cell r="D72">
            <v>2</v>
          </cell>
          <cell r="E72">
            <v>18.600000000000001</v>
          </cell>
        </row>
        <row r="73">
          <cell r="D73">
            <v>3</v>
          </cell>
          <cell r="E73">
            <v>18.5</v>
          </cell>
        </row>
        <row r="74">
          <cell r="D74">
            <v>1</v>
          </cell>
          <cell r="E74">
            <v>18.5</v>
          </cell>
        </row>
        <row r="75">
          <cell r="D75">
            <v>2</v>
          </cell>
          <cell r="E75">
            <v>18.3</v>
          </cell>
        </row>
        <row r="76">
          <cell r="D76">
            <v>3</v>
          </cell>
          <cell r="E76">
            <v>18.2</v>
          </cell>
        </row>
        <row r="77">
          <cell r="D77">
            <v>1</v>
          </cell>
          <cell r="E77">
            <v>18</v>
          </cell>
        </row>
        <row r="78">
          <cell r="D78">
            <v>2</v>
          </cell>
          <cell r="E78">
            <v>18.2</v>
          </cell>
        </row>
        <row r="79">
          <cell r="D79">
            <v>3</v>
          </cell>
          <cell r="E79">
            <v>18.5</v>
          </cell>
        </row>
        <row r="80">
          <cell r="D80">
            <v>1</v>
          </cell>
          <cell r="E80">
            <v>19.100000000000001</v>
          </cell>
        </row>
        <row r="81">
          <cell r="D81">
            <v>2</v>
          </cell>
          <cell r="E81">
            <v>18.899999999999999</v>
          </cell>
        </row>
        <row r="82">
          <cell r="D82">
            <v>3</v>
          </cell>
          <cell r="E82">
            <v>18.8</v>
          </cell>
        </row>
        <row r="83">
          <cell r="D83">
            <v>1</v>
          </cell>
          <cell r="E83">
            <v>18.7</v>
          </cell>
        </row>
        <row r="84">
          <cell r="D84">
            <v>2</v>
          </cell>
          <cell r="E84">
            <v>18.600000000000001</v>
          </cell>
        </row>
        <row r="85">
          <cell r="D85">
            <v>3</v>
          </cell>
          <cell r="E85">
            <v>18.5</v>
          </cell>
        </row>
        <row r="86">
          <cell r="D86">
            <v>1</v>
          </cell>
          <cell r="E86">
            <v>18.399999999999999</v>
          </cell>
        </row>
        <row r="87">
          <cell r="D87">
            <v>0</v>
          </cell>
          <cell r="E87">
            <v>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</sheetData>
      <sheetData sheetId="175" refreshError="1"/>
      <sheetData sheetId="17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14</v>
          </cell>
        </row>
        <row r="10">
          <cell r="D10">
            <v>2</v>
          </cell>
          <cell r="E10">
            <v>13.3</v>
          </cell>
        </row>
        <row r="11">
          <cell r="D11">
            <v>3</v>
          </cell>
          <cell r="E11">
            <v>12.9</v>
          </cell>
        </row>
        <row r="12">
          <cell r="D12">
            <v>1</v>
          </cell>
          <cell r="E12">
            <v>12.7</v>
          </cell>
        </row>
        <row r="13">
          <cell r="D13">
            <v>2</v>
          </cell>
          <cell r="E13">
            <v>12.5</v>
          </cell>
        </row>
        <row r="14">
          <cell r="D14">
            <v>3</v>
          </cell>
          <cell r="E14">
            <v>12.2</v>
          </cell>
        </row>
        <row r="15">
          <cell r="D15">
            <v>1</v>
          </cell>
          <cell r="E15">
            <v>11.7</v>
          </cell>
        </row>
        <row r="16">
          <cell r="D16">
            <v>2</v>
          </cell>
          <cell r="E16">
            <v>11.5</v>
          </cell>
        </row>
        <row r="17">
          <cell r="D17">
            <v>3</v>
          </cell>
          <cell r="E17">
            <v>11.3</v>
          </cell>
        </row>
        <row r="18">
          <cell r="D18">
            <v>1</v>
          </cell>
          <cell r="E18">
            <v>11.5</v>
          </cell>
        </row>
        <row r="19">
          <cell r="D19">
            <v>2</v>
          </cell>
          <cell r="E19">
            <v>11.9</v>
          </cell>
        </row>
        <row r="20">
          <cell r="D20">
            <v>3</v>
          </cell>
          <cell r="E20">
            <v>12.5</v>
          </cell>
        </row>
        <row r="21">
          <cell r="D21">
            <v>1</v>
          </cell>
          <cell r="E21">
            <v>12.7</v>
          </cell>
        </row>
        <row r="22">
          <cell r="D22">
            <v>2</v>
          </cell>
          <cell r="E22">
            <v>12.4</v>
          </cell>
        </row>
        <row r="23">
          <cell r="D23">
            <v>3</v>
          </cell>
          <cell r="E23">
            <v>12</v>
          </cell>
        </row>
        <row r="24">
          <cell r="D24">
            <v>1</v>
          </cell>
          <cell r="E24">
            <v>11.8</v>
          </cell>
        </row>
        <row r="25">
          <cell r="D25">
            <v>2</v>
          </cell>
          <cell r="E25">
            <v>11.5</v>
          </cell>
        </row>
        <row r="26">
          <cell r="D26">
            <v>3</v>
          </cell>
          <cell r="E26">
            <v>11.4</v>
          </cell>
        </row>
        <row r="27">
          <cell r="D27">
            <v>1</v>
          </cell>
          <cell r="E27">
            <v>11.2</v>
          </cell>
        </row>
        <row r="28">
          <cell r="D28">
            <v>2</v>
          </cell>
          <cell r="E28">
            <v>11</v>
          </cell>
        </row>
        <row r="29">
          <cell r="D29">
            <v>3</v>
          </cell>
          <cell r="E29">
            <v>10.6</v>
          </cell>
        </row>
        <row r="30">
          <cell r="D30">
            <v>1</v>
          </cell>
          <cell r="E30">
            <v>10.199999999999999</v>
          </cell>
        </row>
        <row r="31">
          <cell r="D31">
            <v>2</v>
          </cell>
          <cell r="E31">
            <v>10.5</v>
          </cell>
        </row>
        <row r="32">
          <cell r="D32">
            <v>3</v>
          </cell>
          <cell r="E32">
            <v>10.8</v>
          </cell>
        </row>
        <row r="33">
          <cell r="D33">
            <v>1</v>
          </cell>
          <cell r="E33">
            <v>11.1</v>
          </cell>
        </row>
        <row r="34">
          <cell r="D34">
            <v>2</v>
          </cell>
          <cell r="E34">
            <v>11</v>
          </cell>
        </row>
        <row r="35">
          <cell r="D35">
            <v>3</v>
          </cell>
          <cell r="E35">
            <v>10.8</v>
          </cell>
        </row>
        <row r="36">
          <cell r="D36">
            <v>1</v>
          </cell>
          <cell r="E36">
            <v>10.6</v>
          </cell>
        </row>
        <row r="37">
          <cell r="D37">
            <v>2</v>
          </cell>
          <cell r="E37">
            <v>10.6</v>
          </cell>
        </row>
        <row r="38">
          <cell r="D38">
            <v>3</v>
          </cell>
          <cell r="E38">
            <v>10.5</v>
          </cell>
        </row>
        <row r="39">
          <cell r="D39">
            <v>1</v>
          </cell>
          <cell r="E39">
            <v>10.5</v>
          </cell>
        </row>
        <row r="40">
          <cell r="D40">
            <v>2</v>
          </cell>
          <cell r="E40">
            <v>10.4</v>
          </cell>
        </row>
        <row r="41">
          <cell r="D41">
            <v>3</v>
          </cell>
          <cell r="E41">
            <v>10.3</v>
          </cell>
        </row>
        <row r="42">
          <cell r="D42">
            <v>1</v>
          </cell>
          <cell r="E42">
            <v>10.4</v>
          </cell>
        </row>
        <row r="43">
          <cell r="D43">
            <v>2</v>
          </cell>
          <cell r="E43">
            <v>10.8</v>
          </cell>
        </row>
        <row r="44">
          <cell r="D44">
            <v>3</v>
          </cell>
          <cell r="E44">
            <v>11.4</v>
          </cell>
        </row>
        <row r="45">
          <cell r="D45">
            <v>1</v>
          </cell>
          <cell r="E45">
            <v>11.9</v>
          </cell>
        </row>
        <row r="46">
          <cell r="D46">
            <v>2</v>
          </cell>
          <cell r="E46">
            <v>11.9</v>
          </cell>
        </row>
        <row r="47">
          <cell r="D47">
            <v>3</v>
          </cell>
          <cell r="E47">
            <v>12</v>
          </cell>
        </row>
        <row r="48">
          <cell r="D48">
            <v>1</v>
          </cell>
          <cell r="E48">
            <v>12.2</v>
          </cell>
        </row>
        <row r="49">
          <cell r="D49">
            <v>2</v>
          </cell>
          <cell r="E49">
            <v>12.5</v>
          </cell>
        </row>
        <row r="50">
          <cell r="D50">
            <v>3</v>
          </cell>
          <cell r="E50">
            <v>12.6</v>
          </cell>
        </row>
        <row r="51">
          <cell r="D51">
            <v>1</v>
          </cell>
          <cell r="E51">
            <v>12.8</v>
          </cell>
        </row>
        <row r="52">
          <cell r="D52">
            <v>2</v>
          </cell>
          <cell r="E52">
            <v>13.1</v>
          </cell>
        </row>
        <row r="53">
          <cell r="D53">
            <v>3</v>
          </cell>
          <cell r="E53">
            <v>13.3</v>
          </cell>
        </row>
        <row r="54">
          <cell r="D54">
            <v>1</v>
          </cell>
          <cell r="E54">
            <v>13.5</v>
          </cell>
        </row>
        <row r="55">
          <cell r="D55">
            <v>2</v>
          </cell>
          <cell r="E55">
            <v>14</v>
          </cell>
        </row>
        <row r="56">
          <cell r="D56">
            <v>3</v>
          </cell>
          <cell r="E56">
            <v>14.8</v>
          </cell>
        </row>
        <row r="57">
          <cell r="D57">
            <v>1</v>
          </cell>
          <cell r="E57">
            <v>15.4</v>
          </cell>
        </row>
        <row r="58">
          <cell r="D58">
            <v>2</v>
          </cell>
          <cell r="E58">
            <v>15.9</v>
          </cell>
        </row>
        <row r="59">
          <cell r="D59">
            <v>3</v>
          </cell>
          <cell r="E59">
            <v>16.100000000000001</v>
          </cell>
        </row>
        <row r="60">
          <cell r="D60">
            <v>1</v>
          </cell>
          <cell r="E60">
            <v>16.399999999999999</v>
          </cell>
        </row>
        <row r="61">
          <cell r="D61">
            <v>2</v>
          </cell>
          <cell r="E61">
            <v>16.600000000000001</v>
          </cell>
        </row>
        <row r="62">
          <cell r="D62">
            <v>3</v>
          </cell>
          <cell r="E62">
            <v>16.8</v>
          </cell>
        </row>
        <row r="63">
          <cell r="D63">
            <v>1</v>
          </cell>
          <cell r="E63">
            <v>16.8</v>
          </cell>
        </row>
        <row r="64">
          <cell r="D64">
            <v>2</v>
          </cell>
          <cell r="E64">
            <v>16.899999999999999</v>
          </cell>
        </row>
        <row r="65">
          <cell r="D65">
            <v>3</v>
          </cell>
          <cell r="E65">
            <v>17.100000000000001</v>
          </cell>
        </row>
        <row r="66">
          <cell r="D66">
            <v>1</v>
          </cell>
          <cell r="E66">
            <v>17.399999999999999</v>
          </cell>
        </row>
        <row r="67">
          <cell r="D67">
            <v>2</v>
          </cell>
          <cell r="E67">
            <v>18.100000000000001</v>
          </cell>
        </row>
        <row r="68">
          <cell r="D68">
            <v>3</v>
          </cell>
          <cell r="E68">
            <v>18.7</v>
          </cell>
        </row>
        <row r="69">
          <cell r="D69">
            <v>1</v>
          </cell>
          <cell r="E69">
            <v>19.3</v>
          </cell>
        </row>
        <row r="70">
          <cell r="D70">
            <v>2</v>
          </cell>
          <cell r="E70">
            <v>19</v>
          </cell>
        </row>
        <row r="71">
          <cell r="D71">
            <v>3</v>
          </cell>
          <cell r="E71">
            <v>18.8</v>
          </cell>
        </row>
        <row r="72">
          <cell r="D72">
            <v>1</v>
          </cell>
          <cell r="E72">
            <v>18.5</v>
          </cell>
        </row>
        <row r="73">
          <cell r="D73">
            <v>2</v>
          </cell>
          <cell r="E73">
            <v>18.5</v>
          </cell>
        </row>
        <row r="74">
          <cell r="D74">
            <v>3</v>
          </cell>
          <cell r="E74">
            <v>18.399999999999999</v>
          </cell>
        </row>
        <row r="75">
          <cell r="D75">
            <v>1</v>
          </cell>
          <cell r="E75">
            <v>18.3</v>
          </cell>
        </row>
        <row r="76">
          <cell r="D76">
            <v>2</v>
          </cell>
          <cell r="E76">
            <v>18.100000000000001</v>
          </cell>
        </row>
        <row r="77">
          <cell r="D77">
            <v>3</v>
          </cell>
          <cell r="E77">
            <v>17.899999999999999</v>
          </cell>
        </row>
        <row r="78">
          <cell r="D78">
            <v>1</v>
          </cell>
          <cell r="E78">
            <v>17.8</v>
          </cell>
        </row>
        <row r="79">
          <cell r="D79">
            <v>2</v>
          </cell>
          <cell r="E79">
            <v>18.2</v>
          </cell>
        </row>
        <row r="80">
          <cell r="D80">
            <v>3</v>
          </cell>
          <cell r="E80">
            <v>18.7</v>
          </cell>
        </row>
        <row r="81">
          <cell r="D81">
            <v>1</v>
          </cell>
          <cell r="E81">
            <v>19.2</v>
          </cell>
        </row>
        <row r="82">
          <cell r="D82">
            <v>2</v>
          </cell>
          <cell r="E82">
            <v>19</v>
          </cell>
        </row>
        <row r="83">
          <cell r="D83">
            <v>3</v>
          </cell>
          <cell r="E83">
            <v>18.899999999999999</v>
          </cell>
        </row>
        <row r="84">
          <cell r="D84">
            <v>1</v>
          </cell>
          <cell r="E84">
            <v>18.8</v>
          </cell>
        </row>
        <row r="85">
          <cell r="D85">
            <v>2</v>
          </cell>
          <cell r="E85">
            <v>18.600000000000001</v>
          </cell>
        </row>
        <row r="86">
          <cell r="D86">
            <v>3</v>
          </cell>
          <cell r="E86">
            <v>18.399999999999999</v>
          </cell>
        </row>
        <row r="87">
          <cell r="D87">
            <v>1</v>
          </cell>
          <cell r="E87">
            <v>18.100000000000001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77" refreshError="1"/>
      <sheetData sheetId="17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20.9</v>
          </cell>
        </row>
        <row r="10">
          <cell r="D10">
            <v>2</v>
          </cell>
          <cell r="E10">
            <v>19.899999999999999</v>
          </cell>
        </row>
        <row r="11">
          <cell r="D11">
            <v>3</v>
          </cell>
          <cell r="E11">
            <v>19.3</v>
          </cell>
        </row>
        <row r="12">
          <cell r="D12">
            <v>1</v>
          </cell>
          <cell r="E12">
            <v>18.899999999999999</v>
          </cell>
        </row>
        <row r="13">
          <cell r="D13">
            <v>2</v>
          </cell>
          <cell r="E13">
            <v>18.399999999999999</v>
          </cell>
        </row>
        <row r="14">
          <cell r="D14">
            <v>3</v>
          </cell>
          <cell r="E14">
            <v>17.7</v>
          </cell>
        </row>
        <row r="15">
          <cell r="D15">
            <v>1</v>
          </cell>
          <cell r="E15">
            <v>17.100000000000001</v>
          </cell>
        </row>
        <row r="16">
          <cell r="D16">
            <v>2</v>
          </cell>
          <cell r="E16">
            <v>16.899999999999999</v>
          </cell>
        </row>
        <row r="17">
          <cell r="D17">
            <v>3</v>
          </cell>
          <cell r="E17">
            <v>16.7</v>
          </cell>
        </row>
        <row r="18">
          <cell r="D18">
            <v>1</v>
          </cell>
          <cell r="E18">
            <v>16.7</v>
          </cell>
        </row>
        <row r="19">
          <cell r="D19">
            <v>2</v>
          </cell>
          <cell r="E19">
            <v>17</v>
          </cell>
        </row>
        <row r="20">
          <cell r="D20">
            <v>3</v>
          </cell>
          <cell r="E20">
            <v>17.5</v>
          </cell>
        </row>
        <row r="21">
          <cell r="D21">
            <v>1</v>
          </cell>
          <cell r="E21">
            <v>17.899999999999999</v>
          </cell>
        </row>
        <row r="22">
          <cell r="D22">
            <v>2</v>
          </cell>
          <cell r="E22">
            <v>17.600000000000001</v>
          </cell>
        </row>
        <row r="23">
          <cell r="D23">
            <v>3</v>
          </cell>
          <cell r="E23">
            <v>17.2</v>
          </cell>
        </row>
        <row r="24">
          <cell r="D24">
            <v>1</v>
          </cell>
          <cell r="E24">
            <v>16.8</v>
          </cell>
        </row>
        <row r="25">
          <cell r="D25">
            <v>2</v>
          </cell>
          <cell r="E25">
            <v>16.5</v>
          </cell>
        </row>
        <row r="26">
          <cell r="D26">
            <v>3</v>
          </cell>
          <cell r="E26">
            <v>16.3</v>
          </cell>
        </row>
        <row r="27">
          <cell r="D27">
            <v>1</v>
          </cell>
          <cell r="E27">
            <v>16</v>
          </cell>
        </row>
        <row r="28">
          <cell r="D28">
            <v>2</v>
          </cell>
          <cell r="E28">
            <v>15.7</v>
          </cell>
        </row>
        <row r="29">
          <cell r="D29">
            <v>3</v>
          </cell>
          <cell r="E29">
            <v>15.3</v>
          </cell>
        </row>
        <row r="30">
          <cell r="D30">
            <v>1</v>
          </cell>
          <cell r="E30">
            <v>14.9</v>
          </cell>
        </row>
        <row r="31">
          <cell r="D31">
            <v>2</v>
          </cell>
          <cell r="E31">
            <v>15.1</v>
          </cell>
        </row>
        <row r="32">
          <cell r="D32">
            <v>3</v>
          </cell>
          <cell r="E32">
            <v>15.3</v>
          </cell>
        </row>
        <row r="33">
          <cell r="D33">
            <v>1</v>
          </cell>
          <cell r="E33">
            <v>15.6</v>
          </cell>
        </row>
        <row r="34">
          <cell r="D34">
            <v>2</v>
          </cell>
          <cell r="E34">
            <v>15.4</v>
          </cell>
        </row>
        <row r="35">
          <cell r="D35">
            <v>3</v>
          </cell>
          <cell r="E35">
            <v>15.2</v>
          </cell>
        </row>
        <row r="36">
          <cell r="D36">
            <v>1</v>
          </cell>
          <cell r="E36">
            <v>14.9</v>
          </cell>
        </row>
        <row r="37">
          <cell r="D37">
            <v>2</v>
          </cell>
          <cell r="E37">
            <v>14.7</v>
          </cell>
        </row>
        <row r="38">
          <cell r="D38">
            <v>3</v>
          </cell>
          <cell r="E38">
            <v>14.8</v>
          </cell>
        </row>
        <row r="39">
          <cell r="D39">
            <v>1</v>
          </cell>
          <cell r="E39">
            <v>14.8</v>
          </cell>
        </row>
        <row r="40">
          <cell r="D40">
            <v>2</v>
          </cell>
          <cell r="E40">
            <v>14.8</v>
          </cell>
        </row>
        <row r="41">
          <cell r="D41">
            <v>3</v>
          </cell>
          <cell r="E41">
            <v>14.8</v>
          </cell>
        </row>
        <row r="42">
          <cell r="D42">
            <v>1</v>
          </cell>
          <cell r="E42">
            <v>14.9</v>
          </cell>
        </row>
        <row r="43">
          <cell r="D43">
            <v>2</v>
          </cell>
          <cell r="E43">
            <v>15.3</v>
          </cell>
        </row>
        <row r="44">
          <cell r="D44">
            <v>3</v>
          </cell>
          <cell r="E44">
            <v>16</v>
          </cell>
        </row>
        <row r="45">
          <cell r="D45">
            <v>1</v>
          </cell>
          <cell r="E45">
            <v>16.5</v>
          </cell>
        </row>
        <row r="46">
          <cell r="D46">
            <v>2</v>
          </cell>
          <cell r="E46">
            <v>16.7</v>
          </cell>
        </row>
        <row r="47">
          <cell r="D47">
            <v>3</v>
          </cell>
          <cell r="E47">
            <v>16.8</v>
          </cell>
        </row>
        <row r="48">
          <cell r="D48">
            <v>1</v>
          </cell>
          <cell r="E48">
            <v>17.2</v>
          </cell>
        </row>
        <row r="49">
          <cell r="D49">
            <v>2</v>
          </cell>
          <cell r="E49">
            <v>17.600000000000001</v>
          </cell>
        </row>
        <row r="50">
          <cell r="D50">
            <v>3</v>
          </cell>
          <cell r="E50">
            <v>17.8</v>
          </cell>
        </row>
        <row r="51">
          <cell r="D51">
            <v>1</v>
          </cell>
          <cell r="E51">
            <v>18</v>
          </cell>
        </row>
        <row r="52">
          <cell r="D52">
            <v>0</v>
          </cell>
          <cell r="E52">
            <v>0</v>
          </cell>
        </row>
        <row r="53">
          <cell r="D53">
            <v>1</v>
          </cell>
          <cell r="E53">
            <v>17.3</v>
          </cell>
        </row>
        <row r="54">
          <cell r="D54">
            <v>2</v>
          </cell>
          <cell r="E54">
            <v>17.8</v>
          </cell>
        </row>
        <row r="55">
          <cell r="D55">
            <v>3</v>
          </cell>
          <cell r="E55">
            <v>18.600000000000001</v>
          </cell>
        </row>
        <row r="56">
          <cell r="D56">
            <v>1</v>
          </cell>
          <cell r="E56">
            <v>19.3</v>
          </cell>
        </row>
        <row r="57">
          <cell r="D57">
            <v>2</v>
          </cell>
          <cell r="E57">
            <v>20</v>
          </cell>
        </row>
        <row r="58">
          <cell r="D58">
            <v>3</v>
          </cell>
          <cell r="E58">
            <v>20.399999999999999</v>
          </cell>
        </row>
        <row r="59">
          <cell r="D59">
            <v>1</v>
          </cell>
          <cell r="E59">
            <v>20.9</v>
          </cell>
        </row>
        <row r="60">
          <cell r="D60">
            <v>2</v>
          </cell>
          <cell r="E60">
            <v>21</v>
          </cell>
        </row>
        <row r="61">
          <cell r="D61">
            <v>3</v>
          </cell>
          <cell r="E61">
            <v>21.1</v>
          </cell>
        </row>
        <row r="62">
          <cell r="D62">
            <v>1</v>
          </cell>
          <cell r="E62">
            <v>21.2</v>
          </cell>
        </row>
        <row r="63">
          <cell r="D63">
            <v>2</v>
          </cell>
          <cell r="E63">
            <v>21.4</v>
          </cell>
        </row>
        <row r="64">
          <cell r="D64">
            <v>3</v>
          </cell>
          <cell r="E64">
            <v>21.8</v>
          </cell>
        </row>
        <row r="65">
          <cell r="D65">
            <v>1</v>
          </cell>
          <cell r="E65">
            <v>22.2</v>
          </cell>
        </row>
        <row r="66">
          <cell r="D66">
            <v>2</v>
          </cell>
          <cell r="E66">
            <v>22.9</v>
          </cell>
        </row>
        <row r="67">
          <cell r="D67">
            <v>3</v>
          </cell>
          <cell r="E67">
            <v>23.5</v>
          </cell>
        </row>
        <row r="68">
          <cell r="D68">
            <v>1</v>
          </cell>
          <cell r="E68">
            <v>24.1</v>
          </cell>
        </row>
        <row r="69">
          <cell r="D69">
            <v>2</v>
          </cell>
          <cell r="E69">
            <v>24</v>
          </cell>
        </row>
        <row r="70">
          <cell r="D70">
            <v>3</v>
          </cell>
          <cell r="E70">
            <v>23.9</v>
          </cell>
        </row>
        <row r="71">
          <cell r="D71">
            <v>1</v>
          </cell>
          <cell r="E71">
            <v>23.8</v>
          </cell>
        </row>
        <row r="72">
          <cell r="D72">
            <v>2</v>
          </cell>
          <cell r="E72">
            <v>23.9</v>
          </cell>
        </row>
        <row r="73">
          <cell r="D73">
            <v>3</v>
          </cell>
          <cell r="E73">
            <v>24</v>
          </cell>
        </row>
        <row r="74">
          <cell r="D74">
            <v>1</v>
          </cell>
          <cell r="E74">
            <v>23.9</v>
          </cell>
        </row>
        <row r="75">
          <cell r="D75">
            <v>2</v>
          </cell>
          <cell r="E75">
            <v>23.8</v>
          </cell>
        </row>
        <row r="76">
          <cell r="D76">
            <v>3</v>
          </cell>
          <cell r="E76">
            <v>23.7</v>
          </cell>
        </row>
        <row r="77">
          <cell r="D77">
            <v>1</v>
          </cell>
          <cell r="E77">
            <v>23.6</v>
          </cell>
        </row>
        <row r="78">
          <cell r="D78">
            <v>2</v>
          </cell>
          <cell r="E78">
            <v>23.9</v>
          </cell>
        </row>
        <row r="79">
          <cell r="D79">
            <v>3</v>
          </cell>
          <cell r="E79">
            <v>24.2</v>
          </cell>
        </row>
        <row r="80">
          <cell r="D80">
            <v>1</v>
          </cell>
          <cell r="E80">
            <v>24.7</v>
          </cell>
        </row>
        <row r="81">
          <cell r="D81">
            <v>2</v>
          </cell>
          <cell r="E81">
            <v>24.6</v>
          </cell>
        </row>
        <row r="82">
          <cell r="D82">
            <v>3</v>
          </cell>
          <cell r="E82">
            <v>24.6</v>
          </cell>
        </row>
        <row r="83">
          <cell r="D83">
            <v>1</v>
          </cell>
          <cell r="E83">
            <v>24.6</v>
          </cell>
        </row>
        <row r="84">
          <cell r="D84">
            <v>2</v>
          </cell>
          <cell r="E84">
            <v>24.5</v>
          </cell>
        </row>
        <row r="85">
          <cell r="D85">
            <v>3</v>
          </cell>
          <cell r="E85">
            <v>24.4</v>
          </cell>
        </row>
        <row r="86">
          <cell r="D86">
            <v>1</v>
          </cell>
          <cell r="E86">
            <v>24.2</v>
          </cell>
        </row>
        <row r="87">
          <cell r="D87">
            <v>0</v>
          </cell>
          <cell r="E87">
            <v>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</sheetData>
      <sheetData sheetId="179" refreshError="1"/>
      <sheetData sheetId="18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8</v>
          </cell>
        </row>
        <row r="10">
          <cell r="D10">
            <v>2</v>
          </cell>
          <cell r="E10">
            <v>7.6</v>
          </cell>
        </row>
        <row r="11">
          <cell r="D11">
            <v>3</v>
          </cell>
          <cell r="E11">
            <v>7.3</v>
          </cell>
        </row>
        <row r="12">
          <cell r="D12">
            <v>1</v>
          </cell>
          <cell r="E12">
            <v>7.1</v>
          </cell>
        </row>
        <row r="13">
          <cell r="D13">
            <v>2</v>
          </cell>
          <cell r="E13">
            <v>6.7</v>
          </cell>
        </row>
        <row r="14">
          <cell r="D14">
            <v>3</v>
          </cell>
          <cell r="E14">
            <v>6.3</v>
          </cell>
        </row>
        <row r="15">
          <cell r="D15">
            <v>1</v>
          </cell>
          <cell r="E15">
            <v>6</v>
          </cell>
        </row>
        <row r="16">
          <cell r="D16">
            <v>2</v>
          </cell>
          <cell r="E16">
            <v>6</v>
          </cell>
        </row>
        <row r="17">
          <cell r="D17">
            <v>3</v>
          </cell>
          <cell r="E17">
            <v>6</v>
          </cell>
        </row>
        <row r="18">
          <cell r="D18">
            <v>1</v>
          </cell>
          <cell r="E18">
            <v>5.9</v>
          </cell>
        </row>
        <row r="19">
          <cell r="D19">
            <v>2</v>
          </cell>
          <cell r="E19">
            <v>5.8</v>
          </cell>
        </row>
        <row r="20">
          <cell r="D20">
            <v>3</v>
          </cell>
          <cell r="E20">
            <v>5.8</v>
          </cell>
        </row>
        <row r="21">
          <cell r="D21">
            <v>1</v>
          </cell>
          <cell r="E21">
            <v>5.9</v>
          </cell>
        </row>
        <row r="22">
          <cell r="D22">
            <v>2</v>
          </cell>
          <cell r="E22">
            <v>5.9</v>
          </cell>
        </row>
        <row r="23">
          <cell r="D23">
            <v>3</v>
          </cell>
          <cell r="E23">
            <v>5.8</v>
          </cell>
        </row>
        <row r="24">
          <cell r="D24">
            <v>1</v>
          </cell>
          <cell r="E24">
            <v>5.7</v>
          </cell>
        </row>
        <row r="25">
          <cell r="D25">
            <v>2</v>
          </cell>
          <cell r="E25">
            <v>5.6</v>
          </cell>
        </row>
        <row r="26">
          <cell r="D26">
            <v>3</v>
          </cell>
          <cell r="E26">
            <v>5.5</v>
          </cell>
        </row>
        <row r="27">
          <cell r="D27">
            <v>1</v>
          </cell>
          <cell r="E27">
            <v>5.4</v>
          </cell>
        </row>
        <row r="28">
          <cell r="D28">
            <v>2</v>
          </cell>
          <cell r="E28">
            <v>5.3</v>
          </cell>
        </row>
        <row r="29">
          <cell r="D29">
            <v>3</v>
          </cell>
          <cell r="E29">
            <v>5.2</v>
          </cell>
        </row>
        <row r="30">
          <cell r="D30">
            <v>1</v>
          </cell>
          <cell r="E30">
            <v>5.2</v>
          </cell>
        </row>
        <row r="31">
          <cell r="D31">
            <v>2</v>
          </cell>
          <cell r="E31">
            <v>5.0999999999999996</v>
          </cell>
        </row>
        <row r="32">
          <cell r="D32">
            <v>3</v>
          </cell>
          <cell r="E32">
            <v>5</v>
          </cell>
        </row>
        <row r="33">
          <cell r="D33">
            <v>1</v>
          </cell>
          <cell r="E33">
            <v>5</v>
          </cell>
        </row>
        <row r="34">
          <cell r="D34">
            <v>2</v>
          </cell>
          <cell r="E34">
            <v>5</v>
          </cell>
        </row>
        <row r="35">
          <cell r="D35">
            <v>3</v>
          </cell>
          <cell r="E35">
            <v>4.9000000000000004</v>
          </cell>
        </row>
        <row r="36">
          <cell r="D36">
            <v>1</v>
          </cell>
          <cell r="E36">
            <v>4.8</v>
          </cell>
        </row>
        <row r="37">
          <cell r="D37">
            <v>2</v>
          </cell>
          <cell r="E37">
            <v>4.7</v>
          </cell>
        </row>
        <row r="38">
          <cell r="D38">
            <v>3</v>
          </cell>
          <cell r="E38">
            <v>4.8</v>
          </cell>
        </row>
        <row r="39">
          <cell r="D39">
            <v>1</v>
          </cell>
          <cell r="E39">
            <v>4.8</v>
          </cell>
        </row>
        <row r="40">
          <cell r="D40">
            <v>2</v>
          </cell>
          <cell r="E40">
            <v>4.9000000000000004</v>
          </cell>
        </row>
        <row r="41">
          <cell r="D41">
            <v>3</v>
          </cell>
          <cell r="E41">
            <v>5.0999999999999996</v>
          </cell>
        </row>
        <row r="42">
          <cell r="D42">
            <v>1</v>
          </cell>
          <cell r="E42">
            <v>5.0999999999999996</v>
          </cell>
        </row>
        <row r="43">
          <cell r="D43">
            <v>2</v>
          </cell>
          <cell r="E43">
            <v>5.0999999999999996</v>
          </cell>
        </row>
        <row r="44">
          <cell r="D44">
            <v>3</v>
          </cell>
          <cell r="E44">
            <v>5.2</v>
          </cell>
        </row>
        <row r="45">
          <cell r="D45">
            <v>1</v>
          </cell>
          <cell r="E45">
            <v>5.2</v>
          </cell>
        </row>
        <row r="46">
          <cell r="D46">
            <v>2</v>
          </cell>
          <cell r="E46">
            <v>5.4</v>
          </cell>
        </row>
        <row r="47">
          <cell r="D47">
            <v>3</v>
          </cell>
          <cell r="E47">
            <v>5.5</v>
          </cell>
        </row>
        <row r="48">
          <cell r="D48">
            <v>1</v>
          </cell>
          <cell r="E48">
            <v>5.7</v>
          </cell>
        </row>
        <row r="49">
          <cell r="D49">
            <v>2</v>
          </cell>
          <cell r="E49">
            <v>5.8</v>
          </cell>
        </row>
        <row r="50">
          <cell r="D50">
            <v>3</v>
          </cell>
          <cell r="E50">
            <v>6</v>
          </cell>
        </row>
        <row r="51">
          <cell r="D51">
            <v>1</v>
          </cell>
          <cell r="E51">
            <v>6</v>
          </cell>
        </row>
        <row r="52">
          <cell r="D52">
            <v>0</v>
          </cell>
          <cell r="E52">
            <v>0</v>
          </cell>
        </row>
        <row r="53">
          <cell r="D53">
            <v>1</v>
          </cell>
          <cell r="E53">
            <v>4.5</v>
          </cell>
        </row>
        <row r="54">
          <cell r="D54">
            <v>2</v>
          </cell>
          <cell r="E54">
            <v>4.4000000000000004</v>
          </cell>
        </row>
        <row r="55">
          <cell r="D55">
            <v>3</v>
          </cell>
          <cell r="E55">
            <v>4.4000000000000004</v>
          </cell>
        </row>
        <row r="56">
          <cell r="D56">
            <v>1</v>
          </cell>
          <cell r="E56">
            <v>4.5999999999999996</v>
          </cell>
        </row>
        <row r="57">
          <cell r="D57">
            <v>2</v>
          </cell>
          <cell r="E57">
            <v>4.9000000000000004</v>
          </cell>
        </row>
        <row r="58">
          <cell r="D58">
            <v>3</v>
          </cell>
          <cell r="E58">
            <v>5.2</v>
          </cell>
        </row>
        <row r="59">
          <cell r="D59">
            <v>1</v>
          </cell>
          <cell r="E59">
            <v>5.3</v>
          </cell>
        </row>
        <row r="60">
          <cell r="D60">
            <v>2</v>
          </cell>
          <cell r="E60">
            <v>5.3</v>
          </cell>
        </row>
        <row r="61">
          <cell r="D61">
            <v>3</v>
          </cell>
          <cell r="E61">
            <v>5.2</v>
          </cell>
        </row>
        <row r="62">
          <cell r="D62">
            <v>1</v>
          </cell>
          <cell r="E62">
            <v>5.3</v>
          </cell>
        </row>
        <row r="63">
          <cell r="D63">
            <v>2</v>
          </cell>
          <cell r="E63">
            <v>5.4</v>
          </cell>
        </row>
        <row r="64">
          <cell r="D64">
            <v>3</v>
          </cell>
          <cell r="E64">
            <v>5.7</v>
          </cell>
        </row>
        <row r="65">
          <cell r="D65">
            <v>1</v>
          </cell>
          <cell r="E65">
            <v>5.8</v>
          </cell>
        </row>
        <row r="66">
          <cell r="D66">
            <v>2</v>
          </cell>
          <cell r="E66">
            <v>5.9</v>
          </cell>
        </row>
        <row r="67">
          <cell r="D67">
            <v>3</v>
          </cell>
          <cell r="E67">
            <v>5.9</v>
          </cell>
        </row>
        <row r="68">
          <cell r="D68">
            <v>1</v>
          </cell>
          <cell r="E68">
            <v>5.9</v>
          </cell>
        </row>
        <row r="69">
          <cell r="D69">
            <v>2</v>
          </cell>
          <cell r="E69">
            <v>6.1</v>
          </cell>
        </row>
        <row r="70">
          <cell r="D70">
            <v>3</v>
          </cell>
          <cell r="E70">
            <v>6.3</v>
          </cell>
        </row>
        <row r="71">
          <cell r="D71">
            <v>1</v>
          </cell>
          <cell r="E71">
            <v>6.5</v>
          </cell>
        </row>
        <row r="72">
          <cell r="D72">
            <v>2</v>
          </cell>
          <cell r="E72">
            <v>6.6</v>
          </cell>
        </row>
        <row r="73">
          <cell r="D73">
            <v>3</v>
          </cell>
          <cell r="E73">
            <v>6.8</v>
          </cell>
        </row>
        <row r="74">
          <cell r="D74">
            <v>1</v>
          </cell>
          <cell r="E74">
            <v>6.9</v>
          </cell>
        </row>
        <row r="75">
          <cell r="D75">
            <v>2</v>
          </cell>
          <cell r="E75">
            <v>6.9</v>
          </cell>
        </row>
        <row r="76">
          <cell r="D76">
            <v>3</v>
          </cell>
          <cell r="E76">
            <v>7</v>
          </cell>
        </row>
        <row r="77">
          <cell r="D77">
            <v>1</v>
          </cell>
          <cell r="E77">
            <v>7</v>
          </cell>
        </row>
        <row r="78">
          <cell r="D78">
            <v>2</v>
          </cell>
          <cell r="E78">
            <v>6.9</v>
          </cell>
        </row>
        <row r="79">
          <cell r="D79">
            <v>3</v>
          </cell>
          <cell r="E79">
            <v>6.8</v>
          </cell>
        </row>
        <row r="80">
          <cell r="D80">
            <v>1</v>
          </cell>
          <cell r="E80">
            <v>6.8</v>
          </cell>
        </row>
        <row r="81">
          <cell r="D81">
            <v>2</v>
          </cell>
          <cell r="E81">
            <v>6.9</v>
          </cell>
        </row>
        <row r="82">
          <cell r="D82">
            <v>3</v>
          </cell>
          <cell r="E82">
            <v>7</v>
          </cell>
        </row>
        <row r="83">
          <cell r="D83">
            <v>1</v>
          </cell>
          <cell r="E83">
            <v>7.1</v>
          </cell>
        </row>
        <row r="84">
          <cell r="D84">
            <v>2</v>
          </cell>
          <cell r="E84">
            <v>7.2</v>
          </cell>
        </row>
        <row r="85">
          <cell r="D85">
            <v>3</v>
          </cell>
          <cell r="E85">
            <v>7.3</v>
          </cell>
        </row>
        <row r="86">
          <cell r="D86">
            <v>1</v>
          </cell>
          <cell r="E86">
            <v>7.4</v>
          </cell>
        </row>
        <row r="87">
          <cell r="D87">
            <v>0</v>
          </cell>
          <cell r="E87">
            <v>0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</sheetData>
      <sheetData sheetId="181" refreshError="1"/>
      <sheetData sheetId="18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11.1</v>
          </cell>
        </row>
        <row r="10">
          <cell r="D10">
            <v>2</v>
          </cell>
          <cell r="E10">
            <v>10.3</v>
          </cell>
        </row>
        <row r="11">
          <cell r="D11">
            <v>3</v>
          </cell>
          <cell r="E11">
            <v>9.6999999999999993</v>
          </cell>
        </row>
        <row r="12">
          <cell r="D12">
            <v>1</v>
          </cell>
          <cell r="E12">
            <v>9.5</v>
          </cell>
        </row>
        <row r="13">
          <cell r="D13">
            <v>2</v>
          </cell>
          <cell r="E13">
            <v>9.1999999999999993</v>
          </cell>
        </row>
        <row r="14">
          <cell r="D14">
            <v>3</v>
          </cell>
          <cell r="E14">
            <v>8.9</v>
          </cell>
        </row>
        <row r="15">
          <cell r="D15">
            <v>1</v>
          </cell>
          <cell r="E15">
            <v>8.5</v>
          </cell>
        </row>
        <row r="16">
          <cell r="D16">
            <v>2</v>
          </cell>
          <cell r="E16">
            <v>8.3000000000000007</v>
          </cell>
        </row>
        <row r="17">
          <cell r="D17">
            <v>3</v>
          </cell>
          <cell r="E17">
            <v>8.1999999999999993</v>
          </cell>
        </row>
        <row r="18">
          <cell r="D18">
            <v>1</v>
          </cell>
          <cell r="E18">
            <v>8.3000000000000007</v>
          </cell>
        </row>
        <row r="19">
          <cell r="D19">
            <v>2</v>
          </cell>
          <cell r="E19">
            <v>8.4</v>
          </cell>
        </row>
        <row r="20">
          <cell r="D20">
            <v>3</v>
          </cell>
          <cell r="E20">
            <v>8.6</v>
          </cell>
        </row>
        <row r="21">
          <cell r="D21">
            <v>1</v>
          </cell>
          <cell r="E21">
            <v>8.6</v>
          </cell>
        </row>
        <row r="22">
          <cell r="D22">
            <v>2</v>
          </cell>
          <cell r="E22">
            <v>8.3000000000000007</v>
          </cell>
        </row>
        <row r="23">
          <cell r="D23">
            <v>3</v>
          </cell>
          <cell r="E23">
            <v>8.1</v>
          </cell>
        </row>
        <row r="24">
          <cell r="D24">
            <v>1</v>
          </cell>
          <cell r="E24">
            <v>7.9</v>
          </cell>
        </row>
        <row r="25">
          <cell r="D25">
            <v>2</v>
          </cell>
          <cell r="E25">
            <v>7.7</v>
          </cell>
        </row>
        <row r="26">
          <cell r="D26">
            <v>3</v>
          </cell>
          <cell r="E26">
            <v>7.7</v>
          </cell>
        </row>
        <row r="27">
          <cell r="D27">
            <v>1</v>
          </cell>
          <cell r="E27">
            <v>7.6</v>
          </cell>
        </row>
        <row r="28">
          <cell r="D28">
            <v>2</v>
          </cell>
          <cell r="E28">
            <v>7.5</v>
          </cell>
        </row>
        <row r="29">
          <cell r="D29">
            <v>3</v>
          </cell>
          <cell r="E29">
            <v>7.3</v>
          </cell>
        </row>
        <row r="30">
          <cell r="D30">
            <v>1</v>
          </cell>
          <cell r="E30">
            <v>7.1</v>
          </cell>
        </row>
        <row r="31">
          <cell r="D31">
            <v>2</v>
          </cell>
          <cell r="E31">
            <v>7.1</v>
          </cell>
        </row>
        <row r="32">
          <cell r="D32">
            <v>3</v>
          </cell>
          <cell r="E32">
            <v>7.1</v>
          </cell>
        </row>
        <row r="33">
          <cell r="D33">
            <v>1</v>
          </cell>
          <cell r="E33">
            <v>7</v>
          </cell>
        </row>
        <row r="34">
          <cell r="D34">
            <v>2</v>
          </cell>
          <cell r="E34">
            <v>6.8</v>
          </cell>
        </row>
        <row r="35">
          <cell r="D35">
            <v>3</v>
          </cell>
          <cell r="E35">
            <v>6.7</v>
          </cell>
        </row>
        <row r="36">
          <cell r="D36">
            <v>1</v>
          </cell>
          <cell r="E36">
            <v>6.5</v>
          </cell>
        </row>
        <row r="37">
          <cell r="D37">
            <v>2</v>
          </cell>
          <cell r="E37">
            <v>6.4</v>
          </cell>
        </row>
        <row r="38">
          <cell r="D38">
            <v>3</v>
          </cell>
          <cell r="E38">
            <v>6.4</v>
          </cell>
        </row>
        <row r="39">
          <cell r="D39">
            <v>1</v>
          </cell>
          <cell r="E39">
            <v>6.4</v>
          </cell>
        </row>
        <row r="40">
          <cell r="D40">
            <v>2</v>
          </cell>
          <cell r="E40">
            <v>6.5</v>
          </cell>
        </row>
        <row r="41">
          <cell r="D41">
            <v>3</v>
          </cell>
          <cell r="E41">
            <v>6.6</v>
          </cell>
        </row>
        <row r="42">
          <cell r="D42">
            <v>1</v>
          </cell>
          <cell r="E42">
            <v>6.7</v>
          </cell>
        </row>
        <row r="43">
          <cell r="D43">
            <v>2</v>
          </cell>
          <cell r="E43">
            <v>6.9</v>
          </cell>
        </row>
        <row r="44">
          <cell r="D44">
            <v>3</v>
          </cell>
          <cell r="E44">
            <v>7</v>
          </cell>
        </row>
        <row r="45">
          <cell r="D45">
            <v>1</v>
          </cell>
          <cell r="E45">
            <v>7.1</v>
          </cell>
        </row>
        <row r="46">
          <cell r="D46">
            <v>2</v>
          </cell>
          <cell r="E46">
            <v>7</v>
          </cell>
        </row>
        <row r="47">
          <cell r="D47">
            <v>3</v>
          </cell>
          <cell r="E47">
            <v>7</v>
          </cell>
        </row>
        <row r="48">
          <cell r="D48">
            <v>1</v>
          </cell>
          <cell r="E48">
            <v>7</v>
          </cell>
        </row>
        <row r="49">
          <cell r="D49">
            <v>2</v>
          </cell>
          <cell r="E49">
            <v>7.1</v>
          </cell>
        </row>
        <row r="50">
          <cell r="D50">
            <v>3</v>
          </cell>
          <cell r="E50">
            <v>7.1</v>
          </cell>
        </row>
        <row r="51">
          <cell r="D51">
            <v>1</v>
          </cell>
          <cell r="E51">
            <v>7.2</v>
          </cell>
        </row>
        <row r="52">
          <cell r="D52">
            <v>2</v>
          </cell>
          <cell r="E52">
            <v>7.6</v>
          </cell>
        </row>
        <row r="53">
          <cell r="D53">
            <v>3</v>
          </cell>
          <cell r="E53">
            <v>7.9</v>
          </cell>
        </row>
        <row r="54">
          <cell r="D54">
            <v>1</v>
          </cell>
          <cell r="E54">
            <v>8.3000000000000007</v>
          </cell>
        </row>
        <row r="55">
          <cell r="D55">
            <v>2</v>
          </cell>
          <cell r="E55">
            <v>8.4</v>
          </cell>
        </row>
        <row r="56">
          <cell r="D56">
            <v>3</v>
          </cell>
          <cell r="E56">
            <v>8.5</v>
          </cell>
        </row>
        <row r="57">
          <cell r="D57">
            <v>1</v>
          </cell>
          <cell r="E57">
            <v>8.4</v>
          </cell>
        </row>
        <row r="58">
          <cell r="D58">
            <v>2</v>
          </cell>
          <cell r="E58">
            <v>8.9</v>
          </cell>
        </row>
        <row r="59">
          <cell r="D59">
            <v>3</v>
          </cell>
          <cell r="E59">
            <v>9.3000000000000007</v>
          </cell>
        </row>
        <row r="60">
          <cell r="D60">
            <v>1</v>
          </cell>
          <cell r="E60">
            <v>9.8000000000000007</v>
          </cell>
        </row>
        <row r="61">
          <cell r="D61">
            <v>2</v>
          </cell>
          <cell r="E61">
            <v>9.6</v>
          </cell>
        </row>
        <row r="62">
          <cell r="D62">
            <v>3</v>
          </cell>
          <cell r="E62">
            <v>9.5</v>
          </cell>
        </row>
        <row r="63">
          <cell r="D63">
            <v>1</v>
          </cell>
          <cell r="E63">
            <v>9.4</v>
          </cell>
        </row>
        <row r="64">
          <cell r="D64">
            <v>2</v>
          </cell>
          <cell r="E64">
            <v>9.6999999999999993</v>
          </cell>
        </row>
        <row r="65">
          <cell r="D65">
            <v>3</v>
          </cell>
          <cell r="E65">
            <v>10</v>
          </cell>
        </row>
        <row r="66">
          <cell r="D66">
            <v>1</v>
          </cell>
          <cell r="E66">
            <v>10.3</v>
          </cell>
        </row>
        <row r="67">
          <cell r="D67">
            <v>2</v>
          </cell>
          <cell r="E67">
            <v>10.7</v>
          </cell>
        </row>
        <row r="68">
          <cell r="D68">
            <v>3</v>
          </cell>
          <cell r="E68">
            <v>10.9</v>
          </cell>
        </row>
        <row r="69">
          <cell r="D69">
            <v>1</v>
          </cell>
          <cell r="E69">
            <v>11</v>
          </cell>
        </row>
        <row r="70">
          <cell r="D70">
            <v>2</v>
          </cell>
          <cell r="E70">
            <v>10.8</v>
          </cell>
        </row>
        <row r="71">
          <cell r="D71">
            <v>3</v>
          </cell>
          <cell r="E71">
            <v>10.8</v>
          </cell>
        </row>
        <row r="72">
          <cell r="D72">
            <v>1</v>
          </cell>
          <cell r="E72">
            <v>10.9</v>
          </cell>
        </row>
        <row r="73">
          <cell r="D73">
            <v>2</v>
          </cell>
          <cell r="E73">
            <v>11.3</v>
          </cell>
        </row>
        <row r="74">
          <cell r="D74">
            <v>3</v>
          </cell>
          <cell r="E74">
            <v>11.6</v>
          </cell>
        </row>
        <row r="75">
          <cell r="D75">
            <v>1</v>
          </cell>
          <cell r="E75">
            <v>11.7</v>
          </cell>
        </row>
        <row r="76">
          <cell r="D76">
            <v>2</v>
          </cell>
          <cell r="E76">
            <v>11.6</v>
          </cell>
        </row>
        <row r="77">
          <cell r="D77">
            <v>3</v>
          </cell>
          <cell r="E77">
            <v>11.7</v>
          </cell>
        </row>
        <row r="78">
          <cell r="D78">
            <v>1</v>
          </cell>
          <cell r="E78">
            <v>11.8</v>
          </cell>
        </row>
        <row r="79">
          <cell r="D79">
            <v>2</v>
          </cell>
          <cell r="E79">
            <v>12</v>
          </cell>
        </row>
        <row r="80">
          <cell r="D80">
            <v>3</v>
          </cell>
          <cell r="E80">
            <v>12</v>
          </cell>
        </row>
        <row r="81">
          <cell r="D81">
            <v>1</v>
          </cell>
          <cell r="E81">
            <v>12</v>
          </cell>
        </row>
        <row r="82">
          <cell r="D82">
            <v>2</v>
          </cell>
          <cell r="E82">
            <v>12</v>
          </cell>
        </row>
        <row r="83">
          <cell r="D83">
            <v>3</v>
          </cell>
          <cell r="E83">
            <v>12.2</v>
          </cell>
        </row>
        <row r="84">
          <cell r="D84">
            <v>1</v>
          </cell>
          <cell r="E84">
            <v>12.4</v>
          </cell>
        </row>
        <row r="85">
          <cell r="D85">
            <v>2</v>
          </cell>
          <cell r="E85">
            <v>12.4</v>
          </cell>
        </row>
        <row r="86">
          <cell r="D86">
            <v>3</v>
          </cell>
          <cell r="E86">
            <v>12.4</v>
          </cell>
        </row>
        <row r="87">
          <cell r="D87">
            <v>1</v>
          </cell>
          <cell r="E87">
            <v>12.2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83" refreshError="1"/>
      <sheetData sheetId="18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1.9</v>
          </cell>
        </row>
        <row r="10">
          <cell r="D10">
            <v>2</v>
          </cell>
          <cell r="E10">
            <v>1.9</v>
          </cell>
        </row>
        <row r="11">
          <cell r="D11">
            <v>3</v>
          </cell>
          <cell r="E11">
            <v>1.9</v>
          </cell>
        </row>
        <row r="12">
          <cell r="D12">
            <v>1</v>
          </cell>
          <cell r="E12">
            <v>1.9</v>
          </cell>
        </row>
        <row r="13">
          <cell r="D13">
            <v>2</v>
          </cell>
          <cell r="E13">
            <v>1.9</v>
          </cell>
        </row>
        <row r="14">
          <cell r="D14">
            <v>3</v>
          </cell>
          <cell r="E14">
            <v>1.9</v>
          </cell>
        </row>
        <row r="15">
          <cell r="D15">
            <v>1</v>
          </cell>
          <cell r="E15">
            <v>1.9</v>
          </cell>
        </row>
        <row r="16">
          <cell r="D16">
            <v>2</v>
          </cell>
          <cell r="E16">
            <v>1.9</v>
          </cell>
        </row>
        <row r="17">
          <cell r="D17">
            <v>3</v>
          </cell>
          <cell r="E17">
            <v>1.9</v>
          </cell>
        </row>
        <row r="18">
          <cell r="D18">
            <v>1</v>
          </cell>
          <cell r="E18">
            <v>1.9</v>
          </cell>
        </row>
        <row r="19">
          <cell r="D19">
            <v>2</v>
          </cell>
          <cell r="E19">
            <v>1.9</v>
          </cell>
        </row>
        <row r="20">
          <cell r="D20">
            <v>3</v>
          </cell>
          <cell r="E20">
            <v>1.9</v>
          </cell>
        </row>
        <row r="21">
          <cell r="D21">
            <v>1</v>
          </cell>
          <cell r="E21">
            <v>2</v>
          </cell>
        </row>
        <row r="22">
          <cell r="D22">
            <v>2</v>
          </cell>
          <cell r="E22">
            <v>1.9</v>
          </cell>
        </row>
        <row r="23">
          <cell r="D23">
            <v>3</v>
          </cell>
          <cell r="E23">
            <v>1.9</v>
          </cell>
        </row>
        <row r="24">
          <cell r="D24">
            <v>1</v>
          </cell>
          <cell r="E24">
            <v>1.8</v>
          </cell>
        </row>
        <row r="25">
          <cell r="D25">
            <v>2</v>
          </cell>
          <cell r="E25">
            <v>1.8</v>
          </cell>
        </row>
        <row r="26">
          <cell r="D26">
            <v>3</v>
          </cell>
          <cell r="E26">
            <v>1.8</v>
          </cell>
        </row>
        <row r="27">
          <cell r="D27">
            <v>1</v>
          </cell>
          <cell r="E27">
            <v>1.8</v>
          </cell>
        </row>
        <row r="28">
          <cell r="D28">
            <v>2</v>
          </cell>
          <cell r="E28">
            <v>1.8</v>
          </cell>
        </row>
        <row r="29">
          <cell r="D29">
            <v>3</v>
          </cell>
          <cell r="E29">
            <v>1.7</v>
          </cell>
        </row>
        <row r="30">
          <cell r="D30">
            <v>1</v>
          </cell>
          <cell r="E30">
            <v>1.6</v>
          </cell>
        </row>
        <row r="31">
          <cell r="D31">
            <v>2</v>
          </cell>
          <cell r="E31">
            <v>1.6</v>
          </cell>
        </row>
        <row r="32">
          <cell r="D32">
            <v>3</v>
          </cell>
          <cell r="E32">
            <v>1.5</v>
          </cell>
        </row>
        <row r="33">
          <cell r="D33">
            <v>1</v>
          </cell>
          <cell r="E33">
            <v>1.5</v>
          </cell>
        </row>
        <row r="34">
          <cell r="D34">
            <v>2</v>
          </cell>
          <cell r="E34">
            <v>1.5</v>
          </cell>
        </row>
        <row r="35">
          <cell r="D35">
            <v>3</v>
          </cell>
          <cell r="E35">
            <v>1.5</v>
          </cell>
        </row>
        <row r="36">
          <cell r="D36">
            <v>1</v>
          </cell>
          <cell r="E36">
            <v>1.4</v>
          </cell>
        </row>
        <row r="37">
          <cell r="D37">
            <v>2</v>
          </cell>
          <cell r="E37">
            <v>1.4</v>
          </cell>
        </row>
        <row r="38">
          <cell r="D38">
            <v>3</v>
          </cell>
          <cell r="E38">
            <v>1.4</v>
          </cell>
        </row>
        <row r="39">
          <cell r="D39">
            <v>1</v>
          </cell>
          <cell r="E39">
            <v>1.4</v>
          </cell>
        </row>
        <row r="40">
          <cell r="D40">
            <v>2</v>
          </cell>
          <cell r="E40">
            <v>1.5</v>
          </cell>
        </row>
        <row r="41">
          <cell r="D41">
            <v>3</v>
          </cell>
          <cell r="E41">
            <v>1.5</v>
          </cell>
        </row>
        <row r="42">
          <cell r="D42">
            <v>1</v>
          </cell>
          <cell r="E42">
            <v>1.5</v>
          </cell>
        </row>
        <row r="43">
          <cell r="D43">
            <v>2</v>
          </cell>
          <cell r="E43">
            <v>1.5</v>
          </cell>
        </row>
        <row r="44">
          <cell r="D44">
            <v>3</v>
          </cell>
          <cell r="E44">
            <v>1.6</v>
          </cell>
        </row>
        <row r="45">
          <cell r="D45">
            <v>1</v>
          </cell>
          <cell r="E45">
            <v>1.6</v>
          </cell>
        </row>
        <row r="46">
          <cell r="D46">
            <v>2</v>
          </cell>
          <cell r="E46">
            <v>1.6</v>
          </cell>
        </row>
        <row r="47">
          <cell r="D47">
            <v>3</v>
          </cell>
          <cell r="E47">
            <v>1.6</v>
          </cell>
        </row>
        <row r="48">
          <cell r="D48">
            <v>1</v>
          </cell>
          <cell r="E48">
            <v>1.6</v>
          </cell>
        </row>
        <row r="49">
          <cell r="D49">
            <v>2</v>
          </cell>
          <cell r="E49">
            <v>1.7</v>
          </cell>
        </row>
        <row r="50">
          <cell r="D50">
            <v>3</v>
          </cell>
          <cell r="E50">
            <v>1.7</v>
          </cell>
        </row>
        <row r="51">
          <cell r="D51">
            <v>1</v>
          </cell>
          <cell r="E51">
            <v>1.8</v>
          </cell>
        </row>
        <row r="52">
          <cell r="D52">
            <v>2</v>
          </cell>
          <cell r="E52">
            <v>2</v>
          </cell>
        </row>
        <row r="53">
          <cell r="D53">
            <v>3</v>
          </cell>
          <cell r="E53">
            <v>2.2000000000000002</v>
          </cell>
        </row>
        <row r="54">
          <cell r="D54">
            <v>1</v>
          </cell>
          <cell r="E54">
            <v>2.5</v>
          </cell>
        </row>
        <row r="55">
          <cell r="D55">
            <v>2</v>
          </cell>
          <cell r="E55">
            <v>2.6</v>
          </cell>
        </row>
        <row r="56">
          <cell r="D56">
            <v>3</v>
          </cell>
          <cell r="E56">
            <v>2.7</v>
          </cell>
        </row>
        <row r="57">
          <cell r="D57">
            <v>1</v>
          </cell>
          <cell r="E57">
            <v>2.7</v>
          </cell>
        </row>
        <row r="58">
          <cell r="D58">
            <v>2</v>
          </cell>
          <cell r="E58">
            <v>2.8</v>
          </cell>
        </row>
        <row r="59">
          <cell r="D59">
            <v>3</v>
          </cell>
          <cell r="E59">
            <v>2.9</v>
          </cell>
        </row>
        <row r="60">
          <cell r="D60">
            <v>1</v>
          </cell>
          <cell r="E60">
            <v>3</v>
          </cell>
        </row>
        <row r="61">
          <cell r="D61">
            <v>2</v>
          </cell>
          <cell r="E61">
            <v>3</v>
          </cell>
        </row>
        <row r="62">
          <cell r="D62">
            <v>3</v>
          </cell>
          <cell r="E62">
            <v>3.1</v>
          </cell>
        </row>
        <row r="63">
          <cell r="D63">
            <v>1</v>
          </cell>
          <cell r="E63">
            <v>3.3</v>
          </cell>
        </row>
        <row r="64">
          <cell r="D64">
            <v>2</v>
          </cell>
          <cell r="E64">
            <v>3.4</v>
          </cell>
        </row>
        <row r="65">
          <cell r="D65">
            <v>3</v>
          </cell>
          <cell r="E65">
            <v>3.5</v>
          </cell>
        </row>
        <row r="66">
          <cell r="D66">
            <v>1</v>
          </cell>
          <cell r="E66">
            <v>3.5</v>
          </cell>
        </row>
        <row r="67">
          <cell r="D67">
            <v>2</v>
          </cell>
          <cell r="E67">
            <v>3.7</v>
          </cell>
        </row>
        <row r="68">
          <cell r="D68">
            <v>3</v>
          </cell>
          <cell r="E68">
            <v>3.7</v>
          </cell>
        </row>
        <row r="69">
          <cell r="D69">
            <v>1</v>
          </cell>
          <cell r="E69">
            <v>3.7</v>
          </cell>
        </row>
        <row r="70">
          <cell r="D70">
            <v>2</v>
          </cell>
          <cell r="E70">
            <v>3.6</v>
          </cell>
        </row>
        <row r="71">
          <cell r="D71">
            <v>3</v>
          </cell>
          <cell r="E71">
            <v>3.6</v>
          </cell>
        </row>
        <row r="72">
          <cell r="D72">
            <v>1</v>
          </cell>
          <cell r="E72">
            <v>3.6</v>
          </cell>
        </row>
        <row r="73">
          <cell r="D73">
            <v>2</v>
          </cell>
          <cell r="E73">
            <v>3.7</v>
          </cell>
        </row>
        <row r="74">
          <cell r="D74">
            <v>3</v>
          </cell>
          <cell r="E74">
            <v>3.8</v>
          </cell>
        </row>
        <row r="75">
          <cell r="D75">
            <v>1</v>
          </cell>
          <cell r="E75">
            <v>3.8</v>
          </cell>
        </row>
        <row r="76">
          <cell r="D76">
            <v>2</v>
          </cell>
          <cell r="E76">
            <v>3.8</v>
          </cell>
        </row>
        <row r="77">
          <cell r="D77">
            <v>3</v>
          </cell>
          <cell r="E77">
            <v>3.8</v>
          </cell>
        </row>
        <row r="78">
          <cell r="D78">
            <v>1</v>
          </cell>
          <cell r="E78">
            <v>3.9</v>
          </cell>
        </row>
        <row r="79">
          <cell r="D79">
            <v>2</v>
          </cell>
          <cell r="E79">
            <v>3.9</v>
          </cell>
        </row>
        <row r="80">
          <cell r="D80">
            <v>3</v>
          </cell>
          <cell r="E80">
            <v>4.0999999999999996</v>
          </cell>
        </row>
        <row r="81">
          <cell r="D81">
            <v>1</v>
          </cell>
          <cell r="E81">
            <v>4.0999999999999996</v>
          </cell>
        </row>
        <row r="82">
          <cell r="D82">
            <v>2</v>
          </cell>
          <cell r="E82">
            <v>4.2</v>
          </cell>
        </row>
        <row r="83">
          <cell r="D83">
            <v>3</v>
          </cell>
          <cell r="E83">
            <v>4.3</v>
          </cell>
        </row>
        <row r="84">
          <cell r="D84">
            <v>1</v>
          </cell>
          <cell r="E84">
            <v>4.3</v>
          </cell>
        </row>
        <row r="85">
          <cell r="D85">
            <v>2</v>
          </cell>
          <cell r="E85">
            <v>4.3</v>
          </cell>
        </row>
        <row r="86">
          <cell r="D86">
            <v>3</v>
          </cell>
          <cell r="E86">
            <v>4.2</v>
          </cell>
        </row>
        <row r="87">
          <cell r="D87">
            <v>1</v>
          </cell>
          <cell r="E87">
            <v>4.2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85" refreshError="1"/>
      <sheetData sheetId="186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29.6</v>
          </cell>
        </row>
        <row r="10">
          <cell r="D10">
            <v>2</v>
          </cell>
          <cell r="E10">
            <v>31.5</v>
          </cell>
        </row>
        <row r="11">
          <cell r="D11">
            <v>3</v>
          </cell>
          <cell r="E11">
            <v>33.1</v>
          </cell>
        </row>
        <row r="12">
          <cell r="D12">
            <v>1</v>
          </cell>
          <cell r="E12">
            <v>33.799999999999997</v>
          </cell>
        </row>
        <row r="13">
          <cell r="D13">
            <v>2</v>
          </cell>
          <cell r="E13">
            <v>34.799999999999997</v>
          </cell>
        </row>
        <row r="14">
          <cell r="D14">
            <v>3</v>
          </cell>
          <cell r="E14">
            <v>35.5</v>
          </cell>
        </row>
        <row r="15">
          <cell r="D15">
            <v>1</v>
          </cell>
          <cell r="E15">
            <v>37.1</v>
          </cell>
        </row>
        <row r="16">
          <cell r="D16">
            <v>2</v>
          </cell>
          <cell r="E16">
            <v>38.1</v>
          </cell>
        </row>
        <row r="17">
          <cell r="D17">
            <v>3</v>
          </cell>
          <cell r="E17">
            <v>38.5</v>
          </cell>
        </row>
        <row r="18">
          <cell r="D18">
            <v>1</v>
          </cell>
          <cell r="E18">
            <v>38</v>
          </cell>
        </row>
        <row r="19">
          <cell r="D19">
            <v>2</v>
          </cell>
          <cell r="E19">
            <v>37.200000000000003</v>
          </cell>
        </row>
        <row r="20">
          <cell r="D20">
            <v>3</v>
          </cell>
          <cell r="E20">
            <v>37.5</v>
          </cell>
        </row>
        <row r="21">
          <cell r="D21">
            <v>1</v>
          </cell>
          <cell r="E21">
            <v>38</v>
          </cell>
        </row>
        <row r="22">
          <cell r="D22">
            <v>2</v>
          </cell>
          <cell r="E22">
            <v>38.700000000000003</v>
          </cell>
        </row>
        <row r="23">
          <cell r="D23">
            <v>3</v>
          </cell>
          <cell r="E23">
            <v>39</v>
          </cell>
        </row>
        <row r="24">
          <cell r="D24">
            <v>1</v>
          </cell>
          <cell r="E24">
            <v>38.9</v>
          </cell>
        </row>
        <row r="25">
          <cell r="D25">
            <v>2</v>
          </cell>
          <cell r="E25">
            <v>38.4</v>
          </cell>
        </row>
        <row r="26">
          <cell r="D26">
            <v>3</v>
          </cell>
          <cell r="E26">
            <v>38.1</v>
          </cell>
        </row>
        <row r="27">
          <cell r="D27">
            <v>1</v>
          </cell>
          <cell r="E27">
            <v>38.4</v>
          </cell>
        </row>
        <row r="28">
          <cell r="D28">
            <v>2</v>
          </cell>
          <cell r="E28">
            <v>38.700000000000003</v>
          </cell>
        </row>
        <row r="29">
          <cell r="D29">
            <v>3</v>
          </cell>
          <cell r="E29">
            <v>38.4</v>
          </cell>
        </row>
        <row r="30">
          <cell r="D30">
            <v>1</v>
          </cell>
          <cell r="E30">
            <v>37.4</v>
          </cell>
        </row>
        <row r="31">
          <cell r="D31">
            <v>2</v>
          </cell>
          <cell r="E31">
            <v>36.799999999999997</v>
          </cell>
        </row>
        <row r="32">
          <cell r="D32">
            <v>3</v>
          </cell>
          <cell r="E32">
            <v>35.799999999999997</v>
          </cell>
        </row>
        <row r="33">
          <cell r="D33">
            <v>1</v>
          </cell>
          <cell r="E33">
            <v>35.799999999999997</v>
          </cell>
        </row>
        <row r="34">
          <cell r="D34">
            <v>2</v>
          </cell>
          <cell r="E34">
            <v>35.4</v>
          </cell>
        </row>
        <row r="35">
          <cell r="D35">
            <v>3</v>
          </cell>
          <cell r="E35">
            <v>35.799999999999997</v>
          </cell>
        </row>
        <row r="36">
          <cell r="D36">
            <v>1</v>
          </cell>
          <cell r="E36">
            <v>35.9</v>
          </cell>
        </row>
        <row r="37">
          <cell r="D37">
            <v>2</v>
          </cell>
          <cell r="E37">
            <v>36.6</v>
          </cell>
        </row>
        <row r="38">
          <cell r="D38">
            <v>3</v>
          </cell>
          <cell r="E38">
            <v>36.799999999999997</v>
          </cell>
        </row>
        <row r="39">
          <cell r="D39">
            <v>1</v>
          </cell>
          <cell r="E39">
            <v>36.4</v>
          </cell>
        </row>
        <row r="40">
          <cell r="D40">
            <v>2</v>
          </cell>
          <cell r="E40">
            <v>37.6</v>
          </cell>
        </row>
        <row r="41">
          <cell r="D41">
            <v>3</v>
          </cell>
          <cell r="E41">
            <v>37.6</v>
          </cell>
        </row>
        <row r="42">
          <cell r="D42">
            <v>1</v>
          </cell>
          <cell r="E42">
            <v>37.299999999999997</v>
          </cell>
        </row>
        <row r="43">
          <cell r="D43">
            <v>2</v>
          </cell>
          <cell r="E43">
            <v>36.1</v>
          </cell>
        </row>
        <row r="44">
          <cell r="D44">
            <v>3</v>
          </cell>
          <cell r="E44">
            <v>36.4</v>
          </cell>
        </row>
        <row r="45">
          <cell r="D45">
            <v>1</v>
          </cell>
          <cell r="E45">
            <v>37.1</v>
          </cell>
        </row>
        <row r="46">
          <cell r="D46">
            <v>2</v>
          </cell>
          <cell r="E46">
            <v>36.9</v>
          </cell>
        </row>
        <row r="47">
          <cell r="D47">
            <v>3</v>
          </cell>
          <cell r="E47">
            <v>37.6</v>
          </cell>
        </row>
        <row r="48">
          <cell r="D48">
            <v>1</v>
          </cell>
          <cell r="E48">
            <v>38</v>
          </cell>
        </row>
        <row r="49">
          <cell r="D49">
            <v>2</v>
          </cell>
          <cell r="E49">
            <v>39.299999999999997</v>
          </cell>
        </row>
        <row r="50">
          <cell r="D50">
            <v>3</v>
          </cell>
          <cell r="E50">
            <v>39.6</v>
          </cell>
        </row>
        <row r="51">
          <cell r="D51">
            <v>1</v>
          </cell>
          <cell r="E51">
            <v>40.799999999999997</v>
          </cell>
        </row>
        <row r="52">
          <cell r="D52">
            <v>2</v>
          </cell>
          <cell r="E52">
            <v>44.3</v>
          </cell>
        </row>
        <row r="53">
          <cell r="D53">
            <v>3</v>
          </cell>
          <cell r="E53">
            <v>47.4</v>
          </cell>
        </row>
        <row r="54">
          <cell r="D54">
            <v>1</v>
          </cell>
          <cell r="E54">
            <v>50.7</v>
          </cell>
        </row>
        <row r="55">
          <cell r="D55">
            <v>2</v>
          </cell>
          <cell r="E55">
            <v>51.6</v>
          </cell>
        </row>
        <row r="56">
          <cell r="D56">
            <v>3</v>
          </cell>
          <cell r="E56">
            <v>52.6</v>
          </cell>
        </row>
        <row r="57">
          <cell r="D57">
            <v>1</v>
          </cell>
          <cell r="E57">
            <v>52.7</v>
          </cell>
        </row>
        <row r="58">
          <cell r="D58">
            <v>2</v>
          </cell>
          <cell r="E58">
            <v>52.3</v>
          </cell>
        </row>
        <row r="59">
          <cell r="D59">
            <v>3</v>
          </cell>
          <cell r="E59">
            <v>51.9</v>
          </cell>
        </row>
        <row r="60">
          <cell r="D60">
            <v>1</v>
          </cell>
          <cell r="E60">
            <v>52</v>
          </cell>
        </row>
        <row r="61">
          <cell r="D61">
            <v>2</v>
          </cell>
          <cell r="E61">
            <v>53.2</v>
          </cell>
        </row>
        <row r="62">
          <cell r="D62">
            <v>3</v>
          </cell>
          <cell r="E62">
            <v>55.3</v>
          </cell>
        </row>
        <row r="63">
          <cell r="D63">
            <v>1</v>
          </cell>
          <cell r="E63">
            <v>57.9</v>
          </cell>
        </row>
        <row r="64">
          <cell r="D64">
            <v>2</v>
          </cell>
          <cell r="E64">
            <v>58.7</v>
          </cell>
        </row>
        <row r="65">
          <cell r="D65">
            <v>3</v>
          </cell>
          <cell r="E65">
            <v>58.5</v>
          </cell>
        </row>
        <row r="66">
          <cell r="D66">
            <v>1</v>
          </cell>
          <cell r="E66">
            <v>58</v>
          </cell>
        </row>
        <row r="67">
          <cell r="D67">
            <v>2</v>
          </cell>
          <cell r="E67">
            <v>58.2</v>
          </cell>
        </row>
        <row r="68">
          <cell r="D68">
            <v>3</v>
          </cell>
          <cell r="E68">
            <v>58.4</v>
          </cell>
        </row>
        <row r="69">
          <cell r="D69">
            <v>1</v>
          </cell>
          <cell r="E69">
            <v>58.2</v>
          </cell>
        </row>
        <row r="70">
          <cell r="D70">
            <v>2</v>
          </cell>
          <cell r="E70">
            <v>58</v>
          </cell>
        </row>
        <row r="71">
          <cell r="D71">
            <v>3</v>
          </cell>
          <cell r="E71">
            <v>57.5</v>
          </cell>
        </row>
        <row r="72">
          <cell r="D72">
            <v>1</v>
          </cell>
          <cell r="E72">
            <v>56.9</v>
          </cell>
        </row>
        <row r="73">
          <cell r="D73">
            <v>2</v>
          </cell>
          <cell r="E73">
            <v>56</v>
          </cell>
        </row>
        <row r="74">
          <cell r="D74">
            <v>3</v>
          </cell>
          <cell r="E74">
            <v>56.2</v>
          </cell>
        </row>
        <row r="75">
          <cell r="D75">
            <v>1</v>
          </cell>
          <cell r="E75">
            <v>56.4</v>
          </cell>
        </row>
        <row r="76">
          <cell r="D76">
            <v>2</v>
          </cell>
          <cell r="E76">
            <v>57.1</v>
          </cell>
        </row>
        <row r="77">
          <cell r="D77">
            <v>3</v>
          </cell>
          <cell r="E77">
            <v>57</v>
          </cell>
        </row>
        <row r="78">
          <cell r="D78">
            <v>1</v>
          </cell>
          <cell r="E78">
            <v>57</v>
          </cell>
        </row>
        <row r="79">
          <cell r="D79">
            <v>2</v>
          </cell>
          <cell r="E79">
            <v>57.1</v>
          </cell>
        </row>
        <row r="80">
          <cell r="D80">
            <v>3</v>
          </cell>
          <cell r="E80">
            <v>58.6</v>
          </cell>
        </row>
        <row r="81">
          <cell r="D81">
            <v>1</v>
          </cell>
          <cell r="E81">
            <v>59.5</v>
          </cell>
        </row>
        <row r="82">
          <cell r="D82">
            <v>2</v>
          </cell>
          <cell r="E82">
            <v>60.3</v>
          </cell>
        </row>
        <row r="83">
          <cell r="D83">
            <v>3</v>
          </cell>
          <cell r="E83">
            <v>59.6</v>
          </cell>
        </row>
        <row r="84">
          <cell r="D84">
            <v>1</v>
          </cell>
          <cell r="E84">
            <v>59.2</v>
          </cell>
        </row>
        <row r="85">
          <cell r="D85">
            <v>2</v>
          </cell>
          <cell r="E85">
            <v>59.3</v>
          </cell>
        </row>
        <row r="86">
          <cell r="D86">
            <v>3</v>
          </cell>
          <cell r="E86">
            <v>58.8</v>
          </cell>
        </row>
        <row r="87">
          <cell r="D87">
            <v>1</v>
          </cell>
          <cell r="E87">
            <v>59.9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87" refreshError="1"/>
      <sheetData sheetId="188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3.3</v>
          </cell>
        </row>
        <row r="10">
          <cell r="D10">
            <v>2</v>
          </cell>
          <cell r="E10">
            <v>3.2</v>
          </cell>
        </row>
        <row r="11">
          <cell r="D11">
            <v>3</v>
          </cell>
          <cell r="E11">
            <v>3.2</v>
          </cell>
        </row>
        <row r="12">
          <cell r="D12">
            <v>1</v>
          </cell>
          <cell r="E12">
            <v>3.2</v>
          </cell>
        </row>
        <row r="13">
          <cell r="D13">
            <v>2</v>
          </cell>
          <cell r="E13">
            <v>3.2</v>
          </cell>
        </row>
        <row r="14">
          <cell r="D14">
            <v>3</v>
          </cell>
          <cell r="E14">
            <v>3.2</v>
          </cell>
        </row>
        <row r="15">
          <cell r="D15">
            <v>1</v>
          </cell>
          <cell r="E15">
            <v>3.1</v>
          </cell>
        </row>
        <row r="16">
          <cell r="D16">
            <v>2</v>
          </cell>
          <cell r="E16">
            <v>3.2</v>
          </cell>
        </row>
        <row r="17">
          <cell r="D17">
            <v>3</v>
          </cell>
          <cell r="E17">
            <v>3.1</v>
          </cell>
        </row>
        <row r="18">
          <cell r="D18">
            <v>1</v>
          </cell>
          <cell r="E18">
            <v>3.2</v>
          </cell>
        </row>
        <row r="19">
          <cell r="D19">
            <v>2</v>
          </cell>
          <cell r="E19">
            <v>3.1</v>
          </cell>
        </row>
        <row r="20">
          <cell r="D20">
            <v>3</v>
          </cell>
          <cell r="E20">
            <v>3.2</v>
          </cell>
        </row>
        <row r="21">
          <cell r="D21">
            <v>1</v>
          </cell>
          <cell r="E21">
            <v>3.2</v>
          </cell>
        </row>
        <row r="22">
          <cell r="D22">
            <v>2</v>
          </cell>
          <cell r="E22">
            <v>3.2</v>
          </cell>
        </row>
        <row r="23">
          <cell r="D23">
            <v>3</v>
          </cell>
          <cell r="E23">
            <v>3.1</v>
          </cell>
        </row>
        <row r="24">
          <cell r="D24">
            <v>1</v>
          </cell>
          <cell r="E24">
            <v>3.1</v>
          </cell>
        </row>
        <row r="25">
          <cell r="D25">
            <v>2</v>
          </cell>
          <cell r="E25">
            <v>2.9</v>
          </cell>
        </row>
        <row r="26">
          <cell r="D26">
            <v>3</v>
          </cell>
          <cell r="E26">
            <v>3</v>
          </cell>
        </row>
        <row r="27">
          <cell r="D27">
            <v>1</v>
          </cell>
          <cell r="E27">
            <v>2.9</v>
          </cell>
        </row>
        <row r="28">
          <cell r="D28">
            <v>2</v>
          </cell>
          <cell r="E28">
            <v>2.9</v>
          </cell>
        </row>
        <row r="29">
          <cell r="D29">
            <v>3</v>
          </cell>
          <cell r="E29">
            <v>2.8</v>
          </cell>
        </row>
        <row r="30">
          <cell r="D30">
            <v>1</v>
          </cell>
          <cell r="E30">
            <v>2.7</v>
          </cell>
        </row>
        <row r="31">
          <cell r="D31">
            <v>2</v>
          </cell>
          <cell r="E31">
            <v>2.6</v>
          </cell>
        </row>
        <row r="32">
          <cell r="D32">
            <v>3</v>
          </cell>
          <cell r="E32">
            <v>2.5</v>
          </cell>
        </row>
        <row r="33">
          <cell r="D33">
            <v>1</v>
          </cell>
          <cell r="E33">
            <v>2.5</v>
          </cell>
        </row>
        <row r="34">
          <cell r="D34">
            <v>2</v>
          </cell>
          <cell r="E34">
            <v>2.4</v>
          </cell>
        </row>
        <row r="35">
          <cell r="D35">
            <v>3</v>
          </cell>
          <cell r="E35">
            <v>2.4</v>
          </cell>
        </row>
        <row r="36">
          <cell r="D36">
            <v>1</v>
          </cell>
          <cell r="E36">
            <v>2.2999999999999998</v>
          </cell>
        </row>
        <row r="37">
          <cell r="D37">
            <v>2</v>
          </cell>
          <cell r="E37">
            <v>2.2999999999999998</v>
          </cell>
        </row>
        <row r="38">
          <cell r="D38">
            <v>3</v>
          </cell>
          <cell r="E38">
            <v>2.2999999999999998</v>
          </cell>
        </row>
        <row r="39">
          <cell r="D39">
            <v>1</v>
          </cell>
          <cell r="E39">
            <v>2.2999999999999998</v>
          </cell>
        </row>
        <row r="40">
          <cell r="D40">
            <v>2</v>
          </cell>
          <cell r="E40">
            <v>2.5</v>
          </cell>
        </row>
        <row r="41">
          <cell r="D41">
            <v>3</v>
          </cell>
          <cell r="E41">
            <v>2.5</v>
          </cell>
        </row>
        <row r="42">
          <cell r="D42">
            <v>1</v>
          </cell>
          <cell r="E42">
            <v>2.5</v>
          </cell>
        </row>
        <row r="43">
          <cell r="D43">
            <v>2</v>
          </cell>
          <cell r="E43">
            <v>2.5</v>
          </cell>
        </row>
        <row r="44">
          <cell r="D44">
            <v>3</v>
          </cell>
          <cell r="E44">
            <v>2.6</v>
          </cell>
        </row>
        <row r="45">
          <cell r="D45">
            <v>1</v>
          </cell>
          <cell r="E45">
            <v>2.6</v>
          </cell>
        </row>
        <row r="46">
          <cell r="D46">
            <v>2</v>
          </cell>
          <cell r="E46">
            <v>2.6</v>
          </cell>
        </row>
        <row r="47">
          <cell r="D47">
            <v>3</v>
          </cell>
          <cell r="E47">
            <v>2.6</v>
          </cell>
        </row>
        <row r="48">
          <cell r="D48">
            <v>1</v>
          </cell>
          <cell r="E48">
            <v>2.7</v>
          </cell>
        </row>
        <row r="49">
          <cell r="D49">
            <v>2</v>
          </cell>
          <cell r="E49">
            <v>2.8</v>
          </cell>
        </row>
        <row r="50">
          <cell r="D50">
            <v>3</v>
          </cell>
          <cell r="E50">
            <v>2.8</v>
          </cell>
        </row>
        <row r="51">
          <cell r="D51">
            <v>1</v>
          </cell>
          <cell r="E51">
            <v>2.9</v>
          </cell>
        </row>
        <row r="52">
          <cell r="D52">
            <v>2</v>
          </cell>
          <cell r="E52">
            <v>3.3</v>
          </cell>
        </row>
        <row r="53">
          <cell r="D53">
            <v>3</v>
          </cell>
          <cell r="E53">
            <v>3.7</v>
          </cell>
        </row>
        <row r="54">
          <cell r="D54">
            <v>1</v>
          </cell>
          <cell r="E54">
            <v>4.2</v>
          </cell>
        </row>
        <row r="55">
          <cell r="D55">
            <v>2</v>
          </cell>
          <cell r="E55">
            <v>4.3</v>
          </cell>
        </row>
        <row r="56">
          <cell r="D56">
            <v>3</v>
          </cell>
          <cell r="E56">
            <v>4.5</v>
          </cell>
        </row>
        <row r="57">
          <cell r="D57">
            <v>1</v>
          </cell>
          <cell r="E57">
            <v>4.4000000000000004</v>
          </cell>
        </row>
        <row r="58">
          <cell r="D58">
            <v>2</v>
          </cell>
          <cell r="E58">
            <v>4.7</v>
          </cell>
        </row>
        <row r="59">
          <cell r="D59">
            <v>3</v>
          </cell>
          <cell r="E59">
            <v>4.8</v>
          </cell>
        </row>
        <row r="60">
          <cell r="D60">
            <v>1</v>
          </cell>
          <cell r="E60">
            <v>5.0999999999999996</v>
          </cell>
        </row>
        <row r="61">
          <cell r="D61">
            <v>2</v>
          </cell>
          <cell r="E61">
            <v>5.0999999999999996</v>
          </cell>
        </row>
        <row r="62">
          <cell r="D62">
            <v>3</v>
          </cell>
          <cell r="E62">
            <v>5.3</v>
          </cell>
        </row>
        <row r="63">
          <cell r="D63">
            <v>1</v>
          </cell>
          <cell r="E63">
            <v>5.5</v>
          </cell>
        </row>
        <row r="64">
          <cell r="D64">
            <v>2</v>
          </cell>
          <cell r="E64">
            <v>5.7</v>
          </cell>
        </row>
        <row r="65">
          <cell r="D65">
            <v>3</v>
          </cell>
          <cell r="E65">
            <v>5.8</v>
          </cell>
        </row>
        <row r="66">
          <cell r="D66">
            <v>1</v>
          </cell>
          <cell r="E66">
            <v>6</v>
          </cell>
        </row>
        <row r="67">
          <cell r="D67">
            <v>2</v>
          </cell>
          <cell r="E67">
            <v>6.2</v>
          </cell>
        </row>
        <row r="68">
          <cell r="D68">
            <v>3</v>
          </cell>
          <cell r="E68">
            <v>6.4</v>
          </cell>
        </row>
        <row r="69">
          <cell r="D69">
            <v>1</v>
          </cell>
          <cell r="E69">
            <v>6.4</v>
          </cell>
        </row>
        <row r="70">
          <cell r="D70">
            <v>2</v>
          </cell>
          <cell r="E70">
            <v>6.2</v>
          </cell>
        </row>
        <row r="71">
          <cell r="D71">
            <v>3</v>
          </cell>
          <cell r="E71">
            <v>6.2</v>
          </cell>
        </row>
        <row r="72">
          <cell r="D72">
            <v>1</v>
          </cell>
          <cell r="E72">
            <v>6.2</v>
          </cell>
        </row>
        <row r="73">
          <cell r="D73">
            <v>2</v>
          </cell>
          <cell r="E73">
            <v>6.3</v>
          </cell>
        </row>
        <row r="74">
          <cell r="D74">
            <v>3</v>
          </cell>
          <cell r="E74">
            <v>6.5</v>
          </cell>
        </row>
        <row r="75">
          <cell r="D75">
            <v>1</v>
          </cell>
          <cell r="E75">
            <v>6.6</v>
          </cell>
        </row>
        <row r="76">
          <cell r="D76">
            <v>2</v>
          </cell>
          <cell r="E76">
            <v>6.6</v>
          </cell>
        </row>
        <row r="77">
          <cell r="D77">
            <v>3</v>
          </cell>
          <cell r="E77">
            <v>6.6</v>
          </cell>
        </row>
        <row r="78">
          <cell r="D78">
            <v>1</v>
          </cell>
          <cell r="E78">
            <v>6.7</v>
          </cell>
        </row>
        <row r="79">
          <cell r="D79">
            <v>2</v>
          </cell>
          <cell r="E79">
            <v>6.8</v>
          </cell>
        </row>
        <row r="80">
          <cell r="D80">
            <v>3</v>
          </cell>
          <cell r="E80">
            <v>7.1</v>
          </cell>
        </row>
        <row r="81">
          <cell r="D81">
            <v>1</v>
          </cell>
          <cell r="E81">
            <v>7.1</v>
          </cell>
        </row>
        <row r="82">
          <cell r="D82">
            <v>2</v>
          </cell>
          <cell r="E82">
            <v>7.2</v>
          </cell>
        </row>
        <row r="83">
          <cell r="D83">
            <v>3</v>
          </cell>
          <cell r="E83">
            <v>7.3</v>
          </cell>
        </row>
        <row r="84">
          <cell r="D84">
            <v>1</v>
          </cell>
          <cell r="E84">
            <v>7.4</v>
          </cell>
        </row>
        <row r="85">
          <cell r="D85">
            <v>2</v>
          </cell>
          <cell r="E85">
            <v>7.4</v>
          </cell>
        </row>
        <row r="86">
          <cell r="D86">
            <v>3</v>
          </cell>
          <cell r="E86">
            <v>7.3</v>
          </cell>
        </row>
        <row r="87">
          <cell r="D87">
            <v>1</v>
          </cell>
          <cell r="E87">
            <v>7.3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89" refreshError="1"/>
      <sheetData sheetId="190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</row>
        <row r="6">
          <cell r="D6">
            <v>0</v>
          </cell>
        </row>
        <row r="7">
          <cell r="D7" t="str">
            <v>Código da série</v>
          </cell>
          <cell r="E7" t="str">
            <v>Estimativa (%)</v>
          </cell>
        </row>
        <row r="8">
          <cell r="D8" t="str">
            <v>Tri</v>
          </cell>
          <cell r="E8">
            <v>0</v>
          </cell>
        </row>
        <row r="9">
          <cell r="A9" t="str">
            <v>2012</v>
          </cell>
          <cell r="D9">
            <v>1</v>
          </cell>
          <cell r="E9">
            <v>2</v>
          </cell>
        </row>
        <row r="10">
          <cell r="D10">
            <v>2</v>
          </cell>
          <cell r="E10">
            <v>2</v>
          </cell>
        </row>
        <row r="11">
          <cell r="D11">
            <v>3</v>
          </cell>
          <cell r="E11">
            <v>2</v>
          </cell>
        </row>
        <row r="12">
          <cell r="D12">
            <v>1</v>
          </cell>
          <cell r="E12">
            <v>2</v>
          </cell>
        </row>
        <row r="13">
          <cell r="D13">
            <v>2</v>
          </cell>
          <cell r="E13">
            <v>2</v>
          </cell>
        </row>
        <row r="14">
          <cell r="D14">
            <v>3</v>
          </cell>
          <cell r="E14">
            <v>1.9</v>
          </cell>
        </row>
        <row r="15">
          <cell r="D15">
            <v>1</v>
          </cell>
          <cell r="E15">
            <v>1.9</v>
          </cell>
        </row>
        <row r="16">
          <cell r="D16">
            <v>2</v>
          </cell>
          <cell r="E16">
            <v>2</v>
          </cell>
        </row>
        <row r="17">
          <cell r="D17">
            <v>3</v>
          </cell>
          <cell r="E17">
            <v>1.9</v>
          </cell>
        </row>
        <row r="18">
          <cell r="D18">
            <v>1</v>
          </cell>
          <cell r="E18">
            <v>2</v>
          </cell>
        </row>
        <row r="19">
          <cell r="D19">
            <v>2</v>
          </cell>
          <cell r="E19">
            <v>1.9</v>
          </cell>
        </row>
        <row r="20">
          <cell r="D20">
            <v>3</v>
          </cell>
          <cell r="E20">
            <v>2</v>
          </cell>
        </row>
        <row r="21">
          <cell r="D21">
            <v>1</v>
          </cell>
          <cell r="E21">
            <v>2</v>
          </cell>
        </row>
        <row r="22">
          <cell r="D22">
            <v>2</v>
          </cell>
          <cell r="E22">
            <v>2</v>
          </cell>
        </row>
        <row r="23">
          <cell r="D23">
            <v>3</v>
          </cell>
          <cell r="E23">
            <v>1.9</v>
          </cell>
        </row>
        <row r="24">
          <cell r="D24">
            <v>1</v>
          </cell>
          <cell r="E24">
            <v>1.9</v>
          </cell>
        </row>
        <row r="25">
          <cell r="D25">
            <v>2</v>
          </cell>
          <cell r="E25">
            <v>1.8</v>
          </cell>
        </row>
        <row r="26">
          <cell r="D26">
            <v>3</v>
          </cell>
          <cell r="E26">
            <v>1.8</v>
          </cell>
        </row>
        <row r="27">
          <cell r="D27">
            <v>1</v>
          </cell>
          <cell r="E27">
            <v>1.8</v>
          </cell>
        </row>
        <row r="28">
          <cell r="D28">
            <v>2</v>
          </cell>
          <cell r="E28">
            <v>1.8</v>
          </cell>
        </row>
        <row r="29">
          <cell r="D29">
            <v>3</v>
          </cell>
          <cell r="E29">
            <v>1.7</v>
          </cell>
        </row>
        <row r="30">
          <cell r="D30">
            <v>1</v>
          </cell>
          <cell r="E30">
            <v>1.7</v>
          </cell>
        </row>
        <row r="31">
          <cell r="D31">
            <v>2</v>
          </cell>
          <cell r="E31">
            <v>1.7</v>
          </cell>
        </row>
        <row r="32">
          <cell r="D32">
            <v>3</v>
          </cell>
          <cell r="E32">
            <v>1.6</v>
          </cell>
        </row>
        <row r="33">
          <cell r="D33">
            <v>1</v>
          </cell>
          <cell r="E33">
            <v>1.6</v>
          </cell>
        </row>
        <row r="34">
          <cell r="D34">
            <v>2</v>
          </cell>
          <cell r="E34">
            <v>1.5</v>
          </cell>
        </row>
        <row r="35">
          <cell r="D35">
            <v>3</v>
          </cell>
          <cell r="E35">
            <v>1.5</v>
          </cell>
        </row>
        <row r="36">
          <cell r="D36">
            <v>1</v>
          </cell>
          <cell r="E36">
            <v>1.5</v>
          </cell>
        </row>
        <row r="37">
          <cell r="D37">
            <v>2</v>
          </cell>
          <cell r="E37">
            <v>1.5</v>
          </cell>
        </row>
        <row r="38">
          <cell r="D38">
            <v>3</v>
          </cell>
          <cell r="E38">
            <v>1.5</v>
          </cell>
        </row>
        <row r="39">
          <cell r="D39">
            <v>1</v>
          </cell>
          <cell r="E39">
            <v>1.5</v>
          </cell>
        </row>
        <row r="40">
          <cell r="D40">
            <v>2</v>
          </cell>
          <cell r="E40">
            <v>1.5</v>
          </cell>
        </row>
        <row r="41">
          <cell r="D41">
            <v>3</v>
          </cell>
          <cell r="E41">
            <v>1.6</v>
          </cell>
        </row>
        <row r="42">
          <cell r="D42">
            <v>1</v>
          </cell>
          <cell r="E42">
            <v>1.6</v>
          </cell>
        </row>
        <row r="43">
          <cell r="D43">
            <v>2</v>
          </cell>
          <cell r="E43">
            <v>1.6</v>
          </cell>
        </row>
        <row r="44">
          <cell r="D44">
            <v>3</v>
          </cell>
          <cell r="E44">
            <v>1.6</v>
          </cell>
        </row>
        <row r="45">
          <cell r="D45">
            <v>1</v>
          </cell>
          <cell r="E45">
            <v>1.7</v>
          </cell>
        </row>
        <row r="46">
          <cell r="D46">
            <v>2</v>
          </cell>
          <cell r="E46">
            <v>1.6</v>
          </cell>
        </row>
        <row r="47">
          <cell r="D47">
            <v>3</v>
          </cell>
          <cell r="E47">
            <v>1.6</v>
          </cell>
        </row>
        <row r="48">
          <cell r="D48">
            <v>1</v>
          </cell>
          <cell r="E48">
            <v>1.6</v>
          </cell>
        </row>
        <row r="49">
          <cell r="D49">
            <v>2</v>
          </cell>
          <cell r="E49">
            <v>1.7</v>
          </cell>
        </row>
        <row r="50">
          <cell r="D50">
            <v>3</v>
          </cell>
          <cell r="E50">
            <v>1.7</v>
          </cell>
        </row>
        <row r="51">
          <cell r="D51">
            <v>1</v>
          </cell>
          <cell r="E51">
            <v>1.8</v>
          </cell>
        </row>
        <row r="52">
          <cell r="D52">
            <v>2</v>
          </cell>
          <cell r="E52">
            <v>2</v>
          </cell>
        </row>
        <row r="53">
          <cell r="D53">
            <v>3</v>
          </cell>
          <cell r="E53">
            <v>2.2999999999999998</v>
          </cell>
        </row>
        <row r="54">
          <cell r="D54">
            <v>1</v>
          </cell>
          <cell r="E54">
            <v>2.6</v>
          </cell>
        </row>
        <row r="55">
          <cell r="D55">
            <v>2</v>
          </cell>
          <cell r="E55">
            <v>2.7</v>
          </cell>
        </row>
        <row r="56">
          <cell r="D56">
            <v>3</v>
          </cell>
          <cell r="E56">
            <v>2.7</v>
          </cell>
        </row>
        <row r="57">
          <cell r="D57">
            <v>1</v>
          </cell>
          <cell r="E57">
            <v>2.7</v>
          </cell>
        </row>
        <row r="58">
          <cell r="D58">
            <v>2</v>
          </cell>
          <cell r="E58">
            <v>2.8</v>
          </cell>
        </row>
        <row r="59">
          <cell r="D59">
            <v>3</v>
          </cell>
          <cell r="E59">
            <v>2.9</v>
          </cell>
        </row>
        <row r="60">
          <cell r="D60">
            <v>1</v>
          </cell>
          <cell r="E60">
            <v>3.1</v>
          </cell>
        </row>
        <row r="61">
          <cell r="D61">
            <v>2</v>
          </cell>
          <cell r="E61">
            <v>3.1</v>
          </cell>
        </row>
        <row r="62">
          <cell r="D62">
            <v>3</v>
          </cell>
          <cell r="E62">
            <v>3.2</v>
          </cell>
        </row>
        <row r="63">
          <cell r="D63">
            <v>1</v>
          </cell>
          <cell r="E63">
            <v>3.3</v>
          </cell>
        </row>
        <row r="64">
          <cell r="D64">
            <v>2</v>
          </cell>
          <cell r="E64">
            <v>3.5</v>
          </cell>
        </row>
        <row r="65">
          <cell r="D65">
            <v>3</v>
          </cell>
          <cell r="E65">
            <v>3.5</v>
          </cell>
        </row>
        <row r="66">
          <cell r="D66">
            <v>1</v>
          </cell>
          <cell r="E66">
            <v>3.6</v>
          </cell>
        </row>
        <row r="67">
          <cell r="D67">
            <v>2</v>
          </cell>
          <cell r="E67">
            <v>3.8</v>
          </cell>
        </row>
        <row r="68">
          <cell r="D68">
            <v>3</v>
          </cell>
          <cell r="E68">
            <v>3.8</v>
          </cell>
        </row>
        <row r="69">
          <cell r="D69">
            <v>1</v>
          </cell>
          <cell r="E69">
            <v>3.8</v>
          </cell>
        </row>
        <row r="70">
          <cell r="D70">
            <v>2</v>
          </cell>
          <cell r="E70">
            <v>3.7</v>
          </cell>
        </row>
        <row r="71">
          <cell r="D71">
            <v>3</v>
          </cell>
          <cell r="E71">
            <v>3.7</v>
          </cell>
        </row>
        <row r="72">
          <cell r="D72">
            <v>1</v>
          </cell>
          <cell r="E72">
            <v>3.7</v>
          </cell>
        </row>
        <row r="73">
          <cell r="D73">
            <v>2</v>
          </cell>
          <cell r="E73">
            <v>3.8</v>
          </cell>
        </row>
        <row r="74">
          <cell r="D74">
            <v>3</v>
          </cell>
          <cell r="E74">
            <v>3.9</v>
          </cell>
        </row>
        <row r="75">
          <cell r="D75">
            <v>1</v>
          </cell>
          <cell r="E75">
            <v>3.9</v>
          </cell>
        </row>
        <row r="76">
          <cell r="D76">
            <v>2</v>
          </cell>
          <cell r="E76">
            <v>3.9</v>
          </cell>
        </row>
        <row r="77">
          <cell r="D77">
            <v>3</v>
          </cell>
          <cell r="E77">
            <v>3.9</v>
          </cell>
        </row>
        <row r="78">
          <cell r="D78">
            <v>1</v>
          </cell>
          <cell r="E78">
            <v>4</v>
          </cell>
        </row>
        <row r="79">
          <cell r="D79">
            <v>2</v>
          </cell>
          <cell r="E79">
            <v>4.0999999999999996</v>
          </cell>
        </row>
        <row r="80">
          <cell r="D80">
            <v>3</v>
          </cell>
          <cell r="E80">
            <v>4.2</v>
          </cell>
        </row>
        <row r="81">
          <cell r="D81">
            <v>1</v>
          </cell>
          <cell r="E81">
            <v>4.3</v>
          </cell>
        </row>
        <row r="82">
          <cell r="D82">
            <v>2</v>
          </cell>
          <cell r="E82">
            <v>4.3</v>
          </cell>
        </row>
        <row r="83">
          <cell r="D83">
            <v>3</v>
          </cell>
          <cell r="E83">
            <v>4.4000000000000004</v>
          </cell>
        </row>
        <row r="84">
          <cell r="D84">
            <v>1</v>
          </cell>
          <cell r="E84">
            <v>4.4000000000000004</v>
          </cell>
        </row>
        <row r="85">
          <cell r="D85">
            <v>2</v>
          </cell>
          <cell r="E85">
            <v>4.4000000000000004</v>
          </cell>
        </row>
        <row r="86">
          <cell r="D86">
            <v>3</v>
          </cell>
          <cell r="E86">
            <v>4.3</v>
          </cell>
        </row>
        <row r="87">
          <cell r="D87">
            <v>1</v>
          </cell>
          <cell r="E87">
            <v>4.3</v>
          </cell>
        </row>
        <row r="88">
          <cell r="D88">
            <v>0</v>
          </cell>
          <cell r="E88">
            <v>0</v>
          </cell>
        </row>
        <row r="89">
          <cell r="D89">
            <v>0</v>
          </cell>
          <cell r="E89">
            <v>0</v>
          </cell>
        </row>
        <row r="90">
          <cell r="D90">
            <v>0</v>
          </cell>
          <cell r="E90">
            <v>0</v>
          </cell>
        </row>
        <row r="91">
          <cell r="D91">
            <v>0</v>
          </cell>
          <cell r="E91">
            <v>0</v>
          </cell>
        </row>
        <row r="92">
          <cell r="D92">
            <v>0</v>
          </cell>
          <cell r="E92">
            <v>0</v>
          </cell>
        </row>
        <row r="93">
          <cell r="D93">
            <v>0</v>
          </cell>
          <cell r="E93">
            <v>0</v>
          </cell>
        </row>
      </sheetData>
      <sheetData sheetId="19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AD Contínua"/>
      <sheetName val="Sumário"/>
      <sheetName val="1 - Introdução"/>
      <sheetName val="2 - Notas técnicas"/>
      <sheetName val="3 - Glossário"/>
      <sheetName val="Quadro Sintético"/>
      <sheetName val="Quadro Sintético Subutilização"/>
      <sheetName val="Tabelas e gráficos"/>
      <sheetName val="4 - Tabela 1"/>
      <sheetName val="5 - Gráfico 1"/>
      <sheetName val="6 - Tabela 2"/>
      <sheetName val="7 - Gráfico 2"/>
      <sheetName val="8 - Tabela 3"/>
      <sheetName val="9 - Gráfico 3"/>
      <sheetName val="10 - Tabela 4"/>
      <sheetName val="11 - Gráfico 4"/>
      <sheetName val="12 - Tabela 5"/>
      <sheetName val="13 - Gráfico 5"/>
      <sheetName val="14 - Tabela 6"/>
      <sheetName val="15 - Gráfico 6"/>
      <sheetName val="16 - Tabela 7"/>
      <sheetName val="17 - Gráfico 7"/>
      <sheetName val="18 - Tabela 8"/>
      <sheetName val="19 - Gráfico 8"/>
      <sheetName val="20 - Tabela 9"/>
      <sheetName val="21 - Gráfico 9"/>
      <sheetName val="22 - Tabela 10"/>
      <sheetName val="23 - Gráfico 10"/>
      <sheetName val="24 - Tabela 11"/>
      <sheetName val="25 - Gráfico 11"/>
      <sheetName val="26 - Tabela 12"/>
      <sheetName val="27 - Gráfico 12"/>
      <sheetName val="28 - Tabela 13"/>
      <sheetName val="29 - Gráfico 13"/>
      <sheetName val="30 - Tabela 14"/>
      <sheetName val="31 - Gráfico 14"/>
      <sheetName val="32 - Tabela 15"/>
      <sheetName val="33 - Gráfico 15"/>
      <sheetName val="34 - Tabela 16"/>
      <sheetName val="35 - Gráfico 16"/>
      <sheetName val="36 - Tabela 17"/>
      <sheetName val="37 - Gráfico 17"/>
      <sheetName val="38 - Tabela 18"/>
      <sheetName val="39 - Gráfico 18"/>
      <sheetName val="40 - Tabela 19"/>
      <sheetName val="41 - Gráfico 19"/>
      <sheetName val="42 - Tabela 20"/>
      <sheetName val="43 - Gráfico 20"/>
      <sheetName val="44 - Tabela 21"/>
      <sheetName val="45 - Gráfico 21"/>
      <sheetName val="46 - Tabela 22"/>
      <sheetName val="47 - Gráfico 22"/>
      <sheetName val="48 - Tabela 23"/>
      <sheetName val="49 - Gráfico 23"/>
      <sheetName val="50 - Tabela 24"/>
      <sheetName val="51 - Gráfico 24"/>
      <sheetName val="52 - Tabela 25"/>
      <sheetName val="53 - Gráfico 25"/>
      <sheetName val="54 - Tabela 26"/>
      <sheetName val="55 - Gráfico 26"/>
      <sheetName val="56 - Tabela 27"/>
      <sheetName val="57 - Gráfico 27"/>
      <sheetName val="58 - Tabela 28"/>
      <sheetName val="59 - Gráfico 28"/>
      <sheetName val="60 - Tabela 29"/>
      <sheetName val="61 - Gráfico 29"/>
      <sheetName val="62 - Tabela 30"/>
      <sheetName val="63 - Gráfico 30"/>
      <sheetName val="64 - Tabela 31"/>
      <sheetName val="65 - Gráfico 31"/>
      <sheetName val="66 - Tabela 32"/>
      <sheetName val="67 - Gráfico 32"/>
      <sheetName val="68 - Tabela 33"/>
      <sheetName val="69 - Gráfico 33"/>
      <sheetName val="70 - Tabela 34"/>
      <sheetName val="71 - Gráfico 34"/>
      <sheetName val="72 - Tabela 35"/>
      <sheetName val="73 - Gráfico 35"/>
      <sheetName val="74 - Tabela 36"/>
      <sheetName val="75 - Gráfico 36"/>
      <sheetName val="76 - Tabela 37"/>
      <sheetName val="77 - Gráfico 37"/>
      <sheetName val="78 - Tabela 38"/>
      <sheetName val="79 - Gráfico 38"/>
      <sheetName val="80 - Tabela 39"/>
      <sheetName val="81 - Gráfico 39"/>
      <sheetName val="82 - Tabela 40"/>
      <sheetName val="83 - Gráfico 40"/>
      <sheetName val="84 - Tabela 41"/>
      <sheetName val="85 - Gráfico 41"/>
      <sheetName val="86 - Tabela 42"/>
      <sheetName val="87 - Gráfico 42"/>
      <sheetName val="88 - Tabela 43"/>
      <sheetName val="89 - Gráfico 43"/>
      <sheetName val="90 - Tabela 44"/>
      <sheetName val="91 - Gráfico 44"/>
      <sheetName val="92 - Tabela 45"/>
      <sheetName val="93 - Gráfico 45"/>
      <sheetName val="94 - Tabela 46"/>
      <sheetName val="95 - Gráfico 46"/>
      <sheetName val="96 - Tabela 47"/>
      <sheetName val="97 - Gráfico 47"/>
      <sheetName val="98 - Tabela 48"/>
      <sheetName val="99 - Gráfico 48"/>
      <sheetName val="100 - Tabela 49"/>
      <sheetName val="101 - Gráfico 49"/>
      <sheetName val="102 - Tabela 50"/>
      <sheetName val="103 - Gráfico 50"/>
      <sheetName val="104 - Tabela 51"/>
      <sheetName val="105 - Gráfico 51"/>
      <sheetName val="106 - Tabela 52"/>
      <sheetName val="107 - Gráfico 52"/>
      <sheetName val="108 - Tabela 53"/>
      <sheetName val="109 - Gráfico 53"/>
      <sheetName val="110 - Tabela 54"/>
      <sheetName val="111 - Gráfico 54"/>
      <sheetName val="112 - Tabela 55"/>
      <sheetName val="113 - Gráfico 55"/>
      <sheetName val="114 - Tabela 56"/>
      <sheetName val="115 - Gráfico 56"/>
      <sheetName val="116 - Tabela 57"/>
      <sheetName val="117 - Gráfico 57"/>
      <sheetName val="118 - Tabela 58"/>
      <sheetName val="119 - Gráfico 58"/>
      <sheetName val="120 - Tabela 59"/>
      <sheetName val="121 - Gráfico 59"/>
      <sheetName val="122 - Tabela 60"/>
      <sheetName val="123 - Gráfico 60"/>
      <sheetName val="124 - Tabela 61"/>
      <sheetName val="125 - Gráfico 61"/>
      <sheetName val="126 - Tabela 62"/>
      <sheetName val="127 - Gráfico 62"/>
      <sheetName val="128 - Tabela 63"/>
      <sheetName val="129 - Gráfico 63"/>
      <sheetName val="130 - Tabela 64"/>
      <sheetName val="131 - Gráfico 64"/>
      <sheetName val="132 - Tabela 65"/>
      <sheetName val="133 - Gráfico 65"/>
      <sheetName val="134 - Tabela 66"/>
      <sheetName val="135 - Gráfico 66"/>
      <sheetName val="136 - Tabela 67"/>
      <sheetName val="137 - Gráfico 67"/>
      <sheetName val="138 - Tabela 68"/>
      <sheetName val="139 - Gráfico 68"/>
      <sheetName val="140 - Tabela 69"/>
      <sheetName val="141 - Gráfico 69"/>
      <sheetName val="142 - Tabela 70"/>
      <sheetName val="143 - Gráfico 70"/>
      <sheetName val="144 - Tabela 71"/>
      <sheetName val="145 - Gráfico 71"/>
      <sheetName val="146 - Tabela 72"/>
      <sheetName val="147 - Gráfico 72"/>
      <sheetName val="148 - Tabela 73"/>
      <sheetName val="149 - Gráfico 73"/>
      <sheetName val="150 - Tabela 74"/>
      <sheetName val="151 - Gráfico 74"/>
      <sheetName val="152 - Tabela 75"/>
      <sheetName val="153 - Gráfico 75"/>
      <sheetName val="154 - Tabela 76"/>
      <sheetName val="155 - Gráfico 76"/>
      <sheetName val="156 - Tabela 77"/>
      <sheetName val="157 - Gráfico 77"/>
      <sheetName val="158 - Tabela 78"/>
      <sheetName val="159 - Gráfico 78"/>
      <sheetName val="160 - Tabela 79"/>
      <sheetName val="161 - Gráfico 79"/>
      <sheetName val="162 - Tabela 80"/>
      <sheetName val="163 - Gráfico 80"/>
      <sheetName val="164 - Tabela 81"/>
      <sheetName val="165 - Gráfico 81"/>
      <sheetName val="166 - Tabela 82"/>
      <sheetName val="167 - Gráfico 82"/>
      <sheetName val="168 - Tabela 83"/>
      <sheetName val="169 - Gráfico 83"/>
      <sheetName val="170 - Tabela 84"/>
      <sheetName val="171 - Gráfico 84"/>
      <sheetName val="172 - Tabela 85"/>
      <sheetName val="173 - Gráfico 85"/>
      <sheetName val="174 - Tabela 86"/>
      <sheetName val="175 - Gráfico 86"/>
      <sheetName val="176 - Tabela 87"/>
      <sheetName val="177 - Gráfico 87"/>
      <sheetName val="178 - Tabela 88"/>
      <sheetName val="179 - Gráfico 88"/>
      <sheetName val="180 - Tabela 89"/>
      <sheetName val="181 - Gráfico 89"/>
      <sheetName val="182 - Tabela 90"/>
      <sheetName val="183 - Gráfico 90"/>
      <sheetName val="184 - Tabela 91"/>
      <sheetName val="185 - Gráfico 91"/>
      <sheetName val="186 - Tabela 92"/>
      <sheetName val="187 - Gráfico 92"/>
      <sheetName val="188 - Tabela 93"/>
      <sheetName val="189 - Gráfico 93"/>
      <sheetName val="190 - Tabela 94"/>
      <sheetName val="191 - Gráfico 94"/>
      <sheetName val="192 - Tabela 95"/>
      <sheetName val="193 - Gráfico 95"/>
      <sheetName val="194 - Tabela 96"/>
      <sheetName val="195 - Gráfico 96"/>
      <sheetName val="196 - Tabela 97"/>
      <sheetName val="197 - Gráfico 97"/>
      <sheetName val="198 - Tabela 98"/>
      <sheetName val="199 - Gráfico 98"/>
      <sheetName val="200 - Tabela 99"/>
      <sheetName val="201 - Gráfico 99"/>
      <sheetName val="202 - Tabela 100"/>
      <sheetName val="203 - Gráfico 100"/>
      <sheetName val="204 - Tabela 101"/>
      <sheetName val="205 - Gráfico 101"/>
      <sheetName val="206 - Tabela 102"/>
      <sheetName val="207 - Gráfico 102"/>
      <sheetName val="208 - Tabela 103"/>
      <sheetName val="209 - Gráfico 103"/>
      <sheetName val="210 - Tabela 104"/>
      <sheetName val="211 - Gráfico 104"/>
      <sheetName val="212 - Tabela 105"/>
      <sheetName val="213 - Gráfico 105"/>
      <sheetName val="214 - Tabela 106"/>
      <sheetName val="215 - Gráfico 106"/>
      <sheetName val="216 - Tabela 107"/>
      <sheetName val="217 - Gráfico 107"/>
      <sheetName val="218 - Tabela 108"/>
      <sheetName val="219 - Gráfico 108"/>
      <sheetName val="220 - Tabela 109"/>
      <sheetName val="221 - Gráfico 109"/>
      <sheetName val="222 - Tabela 110"/>
      <sheetName val="223 - Gráfico 110"/>
      <sheetName val="224 - Tabela 111"/>
      <sheetName val="225 - Gráfico 111"/>
      <sheetName val="226 - Tabela 112"/>
      <sheetName val="227 - Gráfico 1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E5">
            <v>2</v>
          </cell>
        </row>
      </sheetData>
      <sheetData sheetId="9" refreshError="1"/>
      <sheetData sheetId="10">
        <row r="5">
          <cell r="E5">
            <v>3</v>
          </cell>
        </row>
      </sheetData>
      <sheetData sheetId="11" refreshError="1"/>
      <sheetData sheetId="12">
        <row r="5">
          <cell r="E5">
            <v>2</v>
          </cell>
        </row>
      </sheetData>
      <sheetData sheetId="13" refreshError="1"/>
      <sheetData sheetId="14">
        <row r="5">
          <cell r="E5">
            <v>2</v>
          </cell>
        </row>
      </sheetData>
      <sheetData sheetId="15" refreshError="1"/>
      <sheetData sheetId="16">
        <row r="5">
          <cell r="E5">
            <v>2</v>
          </cell>
        </row>
      </sheetData>
      <sheetData sheetId="17" refreshError="1"/>
      <sheetData sheetId="18">
        <row r="5">
          <cell r="E5">
            <v>2</v>
          </cell>
        </row>
      </sheetData>
      <sheetData sheetId="19" refreshError="1"/>
      <sheetData sheetId="20">
        <row r="5">
          <cell r="E5">
            <v>2</v>
          </cell>
        </row>
      </sheetData>
      <sheetData sheetId="21" refreshError="1"/>
      <sheetData sheetId="22">
        <row r="5">
          <cell r="E5">
            <v>2</v>
          </cell>
        </row>
      </sheetData>
      <sheetData sheetId="23" refreshError="1"/>
      <sheetData sheetId="24">
        <row r="5">
          <cell r="E5">
            <v>2</v>
          </cell>
        </row>
      </sheetData>
      <sheetData sheetId="25" refreshError="1"/>
      <sheetData sheetId="26">
        <row r="5">
          <cell r="E5">
            <v>2</v>
          </cell>
        </row>
      </sheetData>
      <sheetData sheetId="27" refreshError="1"/>
      <sheetData sheetId="28">
        <row r="5">
          <cell r="E5">
            <v>2</v>
          </cell>
        </row>
      </sheetData>
      <sheetData sheetId="29" refreshError="1"/>
      <sheetData sheetId="30">
        <row r="5">
          <cell r="E5">
            <v>2</v>
          </cell>
        </row>
      </sheetData>
      <sheetData sheetId="31" refreshError="1"/>
      <sheetData sheetId="32">
        <row r="5">
          <cell r="E5">
            <v>2</v>
          </cell>
        </row>
      </sheetData>
      <sheetData sheetId="33" refreshError="1"/>
      <sheetData sheetId="34">
        <row r="5">
          <cell r="E5">
            <v>2</v>
          </cell>
        </row>
      </sheetData>
      <sheetData sheetId="35" refreshError="1"/>
      <sheetData sheetId="36">
        <row r="5">
          <cell r="E5">
            <v>2</v>
          </cell>
        </row>
      </sheetData>
      <sheetData sheetId="37" refreshError="1"/>
      <sheetData sheetId="38">
        <row r="5">
          <cell r="E5">
            <v>2</v>
          </cell>
        </row>
      </sheetData>
      <sheetData sheetId="39" refreshError="1"/>
      <sheetData sheetId="40">
        <row r="5">
          <cell r="E5">
            <v>2</v>
          </cell>
        </row>
      </sheetData>
      <sheetData sheetId="41" refreshError="1"/>
      <sheetData sheetId="42">
        <row r="5">
          <cell r="E5">
            <v>2</v>
          </cell>
        </row>
      </sheetData>
      <sheetData sheetId="43" refreshError="1"/>
      <sheetData sheetId="44">
        <row r="5">
          <cell r="E5">
            <v>2</v>
          </cell>
        </row>
      </sheetData>
      <sheetData sheetId="45" refreshError="1"/>
      <sheetData sheetId="46">
        <row r="5">
          <cell r="E5">
            <v>2</v>
          </cell>
        </row>
      </sheetData>
      <sheetData sheetId="47" refreshError="1"/>
      <sheetData sheetId="48">
        <row r="5">
          <cell r="E5">
            <v>2</v>
          </cell>
        </row>
      </sheetData>
      <sheetData sheetId="49" refreshError="1"/>
      <sheetData sheetId="50">
        <row r="5">
          <cell r="E5">
            <v>2</v>
          </cell>
        </row>
      </sheetData>
      <sheetData sheetId="51" refreshError="1"/>
      <sheetData sheetId="52">
        <row r="5">
          <cell r="E5">
            <v>2</v>
          </cell>
        </row>
      </sheetData>
      <sheetData sheetId="53" refreshError="1"/>
      <sheetData sheetId="54">
        <row r="5">
          <cell r="E5">
            <v>2</v>
          </cell>
        </row>
      </sheetData>
      <sheetData sheetId="55" refreshError="1"/>
      <sheetData sheetId="56">
        <row r="5">
          <cell r="E5">
            <v>2</v>
          </cell>
        </row>
      </sheetData>
      <sheetData sheetId="57" refreshError="1"/>
      <sheetData sheetId="58">
        <row r="5">
          <cell r="E5">
            <v>2</v>
          </cell>
        </row>
      </sheetData>
      <sheetData sheetId="59" refreshError="1"/>
      <sheetData sheetId="60">
        <row r="5">
          <cell r="E5">
            <v>2</v>
          </cell>
        </row>
      </sheetData>
      <sheetData sheetId="61" refreshError="1"/>
      <sheetData sheetId="62">
        <row r="5">
          <cell r="E5">
            <v>2</v>
          </cell>
        </row>
      </sheetData>
      <sheetData sheetId="63" refreshError="1"/>
      <sheetData sheetId="64">
        <row r="5">
          <cell r="E5">
            <v>2</v>
          </cell>
        </row>
      </sheetData>
      <sheetData sheetId="65" refreshError="1"/>
      <sheetData sheetId="66">
        <row r="5">
          <cell r="E5">
            <v>2</v>
          </cell>
        </row>
      </sheetData>
      <sheetData sheetId="67" refreshError="1"/>
      <sheetData sheetId="68">
        <row r="5">
          <cell r="E5">
            <v>2</v>
          </cell>
        </row>
      </sheetData>
      <sheetData sheetId="69" refreshError="1"/>
      <sheetData sheetId="70">
        <row r="5">
          <cell r="E5">
            <v>2</v>
          </cell>
        </row>
      </sheetData>
      <sheetData sheetId="71" refreshError="1"/>
      <sheetData sheetId="72">
        <row r="5">
          <cell r="E5">
            <v>2</v>
          </cell>
        </row>
      </sheetData>
      <sheetData sheetId="73" refreshError="1"/>
      <sheetData sheetId="74">
        <row r="5">
          <cell r="E5">
            <v>2</v>
          </cell>
        </row>
      </sheetData>
      <sheetData sheetId="75" refreshError="1"/>
      <sheetData sheetId="76">
        <row r="5">
          <cell r="E5">
            <v>2</v>
          </cell>
        </row>
      </sheetData>
      <sheetData sheetId="77" refreshError="1"/>
      <sheetData sheetId="78">
        <row r="5">
          <cell r="E5">
            <v>2</v>
          </cell>
        </row>
      </sheetData>
      <sheetData sheetId="79" refreshError="1"/>
      <sheetData sheetId="80">
        <row r="5">
          <cell r="E5">
            <v>2</v>
          </cell>
        </row>
      </sheetData>
      <sheetData sheetId="81" refreshError="1"/>
      <sheetData sheetId="82">
        <row r="5">
          <cell r="E5">
            <v>2</v>
          </cell>
        </row>
      </sheetData>
      <sheetData sheetId="83" refreshError="1"/>
      <sheetData sheetId="84"/>
      <sheetData sheetId="85" refreshError="1"/>
      <sheetData sheetId="86">
        <row r="5">
          <cell r="E5">
            <v>2</v>
          </cell>
        </row>
      </sheetData>
      <sheetData sheetId="87" refreshError="1"/>
      <sheetData sheetId="88">
        <row r="5">
          <cell r="E5">
            <v>2</v>
          </cell>
        </row>
      </sheetData>
      <sheetData sheetId="89" refreshError="1"/>
      <sheetData sheetId="90">
        <row r="5">
          <cell r="E5">
            <v>2</v>
          </cell>
        </row>
      </sheetData>
      <sheetData sheetId="91" refreshError="1"/>
      <sheetData sheetId="92">
        <row r="5">
          <cell r="E5">
            <v>2</v>
          </cell>
        </row>
      </sheetData>
      <sheetData sheetId="93" refreshError="1"/>
      <sheetData sheetId="94">
        <row r="5">
          <cell r="E5">
            <v>2</v>
          </cell>
        </row>
      </sheetData>
      <sheetData sheetId="95" refreshError="1"/>
      <sheetData sheetId="96">
        <row r="5">
          <cell r="E5">
            <v>2</v>
          </cell>
        </row>
      </sheetData>
      <sheetData sheetId="97" refreshError="1"/>
      <sheetData sheetId="98">
        <row r="5">
          <cell r="E5">
            <v>2</v>
          </cell>
        </row>
      </sheetData>
      <sheetData sheetId="99" refreshError="1"/>
      <sheetData sheetId="100">
        <row r="5">
          <cell r="E5">
            <v>2</v>
          </cell>
        </row>
      </sheetData>
      <sheetData sheetId="101" refreshError="1"/>
      <sheetData sheetId="102">
        <row r="5">
          <cell r="E5">
            <v>2</v>
          </cell>
        </row>
      </sheetData>
      <sheetData sheetId="103" refreshError="1"/>
      <sheetData sheetId="104">
        <row r="5">
          <cell r="E5">
            <v>2</v>
          </cell>
        </row>
      </sheetData>
      <sheetData sheetId="105" refreshError="1"/>
      <sheetData sheetId="106">
        <row r="5">
          <cell r="E5">
            <v>2</v>
          </cell>
        </row>
      </sheetData>
      <sheetData sheetId="107" refreshError="1"/>
      <sheetData sheetId="108">
        <row r="5">
          <cell r="E5">
            <v>2</v>
          </cell>
        </row>
      </sheetData>
      <sheetData sheetId="109" refreshError="1"/>
      <sheetData sheetId="110">
        <row r="5">
          <cell r="E5">
            <v>2</v>
          </cell>
        </row>
      </sheetData>
      <sheetData sheetId="111" refreshError="1"/>
      <sheetData sheetId="112">
        <row r="5">
          <cell r="E5">
            <v>2</v>
          </cell>
        </row>
      </sheetData>
      <sheetData sheetId="113" refreshError="1"/>
      <sheetData sheetId="114">
        <row r="5">
          <cell r="E5">
            <v>2</v>
          </cell>
        </row>
      </sheetData>
      <sheetData sheetId="115" refreshError="1"/>
      <sheetData sheetId="116">
        <row r="5">
          <cell r="E5">
            <v>2</v>
          </cell>
        </row>
      </sheetData>
      <sheetData sheetId="117" refreshError="1"/>
      <sheetData sheetId="118">
        <row r="5">
          <cell r="E5">
            <v>2</v>
          </cell>
        </row>
      </sheetData>
      <sheetData sheetId="119" refreshError="1"/>
      <sheetData sheetId="120">
        <row r="5">
          <cell r="E5">
            <v>2</v>
          </cell>
        </row>
      </sheetData>
      <sheetData sheetId="121" refreshError="1"/>
      <sheetData sheetId="122">
        <row r="5">
          <cell r="E5">
            <v>2</v>
          </cell>
        </row>
      </sheetData>
      <sheetData sheetId="123" refreshError="1"/>
      <sheetData sheetId="124">
        <row r="5">
          <cell r="E5">
            <v>2</v>
          </cell>
        </row>
      </sheetData>
      <sheetData sheetId="125" refreshError="1"/>
      <sheetData sheetId="126">
        <row r="5">
          <cell r="E5">
            <v>2</v>
          </cell>
        </row>
      </sheetData>
      <sheetData sheetId="127" refreshError="1"/>
      <sheetData sheetId="128">
        <row r="5">
          <cell r="E5">
            <v>2</v>
          </cell>
        </row>
      </sheetData>
      <sheetData sheetId="129" refreshError="1"/>
      <sheetData sheetId="130">
        <row r="5">
          <cell r="E5">
            <v>2</v>
          </cell>
        </row>
      </sheetData>
      <sheetData sheetId="131" refreshError="1"/>
      <sheetData sheetId="132">
        <row r="5">
          <cell r="E5">
            <v>2</v>
          </cell>
        </row>
      </sheetData>
      <sheetData sheetId="133" refreshError="1"/>
      <sheetData sheetId="134">
        <row r="5">
          <cell r="E5">
            <v>2</v>
          </cell>
        </row>
      </sheetData>
      <sheetData sheetId="135" refreshError="1"/>
      <sheetData sheetId="136">
        <row r="5">
          <cell r="E5">
            <v>2</v>
          </cell>
        </row>
      </sheetData>
      <sheetData sheetId="137" refreshError="1"/>
      <sheetData sheetId="138">
        <row r="5">
          <cell r="E5">
            <v>2</v>
          </cell>
        </row>
      </sheetData>
      <sheetData sheetId="139" refreshError="1"/>
      <sheetData sheetId="140">
        <row r="5">
          <cell r="E5">
            <v>2</v>
          </cell>
        </row>
      </sheetData>
      <sheetData sheetId="141" refreshError="1"/>
      <sheetData sheetId="142">
        <row r="5">
          <cell r="E5">
            <v>2</v>
          </cell>
        </row>
      </sheetData>
      <sheetData sheetId="143" refreshError="1"/>
      <sheetData sheetId="144">
        <row r="5">
          <cell r="E5">
            <v>2</v>
          </cell>
        </row>
      </sheetData>
      <sheetData sheetId="145" refreshError="1"/>
      <sheetData sheetId="146">
        <row r="5">
          <cell r="E5">
            <v>2</v>
          </cell>
        </row>
      </sheetData>
      <sheetData sheetId="147" refreshError="1"/>
      <sheetData sheetId="148">
        <row r="5">
          <cell r="E5">
            <v>2</v>
          </cell>
        </row>
      </sheetData>
      <sheetData sheetId="149" refreshError="1"/>
      <sheetData sheetId="150">
        <row r="5">
          <cell r="E5">
            <v>2</v>
          </cell>
        </row>
      </sheetData>
      <sheetData sheetId="151" refreshError="1"/>
      <sheetData sheetId="152">
        <row r="5">
          <cell r="E5">
            <v>2</v>
          </cell>
        </row>
      </sheetData>
      <sheetData sheetId="153" refreshError="1"/>
      <sheetData sheetId="154">
        <row r="5">
          <cell r="E5">
            <v>2</v>
          </cell>
        </row>
      </sheetData>
      <sheetData sheetId="155" refreshError="1"/>
      <sheetData sheetId="156">
        <row r="5">
          <cell r="E5">
            <v>2</v>
          </cell>
        </row>
      </sheetData>
      <sheetData sheetId="157" refreshError="1"/>
      <sheetData sheetId="158">
        <row r="5">
          <cell r="E5">
            <v>2</v>
          </cell>
        </row>
      </sheetData>
      <sheetData sheetId="159" refreshError="1"/>
      <sheetData sheetId="160">
        <row r="5">
          <cell r="E5">
            <v>2</v>
          </cell>
        </row>
      </sheetData>
      <sheetData sheetId="161" refreshError="1"/>
      <sheetData sheetId="162">
        <row r="5">
          <cell r="E5">
            <v>2</v>
          </cell>
        </row>
      </sheetData>
      <sheetData sheetId="163" refreshError="1"/>
      <sheetData sheetId="164">
        <row r="5">
          <cell r="E5">
            <v>2</v>
          </cell>
        </row>
      </sheetData>
      <sheetData sheetId="165" refreshError="1"/>
      <sheetData sheetId="166">
        <row r="5">
          <cell r="E5">
            <v>2</v>
          </cell>
        </row>
      </sheetData>
      <sheetData sheetId="167" refreshError="1"/>
      <sheetData sheetId="168">
        <row r="5">
          <cell r="E5">
            <v>2</v>
          </cell>
        </row>
      </sheetData>
      <sheetData sheetId="169" refreshError="1"/>
      <sheetData sheetId="170">
        <row r="5">
          <cell r="E5">
            <v>2</v>
          </cell>
        </row>
      </sheetData>
      <sheetData sheetId="171" refreshError="1"/>
      <sheetData sheetId="172">
        <row r="5">
          <cell r="E5">
            <v>2</v>
          </cell>
        </row>
      </sheetData>
      <sheetData sheetId="173" refreshError="1"/>
      <sheetData sheetId="174">
        <row r="5">
          <cell r="E5">
            <v>2</v>
          </cell>
        </row>
      </sheetData>
      <sheetData sheetId="175" refreshError="1"/>
      <sheetData sheetId="176">
        <row r="5">
          <cell r="E5">
            <v>2</v>
          </cell>
        </row>
      </sheetData>
      <sheetData sheetId="177" refreshError="1"/>
      <sheetData sheetId="178">
        <row r="5">
          <cell r="E5">
            <v>2</v>
          </cell>
        </row>
      </sheetData>
      <sheetData sheetId="179" refreshError="1"/>
      <sheetData sheetId="180">
        <row r="5">
          <cell r="E5">
            <v>2</v>
          </cell>
        </row>
      </sheetData>
      <sheetData sheetId="181" refreshError="1"/>
      <sheetData sheetId="182">
        <row r="5">
          <cell r="E5">
            <v>2</v>
          </cell>
        </row>
      </sheetData>
      <sheetData sheetId="183" refreshError="1"/>
      <sheetData sheetId="184">
        <row r="5">
          <cell r="E5">
            <v>2</v>
          </cell>
        </row>
      </sheetData>
      <sheetData sheetId="185" refreshError="1"/>
      <sheetData sheetId="186">
        <row r="5">
          <cell r="E5">
            <v>2</v>
          </cell>
        </row>
      </sheetData>
      <sheetData sheetId="187" refreshError="1"/>
      <sheetData sheetId="188">
        <row r="5">
          <cell r="E5">
            <v>2</v>
          </cell>
        </row>
      </sheetData>
      <sheetData sheetId="189" refreshError="1"/>
      <sheetData sheetId="190">
        <row r="5">
          <cell r="E5">
            <v>2</v>
          </cell>
        </row>
      </sheetData>
      <sheetData sheetId="191" refreshError="1"/>
      <sheetData sheetId="192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695</v>
          </cell>
        </row>
        <row r="10">
          <cell r="E10">
            <v>670</v>
          </cell>
        </row>
        <row r="11">
          <cell r="E11">
            <v>665</v>
          </cell>
        </row>
        <row r="12">
          <cell r="E12">
            <v>642</v>
          </cell>
        </row>
        <row r="13">
          <cell r="E13">
            <v>656</v>
          </cell>
        </row>
        <row r="14">
          <cell r="E14">
            <v>666</v>
          </cell>
        </row>
        <row r="15">
          <cell r="E15">
            <v>658</v>
          </cell>
        </row>
        <row r="16">
          <cell r="E16">
            <v>686</v>
          </cell>
        </row>
        <row r="17">
          <cell r="E17">
            <v>740</v>
          </cell>
        </row>
        <row r="18">
          <cell r="E18">
            <v>692</v>
          </cell>
        </row>
        <row r="19">
          <cell r="E19">
            <v>666</v>
          </cell>
        </row>
        <row r="20">
          <cell r="E20">
            <v>652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193" refreshError="1"/>
      <sheetData sheetId="194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48</v>
          </cell>
        </row>
        <row r="10">
          <cell r="E10">
            <v>33</v>
          </cell>
        </row>
        <row r="11">
          <cell r="E11">
            <v>30</v>
          </cell>
        </row>
        <row r="12">
          <cell r="E12">
            <v>30</v>
          </cell>
        </row>
        <row r="13">
          <cell r="E13">
            <v>28</v>
          </cell>
        </row>
        <row r="14">
          <cell r="E14">
            <v>29</v>
          </cell>
        </row>
        <row r="15">
          <cell r="E15">
            <v>26</v>
          </cell>
        </row>
        <row r="16">
          <cell r="E16">
            <v>31</v>
          </cell>
        </row>
        <row r="17">
          <cell r="E17">
            <v>39</v>
          </cell>
        </row>
        <row r="18">
          <cell r="E18">
            <v>36</v>
          </cell>
        </row>
        <row r="19">
          <cell r="E19">
            <v>34</v>
          </cell>
        </row>
        <row r="20">
          <cell r="E20">
            <v>41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195" refreshError="1"/>
      <sheetData sheetId="196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93</v>
          </cell>
        </row>
        <row r="10">
          <cell r="E10">
            <v>88</v>
          </cell>
        </row>
        <row r="11">
          <cell r="E11">
            <v>82</v>
          </cell>
        </row>
        <row r="12">
          <cell r="E12">
            <v>96</v>
          </cell>
        </row>
        <row r="13">
          <cell r="E13">
            <v>86</v>
          </cell>
        </row>
        <row r="14">
          <cell r="E14">
            <v>73</v>
          </cell>
        </row>
        <row r="15">
          <cell r="E15">
            <v>85</v>
          </cell>
        </row>
        <row r="16">
          <cell r="E16">
            <v>82</v>
          </cell>
        </row>
        <row r="17">
          <cell r="E17">
            <v>95</v>
          </cell>
        </row>
        <row r="18">
          <cell r="E18">
            <v>71</v>
          </cell>
        </row>
        <row r="19">
          <cell r="E19">
            <v>79</v>
          </cell>
        </row>
        <row r="20">
          <cell r="E20">
            <v>68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197" refreshError="1"/>
      <sheetData sheetId="198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48</v>
          </cell>
        </row>
        <row r="10">
          <cell r="E10">
            <v>50</v>
          </cell>
        </row>
        <row r="11">
          <cell r="E11">
            <v>50</v>
          </cell>
        </row>
        <row r="12">
          <cell r="E12">
            <v>45</v>
          </cell>
        </row>
        <row r="13">
          <cell r="E13">
            <v>42</v>
          </cell>
        </row>
        <row r="14">
          <cell r="E14">
            <v>49</v>
          </cell>
        </row>
        <row r="15">
          <cell r="E15">
            <v>48</v>
          </cell>
        </row>
        <row r="16">
          <cell r="E16">
            <v>50</v>
          </cell>
        </row>
        <row r="17">
          <cell r="E17">
            <v>55</v>
          </cell>
        </row>
        <row r="18">
          <cell r="E18">
            <v>65</v>
          </cell>
        </row>
        <row r="19">
          <cell r="E19">
            <v>54</v>
          </cell>
        </row>
        <row r="20">
          <cell r="E20">
            <v>60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199" refreshError="1"/>
      <sheetData sheetId="200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230</v>
          </cell>
        </row>
        <row r="10">
          <cell r="E10">
            <v>214</v>
          </cell>
        </row>
        <row r="11">
          <cell r="E11">
            <v>217</v>
          </cell>
        </row>
        <row r="12">
          <cell r="E12">
            <v>211</v>
          </cell>
        </row>
        <row r="13">
          <cell r="E13">
            <v>232</v>
          </cell>
        </row>
        <row r="14">
          <cell r="E14">
            <v>237</v>
          </cell>
        </row>
        <row r="15">
          <cell r="E15">
            <v>232</v>
          </cell>
        </row>
        <row r="16">
          <cell r="E16">
            <v>232</v>
          </cell>
        </row>
        <row r="17">
          <cell r="E17">
            <v>257</v>
          </cell>
        </row>
        <row r="18">
          <cell r="E18">
            <v>232</v>
          </cell>
        </row>
        <row r="19">
          <cell r="E19">
            <v>207</v>
          </cell>
        </row>
        <row r="20">
          <cell r="E20">
            <v>204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201" refreshError="1"/>
      <sheetData sheetId="202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39</v>
          </cell>
        </row>
        <row r="10">
          <cell r="E10">
            <v>43</v>
          </cell>
        </row>
        <row r="11">
          <cell r="E11">
            <v>35</v>
          </cell>
        </row>
        <row r="12">
          <cell r="E12">
            <v>27</v>
          </cell>
        </row>
        <row r="13">
          <cell r="E13">
            <v>29</v>
          </cell>
        </row>
        <row r="14">
          <cell r="E14">
            <v>28</v>
          </cell>
        </row>
        <row r="15">
          <cell r="E15">
            <v>37</v>
          </cell>
        </row>
        <row r="16">
          <cell r="E16">
            <v>34</v>
          </cell>
        </row>
        <row r="17">
          <cell r="E17">
            <v>39</v>
          </cell>
        </row>
        <row r="18">
          <cell r="E18">
            <v>34</v>
          </cell>
        </row>
        <row r="19">
          <cell r="E19">
            <v>31</v>
          </cell>
        </row>
        <row r="20">
          <cell r="E20">
            <v>32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203" refreshError="1"/>
      <sheetData sheetId="204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49</v>
          </cell>
        </row>
        <row r="10">
          <cell r="E10">
            <v>59</v>
          </cell>
        </row>
        <row r="11">
          <cell r="E11">
            <v>50</v>
          </cell>
        </row>
        <row r="12">
          <cell r="E12">
            <v>52</v>
          </cell>
        </row>
        <row r="13">
          <cell r="E13">
            <v>47</v>
          </cell>
        </row>
        <row r="14">
          <cell r="E14">
            <v>45</v>
          </cell>
        </row>
        <row r="15">
          <cell r="E15">
            <v>42</v>
          </cell>
        </row>
        <row r="16">
          <cell r="E16">
            <v>45</v>
          </cell>
        </row>
        <row r="17">
          <cell r="E17">
            <v>49</v>
          </cell>
        </row>
        <row r="18">
          <cell r="E18">
            <v>54</v>
          </cell>
        </row>
        <row r="19">
          <cell r="E19">
            <v>53</v>
          </cell>
        </row>
        <row r="20">
          <cell r="E20">
            <v>57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205" refreshError="1"/>
      <sheetData sheetId="206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102</v>
          </cell>
        </row>
        <row r="10">
          <cell r="E10">
            <v>97</v>
          </cell>
        </row>
        <row r="11">
          <cell r="E11">
            <v>105</v>
          </cell>
        </row>
        <row r="12">
          <cell r="E12">
            <v>96</v>
          </cell>
        </row>
        <row r="13">
          <cell r="E13">
            <v>104</v>
          </cell>
        </row>
        <row r="14">
          <cell r="E14">
            <v>105</v>
          </cell>
        </row>
        <row r="15">
          <cell r="E15">
            <v>102</v>
          </cell>
        </row>
        <row r="16">
          <cell r="E16">
            <v>122</v>
          </cell>
        </row>
        <row r="17">
          <cell r="E17">
            <v>122</v>
          </cell>
        </row>
        <row r="18">
          <cell r="E18">
            <v>121</v>
          </cell>
        </row>
        <row r="19">
          <cell r="E19">
            <v>118</v>
          </cell>
        </row>
        <row r="20">
          <cell r="E20">
            <v>104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207" refreshError="1"/>
      <sheetData sheetId="208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29</v>
          </cell>
        </row>
        <row r="10">
          <cell r="E10">
            <v>34</v>
          </cell>
        </row>
        <row r="11">
          <cell r="E11">
            <v>36</v>
          </cell>
        </row>
        <row r="12">
          <cell r="E12">
            <v>32</v>
          </cell>
        </row>
        <row r="13">
          <cell r="E13">
            <v>35</v>
          </cell>
        </row>
        <row r="14">
          <cell r="E14">
            <v>41</v>
          </cell>
        </row>
        <row r="15">
          <cell r="E15">
            <v>27</v>
          </cell>
        </row>
        <row r="16">
          <cell r="E16">
            <v>29</v>
          </cell>
        </row>
        <row r="17">
          <cell r="E17">
            <v>25</v>
          </cell>
        </row>
        <row r="18">
          <cell r="E18">
            <v>23</v>
          </cell>
        </row>
        <row r="19">
          <cell r="E19">
            <v>31</v>
          </cell>
        </row>
        <row r="20">
          <cell r="E20">
            <v>30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209" refreshError="1"/>
      <sheetData sheetId="210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2015</v>
          </cell>
          <cell r="E9">
            <v>57</v>
          </cell>
        </row>
        <row r="10">
          <cell r="E10">
            <v>51</v>
          </cell>
        </row>
        <row r="11">
          <cell r="E11">
            <v>59</v>
          </cell>
        </row>
        <row r="12">
          <cell r="E12">
            <v>53</v>
          </cell>
        </row>
        <row r="13">
          <cell r="E13">
            <v>54</v>
          </cell>
        </row>
        <row r="14">
          <cell r="E14">
            <v>59</v>
          </cell>
        </row>
        <row r="15">
          <cell r="E15">
            <v>60</v>
          </cell>
        </row>
        <row r="16">
          <cell r="E16">
            <v>62</v>
          </cell>
        </row>
        <row r="17">
          <cell r="E17">
            <v>59</v>
          </cell>
        </row>
        <row r="18">
          <cell r="E18">
            <v>56</v>
          </cell>
        </row>
        <row r="19">
          <cell r="E19">
            <v>60</v>
          </cell>
        </row>
        <row r="20">
          <cell r="E20">
            <v>56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211" refreshError="1"/>
      <sheetData sheetId="212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217</v>
          </cell>
        </row>
        <row r="10">
          <cell r="E10">
            <v>248</v>
          </cell>
        </row>
        <row r="11">
          <cell r="E11">
            <v>225</v>
          </cell>
        </row>
        <row r="12">
          <cell r="E12">
            <v>241</v>
          </cell>
        </row>
        <row r="13">
          <cell r="E13">
            <v>216</v>
          </cell>
        </row>
        <row r="14">
          <cell r="E14">
            <v>247</v>
          </cell>
        </row>
        <row r="15">
          <cell r="E15">
            <v>242</v>
          </cell>
        </row>
        <row r="16">
          <cell r="E16">
            <v>213</v>
          </cell>
        </row>
        <row r="17">
          <cell r="E17">
            <v>207</v>
          </cell>
        </row>
        <row r="18">
          <cell r="E18">
            <v>217</v>
          </cell>
        </row>
        <row r="19">
          <cell r="E19">
            <v>222</v>
          </cell>
        </row>
        <row r="20">
          <cell r="E20">
            <v>221</v>
          </cell>
        </row>
        <row r="21">
          <cell r="E21">
            <v>205</v>
          </cell>
        </row>
        <row r="22">
          <cell r="E22">
            <v>232</v>
          </cell>
        </row>
        <row r="23">
          <cell r="E23">
            <v>227</v>
          </cell>
        </row>
        <row r="24">
          <cell r="E24">
            <v>0</v>
          </cell>
        </row>
        <row r="25">
          <cell r="E25">
            <v>208</v>
          </cell>
        </row>
        <row r="26">
          <cell r="E26">
            <v>195</v>
          </cell>
        </row>
        <row r="27">
          <cell r="E27">
            <v>192</v>
          </cell>
        </row>
        <row r="28">
          <cell r="E28">
            <v>156</v>
          </cell>
        </row>
        <row r="29">
          <cell r="E29">
            <v>175</v>
          </cell>
        </row>
        <row r="30">
          <cell r="E30">
            <v>172</v>
          </cell>
        </row>
        <row r="31">
          <cell r="E31">
            <v>191</v>
          </cell>
        </row>
        <row r="32">
          <cell r="E32">
            <v>221</v>
          </cell>
        </row>
        <row r="33">
          <cell r="E33">
            <v>201</v>
          </cell>
        </row>
        <row r="34">
          <cell r="E34">
            <v>189</v>
          </cell>
        </row>
        <row r="35">
          <cell r="E35">
            <v>184</v>
          </cell>
        </row>
        <row r="36">
          <cell r="E36">
            <v>195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13" refreshError="1"/>
      <sheetData sheetId="214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1142</v>
          </cell>
        </row>
        <row r="10">
          <cell r="E10">
            <v>1134</v>
          </cell>
        </row>
        <row r="11">
          <cell r="E11">
            <v>1160</v>
          </cell>
        </row>
        <row r="12">
          <cell r="E12">
            <v>1160</v>
          </cell>
        </row>
        <row r="13">
          <cell r="E13">
            <v>1130</v>
          </cell>
        </row>
        <row r="14">
          <cell r="E14">
            <v>1194</v>
          </cell>
        </row>
        <row r="15">
          <cell r="E15">
            <v>1163</v>
          </cell>
        </row>
        <row r="16">
          <cell r="E16">
            <v>1165</v>
          </cell>
        </row>
        <row r="17">
          <cell r="E17">
            <v>1139</v>
          </cell>
        </row>
        <row r="18">
          <cell r="E18">
            <v>1170</v>
          </cell>
        </row>
        <row r="19">
          <cell r="E19">
            <v>1138</v>
          </cell>
        </row>
        <row r="20">
          <cell r="E20">
            <v>1163</v>
          </cell>
        </row>
        <row r="21">
          <cell r="E21">
            <v>1194</v>
          </cell>
        </row>
        <row r="22">
          <cell r="E22">
            <v>1198</v>
          </cell>
        </row>
        <row r="23">
          <cell r="E23">
            <v>1224</v>
          </cell>
        </row>
        <row r="24">
          <cell r="E24">
            <v>0</v>
          </cell>
        </row>
        <row r="25">
          <cell r="E25">
            <v>1138</v>
          </cell>
        </row>
        <row r="26">
          <cell r="E26">
            <v>1110</v>
          </cell>
        </row>
        <row r="27">
          <cell r="E27">
            <v>1110</v>
          </cell>
        </row>
        <row r="28">
          <cell r="E28">
            <v>1105</v>
          </cell>
        </row>
        <row r="29">
          <cell r="E29">
            <v>1096</v>
          </cell>
        </row>
        <row r="30">
          <cell r="E30">
            <v>1063</v>
          </cell>
        </row>
        <row r="31">
          <cell r="E31">
            <v>1100</v>
          </cell>
        </row>
        <row r="32">
          <cell r="E32">
            <v>1122</v>
          </cell>
        </row>
        <row r="33">
          <cell r="E33">
            <v>1149</v>
          </cell>
        </row>
        <row r="34">
          <cell r="E34">
            <v>1121</v>
          </cell>
        </row>
        <row r="35">
          <cell r="E35">
            <v>1091</v>
          </cell>
        </row>
        <row r="36">
          <cell r="E36">
            <v>1114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15" refreshError="1"/>
      <sheetData sheetId="216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2318</v>
          </cell>
        </row>
        <row r="10">
          <cell r="E10">
            <v>2444</v>
          </cell>
        </row>
        <row r="11">
          <cell r="E11">
            <v>2434</v>
          </cell>
        </row>
        <row r="12">
          <cell r="E12">
            <v>2387</v>
          </cell>
        </row>
        <row r="13">
          <cell r="E13">
            <v>2503</v>
          </cell>
        </row>
        <row r="14">
          <cell r="E14">
            <v>2505</v>
          </cell>
        </row>
        <row r="15">
          <cell r="E15">
            <v>2593</v>
          </cell>
        </row>
        <row r="16">
          <cell r="E16">
            <v>2538</v>
          </cell>
        </row>
        <row r="17">
          <cell r="E17">
            <v>2615</v>
          </cell>
        </row>
        <row r="18">
          <cell r="E18">
            <v>2653</v>
          </cell>
        </row>
        <row r="19">
          <cell r="E19">
            <v>2638</v>
          </cell>
        </row>
        <row r="20">
          <cell r="E20">
            <v>2644</v>
          </cell>
        </row>
        <row r="21">
          <cell r="E21">
            <v>2690</v>
          </cell>
        </row>
        <row r="22">
          <cell r="E22">
            <v>2688</v>
          </cell>
        </row>
        <row r="23">
          <cell r="E23">
            <v>2666</v>
          </cell>
        </row>
        <row r="24">
          <cell r="E24">
            <v>0</v>
          </cell>
        </row>
        <row r="25">
          <cell r="E25">
            <v>3015</v>
          </cell>
        </row>
        <row r="26">
          <cell r="E26">
            <v>3085</v>
          </cell>
        </row>
        <row r="27">
          <cell r="E27">
            <v>3080</v>
          </cell>
        </row>
        <row r="28">
          <cell r="E28">
            <v>3238</v>
          </cell>
        </row>
        <row r="29">
          <cell r="E29">
            <v>3176</v>
          </cell>
        </row>
        <row r="30">
          <cell r="E30">
            <v>3236</v>
          </cell>
        </row>
        <row r="31">
          <cell r="E31">
            <v>3204</v>
          </cell>
        </row>
        <row r="32">
          <cell r="E32">
            <v>3192</v>
          </cell>
        </row>
        <row r="33">
          <cell r="E33">
            <v>3139</v>
          </cell>
        </row>
        <row r="34">
          <cell r="E34">
            <v>3068</v>
          </cell>
        </row>
        <row r="35">
          <cell r="E35">
            <v>3104</v>
          </cell>
        </row>
        <row r="36">
          <cell r="E36">
            <v>3106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17" refreshError="1"/>
      <sheetData sheetId="218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799</v>
          </cell>
        </row>
        <row r="10">
          <cell r="E10">
            <v>796</v>
          </cell>
        </row>
        <row r="11">
          <cell r="E11">
            <v>847</v>
          </cell>
        </row>
        <row r="12">
          <cell r="E12">
            <v>876</v>
          </cell>
        </row>
        <row r="13">
          <cell r="E13">
            <v>830</v>
          </cell>
        </row>
        <row r="14">
          <cell r="E14">
            <v>853</v>
          </cell>
        </row>
        <row r="15">
          <cell r="E15">
            <v>847</v>
          </cell>
        </row>
        <row r="16">
          <cell r="E16">
            <v>843</v>
          </cell>
        </row>
        <row r="17">
          <cell r="E17">
            <v>818</v>
          </cell>
        </row>
        <row r="18">
          <cell r="E18">
            <v>794</v>
          </cell>
        </row>
        <row r="19">
          <cell r="E19">
            <v>830</v>
          </cell>
        </row>
        <row r="20">
          <cell r="E20">
            <v>785</v>
          </cell>
        </row>
        <row r="21">
          <cell r="E21">
            <v>777</v>
          </cell>
        </row>
        <row r="22">
          <cell r="E22">
            <v>764</v>
          </cell>
        </row>
        <row r="23">
          <cell r="E23">
            <v>737</v>
          </cell>
        </row>
        <row r="24">
          <cell r="E24">
            <v>0</v>
          </cell>
        </row>
        <row r="25">
          <cell r="E25">
            <v>535</v>
          </cell>
        </row>
        <row r="26">
          <cell r="E26">
            <v>500</v>
          </cell>
        </row>
        <row r="27">
          <cell r="E27">
            <v>461</v>
          </cell>
        </row>
        <row r="28">
          <cell r="E28">
            <v>372</v>
          </cell>
        </row>
        <row r="29">
          <cell r="E29">
            <v>435</v>
          </cell>
        </row>
        <row r="30">
          <cell r="E30">
            <v>381</v>
          </cell>
        </row>
        <row r="31">
          <cell r="E31">
            <v>390</v>
          </cell>
        </row>
        <row r="32">
          <cell r="E32">
            <v>411</v>
          </cell>
        </row>
        <row r="33">
          <cell r="E33">
            <v>395</v>
          </cell>
        </row>
        <row r="34">
          <cell r="E34">
            <v>390</v>
          </cell>
        </row>
        <row r="35">
          <cell r="E35">
            <v>369</v>
          </cell>
        </row>
        <row r="36">
          <cell r="E36">
            <v>376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19" refreshError="1"/>
      <sheetData sheetId="220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973</v>
          </cell>
        </row>
        <row r="10">
          <cell r="E10">
            <v>889</v>
          </cell>
        </row>
        <row r="11">
          <cell r="E11">
            <v>821</v>
          </cell>
        </row>
        <row r="12">
          <cell r="E12">
            <v>894</v>
          </cell>
        </row>
        <row r="13">
          <cell r="E13">
            <v>899</v>
          </cell>
        </row>
        <row r="14">
          <cell r="E14">
            <v>825</v>
          </cell>
        </row>
        <row r="15">
          <cell r="E15">
            <v>819</v>
          </cell>
        </row>
        <row r="16">
          <cell r="E16">
            <v>927</v>
          </cell>
        </row>
        <row r="17">
          <cell r="E17">
            <v>840</v>
          </cell>
        </row>
        <row r="18">
          <cell r="E18">
            <v>778</v>
          </cell>
        </row>
        <row r="19">
          <cell r="E19">
            <v>760</v>
          </cell>
        </row>
        <row r="20">
          <cell r="E20">
            <v>826</v>
          </cell>
        </row>
        <row r="21">
          <cell r="E21">
            <v>799</v>
          </cell>
        </row>
        <row r="22">
          <cell r="E22">
            <v>729</v>
          </cell>
        </row>
        <row r="23">
          <cell r="E23">
            <v>702</v>
          </cell>
        </row>
        <row r="24">
          <cell r="E24">
            <v>0</v>
          </cell>
        </row>
        <row r="25">
          <cell r="E25">
            <v>778</v>
          </cell>
        </row>
        <row r="26">
          <cell r="E26">
            <v>739</v>
          </cell>
        </row>
        <row r="27">
          <cell r="E27">
            <v>704</v>
          </cell>
        </row>
        <row r="28">
          <cell r="E28">
            <v>694</v>
          </cell>
        </row>
        <row r="29">
          <cell r="E29">
            <v>703</v>
          </cell>
        </row>
        <row r="30">
          <cell r="E30">
            <v>710</v>
          </cell>
        </row>
        <row r="31">
          <cell r="E31">
            <v>688</v>
          </cell>
        </row>
        <row r="32">
          <cell r="E32">
            <v>668</v>
          </cell>
        </row>
        <row r="33">
          <cell r="E33">
            <v>722</v>
          </cell>
        </row>
        <row r="34">
          <cell r="E34">
            <v>719</v>
          </cell>
        </row>
        <row r="35">
          <cell r="E35">
            <v>698</v>
          </cell>
        </row>
        <row r="36">
          <cell r="E36">
            <v>683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21" refreshError="1"/>
      <sheetData sheetId="222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213</v>
          </cell>
        </row>
        <row r="10">
          <cell r="E10">
            <v>242</v>
          </cell>
        </row>
        <row r="11">
          <cell r="E11">
            <v>219</v>
          </cell>
        </row>
        <row r="12">
          <cell r="E12">
            <v>235</v>
          </cell>
        </row>
        <row r="13">
          <cell r="E13">
            <v>213</v>
          </cell>
        </row>
        <row r="14">
          <cell r="E14">
            <v>243</v>
          </cell>
        </row>
        <row r="15">
          <cell r="E15">
            <v>237</v>
          </cell>
        </row>
        <row r="16">
          <cell r="E16">
            <v>206</v>
          </cell>
        </row>
        <row r="17">
          <cell r="E17">
            <v>199</v>
          </cell>
        </row>
        <row r="18">
          <cell r="E18">
            <v>211</v>
          </cell>
        </row>
        <row r="19">
          <cell r="E19">
            <v>218</v>
          </cell>
        </row>
        <row r="20">
          <cell r="E20">
            <v>214</v>
          </cell>
        </row>
        <row r="21">
          <cell r="E21">
            <v>201</v>
          </cell>
        </row>
        <row r="22">
          <cell r="E22">
            <v>223</v>
          </cell>
        </row>
        <row r="23">
          <cell r="E23">
            <v>221</v>
          </cell>
        </row>
        <row r="24">
          <cell r="E24">
            <v>0</v>
          </cell>
        </row>
        <row r="25">
          <cell r="E25">
            <v>198</v>
          </cell>
        </row>
        <row r="26">
          <cell r="E26">
            <v>192</v>
          </cell>
        </row>
        <row r="27">
          <cell r="E27">
            <v>187</v>
          </cell>
        </row>
        <row r="28">
          <cell r="E28">
            <v>153</v>
          </cell>
        </row>
        <row r="29">
          <cell r="E29">
            <v>173</v>
          </cell>
        </row>
        <row r="30">
          <cell r="E30">
            <v>169</v>
          </cell>
        </row>
        <row r="31">
          <cell r="E31">
            <v>188</v>
          </cell>
        </row>
        <row r="32">
          <cell r="E32">
            <v>215</v>
          </cell>
        </row>
        <row r="33">
          <cell r="E33">
            <v>192</v>
          </cell>
        </row>
        <row r="34">
          <cell r="E34">
            <v>185</v>
          </cell>
        </row>
        <row r="35">
          <cell r="E35">
            <v>179</v>
          </cell>
        </row>
        <row r="36">
          <cell r="E36">
            <v>190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23" refreshError="1"/>
      <sheetData sheetId="224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1061</v>
          </cell>
        </row>
        <row r="10">
          <cell r="E10">
            <v>1051</v>
          </cell>
        </row>
        <row r="11">
          <cell r="E11">
            <v>1077</v>
          </cell>
        </row>
        <row r="12">
          <cell r="E12">
            <v>1076</v>
          </cell>
        </row>
        <row r="13">
          <cell r="E13">
            <v>1045</v>
          </cell>
        </row>
        <row r="14">
          <cell r="E14">
            <v>1106</v>
          </cell>
        </row>
        <row r="15">
          <cell r="E15">
            <v>1078</v>
          </cell>
        </row>
        <row r="16">
          <cell r="E16">
            <v>1064</v>
          </cell>
        </row>
        <row r="17">
          <cell r="E17">
            <v>1057</v>
          </cell>
        </row>
        <row r="18">
          <cell r="E18">
            <v>1086</v>
          </cell>
        </row>
        <row r="19">
          <cell r="E19">
            <v>1053</v>
          </cell>
        </row>
        <row r="20">
          <cell r="E20">
            <v>1079</v>
          </cell>
        </row>
        <row r="21">
          <cell r="E21">
            <v>1094</v>
          </cell>
        </row>
        <row r="22">
          <cell r="E22">
            <v>1111</v>
          </cell>
        </row>
        <row r="23">
          <cell r="E23">
            <v>1130</v>
          </cell>
        </row>
        <row r="24">
          <cell r="E24">
            <v>0</v>
          </cell>
        </row>
        <row r="25">
          <cell r="E25">
            <v>1057</v>
          </cell>
        </row>
        <row r="26">
          <cell r="E26">
            <v>1026</v>
          </cell>
        </row>
        <row r="27">
          <cell r="E27">
            <v>1040</v>
          </cell>
        </row>
        <row r="28">
          <cell r="E28">
            <v>1024</v>
          </cell>
        </row>
        <row r="29">
          <cell r="E29">
            <v>1017</v>
          </cell>
        </row>
        <row r="30">
          <cell r="E30">
            <v>979</v>
          </cell>
        </row>
        <row r="31">
          <cell r="E31">
            <v>1016</v>
          </cell>
        </row>
        <row r="32">
          <cell r="E32">
            <v>1040</v>
          </cell>
        </row>
        <row r="33">
          <cell r="E33">
            <v>1066</v>
          </cell>
        </row>
        <row r="34">
          <cell r="E34">
            <v>1037</v>
          </cell>
        </row>
        <row r="35">
          <cell r="E35">
            <v>1006</v>
          </cell>
        </row>
        <row r="36">
          <cell r="E36">
            <v>1029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25" refreshError="1"/>
      <sheetData sheetId="226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2299</v>
          </cell>
        </row>
        <row r="10">
          <cell r="E10">
            <v>2421</v>
          </cell>
        </row>
        <row r="11">
          <cell r="E11">
            <v>2416</v>
          </cell>
        </row>
        <row r="12">
          <cell r="E12">
            <v>2373</v>
          </cell>
        </row>
        <row r="13">
          <cell r="E13">
            <v>2476</v>
          </cell>
        </row>
        <row r="14">
          <cell r="E14">
            <v>2484</v>
          </cell>
        </row>
        <row r="15">
          <cell r="E15">
            <v>2557</v>
          </cell>
        </row>
        <row r="16">
          <cell r="E16">
            <v>2513</v>
          </cell>
        </row>
        <row r="17">
          <cell r="E17">
            <v>2583</v>
          </cell>
        </row>
        <row r="18">
          <cell r="E18">
            <v>2621</v>
          </cell>
        </row>
        <row r="19">
          <cell r="E19">
            <v>2610</v>
          </cell>
        </row>
        <row r="20">
          <cell r="E20">
            <v>2627</v>
          </cell>
        </row>
        <row r="21">
          <cell r="E21">
            <v>2665</v>
          </cell>
        </row>
        <row r="22">
          <cell r="E22">
            <v>2670</v>
          </cell>
        </row>
        <row r="23">
          <cell r="E23">
            <v>2649</v>
          </cell>
        </row>
        <row r="24">
          <cell r="E24">
            <v>0</v>
          </cell>
        </row>
        <row r="25">
          <cell r="E25">
            <v>2984</v>
          </cell>
        </row>
        <row r="26">
          <cell r="E26">
            <v>3061</v>
          </cell>
        </row>
        <row r="27">
          <cell r="E27">
            <v>3038</v>
          </cell>
        </row>
        <row r="28">
          <cell r="E28">
            <v>3208</v>
          </cell>
        </row>
        <row r="29">
          <cell r="E29">
            <v>3148</v>
          </cell>
        </row>
        <row r="30">
          <cell r="E30">
            <v>3215</v>
          </cell>
        </row>
        <row r="31">
          <cell r="E31">
            <v>3167</v>
          </cell>
        </row>
        <row r="32">
          <cell r="E32">
            <v>3154</v>
          </cell>
        </row>
        <row r="33">
          <cell r="E33">
            <v>3111</v>
          </cell>
        </row>
        <row r="34">
          <cell r="E34">
            <v>3033</v>
          </cell>
        </row>
        <row r="35">
          <cell r="E35">
            <v>3058</v>
          </cell>
        </row>
        <row r="36">
          <cell r="E36">
            <v>3067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27" refreshError="1"/>
      <sheetData sheetId="228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799</v>
          </cell>
        </row>
        <row r="10">
          <cell r="E10">
            <v>795</v>
          </cell>
        </row>
        <row r="11">
          <cell r="E11">
            <v>849</v>
          </cell>
        </row>
        <row r="12">
          <cell r="E12">
            <v>881</v>
          </cell>
        </row>
        <row r="13">
          <cell r="E13">
            <v>832</v>
          </cell>
        </row>
        <row r="14">
          <cell r="E14">
            <v>850</v>
          </cell>
        </row>
        <row r="15">
          <cell r="E15">
            <v>847</v>
          </cell>
        </row>
        <row r="16">
          <cell r="E16">
            <v>845</v>
          </cell>
        </row>
        <row r="17">
          <cell r="E17">
            <v>810</v>
          </cell>
        </row>
        <row r="18">
          <cell r="E18">
            <v>800</v>
          </cell>
        </row>
        <row r="19">
          <cell r="E19">
            <v>835</v>
          </cell>
        </row>
        <row r="20">
          <cell r="E20">
            <v>789</v>
          </cell>
        </row>
        <row r="21">
          <cell r="E21">
            <v>787</v>
          </cell>
        </row>
        <row r="22">
          <cell r="E22">
            <v>762</v>
          </cell>
        </row>
        <row r="23">
          <cell r="E23">
            <v>745</v>
          </cell>
        </row>
        <row r="24">
          <cell r="E24">
            <v>0</v>
          </cell>
        </row>
        <row r="25">
          <cell r="E25">
            <v>540</v>
          </cell>
        </row>
        <row r="26">
          <cell r="E26">
            <v>511</v>
          </cell>
        </row>
        <row r="27">
          <cell r="E27">
            <v>474</v>
          </cell>
        </row>
        <row r="28">
          <cell r="E28">
            <v>386</v>
          </cell>
        </row>
        <row r="29">
          <cell r="E29">
            <v>448</v>
          </cell>
        </row>
        <row r="30">
          <cell r="E30">
            <v>390</v>
          </cell>
        </row>
        <row r="31">
          <cell r="E31">
            <v>402</v>
          </cell>
        </row>
        <row r="32">
          <cell r="E32">
            <v>425</v>
          </cell>
        </row>
        <row r="33">
          <cell r="E33">
            <v>406</v>
          </cell>
        </row>
        <row r="34">
          <cell r="E34">
            <v>397</v>
          </cell>
        </row>
        <row r="35">
          <cell r="E35">
            <v>383</v>
          </cell>
        </row>
        <row r="36">
          <cell r="E36">
            <v>386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29" refreshError="1"/>
      <sheetData sheetId="230">
        <row r="5">
          <cell r="E5">
            <v>2</v>
          </cell>
        </row>
        <row r="6">
          <cell r="E6">
            <v>0</v>
          </cell>
        </row>
        <row r="7">
          <cell r="E7" t="str">
            <v>Estimativa
(em milhares)</v>
          </cell>
        </row>
        <row r="8">
          <cell r="E8">
            <v>0</v>
          </cell>
        </row>
        <row r="9">
          <cell r="A9" t="str">
            <v>2012</v>
          </cell>
          <cell r="E9">
            <v>1077</v>
          </cell>
        </row>
        <row r="10">
          <cell r="E10">
            <v>1001</v>
          </cell>
        </row>
        <row r="11">
          <cell r="E11">
            <v>925</v>
          </cell>
        </row>
        <row r="12">
          <cell r="E12">
            <v>993</v>
          </cell>
        </row>
        <row r="13">
          <cell r="E13">
            <v>1011</v>
          </cell>
        </row>
        <row r="14">
          <cell r="E14">
            <v>941</v>
          </cell>
        </row>
        <row r="15">
          <cell r="E15">
            <v>945</v>
          </cell>
        </row>
        <row r="16">
          <cell r="E16">
            <v>1058</v>
          </cell>
        </row>
        <row r="17">
          <cell r="E17">
            <v>971</v>
          </cell>
        </row>
        <row r="18">
          <cell r="E18">
            <v>895</v>
          </cell>
        </row>
        <row r="19">
          <cell r="E19">
            <v>872</v>
          </cell>
        </row>
        <row r="20">
          <cell r="E20">
            <v>930</v>
          </cell>
        </row>
        <row r="21">
          <cell r="E21">
            <v>918</v>
          </cell>
        </row>
        <row r="22">
          <cell r="E22">
            <v>844</v>
          </cell>
        </row>
        <row r="23">
          <cell r="E23">
            <v>811</v>
          </cell>
        </row>
        <row r="24">
          <cell r="E24">
            <v>0</v>
          </cell>
        </row>
        <row r="25">
          <cell r="E25">
            <v>894</v>
          </cell>
        </row>
        <row r="26">
          <cell r="E26">
            <v>840</v>
          </cell>
        </row>
        <row r="27">
          <cell r="E27">
            <v>808</v>
          </cell>
        </row>
        <row r="28">
          <cell r="E28">
            <v>794</v>
          </cell>
        </row>
        <row r="29">
          <cell r="E29">
            <v>800</v>
          </cell>
        </row>
        <row r="30">
          <cell r="E30">
            <v>809</v>
          </cell>
        </row>
        <row r="31">
          <cell r="E31">
            <v>801</v>
          </cell>
        </row>
        <row r="32">
          <cell r="E32">
            <v>780</v>
          </cell>
        </row>
        <row r="33">
          <cell r="E33">
            <v>831</v>
          </cell>
        </row>
        <row r="34">
          <cell r="E34">
            <v>834</v>
          </cell>
        </row>
        <row r="35">
          <cell r="E35">
            <v>819</v>
          </cell>
        </row>
        <row r="36">
          <cell r="E36">
            <v>801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</sheetData>
      <sheetData sheetId="23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emprego ---&gt;"/>
      <sheetName val="G 4.1 - T 4.1 - T 4.2"/>
      <sheetName val="G 4.2"/>
      <sheetName val="PNEA RS - Idade"/>
      <sheetName val="PO e Informalidade ---&gt;"/>
      <sheetName val="T 4.3"/>
      <sheetName val="PO - BR e RS - Séries"/>
      <sheetName val="CAGED ---&gt;"/>
      <sheetName val="T 4.4"/>
      <sheetName val="CAGED RS"/>
      <sheetName val="Renda ---&gt;"/>
      <sheetName val="Renda BR - 80 - Tabela 39"/>
      <sheetName val="Renda RS - 80 - Tabela 39"/>
      <sheetName val="G 4.4 - G 4.5"/>
      <sheetName val="Projeções ---&gt;"/>
      <sheetName val="T 4.5 - T 4.6"/>
      <sheetName val="G 4.6 - G 4.7"/>
      <sheetName val="Desemprego BR"/>
      <sheetName val="Desemprego RS"/>
      <sheetName val="PO - BR e RS"/>
      <sheetName val="CAGED BR"/>
      <sheetName val="Renda BR e RS"/>
      <sheetName val="Projeções 2019"/>
      <sheetName val="Desalentados"/>
    </sheetNames>
    <sheetDataSet>
      <sheetData sheetId="0" refreshError="1"/>
      <sheetData sheetId="1"/>
      <sheetData sheetId="2">
        <row r="4">
          <cell r="A4">
            <v>2012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  <cell r="E5">
            <v>2</v>
          </cell>
          <cell r="R5">
            <v>2</v>
          </cell>
        </row>
        <row r="6">
          <cell r="D6">
            <v>0</v>
          </cell>
          <cell r="R6">
            <v>0</v>
          </cell>
        </row>
        <row r="7">
          <cell r="D7" t="str">
            <v>Código da série</v>
          </cell>
          <cell r="E7" t="str">
            <v>Estimativa nominal
(em R$)</v>
          </cell>
          <cell r="R7" t="str">
            <v>Estimativa real2
(em R$)</v>
          </cell>
        </row>
        <row r="8">
          <cell r="D8" t="str">
            <v>Tri</v>
          </cell>
          <cell r="E8">
            <v>0</v>
          </cell>
          <cell r="R8">
            <v>0</v>
          </cell>
        </row>
        <row r="9">
          <cell r="A9" t="str">
            <v>2012</v>
          </cell>
          <cell r="D9">
            <v>1</v>
          </cell>
          <cell r="E9">
            <v>1433</v>
          </cell>
          <cell r="R9">
            <v>2112</v>
          </cell>
        </row>
        <row r="10">
          <cell r="D10">
            <v>2</v>
          </cell>
          <cell r="E10">
            <v>1447</v>
          </cell>
          <cell r="R10">
            <v>2123</v>
          </cell>
        </row>
        <row r="11">
          <cell r="D11">
            <v>3</v>
          </cell>
          <cell r="E11">
            <v>1447</v>
          </cell>
          <cell r="R11">
            <v>2114</v>
          </cell>
        </row>
        <row r="12">
          <cell r="D12">
            <v>1</v>
          </cell>
          <cell r="E12">
            <v>1453</v>
          </cell>
          <cell r="R12">
            <v>2116</v>
          </cell>
        </row>
        <row r="13">
          <cell r="D13">
            <v>2</v>
          </cell>
          <cell r="E13">
            <v>1466</v>
          </cell>
          <cell r="R13">
            <v>2129</v>
          </cell>
        </row>
        <row r="14">
          <cell r="D14">
            <v>3</v>
          </cell>
          <cell r="E14">
            <v>1475</v>
          </cell>
          <cell r="R14">
            <v>2135</v>
          </cell>
        </row>
        <row r="15">
          <cell r="D15">
            <v>1</v>
          </cell>
          <cell r="E15">
            <v>1480</v>
          </cell>
          <cell r="R15">
            <v>2132</v>
          </cell>
        </row>
        <row r="16">
          <cell r="D16">
            <v>2</v>
          </cell>
          <cell r="E16">
            <v>1485</v>
          </cell>
          <cell r="R16">
            <v>2128</v>
          </cell>
        </row>
        <row r="17">
          <cell r="D17">
            <v>3</v>
          </cell>
          <cell r="E17">
            <v>1492</v>
          </cell>
          <cell r="R17">
            <v>2126</v>
          </cell>
        </row>
        <row r="18">
          <cell r="D18">
            <v>1</v>
          </cell>
          <cell r="E18">
            <v>1500</v>
          </cell>
          <cell r="R18">
            <v>2123</v>
          </cell>
        </row>
        <row r="19">
          <cell r="D19">
            <v>2</v>
          </cell>
          <cell r="E19">
            <v>1517</v>
          </cell>
          <cell r="R19">
            <v>2132</v>
          </cell>
        </row>
        <row r="20">
          <cell r="D20">
            <v>3</v>
          </cell>
          <cell r="E20">
            <v>1539</v>
          </cell>
          <cell r="R20">
            <v>2146</v>
          </cell>
        </row>
        <row r="21">
          <cell r="D21">
            <v>1</v>
          </cell>
          <cell r="E21">
            <v>1557</v>
          </cell>
          <cell r="R21">
            <v>2158</v>
          </cell>
        </row>
        <row r="22">
          <cell r="D22">
            <v>2</v>
          </cell>
          <cell r="E22">
            <v>1570</v>
          </cell>
          <cell r="R22">
            <v>2163</v>
          </cell>
        </row>
        <row r="23">
          <cell r="D23">
            <v>3</v>
          </cell>
          <cell r="E23">
            <v>1586</v>
          </cell>
          <cell r="R23">
            <v>2175</v>
          </cell>
        </row>
        <row r="24">
          <cell r="D24">
            <v>1</v>
          </cell>
          <cell r="E24">
            <v>1605</v>
          </cell>
          <cell r="R24">
            <v>2194</v>
          </cell>
        </row>
        <row r="25">
          <cell r="D25">
            <v>2</v>
          </cell>
          <cell r="E25">
            <v>1619</v>
          </cell>
          <cell r="R25">
            <v>2208</v>
          </cell>
        </row>
        <row r="26">
          <cell r="D26">
            <v>3</v>
          </cell>
          <cell r="E26">
            <v>1625</v>
          </cell>
          <cell r="R26">
            <v>2213</v>
          </cell>
        </row>
        <row r="27">
          <cell r="D27">
            <v>1</v>
          </cell>
          <cell r="E27">
            <v>1629</v>
          </cell>
          <cell r="R27">
            <v>2213</v>
          </cell>
        </row>
        <row r="28">
          <cell r="D28">
            <v>2</v>
          </cell>
          <cell r="E28">
            <v>1640</v>
          </cell>
          <cell r="R28">
            <v>2219</v>
          </cell>
        </row>
        <row r="29">
          <cell r="D29">
            <v>3</v>
          </cell>
          <cell r="E29">
            <v>1643</v>
          </cell>
          <cell r="R29">
            <v>2213</v>
          </cell>
        </row>
        <row r="30">
          <cell r="D30">
            <v>1</v>
          </cell>
          <cell r="E30">
            <v>1642</v>
          </cell>
          <cell r="R30">
            <v>2196</v>
          </cell>
        </row>
        <row r="31">
          <cell r="D31">
            <v>2</v>
          </cell>
          <cell r="E31">
            <v>1652</v>
          </cell>
          <cell r="R31">
            <v>2195</v>
          </cell>
        </row>
        <row r="32">
          <cell r="D32">
            <v>3</v>
          </cell>
          <cell r="E32">
            <v>1679</v>
          </cell>
          <cell r="R32">
            <v>2215</v>
          </cell>
        </row>
        <row r="33">
          <cell r="D33">
            <v>1</v>
          </cell>
          <cell r="E33">
            <v>1708</v>
          </cell>
          <cell r="R33">
            <v>2238</v>
          </cell>
        </row>
        <row r="34">
          <cell r="D34">
            <v>2</v>
          </cell>
          <cell r="E34">
            <v>1722</v>
          </cell>
          <cell r="R34">
            <v>2239</v>
          </cell>
        </row>
        <row r="35">
          <cell r="D35">
            <v>3</v>
          </cell>
          <cell r="E35">
            <v>1729</v>
          </cell>
          <cell r="R35">
            <v>2233</v>
          </cell>
        </row>
        <row r="36">
          <cell r="D36">
            <v>1</v>
          </cell>
          <cell r="E36">
            <v>1710</v>
          </cell>
          <cell r="R36">
            <v>2197</v>
          </cell>
        </row>
        <row r="37">
          <cell r="D37">
            <v>2</v>
          </cell>
          <cell r="E37">
            <v>1693</v>
          </cell>
          <cell r="R37">
            <v>2169</v>
          </cell>
        </row>
        <row r="38">
          <cell r="D38">
            <v>3</v>
          </cell>
          <cell r="E38">
            <v>1702</v>
          </cell>
          <cell r="R38">
            <v>2175</v>
          </cell>
        </row>
        <row r="39">
          <cell r="D39">
            <v>1</v>
          </cell>
          <cell r="E39">
            <v>1725</v>
          </cell>
          <cell r="R39">
            <v>2199</v>
          </cell>
        </row>
        <row r="40">
          <cell r="D40">
            <v>2</v>
          </cell>
          <cell r="E40">
            <v>1748</v>
          </cell>
          <cell r="R40">
            <v>2218</v>
          </cell>
        </row>
        <row r="41">
          <cell r="D41">
            <v>3</v>
          </cell>
          <cell r="E41">
            <v>1749</v>
          </cell>
          <cell r="R41">
            <v>2209</v>
          </cell>
        </row>
        <row r="42">
          <cell r="D42">
            <v>1</v>
          </cell>
          <cell r="E42">
            <v>1767</v>
          </cell>
          <cell r="R42">
            <v>2220</v>
          </cell>
        </row>
        <row r="43">
          <cell r="D43">
            <v>2</v>
          </cell>
          <cell r="E43">
            <v>1796</v>
          </cell>
          <cell r="R43">
            <v>2236</v>
          </cell>
        </row>
        <row r="44">
          <cell r="D44">
            <v>3</v>
          </cell>
          <cell r="E44">
            <v>1817</v>
          </cell>
          <cell r="R44">
            <v>2239</v>
          </cell>
        </row>
        <row r="45">
          <cell r="D45">
            <v>1</v>
          </cell>
          <cell r="E45">
            <v>1840</v>
          </cell>
          <cell r="R45">
            <v>2239</v>
          </cell>
        </row>
        <row r="46">
          <cell r="D46">
            <v>2</v>
          </cell>
          <cell r="E46">
            <v>1855</v>
          </cell>
          <cell r="R46">
            <v>2234</v>
          </cell>
        </row>
        <row r="47">
          <cell r="D47">
            <v>3</v>
          </cell>
          <cell r="E47">
            <v>1863</v>
          </cell>
          <cell r="R47">
            <v>2223</v>
          </cell>
        </row>
        <row r="48">
          <cell r="D48">
            <v>1</v>
          </cell>
          <cell r="E48">
            <v>1882</v>
          </cell>
          <cell r="R48">
            <v>2229</v>
          </cell>
        </row>
        <row r="49">
          <cell r="D49">
            <v>2</v>
          </cell>
          <cell r="E49">
            <v>1881</v>
          </cell>
          <cell r="R49">
            <v>2212</v>
          </cell>
        </row>
        <row r="50">
          <cell r="D50">
            <v>3</v>
          </cell>
          <cell r="E50">
            <v>1882</v>
          </cell>
          <cell r="R50">
            <v>2201</v>
          </cell>
        </row>
        <row r="51">
          <cell r="D51">
            <v>1</v>
          </cell>
          <cell r="E51">
            <v>1889</v>
          </cell>
          <cell r="R51">
            <v>2199</v>
          </cell>
        </row>
        <row r="52">
          <cell r="D52">
            <v>2</v>
          </cell>
          <cell r="E52">
            <v>1892</v>
          </cell>
          <cell r="R52">
            <v>2190</v>
          </cell>
        </row>
        <row r="53">
          <cell r="D53">
            <v>3</v>
          </cell>
          <cell r="E53">
            <v>1892</v>
          </cell>
          <cell r="R53">
            <v>2174</v>
          </cell>
        </row>
        <row r="54">
          <cell r="D54">
            <v>1</v>
          </cell>
          <cell r="E54">
            <v>1901</v>
          </cell>
          <cell r="R54">
            <v>2163</v>
          </cell>
        </row>
        <row r="55">
          <cell r="D55">
            <v>2</v>
          </cell>
          <cell r="E55">
            <v>1926</v>
          </cell>
          <cell r="R55">
            <v>2169</v>
          </cell>
        </row>
        <row r="56">
          <cell r="D56">
            <v>3</v>
          </cell>
          <cell r="E56">
            <v>1934</v>
          </cell>
          <cell r="R56">
            <v>2155</v>
          </cell>
        </row>
        <row r="57">
          <cell r="D57">
            <v>1</v>
          </cell>
          <cell r="E57">
            <v>1966</v>
          </cell>
          <cell r="R57">
            <v>2172</v>
          </cell>
        </row>
        <row r="58">
          <cell r="D58">
            <v>2</v>
          </cell>
          <cell r="E58">
            <v>1962</v>
          </cell>
          <cell r="R58">
            <v>2154</v>
          </cell>
        </row>
        <row r="59">
          <cell r="D59">
            <v>3</v>
          </cell>
          <cell r="E59">
            <v>1982</v>
          </cell>
          <cell r="R59">
            <v>2162</v>
          </cell>
        </row>
        <row r="60">
          <cell r="D60">
            <v>1</v>
          </cell>
          <cell r="E60">
            <v>1972</v>
          </cell>
          <cell r="R60">
            <v>2139</v>
          </cell>
        </row>
        <row r="61">
          <cell r="D61">
            <v>2</v>
          </cell>
          <cell r="E61">
            <v>1985</v>
          </cell>
          <cell r="R61">
            <v>2142</v>
          </cell>
        </row>
        <row r="62">
          <cell r="D62">
            <v>3</v>
          </cell>
          <cell r="E62">
            <v>2011</v>
          </cell>
          <cell r="R62">
            <v>2161</v>
          </cell>
        </row>
        <row r="63">
          <cell r="D63">
            <v>1</v>
          </cell>
          <cell r="E63">
            <v>2015</v>
          </cell>
          <cell r="R63">
            <v>2158</v>
          </cell>
        </row>
        <row r="64">
          <cell r="D64">
            <v>2</v>
          </cell>
          <cell r="E64">
            <v>2025</v>
          </cell>
          <cell r="R64">
            <v>2162</v>
          </cell>
        </row>
        <row r="65">
          <cell r="D65">
            <v>3</v>
          </cell>
          <cell r="E65">
            <v>2032</v>
          </cell>
          <cell r="R65">
            <v>2165</v>
          </cell>
        </row>
        <row r="66">
          <cell r="D66">
            <v>1</v>
          </cell>
          <cell r="E66">
            <v>2062</v>
          </cell>
          <cell r="R66">
            <v>2192</v>
          </cell>
        </row>
        <row r="67">
          <cell r="D67">
            <v>2</v>
          </cell>
          <cell r="E67">
            <v>2075</v>
          </cell>
          <cell r="R67">
            <v>2200</v>
          </cell>
        </row>
        <row r="68">
          <cell r="D68">
            <v>3</v>
          </cell>
          <cell r="E68">
            <v>2087</v>
          </cell>
          <cell r="R68">
            <v>2206</v>
          </cell>
        </row>
        <row r="69">
          <cell r="D69">
            <v>1</v>
          </cell>
          <cell r="E69">
            <v>2110</v>
          </cell>
          <cell r="R69">
            <v>2223</v>
          </cell>
        </row>
        <row r="70">
          <cell r="D70">
            <v>2</v>
          </cell>
          <cell r="E70">
            <v>2107</v>
          </cell>
          <cell r="R70">
            <v>2214</v>
          </cell>
        </row>
        <row r="71">
          <cell r="D71">
            <v>3</v>
          </cell>
          <cell r="E71">
            <v>2109</v>
          </cell>
          <cell r="R71">
            <v>2211</v>
          </cell>
        </row>
        <row r="72">
          <cell r="D72">
            <v>1</v>
          </cell>
          <cell r="E72">
            <v>2104</v>
          </cell>
          <cell r="R72">
            <v>2204</v>
          </cell>
        </row>
        <row r="73">
          <cell r="D73">
            <v>2</v>
          </cell>
          <cell r="E73">
            <v>2106</v>
          </cell>
          <cell r="R73">
            <v>2204</v>
          </cell>
        </row>
        <row r="74">
          <cell r="D74">
            <v>3</v>
          </cell>
          <cell r="E74">
            <v>2105</v>
          </cell>
          <cell r="R74">
            <v>2201</v>
          </cell>
        </row>
        <row r="75">
          <cell r="D75">
            <v>1</v>
          </cell>
          <cell r="E75">
            <v>2115</v>
          </cell>
          <cell r="R75">
            <v>2208</v>
          </cell>
        </row>
        <row r="76">
          <cell r="D76">
            <v>2</v>
          </cell>
          <cell r="E76">
            <v>2127</v>
          </cell>
          <cell r="R76">
            <v>2214</v>
          </cell>
        </row>
        <row r="77">
          <cell r="D77">
            <v>3</v>
          </cell>
          <cell r="E77">
            <v>2142</v>
          </cell>
          <cell r="R77">
            <v>2223</v>
          </cell>
        </row>
        <row r="78">
          <cell r="D78">
            <v>1</v>
          </cell>
          <cell r="E78">
            <v>2154</v>
          </cell>
          <cell r="R78">
            <v>2227</v>
          </cell>
        </row>
        <row r="79">
          <cell r="D79">
            <v>2</v>
          </cell>
          <cell r="E79">
            <v>2169</v>
          </cell>
          <cell r="R79">
            <v>2235</v>
          </cell>
        </row>
        <row r="80">
          <cell r="D80">
            <v>3</v>
          </cell>
          <cell r="E80">
            <v>2186</v>
          </cell>
          <cell r="R80">
            <v>2245</v>
          </cell>
        </row>
        <row r="81">
          <cell r="D81">
            <v>1</v>
          </cell>
          <cell r="E81">
            <v>2169</v>
          </cell>
          <cell r="R81">
            <v>2223</v>
          </cell>
        </row>
        <row r="82">
          <cell r="D82">
            <v>2</v>
          </cell>
          <cell r="E82">
            <v>2182</v>
          </cell>
          <cell r="R82">
            <v>2231</v>
          </cell>
        </row>
        <row r="83">
          <cell r="D83">
            <v>3</v>
          </cell>
          <cell r="E83">
            <v>2187</v>
          </cell>
          <cell r="R83">
            <v>2231</v>
          </cell>
        </row>
        <row r="84">
          <cell r="D84">
            <v>1</v>
          </cell>
          <cell r="E84">
            <v>2198</v>
          </cell>
          <cell r="R84">
            <v>2229</v>
          </cell>
        </row>
        <row r="85">
          <cell r="D85">
            <v>2</v>
          </cell>
          <cell r="E85">
            <v>2205</v>
          </cell>
          <cell r="R85">
            <v>2221</v>
          </cell>
        </row>
        <row r="86">
          <cell r="D86">
            <v>3</v>
          </cell>
          <cell r="E86">
            <v>2225</v>
          </cell>
          <cell r="R86">
            <v>2230</v>
          </cell>
        </row>
        <row r="87">
          <cell r="D87">
            <v>1</v>
          </cell>
          <cell r="E87">
            <v>2222</v>
          </cell>
          <cell r="R87">
            <v>2222</v>
          </cell>
        </row>
        <row r="88">
          <cell r="D88">
            <v>0</v>
          </cell>
          <cell r="E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R90">
            <v>0</v>
          </cell>
        </row>
        <row r="91">
          <cell r="D91">
            <v>0</v>
          </cell>
          <cell r="E91">
            <v>0</v>
          </cell>
          <cell r="R91">
            <v>0</v>
          </cell>
        </row>
        <row r="92">
          <cell r="D92">
            <v>0</v>
          </cell>
          <cell r="E92">
            <v>0</v>
          </cell>
          <cell r="R92">
            <v>0</v>
          </cell>
        </row>
        <row r="93">
          <cell r="D93">
            <v>0</v>
          </cell>
          <cell r="E93">
            <v>0</v>
          </cell>
          <cell r="R93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as_de_trabalho"/>
      <sheetName val="Auxiliar"/>
      <sheetName val="Dados"/>
      <sheetName val="Margem"/>
      <sheetName val="INDTRANS"/>
      <sheetName val="AGROPEC"/>
      <sheetName val="Crescimento"/>
      <sheetName val="SerieX12 (2)"/>
      <sheetName val="SerieX12"/>
      <sheetName val="Resultados"/>
      <sheetName val="ResumoDes"/>
      <sheetName val="Reunião_Var"/>
      <sheetName val="Reunião_Acum"/>
      <sheetName val="Reunião_B"/>
      <sheetName val="Reunião_B (2)"/>
      <sheetName val="Reunião_C"/>
      <sheetName val="ResumoT"/>
      <sheetName val="ResumoT4tri"/>
      <sheetName val="Menos_Usados"/>
      <sheetName val="Revisao 2011"/>
      <sheetName val="Revisao2010"/>
      <sheetName val="Estresse-Base"/>
      <sheetName val="Anual"/>
      <sheetName val="ResumoNominal"/>
      <sheetName val="ResumoCompara"/>
      <sheetName val="Revisao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>
            <v>1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33239</v>
          </cell>
          <cell r="I4">
            <v>33329</v>
          </cell>
          <cell r="J4">
            <v>33420</v>
          </cell>
          <cell r="K4">
            <v>33512</v>
          </cell>
          <cell r="L4">
            <v>33604</v>
          </cell>
          <cell r="M4">
            <v>33695</v>
          </cell>
          <cell r="N4">
            <v>33786</v>
          </cell>
          <cell r="O4">
            <v>33878</v>
          </cell>
          <cell r="P4">
            <v>33970</v>
          </cell>
          <cell r="Q4">
            <v>34060</v>
          </cell>
          <cell r="R4">
            <v>34151</v>
          </cell>
          <cell r="S4">
            <v>34243</v>
          </cell>
          <cell r="T4">
            <v>34335</v>
          </cell>
          <cell r="U4">
            <v>34425</v>
          </cell>
          <cell r="V4">
            <v>34516</v>
          </cell>
          <cell r="W4">
            <v>34608</v>
          </cell>
          <cell r="X4">
            <v>34700</v>
          </cell>
          <cell r="Y4">
            <v>34790</v>
          </cell>
          <cell r="Z4">
            <v>34881</v>
          </cell>
          <cell r="AA4">
            <v>34973</v>
          </cell>
          <cell r="AB4">
            <v>35065</v>
          </cell>
          <cell r="AC4">
            <v>35156</v>
          </cell>
          <cell r="AD4">
            <v>35247</v>
          </cell>
          <cell r="AE4">
            <v>35339</v>
          </cell>
          <cell r="AF4">
            <v>35431</v>
          </cell>
          <cell r="AG4">
            <v>35521</v>
          </cell>
          <cell r="AH4">
            <v>35612</v>
          </cell>
          <cell r="AI4">
            <v>35704</v>
          </cell>
          <cell r="AJ4">
            <v>35796</v>
          </cell>
          <cell r="AK4">
            <v>35886</v>
          </cell>
          <cell r="AL4">
            <v>35977</v>
          </cell>
          <cell r="AM4">
            <v>36069</v>
          </cell>
          <cell r="AN4">
            <v>36161</v>
          </cell>
          <cell r="AO4">
            <v>36251</v>
          </cell>
          <cell r="AP4">
            <v>36342</v>
          </cell>
          <cell r="AQ4">
            <v>36434</v>
          </cell>
          <cell r="AR4">
            <v>36526</v>
          </cell>
          <cell r="AS4">
            <v>36617</v>
          </cell>
          <cell r="AT4">
            <v>36708</v>
          </cell>
          <cell r="AU4">
            <v>36800</v>
          </cell>
          <cell r="AV4">
            <v>36892</v>
          </cell>
          <cell r="AW4">
            <v>36982</v>
          </cell>
          <cell r="AX4">
            <v>37073</v>
          </cell>
          <cell r="AY4">
            <v>37165</v>
          </cell>
          <cell r="AZ4">
            <v>37257</v>
          </cell>
          <cell r="BA4">
            <v>37347</v>
          </cell>
          <cell r="BB4">
            <v>37438</v>
          </cell>
          <cell r="BC4">
            <v>37530</v>
          </cell>
          <cell r="BD4">
            <v>37622</v>
          </cell>
          <cell r="BE4">
            <v>37712</v>
          </cell>
          <cell r="BF4">
            <v>37803</v>
          </cell>
          <cell r="BG4">
            <v>37895</v>
          </cell>
          <cell r="BH4">
            <v>37987</v>
          </cell>
          <cell r="BI4">
            <v>38078</v>
          </cell>
          <cell r="BJ4">
            <v>38169</v>
          </cell>
          <cell r="BK4">
            <v>38261</v>
          </cell>
          <cell r="BL4">
            <v>38353</v>
          </cell>
          <cell r="BM4">
            <v>38443</v>
          </cell>
          <cell r="BN4">
            <v>38534</v>
          </cell>
          <cell r="BO4">
            <v>38626</v>
          </cell>
          <cell r="BP4">
            <v>38718</v>
          </cell>
          <cell r="BQ4">
            <v>38808</v>
          </cell>
          <cell r="BR4">
            <v>38899</v>
          </cell>
          <cell r="BS4">
            <v>38991</v>
          </cell>
          <cell r="BT4">
            <v>39083</v>
          </cell>
          <cell r="BU4">
            <v>39173</v>
          </cell>
          <cell r="BV4">
            <v>39264</v>
          </cell>
          <cell r="BW4">
            <v>39356</v>
          </cell>
          <cell r="BX4">
            <v>39448</v>
          </cell>
          <cell r="BY4">
            <v>39539</v>
          </cell>
          <cell r="BZ4">
            <v>39630</v>
          </cell>
          <cell r="CA4">
            <v>39722</v>
          </cell>
          <cell r="CB4">
            <v>39814</v>
          </cell>
          <cell r="CC4">
            <v>39904</v>
          </cell>
          <cell r="CD4">
            <v>39995</v>
          </cell>
          <cell r="CE4">
            <v>40087</v>
          </cell>
          <cell r="CF4">
            <v>40179</v>
          </cell>
          <cell r="CG4">
            <v>40269</v>
          </cell>
          <cell r="CH4">
            <v>40360</v>
          </cell>
          <cell r="CI4">
            <v>40452</v>
          </cell>
          <cell r="CJ4">
            <v>40544</v>
          </cell>
          <cell r="CK4">
            <v>40634</v>
          </cell>
          <cell r="CL4">
            <v>40725</v>
          </cell>
          <cell r="CM4">
            <v>40817</v>
          </cell>
          <cell r="CN4">
            <v>40909</v>
          </cell>
          <cell r="CO4">
            <v>41000</v>
          </cell>
          <cell r="CP4">
            <v>41091</v>
          </cell>
          <cell r="CQ4">
            <v>41183</v>
          </cell>
          <cell r="CR4">
            <v>41275</v>
          </cell>
          <cell r="CS4">
            <v>41365</v>
          </cell>
          <cell r="CT4">
            <v>41456</v>
          </cell>
          <cell r="CU4">
            <v>41548</v>
          </cell>
          <cell r="CV4">
            <v>41640</v>
          </cell>
          <cell r="CW4">
            <v>41730</v>
          </cell>
          <cell r="CX4">
            <v>41821</v>
          </cell>
          <cell r="CY4">
            <v>41913</v>
          </cell>
        </row>
        <row r="5">
          <cell r="A5" t="str">
            <v>Agropecuária</v>
          </cell>
          <cell r="B5" t="str">
            <v>Lavoura</v>
          </cell>
          <cell r="C5">
            <v>4.4546881260960252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</row>
        <row r="6">
          <cell r="A6">
            <v>0</v>
          </cell>
          <cell r="B6" t="str">
            <v>Extrativa vegetal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</row>
        <row r="7">
          <cell r="A7">
            <v>0</v>
          </cell>
          <cell r="B7" t="str">
            <v>Produção animal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</row>
        <row r="8">
          <cell r="A8" t="str">
            <v>AgropecuáriaTotal</v>
          </cell>
          <cell r="B8" t="str">
            <v>Total</v>
          </cell>
          <cell r="C8">
            <v>4.4546881260960252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20.431022260031199</v>
          </cell>
          <cell r="M8">
            <v>12.528864941678037</v>
          </cell>
          <cell r="N8">
            <v>7.6835760137779801</v>
          </cell>
          <cell r="O8">
            <v>5.4372807548082704</v>
          </cell>
          <cell r="P8">
            <v>-6.6870732281610401</v>
          </cell>
          <cell r="Q8">
            <v>-4.9565903709550128</v>
          </cell>
          <cell r="R8">
            <v>-0.35622114790447768</v>
          </cell>
          <cell r="S8">
            <v>0.98663454368153225</v>
          </cell>
          <cell r="T8">
            <v>4.1382790815039101</v>
          </cell>
          <cell r="U8">
            <v>4.4344793223716863</v>
          </cell>
          <cell r="V8">
            <v>6.2926348812607102</v>
          </cell>
          <cell r="W8">
            <v>7.4410678784436328</v>
          </cell>
          <cell r="X8">
            <v>4.0949842500605627</v>
          </cell>
          <cell r="Y8">
            <v>6.3083121289228501</v>
          </cell>
          <cell r="Z8">
            <v>7.0766696410186114</v>
          </cell>
          <cell r="AA8">
            <v>5.7361882104150226</v>
          </cell>
          <cell r="AB8">
            <v>1.9865613034895517</v>
          </cell>
          <cell r="AC8">
            <v>1.4839487799903566</v>
          </cell>
          <cell r="AD8">
            <v>-0.56035785766691504</v>
          </cell>
          <cell r="AE8">
            <v>2.9548335827521441</v>
          </cell>
          <cell r="AF8">
            <v>8.4430424908066755</v>
          </cell>
          <cell r="AG8">
            <v>6.5830610923137698</v>
          </cell>
          <cell r="AH8">
            <v>4.6840802378659703</v>
          </cell>
          <cell r="AI8">
            <v>0.81257155873808529</v>
          </cell>
          <cell r="AJ8">
            <v>-1.0758987920379042</v>
          </cell>
          <cell r="AK8">
            <v>7.1686133577405684</v>
          </cell>
          <cell r="AL8">
            <v>6.1232665271288056</v>
          </cell>
          <cell r="AM8">
            <v>3.4098392679092484</v>
          </cell>
          <cell r="AN8">
            <v>16.429779049301899</v>
          </cell>
          <cell r="AO8">
            <v>8.2304672753086123</v>
          </cell>
          <cell r="AP8">
            <v>5.9667732658834893</v>
          </cell>
          <cell r="AQ8">
            <v>6.5262194295216887</v>
          </cell>
          <cell r="AR8">
            <v>8.8719034207126271</v>
          </cell>
          <cell r="AS8">
            <v>6.3086263732011361</v>
          </cell>
          <cell r="AT8">
            <v>4.2109596845732966</v>
          </cell>
          <cell r="AU8">
            <v>2.7232094251295109</v>
          </cell>
          <cell r="AV8">
            <v>5.8082856857365925</v>
          </cell>
          <cell r="AW8">
            <v>5.1151237093564674</v>
          </cell>
          <cell r="AX8">
            <v>4.9973512490013547</v>
          </cell>
          <cell r="AY8">
            <v>6.0620883632361569</v>
          </cell>
          <cell r="AZ8">
            <v>5.4151960473794958</v>
          </cell>
          <cell r="BA8">
            <v>6.1014322428397207</v>
          </cell>
          <cell r="BB8">
            <v>6.7679959586809559</v>
          </cell>
          <cell r="BC8">
            <v>6.5759753962196328</v>
          </cell>
          <cell r="BD8">
            <v>13.876694742864345</v>
          </cell>
          <cell r="BE8">
            <v>11.885589252560067</v>
          </cell>
          <cell r="BF8">
            <v>7.2369002279623089</v>
          </cell>
          <cell r="BG8">
            <v>5.806459270513102</v>
          </cell>
          <cell r="BH8">
            <v>0.27938143642300872</v>
          </cell>
          <cell r="BI8">
            <v>1.6870006871416052</v>
          </cell>
          <cell r="BJ8">
            <v>2.4817432007237699</v>
          </cell>
          <cell r="BK8">
            <v>2.3163544344576508</v>
          </cell>
          <cell r="BL8">
            <v>2.9275489982483407</v>
          </cell>
          <cell r="BM8">
            <v>1.8867572552066605</v>
          </cell>
          <cell r="BN8">
            <v>0.40886867450564068</v>
          </cell>
          <cell r="BO8">
            <v>0.29602236227579226</v>
          </cell>
          <cell r="BP8">
            <v>-1.0512100067713135</v>
          </cell>
          <cell r="BQ8">
            <v>-1.2875487311740983</v>
          </cell>
          <cell r="BR8">
            <v>2.9946856991231812</v>
          </cell>
          <cell r="BS8">
            <v>4.8020691231510142</v>
          </cell>
          <cell r="BT8">
            <v>4.1482114841490159</v>
          </cell>
          <cell r="BU8">
            <v>2.6014612920544948</v>
          </cell>
          <cell r="BV8">
            <v>4.2722450033517276</v>
          </cell>
          <cell r="BW8">
            <v>4.8419778427119411</v>
          </cell>
          <cell r="BX8">
            <v>4.4387169106159519</v>
          </cell>
          <cell r="BY8">
            <v>7.6090915518898896</v>
          </cell>
          <cell r="BZ8">
            <v>7.1745523501941335</v>
          </cell>
          <cell r="CA8">
            <v>6.3150715135507909</v>
          </cell>
          <cell r="CB8">
            <v>-0.68259923917280219</v>
          </cell>
          <cell r="CC8">
            <v>-2.1448647375051166</v>
          </cell>
          <cell r="CD8">
            <v>-3.7749236285120276</v>
          </cell>
          <cell r="CE8">
            <v>-3.1137793678493182</v>
          </cell>
          <cell r="CF8">
            <v>6.9835823969032873</v>
          </cell>
          <cell r="CG8">
            <v>8.1133292740564968</v>
          </cell>
          <cell r="CH8">
            <v>7.3478601625700293</v>
          </cell>
          <cell r="CI8">
            <v>6.3292013205334712</v>
          </cell>
          <cell r="CJ8">
            <v>3.3401995405629492</v>
          </cell>
          <cell r="CK8">
            <v>1.1655684097690084</v>
          </cell>
          <cell r="CL8">
            <v>2.8226077735609749</v>
          </cell>
          <cell r="CM8">
            <v>3.902857630843954</v>
          </cell>
          <cell r="CN8">
            <v>-8.5385371212515366</v>
          </cell>
          <cell r="CO8">
            <v>-2.9982127990443814</v>
          </cell>
          <cell r="CP8">
            <v>-1.0336582554108134</v>
          </cell>
          <cell r="CQ8">
            <v>-2.3412302112446781</v>
          </cell>
          <cell r="CR8">
            <v>16.965511420581933</v>
          </cell>
          <cell r="CS8">
            <v>14.685886044901082</v>
          </cell>
          <cell r="CT8">
            <v>7.7131896950898664</v>
          </cell>
          <cell r="CU8">
            <v>6.554527114331421</v>
          </cell>
          <cell r="CV8">
            <v>-5.9702404792004415</v>
          </cell>
          <cell r="CW8">
            <v>-8.2599720930100204</v>
          </cell>
          <cell r="CX8">
            <v>-5.4342672895038788</v>
          </cell>
          <cell r="CY8">
            <v>-4.033425640208506</v>
          </cell>
          <cell r="DA8">
            <v>0.19571085674113692</v>
          </cell>
          <cell r="DB8">
            <v>0</v>
          </cell>
          <cell r="DC8">
            <v>4.7179575460166295E-2</v>
          </cell>
          <cell r="DD8">
            <v>4.7179575460166295E-2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</row>
        <row r="10">
          <cell r="A10" t="str">
            <v>Indústria</v>
          </cell>
          <cell r="B10" t="str">
            <v>Extrativa mineral</v>
          </cell>
          <cell r="C10">
            <v>3.6133572122591247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4.4275929549902031</v>
          </cell>
          <cell r="M10">
            <v>1.1302508310667889</v>
          </cell>
          <cell r="N10">
            <v>-0.18576340856093054</v>
          </cell>
          <cell r="O10">
            <v>-3.5955183021477097</v>
          </cell>
          <cell r="P10">
            <v>-3.8884984773951601</v>
          </cell>
          <cell r="Q10">
            <v>-2.3069567296198841</v>
          </cell>
          <cell r="R10">
            <v>0.72463768115945015</v>
          </cell>
          <cell r="S10">
            <v>2.7167071635586524</v>
          </cell>
          <cell r="T10">
            <v>13.002680965147448</v>
          </cell>
          <cell r="U10">
            <v>10.809984093967941</v>
          </cell>
          <cell r="V10">
            <v>8.4325981837480697</v>
          </cell>
          <cell r="W10">
            <v>7.3902014991307396</v>
          </cell>
          <cell r="X10">
            <v>5.9743340882130838</v>
          </cell>
          <cell r="Y10">
            <v>5.9294429415337078</v>
          </cell>
          <cell r="Z10">
            <v>5.764629105938667</v>
          </cell>
          <cell r="AA10">
            <v>6.1597664543524502</v>
          </cell>
          <cell r="AB10">
            <v>2.1386608724485825</v>
          </cell>
          <cell r="AC10">
            <v>4.3921336983978136</v>
          </cell>
          <cell r="AD10">
            <v>3.4400970120467775</v>
          </cell>
          <cell r="AE10">
            <v>2.4243293045246332</v>
          </cell>
          <cell r="AF10">
            <v>-0.93840601318873951</v>
          </cell>
          <cell r="AG10">
            <v>1.3393177379781491</v>
          </cell>
          <cell r="AH10">
            <v>4.6539041849865441</v>
          </cell>
          <cell r="AI10">
            <v>4.991100521962764</v>
          </cell>
          <cell r="AJ10">
            <v>7.7139394380784552</v>
          </cell>
          <cell r="AK10">
            <v>6.3315577956946925</v>
          </cell>
          <cell r="AL10">
            <v>4.7068442630775706</v>
          </cell>
          <cell r="AM10">
            <v>3.6132105464425308</v>
          </cell>
          <cell r="AN10">
            <v>-1.2357628275559449</v>
          </cell>
          <cell r="AO10">
            <v>-4.4273057921230645</v>
          </cell>
          <cell r="AP10">
            <v>-5.0000438001437146</v>
          </cell>
          <cell r="AQ10">
            <v>-4.3527465941824488</v>
          </cell>
          <cell r="AR10">
            <v>-0.14191963012747522</v>
          </cell>
          <cell r="AS10">
            <v>3.2891865699923528</v>
          </cell>
          <cell r="AT10">
            <v>6.0828113040407175</v>
          </cell>
          <cell r="AU10">
            <v>9.0916933824710924</v>
          </cell>
          <cell r="AV10">
            <v>6.8179337127172204</v>
          </cell>
          <cell r="AW10">
            <v>6.1636064484393245</v>
          </cell>
          <cell r="AX10">
            <v>4.4795945289593675</v>
          </cell>
          <cell r="AY10">
            <v>2.2186774015118971</v>
          </cell>
          <cell r="AZ10">
            <v>9.6601190905739429</v>
          </cell>
          <cell r="BA10">
            <v>13.118705157720797</v>
          </cell>
          <cell r="BB10">
            <v>12.811988604182758</v>
          </cell>
          <cell r="BC10">
            <v>11.583803330497133</v>
          </cell>
          <cell r="BD10">
            <v>1.1400704379380215</v>
          </cell>
          <cell r="BE10">
            <v>-0.84580357351576652</v>
          </cell>
          <cell r="BF10">
            <v>0.50266900958770577</v>
          </cell>
          <cell r="BG10">
            <v>4.6819139037171311</v>
          </cell>
          <cell r="BH10">
            <v>5.966906425394086</v>
          </cell>
          <cell r="BI10">
            <v>7.5156720594734168</v>
          </cell>
          <cell r="BJ10">
            <v>7.4151902536343783</v>
          </cell>
          <cell r="BK10">
            <v>4.2853223607003201</v>
          </cell>
          <cell r="BL10">
            <v>6.3328265498691962</v>
          </cell>
          <cell r="BM10">
            <v>10.967072017822304</v>
          </cell>
          <cell r="BN10">
            <v>10.174728515178515</v>
          </cell>
          <cell r="BO10">
            <v>9.3164984217270188</v>
          </cell>
          <cell r="BP10">
            <v>12.124969231585965</v>
          </cell>
          <cell r="BQ10">
            <v>5.1302693358412199</v>
          </cell>
          <cell r="BR10">
            <v>4.2815433462580756</v>
          </cell>
          <cell r="BS10">
            <v>4.4039851877975593</v>
          </cell>
          <cell r="BT10">
            <v>4.5338253952533734</v>
          </cell>
          <cell r="BU10">
            <v>5.7558180246618065</v>
          </cell>
          <cell r="BV10">
            <v>4.8242457430449406</v>
          </cell>
          <cell r="BW10">
            <v>3.6524853900516234</v>
          </cell>
          <cell r="BX10">
            <v>4.0340822077992442</v>
          </cell>
          <cell r="BY10">
            <v>4.3462265698206437</v>
          </cell>
          <cell r="BZ10">
            <v>5.152991095449849</v>
          </cell>
          <cell r="CA10">
            <v>3.5364903389293545</v>
          </cell>
          <cell r="CB10">
            <v>-6.5144901770676285</v>
          </cell>
          <cell r="CC10">
            <v>-5.9963795747122788</v>
          </cell>
          <cell r="CD10">
            <v>-5.5131576858981077</v>
          </cell>
          <cell r="CE10">
            <v>-3.1773227720745183</v>
          </cell>
          <cell r="CF10">
            <v>14.059438866915869</v>
          </cell>
          <cell r="CG10">
            <v>14.116074287744723</v>
          </cell>
          <cell r="CH10">
            <v>13.745751169556229</v>
          </cell>
          <cell r="CI10">
            <v>13.568733966513278</v>
          </cell>
          <cell r="CJ10">
            <v>3.282494923609562</v>
          </cell>
          <cell r="CK10">
            <v>3.1572936152856101</v>
          </cell>
          <cell r="CL10">
            <v>2.9900137133346476</v>
          </cell>
          <cell r="CM10">
            <v>3.1907366843655183</v>
          </cell>
          <cell r="CN10">
            <v>2.157621141390905</v>
          </cell>
          <cell r="CO10">
            <v>0.13896693517700953</v>
          </cell>
          <cell r="CP10">
            <v>-0.86975366451810032</v>
          </cell>
          <cell r="CQ10">
            <v>-1.1332157268896736</v>
          </cell>
          <cell r="CR10">
            <v>-6.6293725919373827</v>
          </cell>
          <cell r="CS10">
            <v>-5.2737325239667427</v>
          </cell>
          <cell r="CT10">
            <v>-2.570912929160599</v>
          </cell>
          <cell r="CU10">
            <v>-2.0085715695138617</v>
          </cell>
          <cell r="CV10">
            <v>2.7340621981041267</v>
          </cell>
          <cell r="CW10">
            <v>3.4891467436758887</v>
          </cell>
          <cell r="CX10">
            <v>1.9500484183931945</v>
          </cell>
          <cell r="CY10">
            <v>1.2217498596589991</v>
          </cell>
          <cell r="DA10">
            <v>0.16142538874179174</v>
          </cell>
          <cell r="DB10">
            <v>0</v>
          </cell>
          <cell r="DC10">
            <v>3.5604676993250303E-2</v>
          </cell>
          <cell r="DD10">
            <v>3.5604676993250303E-2</v>
          </cell>
        </row>
        <row r="11">
          <cell r="A11">
            <v>0</v>
          </cell>
          <cell r="B11" t="str">
            <v>Transformação</v>
          </cell>
          <cell r="C11">
            <v>11.259658837326159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-0.33618153803053019</v>
          </cell>
          <cell r="M11">
            <v>-5.0448641526008657</v>
          </cell>
          <cell r="N11">
            <v>-6.4657038290504119</v>
          </cell>
          <cell r="O11">
            <v>-4.2107138615037201</v>
          </cell>
          <cell r="P11">
            <v>10.203794799718892</v>
          </cell>
          <cell r="Q11">
            <v>11.65003634441284</v>
          </cell>
          <cell r="R11">
            <v>10.530966004712198</v>
          </cell>
          <cell r="S11">
            <v>9.2783185566371031</v>
          </cell>
          <cell r="T11">
            <v>5.0503762275220083</v>
          </cell>
          <cell r="U11">
            <v>3.4801136363636402</v>
          </cell>
          <cell r="V11">
            <v>5.3861672566708734</v>
          </cell>
          <cell r="W11">
            <v>8.1359394059742982</v>
          </cell>
          <cell r="X11">
            <v>17.652057788029609</v>
          </cell>
          <cell r="Y11">
            <v>13.595287119652255</v>
          </cell>
          <cell r="Z11">
            <v>8.3255074767030237</v>
          </cell>
          <cell r="AA11">
            <v>4.9345470762611683</v>
          </cell>
          <cell r="AB11">
            <v>-7.5763322625669929</v>
          </cell>
          <cell r="AC11">
            <v>-6.5369069704668448</v>
          </cell>
          <cell r="AD11">
            <v>0.30927543873224295</v>
          </cell>
          <cell r="AE11">
            <v>8.0709260405058103E-2</v>
          </cell>
          <cell r="AF11">
            <v>2.7402635240241295</v>
          </cell>
          <cell r="AG11">
            <v>6.0719302006237541</v>
          </cell>
          <cell r="AH11">
            <v>1.9743334693072683</v>
          </cell>
          <cell r="AI11">
            <v>2.4937380598190941</v>
          </cell>
          <cell r="AJ11">
            <v>-4.2470111221228422</v>
          </cell>
          <cell r="AK11">
            <v>-3.856735802904609</v>
          </cell>
          <cell r="AL11">
            <v>-4.2102626160825736</v>
          </cell>
          <cell r="AM11">
            <v>-4.8410888474725482</v>
          </cell>
          <cell r="AN11">
            <v>-4.2514628363094289</v>
          </cell>
          <cell r="AO11">
            <v>-4.1658822480537054</v>
          </cell>
          <cell r="AP11">
            <v>-3.7791193628393529</v>
          </cell>
          <cell r="AQ11">
            <v>-1.8632869923406901</v>
          </cell>
          <cell r="AR11">
            <v>6.5910232746634136</v>
          </cell>
          <cell r="AS11">
            <v>5.915150852842828</v>
          </cell>
          <cell r="AT11">
            <v>5.8320747630722565</v>
          </cell>
          <cell r="AU11">
            <v>5.6891226269175235</v>
          </cell>
          <cell r="AV11">
            <v>4.6998281575930463</v>
          </cell>
          <cell r="AW11">
            <v>2.5433642754783676</v>
          </cell>
          <cell r="AX11">
            <v>1.5729261051639298</v>
          </cell>
          <cell r="AY11">
            <v>0.70026203007948595</v>
          </cell>
          <cell r="AZ11">
            <v>-1.896627036959913</v>
          </cell>
          <cell r="BA11">
            <v>-0.30046857326351528</v>
          </cell>
          <cell r="BB11">
            <v>0.97354858881739403</v>
          </cell>
          <cell r="BC11">
            <v>2.4367844880665501</v>
          </cell>
          <cell r="BD11">
            <v>-3.0536483753296153</v>
          </cell>
          <cell r="BE11">
            <v>-0.76043270320515433</v>
          </cell>
          <cell r="BF11">
            <v>1.9205730071105336</v>
          </cell>
          <cell r="BG11">
            <v>1.8526118411116954</v>
          </cell>
          <cell r="BH11">
            <v>13.466808156863294</v>
          </cell>
          <cell r="BI11">
            <v>10.165992153696422</v>
          </cell>
          <cell r="BJ11">
            <v>8.5183107898541266</v>
          </cell>
          <cell r="BK11">
            <v>8.4704953991073779</v>
          </cell>
          <cell r="BL11">
            <v>3.5522687207254506</v>
          </cell>
          <cell r="BM11">
            <v>4.30911349143976</v>
          </cell>
          <cell r="BN11">
            <v>1.9704906241209414</v>
          </cell>
          <cell r="BO11">
            <v>1.2491295128707236</v>
          </cell>
          <cell r="BP11">
            <v>1.9657814641269766</v>
          </cell>
          <cell r="BQ11">
            <v>-0.77646499338857211</v>
          </cell>
          <cell r="BR11">
            <v>2.9435226134367554E-2</v>
          </cell>
          <cell r="BS11">
            <v>0.96520810620350517</v>
          </cell>
          <cell r="BT11">
            <v>2.8780480398326915</v>
          </cell>
          <cell r="BU11">
            <v>5.5936018176974329</v>
          </cell>
          <cell r="BV11">
            <v>6.0730050908383504</v>
          </cell>
          <cell r="BW11">
            <v>5.6043374544055098</v>
          </cell>
          <cell r="BX11">
            <v>8.1837461364365538</v>
          </cell>
          <cell r="BY11">
            <v>6.5149712826568731</v>
          </cell>
          <cell r="BZ11">
            <v>6.175693419068736</v>
          </cell>
          <cell r="CA11">
            <v>2.9667444349479695</v>
          </cell>
          <cell r="CB11">
            <v>-16.3976128256094</v>
          </cell>
          <cell r="CC11">
            <v>-14.725783850771307</v>
          </cell>
          <cell r="CD11">
            <v>-12.93327658789903</v>
          </cell>
          <cell r="CE11">
            <v>-8.7336824662112491</v>
          </cell>
          <cell r="CF11">
            <v>17.758703463946816</v>
          </cell>
          <cell r="CG11">
            <v>15.602740242027608</v>
          </cell>
          <cell r="CH11">
            <v>12.789058932980723</v>
          </cell>
          <cell r="CI11">
            <v>10.135620305025213</v>
          </cell>
          <cell r="CJ11">
            <v>2.9224504374834197</v>
          </cell>
          <cell r="CK11">
            <v>2.2642801048925492</v>
          </cell>
          <cell r="CL11">
            <v>1.2313374608923624</v>
          </cell>
          <cell r="CM11">
            <v>0.12700227923494367</v>
          </cell>
          <cell r="CN11">
            <v>-2.5624793433310913</v>
          </cell>
          <cell r="CO11">
            <v>-4.004749945437851</v>
          </cell>
          <cell r="CP11">
            <v>-3.220216836996002</v>
          </cell>
          <cell r="CQ11">
            <v>-2.5423952370453264</v>
          </cell>
          <cell r="CR11">
            <v>-0.72317658644215044</v>
          </cell>
          <cell r="CS11">
            <v>2.002428948023649</v>
          </cell>
          <cell r="CT11">
            <v>1.5679740138792511</v>
          </cell>
          <cell r="CU11">
            <v>1.7657922683288234</v>
          </cell>
          <cell r="CV11">
            <v>-2.8026344974486648</v>
          </cell>
          <cell r="CW11">
            <v>-2.790411626840978</v>
          </cell>
          <cell r="CX11">
            <v>-1.5111573360824195</v>
          </cell>
          <cell r="CY11">
            <v>-0.90950927363108747</v>
          </cell>
          <cell r="DA11">
            <v>1.2825682734866064</v>
          </cell>
          <cell r="DB11">
            <v>0</v>
          </cell>
          <cell r="DC11">
            <v>0.44563824360665139</v>
          </cell>
          <cell r="DD11">
            <v>0.44563824360665139</v>
          </cell>
        </row>
        <row r="12">
          <cell r="A12">
            <v>0</v>
          </cell>
          <cell r="B12" t="str">
            <v>Construção</v>
          </cell>
          <cell r="C12">
            <v>4.8475732411115251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19.152004614940864</v>
          </cell>
          <cell r="M12">
            <v>3.5610510046367665</v>
          </cell>
          <cell r="N12">
            <v>-3.9609835700775164</v>
          </cell>
          <cell r="O12">
            <v>-5.8107329914717525</v>
          </cell>
          <cell r="P12">
            <v>3.074316146211558</v>
          </cell>
          <cell r="Q12">
            <v>5.4922094203331113</v>
          </cell>
          <cell r="R12">
            <v>4.657269743193666</v>
          </cell>
          <cell r="S12">
            <v>5.6014906253639083</v>
          </cell>
          <cell r="T12">
            <v>6.2353217472991957</v>
          </cell>
          <cell r="U12">
            <v>3.9782694810706971</v>
          </cell>
          <cell r="V12">
            <v>5.6935168443968962</v>
          </cell>
          <cell r="W12">
            <v>9.0097044552271797</v>
          </cell>
          <cell r="X12">
            <v>13.253012048192758</v>
          </cell>
          <cell r="Y12">
            <v>10.536627843692159</v>
          </cell>
          <cell r="Z12">
            <v>5.4391844714425304</v>
          </cell>
          <cell r="AA12">
            <v>1.163378856853825</v>
          </cell>
          <cell r="AB12">
            <v>-5.8349400119620185</v>
          </cell>
          <cell r="AC12">
            <v>-2.4297789317729297</v>
          </cell>
          <cell r="AD12">
            <v>1.8640466328881047</v>
          </cell>
          <cell r="AE12">
            <v>3.2332847230136537</v>
          </cell>
          <cell r="AF12">
            <v>6.9370018969043201</v>
          </cell>
          <cell r="AG12">
            <v>7.6045185445154857</v>
          </cell>
          <cell r="AH12">
            <v>7.9830083755938972</v>
          </cell>
          <cell r="AI12">
            <v>8.5011658804394159</v>
          </cell>
          <cell r="AJ12">
            <v>4.9961074711655868</v>
          </cell>
          <cell r="AK12">
            <v>4.4208007187496605</v>
          </cell>
          <cell r="AL12">
            <v>2.7115189293352273</v>
          </cell>
          <cell r="AM12">
            <v>1.1227054745203873</v>
          </cell>
          <cell r="AN12">
            <v>-4.242793875448541</v>
          </cell>
          <cell r="AO12">
            <v>-4.3830339555673561</v>
          </cell>
          <cell r="AP12">
            <v>-3.9471708367758538</v>
          </cell>
          <cell r="AQ12">
            <v>-2.9405361013635343</v>
          </cell>
          <cell r="AR12">
            <v>2.1203228779022965</v>
          </cell>
          <cell r="AS12">
            <v>1.8335737806818457</v>
          </cell>
          <cell r="AT12">
            <v>1.9454080200910937</v>
          </cell>
          <cell r="AU12">
            <v>1.9937080944826278</v>
          </cell>
          <cell r="AV12">
            <v>5.0306628635076009</v>
          </cell>
          <cell r="AW12">
            <v>2.85872761556098</v>
          </cell>
          <cell r="AX12">
            <v>-5.2702735761926078E-2</v>
          </cell>
          <cell r="AY12">
            <v>-2.0846639699098688</v>
          </cell>
          <cell r="AZ12">
            <v>-9.6157058973480218</v>
          </cell>
          <cell r="BA12">
            <v>-7.7725691079981942</v>
          </cell>
          <cell r="BB12">
            <v>-5.3891016681027821</v>
          </cell>
          <cell r="BC12">
            <v>-2.1568116505259809</v>
          </cell>
          <cell r="BD12">
            <v>2.8098644159208845</v>
          </cell>
          <cell r="BE12">
            <v>-1.5136205413138839</v>
          </cell>
          <cell r="BF12">
            <v>-2.6356048448113114</v>
          </cell>
          <cell r="BG12">
            <v>-3.2832978770883017</v>
          </cell>
          <cell r="BH12">
            <v>-0.13464292666805022</v>
          </cell>
          <cell r="BI12">
            <v>3.9646564089971008</v>
          </cell>
          <cell r="BJ12">
            <v>6.9339721612347489</v>
          </cell>
          <cell r="BK12">
            <v>6.5801146961647135</v>
          </cell>
          <cell r="BL12">
            <v>2.1740812350764571</v>
          </cell>
          <cell r="BM12">
            <v>3.1437652412358119</v>
          </cell>
          <cell r="BN12">
            <v>1.3430891642518361</v>
          </cell>
          <cell r="BO12">
            <v>1.7756987321487543</v>
          </cell>
          <cell r="BP12">
            <v>7.4907547086672679</v>
          </cell>
          <cell r="BQ12">
            <v>4.8731094053427313</v>
          </cell>
          <cell r="BR12">
            <v>5.1643278002200503</v>
          </cell>
          <cell r="BS12">
            <v>4.6814724919093749</v>
          </cell>
          <cell r="BT12">
            <v>2.4540572708533546</v>
          </cell>
          <cell r="BU12">
            <v>4.4950722326377672</v>
          </cell>
          <cell r="BV12">
            <v>4.6625508122874635</v>
          </cell>
          <cell r="BW12">
            <v>4.8770862110149977</v>
          </cell>
          <cell r="BX12">
            <v>7.3561868642033374</v>
          </cell>
          <cell r="BY12">
            <v>7.9606652246033036</v>
          </cell>
          <cell r="BZ12">
            <v>9.2260792299045704</v>
          </cell>
          <cell r="CA12">
            <v>7.9207911799354207</v>
          </cell>
          <cell r="CB12">
            <v>-5.6986959698816548</v>
          </cell>
          <cell r="CC12">
            <v>-4.6784408784509139</v>
          </cell>
          <cell r="CD12">
            <v>-3.7927571088602576</v>
          </cell>
          <cell r="CE12">
            <v>-0.74357452726567885</v>
          </cell>
          <cell r="CF12">
            <v>15.424914792013382</v>
          </cell>
          <cell r="CG12">
            <v>16.259092413576298</v>
          </cell>
          <cell r="CH12">
            <v>13.714896486564328</v>
          </cell>
          <cell r="CI12">
            <v>11.648956098902445</v>
          </cell>
          <cell r="CJ12">
            <v>5.4576551437454555</v>
          </cell>
          <cell r="CK12">
            <v>3.8250140376930801</v>
          </cell>
          <cell r="CL12">
            <v>3.8173515108992433</v>
          </cell>
          <cell r="CM12">
            <v>3.6246856479632612</v>
          </cell>
          <cell r="CN12">
            <v>3.2786290528974149</v>
          </cell>
          <cell r="CO12">
            <v>2.3791609349761416</v>
          </cell>
          <cell r="CP12">
            <v>1.9797632825768119</v>
          </cell>
          <cell r="CQ12">
            <v>1.4060588050400042</v>
          </cell>
          <cell r="CR12">
            <v>-1.2739063226458853</v>
          </cell>
          <cell r="CS12">
            <v>1.4149080138427621</v>
          </cell>
          <cell r="CT12">
            <v>1.3487760331303207</v>
          </cell>
          <cell r="CU12">
            <v>1.5762657208318984</v>
          </cell>
          <cell r="CV12">
            <v>-0.83310493782141748</v>
          </cell>
          <cell r="CW12">
            <v>-2.9469790679604984</v>
          </cell>
          <cell r="CX12">
            <v>-1.8344615827643764</v>
          </cell>
          <cell r="CY12">
            <v>-1.3011043390763462</v>
          </cell>
          <cell r="DA12">
            <v>9.6918101213103167E-2</v>
          </cell>
          <cell r="DB12">
            <v>0</v>
          </cell>
          <cell r="DC12">
            <v>3.9493007096530239E-2</v>
          </cell>
          <cell r="DD12">
            <v>3.9493007096530239E-2</v>
          </cell>
        </row>
        <row r="13">
          <cell r="A13">
            <v>0</v>
          </cell>
          <cell r="B13" t="str">
            <v>SIUP</v>
          </cell>
          <cell r="C13">
            <v>2.6164071586727684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2.304721564719074</v>
          </cell>
          <cell r="M13">
            <v>0.74384298037256258</v>
          </cell>
          <cell r="N13">
            <v>0.49289649173674377</v>
          </cell>
          <cell r="O13">
            <v>0.39239919666307799</v>
          </cell>
          <cell r="P13">
            <v>1.9970774476375937</v>
          </cell>
          <cell r="Q13">
            <v>5.0567723521747041</v>
          </cell>
          <cell r="R13">
            <v>5.543648503833154</v>
          </cell>
          <cell r="S13">
            <v>6.0568755385941131</v>
          </cell>
          <cell r="T13">
            <v>6.5305635148042143</v>
          </cell>
          <cell r="U13">
            <v>5.5220883534136789</v>
          </cell>
          <cell r="V13">
            <v>5.2915218494942877</v>
          </cell>
          <cell r="W13">
            <v>6.1549622751015534</v>
          </cell>
          <cell r="X13">
            <v>13.123388994732707</v>
          </cell>
          <cell r="Y13">
            <v>11.529635641126077</v>
          </cell>
          <cell r="Z13">
            <v>10.763296491358204</v>
          </cell>
          <cell r="AA13">
            <v>9.3491156611355706</v>
          </cell>
          <cell r="AB13">
            <v>1.741613745382665</v>
          </cell>
          <cell r="AC13">
            <v>2.2203755554858162</v>
          </cell>
          <cell r="AD13">
            <v>2.4266330691465186</v>
          </cell>
          <cell r="AE13">
            <v>3.115626788890637</v>
          </cell>
          <cell r="AF13">
            <v>5.693156358189654</v>
          </cell>
          <cell r="AG13">
            <v>5.4973971745324377</v>
          </cell>
          <cell r="AH13">
            <v>5.9260129856507575</v>
          </cell>
          <cell r="AI13">
            <v>5.9063583718284463</v>
          </cell>
          <cell r="AJ13">
            <v>3.7861895566374528</v>
          </cell>
          <cell r="AK13">
            <v>3.0853378495207835</v>
          </cell>
          <cell r="AL13">
            <v>2.2236823902591567</v>
          </cell>
          <cell r="AM13">
            <v>1.2422838354112997</v>
          </cell>
          <cell r="AN13">
            <v>-1.8911929548158639</v>
          </cell>
          <cell r="AO13">
            <v>-0.29426273878389964</v>
          </cell>
          <cell r="AP13">
            <v>0.14768185308548709</v>
          </cell>
          <cell r="AQ13">
            <v>0.54258182592673165</v>
          </cell>
          <cell r="AR13">
            <v>5.3770177574457421</v>
          </cell>
          <cell r="AS13">
            <v>4.2526953688935691</v>
          </cell>
          <cell r="AT13">
            <v>3.7819672626875303</v>
          </cell>
          <cell r="AU13">
            <v>4.1578154293465701</v>
          </cell>
          <cell r="AV13">
            <v>2.6452700710632939</v>
          </cell>
          <cell r="AW13">
            <v>1.3138636260405292</v>
          </cell>
          <cell r="AX13">
            <v>-3.199129002017699</v>
          </cell>
          <cell r="AY13">
            <v>-6.218347145488039</v>
          </cell>
          <cell r="AZ13">
            <v>-10.364224098420095</v>
          </cell>
          <cell r="BA13">
            <v>-5.8238187527871474</v>
          </cell>
          <cell r="BB13">
            <v>-0.60756293793716054</v>
          </cell>
          <cell r="BC13">
            <v>2.8554474573603272</v>
          </cell>
          <cell r="BD13">
            <v>8.8985248046265184</v>
          </cell>
          <cell r="BE13">
            <v>4.3004537402265441</v>
          </cell>
          <cell r="BF13">
            <v>4.1340845354898619</v>
          </cell>
          <cell r="BG13">
            <v>3.9544116013265693</v>
          </cell>
          <cell r="BH13">
            <v>2.4520620535668769</v>
          </cell>
          <cell r="BI13">
            <v>7.2339343114067134</v>
          </cell>
          <cell r="BJ13">
            <v>8.1062631832087959</v>
          </cell>
          <cell r="BK13">
            <v>8.4403871736324874</v>
          </cell>
          <cell r="BL13">
            <v>7.4042502553873391</v>
          </cell>
          <cell r="BM13">
            <v>4.8291165922351666</v>
          </cell>
          <cell r="BN13">
            <v>3.7430143009786292</v>
          </cell>
          <cell r="BO13">
            <v>3.0378940370731016</v>
          </cell>
          <cell r="BP13">
            <v>2.1218607415637507</v>
          </cell>
          <cell r="BQ13">
            <v>2.1523642809733587</v>
          </cell>
          <cell r="BR13">
            <v>3.188352466376827</v>
          </cell>
          <cell r="BS13">
            <v>3.5146552826355446</v>
          </cell>
          <cell r="BT13">
            <v>4.9346528953889646</v>
          </cell>
          <cell r="BU13">
            <v>6.0433592196860388</v>
          </cell>
          <cell r="BV13">
            <v>5.3989949945860189</v>
          </cell>
          <cell r="BW13">
            <v>5.4414112597168014</v>
          </cell>
          <cell r="BX13">
            <v>4.505742393489399</v>
          </cell>
          <cell r="BY13">
            <v>3.7544248080239981</v>
          </cell>
          <cell r="BZ13">
            <v>4.4619079747814823</v>
          </cell>
          <cell r="CA13">
            <v>4.4515887511879129</v>
          </cell>
          <cell r="CB13">
            <v>-1.936896577616082</v>
          </cell>
          <cell r="CC13">
            <v>-0.39083531975217056</v>
          </cell>
          <cell r="CD13">
            <v>-0.16642255071998591</v>
          </cell>
          <cell r="CE13">
            <v>0.88778731514327092</v>
          </cell>
          <cell r="CF13">
            <v>9.0309372887991515</v>
          </cell>
          <cell r="CG13">
            <v>9.7664152084056468</v>
          </cell>
          <cell r="CH13">
            <v>9.13349743584115</v>
          </cell>
          <cell r="CI13">
            <v>8.1264607727674587</v>
          </cell>
          <cell r="CJ13">
            <v>4.9709499171929821</v>
          </cell>
          <cell r="CK13">
            <v>4.1548496739828096</v>
          </cell>
          <cell r="CL13">
            <v>4.0931514833044957</v>
          </cell>
          <cell r="CM13">
            <v>3.8114082552406217</v>
          </cell>
          <cell r="CN13">
            <v>3.6427054147304574</v>
          </cell>
          <cell r="CO13">
            <v>3.98928954130524</v>
          </cell>
          <cell r="CP13">
            <v>3.3582245607199042</v>
          </cell>
          <cell r="CQ13">
            <v>3.5551655953496777</v>
          </cell>
          <cell r="CR13">
            <v>2.580135556158794</v>
          </cell>
          <cell r="CS13">
            <v>2.3360917572945681</v>
          </cell>
          <cell r="CT13">
            <v>2.0031814673797896</v>
          </cell>
          <cell r="CU13">
            <v>1.5835937336635482</v>
          </cell>
          <cell r="CV13">
            <v>-1.8696575763303827</v>
          </cell>
          <cell r="CW13">
            <v>-2.5408810691961605</v>
          </cell>
          <cell r="CX13">
            <v>-1.494051744712948</v>
          </cell>
          <cell r="CY13">
            <v>-0.95896371348796094</v>
          </cell>
          <cell r="DA13">
            <v>0.18740065359533856</v>
          </cell>
          <cell r="DB13">
            <v>0</v>
          </cell>
          <cell r="DC13">
            <v>3.797646107397936E-2</v>
          </cell>
          <cell r="DD13">
            <v>3.797646107397936E-2</v>
          </cell>
        </row>
        <row r="14">
          <cell r="A14" t="str">
            <v>IndústriaTotal</v>
          </cell>
          <cell r="B14" t="str">
            <v>Total</v>
          </cell>
          <cell r="C14">
            <v>22.336996449369579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2.853598014888334</v>
          </cell>
          <cell r="M14">
            <v>-2.9752994011975886</v>
          </cell>
          <cell r="N14">
            <v>-5.1937377690802293</v>
          </cell>
          <cell r="O14">
            <v>-4.0109148524147429</v>
          </cell>
          <cell r="P14">
            <v>7.5056962873609336</v>
          </cell>
          <cell r="Q14">
            <v>9.3281902925104419</v>
          </cell>
          <cell r="R14">
            <v>8.6322916236634342</v>
          </cell>
          <cell r="S14">
            <v>8.0574659941922562</v>
          </cell>
          <cell r="T14">
            <v>5.6850766737314586</v>
          </cell>
          <cell r="U14">
            <v>4.0691520639774268</v>
          </cell>
          <cell r="V14">
            <v>5.5673785817435402</v>
          </cell>
          <cell r="W14">
            <v>8.050691635314422</v>
          </cell>
          <cell r="X14">
            <v>16.043411584286901</v>
          </cell>
          <cell r="Y14">
            <v>12.588993106565709</v>
          </cell>
          <cell r="Z14">
            <v>7.9520501097951808</v>
          </cell>
          <cell r="AA14">
            <v>4.7176479828258806</v>
          </cell>
          <cell r="AB14">
            <v>-5.9576047664086929</v>
          </cell>
          <cell r="AC14">
            <v>-4.5106456391231831</v>
          </cell>
          <cell r="AD14">
            <v>0.94056588996735968</v>
          </cell>
          <cell r="AE14">
            <v>1.0688522400097185</v>
          </cell>
          <cell r="AF14">
            <v>4.0108924112162612</v>
          </cell>
          <cell r="AG14">
            <v>6.2866413680416287</v>
          </cell>
          <cell r="AH14">
            <v>3.7378947943588372</v>
          </cell>
          <cell r="AI14">
            <v>4.2364203620407892</v>
          </cell>
          <cell r="AJ14">
            <v>-0.85015819886299937</v>
          </cell>
          <cell r="AK14">
            <v>-0.93347854717504219</v>
          </cell>
          <cell r="AL14">
            <v>-1.7002436360493078</v>
          </cell>
          <cell r="AM14">
            <v>-2.5908605168361873</v>
          </cell>
          <cell r="AN14">
            <v>-3.7060625848552036</v>
          </cell>
          <cell r="AO14">
            <v>-3.7044202180936452</v>
          </cell>
          <cell r="AP14">
            <v>-3.3863284968371374</v>
          </cell>
          <cell r="AQ14">
            <v>-1.9053745917945264</v>
          </cell>
          <cell r="AR14">
            <v>5.1542411181038545</v>
          </cell>
          <cell r="AS14">
            <v>4.6906767107334275</v>
          </cell>
          <cell r="AT14">
            <v>4.7158588780975776</v>
          </cell>
          <cell r="AU14">
            <v>4.8263416389097387</v>
          </cell>
          <cell r="AV14">
            <v>4.5679739873473579</v>
          </cell>
          <cell r="AW14">
            <v>2.5602399542635794</v>
          </cell>
          <cell r="AX14">
            <v>0.7551086238664908</v>
          </cell>
          <cell r="AY14">
            <v>-0.61520325002383913</v>
          </cell>
          <cell r="AZ14">
            <v>-4.0318777910528354</v>
          </cell>
          <cell r="BA14">
            <v>-1.8135839193032837</v>
          </cell>
          <cell r="BB14">
            <v>0.14901755288680363</v>
          </cell>
          <cell r="BC14">
            <v>2.0758970817243352</v>
          </cell>
          <cell r="BD14">
            <v>4.9183590034473923E-2</v>
          </cell>
          <cell r="BE14">
            <v>-0.21665047730694198</v>
          </cell>
          <cell r="BF14">
            <v>1.2303255456487534</v>
          </cell>
          <cell r="BG14">
            <v>1.2755294623206055</v>
          </cell>
          <cell r="BH14">
            <v>8.5260300798376818</v>
          </cell>
          <cell r="BI14">
            <v>8.3915519408098049</v>
          </cell>
          <cell r="BJ14">
            <v>8.1151704451381477</v>
          </cell>
          <cell r="BK14">
            <v>7.8905224947047259</v>
          </cell>
          <cell r="BL14">
            <v>4.0910765918970924</v>
          </cell>
          <cell r="BM14">
            <v>4.6428664892916345</v>
          </cell>
          <cell r="BN14">
            <v>2.6172846452238332</v>
          </cell>
          <cell r="BO14">
            <v>2.0832214296960103</v>
          </cell>
          <cell r="BP14">
            <v>3.7425035562215925</v>
          </cell>
          <cell r="BQ14">
            <v>1.0519981869497173</v>
          </cell>
          <cell r="BR14">
            <v>1.6525457103553549</v>
          </cell>
          <cell r="BS14">
            <v>2.209044235047358</v>
          </cell>
          <cell r="BT14">
            <v>3.2856146753662756</v>
          </cell>
          <cell r="BU14">
            <v>5.4971931955647619</v>
          </cell>
          <cell r="BV14">
            <v>5.620439308340579</v>
          </cell>
          <cell r="BW14">
            <v>5.2669277137269717</v>
          </cell>
          <cell r="BX14">
            <v>7.06911458097386</v>
          </cell>
          <cell r="BY14">
            <v>6.161490759744126</v>
          </cell>
          <cell r="BZ14">
            <v>6.3891267757217918</v>
          </cell>
          <cell r="CA14">
            <v>4.0714774877860691</v>
          </cell>
          <cell r="CB14">
            <v>-11.619774917120012</v>
          </cell>
          <cell r="CC14">
            <v>-10.291363903096325</v>
          </cell>
          <cell r="CD14">
            <v>-9.0389035048293209</v>
          </cell>
          <cell r="CE14">
            <v>-5.6041295034379033</v>
          </cell>
          <cell r="CF14">
            <v>15.3751204609149</v>
          </cell>
          <cell r="CG14">
            <v>14.587276810646316</v>
          </cell>
          <cell r="CH14">
            <v>12.498999221130774</v>
          </cell>
          <cell r="CI14">
            <v>10.4337090273184</v>
          </cell>
          <cell r="CJ14">
            <v>3.8376638902106066</v>
          </cell>
          <cell r="CK14">
            <v>2.9408174951823867</v>
          </cell>
          <cell r="CL14">
            <v>2.2513629366470553</v>
          </cell>
          <cell r="CM14">
            <v>1.5783715664821898</v>
          </cell>
          <cell r="CN14">
            <v>6.5894819570061713E-2</v>
          </cell>
          <cell r="CO14">
            <v>-1.2171829388478415</v>
          </cell>
          <cell r="CP14">
            <v>-1.1232659277998494</v>
          </cell>
          <cell r="CQ14">
            <v>-0.8230079746895882</v>
          </cell>
          <cell r="CR14">
            <v>-1.3722197727413885</v>
          </cell>
          <cell r="CS14">
            <v>0.75560108817936111</v>
          </cell>
          <cell r="CT14">
            <v>0.89561880857624487</v>
          </cell>
          <cell r="CU14">
            <v>1.0927575476688673</v>
          </cell>
          <cell r="CV14">
            <v>-1.3621003028567884</v>
          </cell>
          <cell r="CW14">
            <v>-1.8124943922801293</v>
          </cell>
          <cell r="CX14">
            <v>-1.030140975866459</v>
          </cell>
          <cell r="CY14">
            <v>-0.65552159618067662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</row>
        <row r="16">
          <cell r="A16" t="str">
            <v>Serviços</v>
          </cell>
          <cell r="B16" t="str">
            <v>Comércio</v>
          </cell>
          <cell r="C16">
            <v>10.753759940786507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-8.1299698382231895</v>
          </cell>
          <cell r="M16">
            <v>-8.3078723265942784</v>
          </cell>
          <cell r="N16">
            <v>-6.4786812625122394</v>
          </cell>
          <cell r="O16">
            <v>-3.0518489659426677</v>
          </cell>
          <cell r="P16">
            <v>9.5955827488434409</v>
          </cell>
          <cell r="Q16">
            <v>10.081531371853927</v>
          </cell>
          <cell r="R16">
            <v>9.9972672617963099</v>
          </cell>
          <cell r="S16">
            <v>9.0418941093734446</v>
          </cell>
          <cell r="T16">
            <v>7.5163398692810404</v>
          </cell>
          <cell r="U16">
            <v>6.9813872609003909</v>
          </cell>
          <cell r="V16">
            <v>8.2149807461388917</v>
          </cell>
          <cell r="W16">
            <v>11.409354749547006</v>
          </cell>
          <cell r="X16">
            <v>21.618541033434653</v>
          </cell>
          <cell r="Y16">
            <v>18.487749081933643</v>
          </cell>
          <cell r="Z16">
            <v>14.023340348192065</v>
          </cell>
          <cell r="AA16">
            <v>10.265740434447011</v>
          </cell>
          <cell r="AB16">
            <v>-4.8105202503351023</v>
          </cell>
          <cell r="AC16">
            <v>-2.4905270602400975</v>
          </cell>
          <cell r="AD16">
            <v>0.91330598515403949</v>
          </cell>
          <cell r="AE16">
            <v>1.8130934515447734</v>
          </cell>
          <cell r="AF16">
            <v>4.5522932050376426</v>
          </cell>
          <cell r="AG16">
            <v>5.0030294748030855</v>
          </cell>
          <cell r="AH16">
            <v>4.3768379035758755</v>
          </cell>
          <cell r="AI16">
            <v>3.8537661368173985</v>
          </cell>
          <cell r="AJ16">
            <v>0.52795871485184875</v>
          </cell>
          <cell r="AK16">
            <v>0.53409981763090286</v>
          </cell>
          <cell r="AL16">
            <v>-0.45836124413604296</v>
          </cell>
          <cell r="AM16">
            <v>-1.8700218244636204</v>
          </cell>
          <cell r="AN16">
            <v>-2.6630997668343497</v>
          </cell>
          <cell r="AO16">
            <v>-3.4478587025457301</v>
          </cell>
          <cell r="AP16">
            <v>-3.7816401476206636</v>
          </cell>
          <cell r="AQ16">
            <v>-2.2204928194890812</v>
          </cell>
          <cell r="AR16">
            <v>4.5773905256065035</v>
          </cell>
          <cell r="AS16">
            <v>3.1359975727011147</v>
          </cell>
          <cell r="AT16">
            <v>3.7269115805674318</v>
          </cell>
          <cell r="AU16">
            <v>4.49410389690226</v>
          </cell>
          <cell r="AV16">
            <v>3.0872951898896872</v>
          </cell>
          <cell r="AW16">
            <v>2.6992871275460573</v>
          </cell>
          <cell r="AX16">
            <v>1.3984296761318831</v>
          </cell>
          <cell r="AY16">
            <v>-2.9552528557402979E-2</v>
          </cell>
          <cell r="AZ16">
            <v>-3.0846647719992433</v>
          </cell>
          <cell r="BA16">
            <v>-1.8320386994749924</v>
          </cell>
          <cell r="BB16">
            <v>-0.6184741655231818</v>
          </cell>
          <cell r="BC16">
            <v>-4.7680352403133952E-2</v>
          </cell>
          <cell r="BD16">
            <v>1.8092555984801919</v>
          </cell>
          <cell r="BE16">
            <v>0.14170200984366943</v>
          </cell>
          <cell r="BF16">
            <v>-1.2159519474202085</v>
          </cell>
          <cell r="BG16">
            <v>-0.46139298358160374</v>
          </cell>
          <cell r="BH16">
            <v>6.1731915027691855</v>
          </cell>
          <cell r="BI16">
            <v>6.8028664237411931</v>
          </cell>
          <cell r="BJ16">
            <v>7.9779902483242466</v>
          </cell>
          <cell r="BK16">
            <v>7.5333860267936927</v>
          </cell>
          <cell r="BL16">
            <v>2.977547306520492</v>
          </cell>
          <cell r="BM16">
            <v>4.0857775446135491</v>
          </cell>
          <cell r="BN16">
            <v>3.4411785659035559</v>
          </cell>
          <cell r="BO16">
            <v>3.5219090982015331</v>
          </cell>
          <cell r="BP16">
            <v>6.8597357136024328</v>
          </cell>
          <cell r="BQ16">
            <v>4.96240899835081</v>
          </cell>
          <cell r="BR16">
            <v>5.2708791709403187</v>
          </cell>
          <cell r="BS16">
            <v>5.9540411967364975</v>
          </cell>
          <cell r="BT16">
            <v>7.1685637652869332</v>
          </cell>
          <cell r="BU16">
            <v>8.443453896224824</v>
          </cell>
          <cell r="BV16">
            <v>8.5709541401300982</v>
          </cell>
          <cell r="BW16">
            <v>8.3511703723809489</v>
          </cell>
          <cell r="BX16">
            <v>8.0428775065403642</v>
          </cell>
          <cell r="BY16">
            <v>8.0224852899750516</v>
          </cell>
          <cell r="BZ16">
            <v>8.7579944723585044</v>
          </cell>
          <cell r="CA16">
            <v>6.0612178678299813</v>
          </cell>
          <cell r="CB16">
            <v>-6.083390431785574</v>
          </cell>
          <cell r="CC16">
            <v>-5.085033810772515</v>
          </cell>
          <cell r="CD16">
            <v>-4.1017449084517636</v>
          </cell>
          <cell r="CE16">
            <v>-1.0139930421337482</v>
          </cell>
          <cell r="CF16">
            <v>15.915512745155922</v>
          </cell>
          <cell r="CG16">
            <v>13.66798319894815</v>
          </cell>
          <cell r="CH16">
            <v>12.11675504241299</v>
          </cell>
          <cell r="CI16">
            <v>10.894394670760605</v>
          </cell>
          <cell r="CJ16">
            <v>5.4263878912443602</v>
          </cell>
          <cell r="CK16">
            <v>5.4816234555742369</v>
          </cell>
          <cell r="CL16">
            <v>4.1496349074961785</v>
          </cell>
          <cell r="CM16">
            <v>3.3927948457939578</v>
          </cell>
          <cell r="CN16">
            <v>1.5710538353570342</v>
          </cell>
          <cell r="CO16">
            <v>0.87306862040901478</v>
          </cell>
          <cell r="CP16">
            <v>0.99966531089296495</v>
          </cell>
          <cell r="CQ16">
            <v>1.0182805009060161</v>
          </cell>
          <cell r="CR16">
            <v>1.1643116787621466</v>
          </cell>
          <cell r="CS16">
            <v>2.3334093515820626</v>
          </cell>
          <cell r="CT16">
            <v>1.9945176223659331</v>
          </cell>
          <cell r="CU16">
            <v>1.6346119376706696</v>
          </cell>
          <cell r="CV16">
            <v>-0.97154387329112524</v>
          </cell>
          <cell r="CW16">
            <v>-1.6277479355544955</v>
          </cell>
          <cell r="CX16">
            <v>-0.48780986722319142</v>
          </cell>
          <cell r="CY16">
            <v>6.8250887690894047E-2</v>
          </cell>
          <cell r="DA16">
            <v>1.8538024620436005E-2</v>
          </cell>
          <cell r="DB16">
            <v>0</v>
          </cell>
          <cell r="DC16">
            <v>2.5860165616723076E-3</v>
          </cell>
          <cell r="DD16">
            <v>2.5860165616723076E-3</v>
          </cell>
        </row>
        <row r="17">
          <cell r="A17">
            <v>0</v>
          </cell>
          <cell r="B17" t="str">
            <v>Transporte</v>
          </cell>
          <cell r="C17">
            <v>4.5278576307172189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-8.6175942549371598</v>
          </cell>
          <cell r="M17">
            <v>-4.05499148640979</v>
          </cell>
          <cell r="N17">
            <v>0.28177184767746155</v>
          </cell>
          <cell r="O17">
            <v>3.2176439348973673</v>
          </cell>
          <cell r="P17">
            <v>8.5321358405837628</v>
          </cell>
          <cell r="Q17">
            <v>7.8611804916524477</v>
          </cell>
          <cell r="R17">
            <v>6.1567703813891939</v>
          </cell>
          <cell r="S17">
            <v>5.4023788626252269</v>
          </cell>
          <cell r="T17">
            <v>7.0855960693043727</v>
          </cell>
          <cell r="U17">
            <v>3.0042656916513977</v>
          </cell>
          <cell r="V17">
            <v>3.226810945467264</v>
          </cell>
          <cell r="W17">
            <v>6.0242347671280072</v>
          </cell>
          <cell r="X17">
            <v>12.376237623762393</v>
          </cell>
          <cell r="Y17">
            <v>11.542329763947251</v>
          </cell>
          <cell r="Z17">
            <v>10.011312217194586</v>
          </cell>
          <cell r="AA17">
            <v>8.3306250677066345</v>
          </cell>
          <cell r="AB17">
            <v>4.1435194690897532</v>
          </cell>
          <cell r="AC17">
            <v>6.0200687170943752</v>
          </cell>
          <cell r="AD17">
            <v>7.5416601824427403</v>
          </cell>
          <cell r="AE17">
            <v>5.6190986995784442</v>
          </cell>
          <cell r="AF17">
            <v>1.0418843649850089</v>
          </cell>
          <cell r="AG17">
            <v>4.7959980066487446</v>
          </cell>
          <cell r="AH17">
            <v>4.648923671152744</v>
          </cell>
          <cell r="AI17">
            <v>6.1351278796378637</v>
          </cell>
          <cell r="AJ17">
            <v>2.7809078233797919</v>
          </cell>
          <cell r="AK17">
            <v>2.1307979913537451</v>
          </cell>
          <cell r="AL17">
            <v>2.1357663632568773</v>
          </cell>
          <cell r="AM17">
            <v>0.68336879511122106</v>
          </cell>
          <cell r="AN17">
            <v>-1.9184662348245922</v>
          </cell>
          <cell r="AO17">
            <v>-5.3378454545959215</v>
          </cell>
          <cell r="AP17">
            <v>-5.8647114246250567</v>
          </cell>
          <cell r="AQ17">
            <v>-4.0052794907934128</v>
          </cell>
          <cell r="AR17">
            <v>5.9616457015122251</v>
          </cell>
          <cell r="AS17">
            <v>7.7657252814282458</v>
          </cell>
          <cell r="AT17">
            <v>7.0121430881118698</v>
          </cell>
          <cell r="AU17">
            <v>5.725341012606961</v>
          </cell>
          <cell r="AV17">
            <v>2.4533589903558521</v>
          </cell>
          <cell r="AW17">
            <v>2.2500397358822681</v>
          </cell>
          <cell r="AX17">
            <v>2.2747035430404736</v>
          </cell>
          <cell r="AY17">
            <v>2.3501718903922324</v>
          </cell>
          <cell r="AZ17">
            <v>4.698550426360228</v>
          </cell>
          <cell r="BA17">
            <v>4.006370870350068</v>
          </cell>
          <cell r="BB17">
            <v>3.7323680244152797</v>
          </cell>
          <cell r="BC17">
            <v>2.8031752781912331</v>
          </cell>
          <cell r="BD17">
            <v>-6.8287561672716777</v>
          </cell>
          <cell r="BE17">
            <v>-5.3122189878779551</v>
          </cell>
          <cell r="BF17">
            <v>-4.4169192440395477</v>
          </cell>
          <cell r="BG17">
            <v>-3.1028224835217486</v>
          </cell>
          <cell r="BH17">
            <v>10.210596006102548</v>
          </cell>
          <cell r="BI17">
            <v>8.4679130800775084</v>
          </cell>
          <cell r="BJ17">
            <v>6.5831196743948937</v>
          </cell>
          <cell r="BK17">
            <v>5.8789306803967918</v>
          </cell>
          <cell r="BL17">
            <v>5.4861325434061143</v>
          </cell>
          <cell r="BM17">
            <v>5.1552639275431034</v>
          </cell>
          <cell r="BN17">
            <v>4.0543464142118495</v>
          </cell>
          <cell r="BO17">
            <v>3.4939236111111143</v>
          </cell>
          <cell r="BP17">
            <v>3.4936119139619564</v>
          </cell>
          <cell r="BQ17">
            <v>1.8535942403344876</v>
          </cell>
          <cell r="BR17">
            <v>1.9044739478368342</v>
          </cell>
          <cell r="BS17">
            <v>2.092330335410324</v>
          </cell>
          <cell r="BT17">
            <v>3.1341060998670116</v>
          </cell>
          <cell r="BU17">
            <v>4.050741088661141</v>
          </cell>
          <cell r="BV17">
            <v>4.2957951426376724</v>
          </cell>
          <cell r="BW17">
            <v>5.0022299708076616</v>
          </cell>
          <cell r="BX17">
            <v>7.9831041692728775</v>
          </cell>
          <cell r="BY17">
            <v>8.8840687850139375</v>
          </cell>
          <cell r="BZ17">
            <v>9.4129229515630897</v>
          </cell>
          <cell r="CA17">
            <v>7.0020586252755379</v>
          </cell>
          <cell r="CB17">
            <v>-6.170464196201749</v>
          </cell>
          <cell r="CC17">
            <v>-6.819890487058899</v>
          </cell>
          <cell r="CD17">
            <v>-5.9931388766404865</v>
          </cell>
          <cell r="CE17">
            <v>-3.5539061679528032</v>
          </cell>
          <cell r="CF17">
            <v>12.075557781590305</v>
          </cell>
          <cell r="CG17">
            <v>11.618999706183672</v>
          </cell>
          <cell r="CH17">
            <v>10.565367863107113</v>
          </cell>
          <cell r="CI17">
            <v>9.1817300741992511</v>
          </cell>
          <cell r="CJ17">
            <v>4.6257345265929359</v>
          </cell>
          <cell r="CK17">
            <v>3.8733382874793847</v>
          </cell>
          <cell r="CL17">
            <v>3.2468982491711103</v>
          </cell>
          <cell r="CM17">
            <v>2.774289755056671</v>
          </cell>
          <cell r="CN17">
            <v>1.2438541828271781</v>
          </cell>
          <cell r="CO17">
            <v>0.3240682227741587</v>
          </cell>
          <cell r="CP17">
            <v>-3.6849970972710366E-2</v>
          </cell>
          <cell r="CQ17">
            <v>0.49015738813338317</v>
          </cell>
          <cell r="CR17">
            <v>0.27543926153799703</v>
          </cell>
          <cell r="CS17">
            <v>1.4714553948464726</v>
          </cell>
          <cell r="CT17">
            <v>2.1929711643889505</v>
          </cell>
          <cell r="CU17">
            <v>1.6229997564019669</v>
          </cell>
          <cell r="CV17">
            <v>-2.1488501979783905</v>
          </cell>
          <cell r="CW17">
            <v>-1.2383269785829327</v>
          </cell>
          <cell r="CX17">
            <v>-9.7038119902535414E-2</v>
          </cell>
          <cell r="CY17">
            <v>0.4570360458164231</v>
          </cell>
          <cell r="DA17">
            <v>0.1191508435956317</v>
          </cell>
          <cell r="DB17">
            <v>0</v>
          </cell>
          <cell r="DC17">
            <v>3.801748881465359E-2</v>
          </cell>
          <cell r="DD17">
            <v>3.801748881465359E-2</v>
          </cell>
        </row>
        <row r="18">
          <cell r="A18">
            <v>0</v>
          </cell>
          <cell r="B18" t="str">
            <v>Comunicações</v>
          </cell>
          <cell r="C18">
            <v>2.441089411888945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16.424075531077875</v>
          </cell>
          <cell r="M18">
            <v>10.274226422086358</v>
          </cell>
          <cell r="N18">
            <v>7.5504050138946326</v>
          </cell>
          <cell r="O18">
            <v>5.5189244733687275</v>
          </cell>
          <cell r="P18">
            <v>7.3661091400574463</v>
          </cell>
          <cell r="Q18">
            <v>10.299924388809529</v>
          </cell>
          <cell r="R18">
            <v>11.088510170423319</v>
          </cell>
          <cell r="S18">
            <v>12.022722661797516</v>
          </cell>
          <cell r="T18">
            <v>15.515342250196682</v>
          </cell>
          <cell r="U18">
            <v>15.378170462335291</v>
          </cell>
          <cell r="V18">
            <v>15.331320829415532</v>
          </cell>
          <cell r="W18">
            <v>16.024340770791085</v>
          </cell>
          <cell r="X18">
            <v>26.236207601144272</v>
          </cell>
          <cell r="Y18">
            <v>25.066015315553216</v>
          </cell>
          <cell r="Z18">
            <v>25.286419223342648</v>
          </cell>
          <cell r="AA18">
            <v>24.875124875124882</v>
          </cell>
          <cell r="AB18">
            <v>9.1421458262200446</v>
          </cell>
          <cell r="AC18">
            <v>8.2086449752868162</v>
          </cell>
          <cell r="AD18">
            <v>6.764253186433848</v>
          </cell>
          <cell r="AE18">
            <v>5.94915865179766</v>
          </cell>
          <cell r="AF18">
            <v>5.1712914607461045</v>
          </cell>
          <cell r="AG18">
            <v>5.7898099599371022</v>
          </cell>
          <cell r="AH18">
            <v>4.7713469955876349</v>
          </cell>
          <cell r="AI18">
            <v>5.2407400520366991</v>
          </cell>
          <cell r="AJ18">
            <v>5.2021810864474105</v>
          </cell>
          <cell r="AK18">
            <v>3.5569347330347938</v>
          </cell>
          <cell r="AL18">
            <v>6.4383729280658173</v>
          </cell>
          <cell r="AM18">
            <v>7.9436245190872796</v>
          </cell>
          <cell r="AN18">
            <v>19.528911787105542</v>
          </cell>
          <cell r="AO18">
            <v>21.013235106530232</v>
          </cell>
          <cell r="AP18">
            <v>16.171498954316846</v>
          </cell>
          <cell r="AQ18">
            <v>13.010129132367837</v>
          </cell>
          <cell r="AR18">
            <v>11.969380370081993</v>
          </cell>
          <cell r="AS18">
            <v>13.686820481974806</v>
          </cell>
          <cell r="AT18">
            <v>16.869967951302172</v>
          </cell>
          <cell r="AU18">
            <v>16.582526937644388</v>
          </cell>
          <cell r="AV18">
            <v>9.4561555718938735</v>
          </cell>
          <cell r="AW18">
            <v>7.8162644543776025</v>
          </cell>
          <cell r="AX18">
            <v>5.972987423439406</v>
          </cell>
          <cell r="AY18">
            <v>5.3140358975751525</v>
          </cell>
          <cell r="AZ18">
            <v>4.3535321638184854</v>
          </cell>
          <cell r="BA18">
            <v>3.4723478594036266</v>
          </cell>
          <cell r="BB18">
            <v>3.9729179879672785</v>
          </cell>
          <cell r="BC18">
            <v>4.9795501022494904</v>
          </cell>
          <cell r="BD18">
            <v>3.4085216371168201</v>
          </cell>
          <cell r="BE18">
            <v>4.958178949307694</v>
          </cell>
          <cell r="BF18">
            <v>4.7990247331111817</v>
          </cell>
          <cell r="BG18">
            <v>4.4280338455359356</v>
          </cell>
          <cell r="BH18">
            <v>2.9053100236889833</v>
          </cell>
          <cell r="BI18">
            <v>3.4619219321639463</v>
          </cell>
          <cell r="BJ18">
            <v>4.2983821094630486</v>
          </cell>
          <cell r="BK18">
            <v>5.5014038331508317</v>
          </cell>
          <cell r="BL18">
            <v>6.1084537351577808</v>
          </cell>
          <cell r="BM18">
            <v>5.4337907236942158</v>
          </cell>
          <cell r="BN18">
            <v>4.7341668940718478</v>
          </cell>
          <cell r="BO18">
            <v>4.0095405864654481</v>
          </cell>
          <cell r="BP18">
            <v>0.73242394545742684</v>
          </cell>
          <cell r="BQ18">
            <v>-0.3133416012667567</v>
          </cell>
          <cell r="BR18">
            <v>1.2349456157596137</v>
          </cell>
          <cell r="BS18">
            <v>1.6480515579344228</v>
          </cell>
          <cell r="BT18">
            <v>7.678724403147541</v>
          </cell>
          <cell r="BU18">
            <v>7.7194655148399676</v>
          </cell>
          <cell r="BV18">
            <v>6.7999888449061388</v>
          </cell>
          <cell r="BW18">
            <v>7.397499449568997</v>
          </cell>
          <cell r="BX18">
            <v>8.7367320596572426</v>
          </cell>
          <cell r="BY18">
            <v>8.6946801856964129</v>
          </cell>
          <cell r="BZ18">
            <v>9.0776112711153729</v>
          </cell>
          <cell r="CA18">
            <v>8.75631190799146</v>
          </cell>
          <cell r="CB18">
            <v>2.7983074176288056</v>
          </cell>
          <cell r="CC18">
            <v>2.4766298846506913</v>
          </cell>
          <cell r="CD18">
            <v>1.7631592331416499</v>
          </cell>
          <cell r="CE18">
            <v>0.83948753519116792</v>
          </cell>
          <cell r="CF18">
            <v>2.0422200431543018</v>
          </cell>
          <cell r="CG18">
            <v>2.8868990560294776</v>
          </cell>
          <cell r="CH18">
            <v>3.3123820592057456</v>
          </cell>
          <cell r="CI18">
            <v>3.6645732208554023</v>
          </cell>
          <cell r="CJ18">
            <v>4.4732685037724593</v>
          </cell>
          <cell r="CK18">
            <v>5.2301784308458963</v>
          </cell>
          <cell r="CL18">
            <v>4.9310873742193166</v>
          </cell>
          <cell r="CM18">
            <v>4.8561612101966034</v>
          </cell>
          <cell r="CN18">
            <v>4.0965585728767593</v>
          </cell>
          <cell r="CO18">
            <v>3.3519311760770165</v>
          </cell>
          <cell r="CP18">
            <v>2.9790091429293</v>
          </cell>
          <cell r="CQ18">
            <v>2.9412971716941314</v>
          </cell>
          <cell r="CR18">
            <v>2.4526679592434419</v>
          </cell>
          <cell r="CS18">
            <v>2.5845258869011047</v>
          </cell>
          <cell r="CT18">
            <v>1.9897690260693537</v>
          </cell>
          <cell r="CU18">
            <v>1.7462321276262855</v>
          </cell>
          <cell r="CV18">
            <v>-2.4477852802708355</v>
          </cell>
          <cell r="CW18">
            <v>-2.7009851323179532</v>
          </cell>
          <cell r="CX18">
            <v>-1.5332520691252398</v>
          </cell>
          <cell r="CY18">
            <v>-0.93392795829778663</v>
          </cell>
          <cell r="DA18">
            <v>0.309214084242245</v>
          </cell>
          <cell r="DB18">
            <v>0</v>
          </cell>
          <cell r="DC18">
            <v>4.0268938954951539E-2</v>
          </cell>
          <cell r="DD18">
            <v>4.0268938954951539E-2</v>
          </cell>
        </row>
        <row r="19">
          <cell r="A19">
            <v>0</v>
          </cell>
          <cell r="B19" t="str">
            <v>Instituições financeiras</v>
          </cell>
          <cell r="C19">
            <v>5.9726523861247802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-7.8857669276831075</v>
          </cell>
          <cell r="M19">
            <v>-6.2852538275584351</v>
          </cell>
          <cell r="N19">
            <v>-5.1557594783868552</v>
          </cell>
          <cell r="O19">
            <v>-4.4300886893682332</v>
          </cell>
          <cell r="P19">
            <v>-0.46004600460045708</v>
          </cell>
          <cell r="Q19">
            <v>-0.67776035607707286</v>
          </cell>
          <cell r="R19">
            <v>-0.80203691915977515</v>
          </cell>
          <cell r="S19">
            <v>-0.82947619265844708</v>
          </cell>
          <cell r="T19">
            <v>-1.2759971867778575</v>
          </cell>
          <cell r="U19">
            <v>-1.1407037734888235</v>
          </cell>
          <cell r="V19">
            <v>-1.0555698151950708</v>
          </cell>
          <cell r="W19">
            <v>-1.0166358595194254</v>
          </cell>
          <cell r="X19">
            <v>-6.4319153266843188</v>
          </cell>
          <cell r="Y19">
            <v>-6.5007984340390408</v>
          </cell>
          <cell r="Z19">
            <v>-6.5631181296410404</v>
          </cell>
          <cell r="AA19">
            <v>-6.6316526610644075</v>
          </cell>
          <cell r="AB19">
            <v>3.5708442813203476</v>
          </cell>
          <cell r="AC19">
            <v>3.3862685793650087</v>
          </cell>
          <cell r="AD19">
            <v>3.1811010737602601</v>
          </cell>
          <cell r="AE19">
            <v>0.8836568441909094</v>
          </cell>
          <cell r="AF19">
            <v>1.6920880269265695</v>
          </cell>
          <cell r="AG19">
            <v>1.4276208580266285</v>
          </cell>
          <cell r="AH19">
            <v>1.2905953407374398</v>
          </cell>
          <cell r="AI19">
            <v>3.3289226791489028</v>
          </cell>
          <cell r="AJ19">
            <v>-2.0848024664271207</v>
          </cell>
          <cell r="AK19">
            <v>-1.816399647784209</v>
          </cell>
          <cell r="AL19">
            <v>-1.619722030247658</v>
          </cell>
          <cell r="AM19">
            <v>-1.4840447795786247</v>
          </cell>
          <cell r="AN19">
            <v>0.67441417385826696</v>
          </cell>
          <cell r="AO19">
            <v>0.58335112884304863</v>
          </cell>
          <cell r="AP19">
            <v>0.46643164140212434</v>
          </cell>
          <cell r="AQ19">
            <v>0.28941986761317651</v>
          </cell>
          <cell r="AR19">
            <v>2.3327356448696435</v>
          </cell>
          <cell r="AS19">
            <v>2.1722848159002837</v>
          </cell>
          <cell r="AT19">
            <v>2.1205135155305328</v>
          </cell>
          <cell r="AU19">
            <v>2.2075911762864422</v>
          </cell>
          <cell r="AV19">
            <v>0.35681746438895345</v>
          </cell>
          <cell r="AW19">
            <v>0.71582839417716571</v>
          </cell>
          <cell r="AX19">
            <v>0.99551699466664445</v>
          </cell>
          <cell r="AY19">
            <v>1.2231746560629375</v>
          </cell>
          <cell r="AZ19">
            <v>3.4615666241343774</v>
          </cell>
          <cell r="BA19">
            <v>3.242743243792745</v>
          </cell>
          <cell r="BB19">
            <v>2.8832066069474251</v>
          </cell>
          <cell r="BC19">
            <v>2.2554811605619136</v>
          </cell>
          <cell r="BD19">
            <v>-4.4418659853094056</v>
          </cell>
          <cell r="BE19">
            <v>-5.0047368083674115</v>
          </cell>
          <cell r="BF19">
            <v>-5.1519303593116632</v>
          </cell>
          <cell r="BG19">
            <v>-4.7762816533933687</v>
          </cell>
          <cell r="BH19">
            <v>0.88705738599752237</v>
          </cell>
          <cell r="BI19">
            <v>7.4514550847657688</v>
          </cell>
          <cell r="BJ19">
            <v>4.4474543845012704</v>
          </cell>
          <cell r="BK19">
            <v>3.6901643237081458</v>
          </cell>
          <cell r="BL19">
            <v>9.4256933600429988</v>
          </cell>
          <cell r="BM19">
            <v>5.4699149998062921</v>
          </cell>
          <cell r="BN19">
            <v>6.3100768217940555</v>
          </cell>
          <cell r="BO19">
            <v>5.2641366473425251</v>
          </cell>
          <cell r="BP19">
            <v>10.349997161465382</v>
          </cell>
          <cell r="BQ19">
            <v>11.721158136068595</v>
          </cell>
          <cell r="BR19">
            <v>10.139710555673247</v>
          </cell>
          <cell r="BS19">
            <v>8.3694413446516478</v>
          </cell>
          <cell r="BT19">
            <v>11.740613968759988</v>
          </cell>
          <cell r="BU19">
            <v>11.939060051494238</v>
          </cell>
          <cell r="BV19">
            <v>12.536707736190507</v>
          </cell>
          <cell r="BW19">
            <v>15.077381196301005</v>
          </cell>
          <cell r="BX19">
            <v>16.710650935985626</v>
          </cell>
          <cell r="BY19">
            <v>16.064359221107537</v>
          </cell>
          <cell r="BZ19">
            <v>14.961910456077149</v>
          </cell>
          <cell r="CA19">
            <v>12.649195936403814</v>
          </cell>
          <cell r="CB19">
            <v>7.1702050098390941</v>
          </cell>
          <cell r="CC19">
            <v>6.7487467528242462</v>
          </cell>
          <cell r="CD19">
            <v>6.7226350634588101</v>
          </cell>
          <cell r="CE19">
            <v>7.8230569224365638</v>
          </cell>
          <cell r="CF19">
            <v>8.9483877819779707</v>
          </cell>
          <cell r="CG19">
            <v>9.0282582123616208</v>
          </cell>
          <cell r="CH19">
            <v>9.5918818384029834</v>
          </cell>
          <cell r="CI19">
            <v>9.969278821570299</v>
          </cell>
          <cell r="CJ19">
            <v>6.2973665997284627</v>
          </cell>
          <cell r="CK19">
            <v>5.5972642062635174</v>
          </cell>
          <cell r="CL19">
            <v>4.7021428705249662</v>
          </cell>
          <cell r="CM19">
            <v>3.8563376457772023</v>
          </cell>
          <cell r="CN19">
            <v>0.31726347199345639</v>
          </cell>
          <cell r="CO19">
            <v>1.0556533835675737</v>
          </cell>
          <cell r="CP19">
            <v>0.35170881272890142</v>
          </cell>
          <cell r="CQ19">
            <v>0.52055635435750958</v>
          </cell>
          <cell r="CR19">
            <v>1.4817294191664701</v>
          </cell>
          <cell r="CS19">
            <v>1.4662036601158093</v>
          </cell>
          <cell r="CT19">
            <v>1.9325662509487103</v>
          </cell>
          <cell r="CU19">
            <v>1.7109789329452241</v>
          </cell>
          <cell r="CV19">
            <v>-2.9491112057485225</v>
          </cell>
          <cell r="CW19">
            <v>-2.5047252566883174</v>
          </cell>
          <cell r="CX19">
            <v>-1.3364083022329822</v>
          </cell>
          <cell r="CY19">
            <v>-0.74307838514465629</v>
          </cell>
          <cell r="DA19">
            <v>0.60038793647298649</v>
          </cell>
          <cell r="DB19">
            <v>0</v>
          </cell>
          <cell r="DC19">
            <v>5.1137695019232279E-2</v>
          </cell>
          <cell r="DD19">
            <v>5.1137695019232279E-2</v>
          </cell>
        </row>
        <row r="20">
          <cell r="B20" t="str">
            <v>Outros serviços</v>
          </cell>
          <cell r="C20">
            <v>13.175350389345716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-14.233616974251291</v>
          </cell>
          <cell r="M20">
            <v>-4.8213542595565002</v>
          </cell>
          <cell r="N20">
            <v>1.0528913383235761</v>
          </cell>
          <cell r="O20">
            <v>4.7315941301893929</v>
          </cell>
          <cell r="P20">
            <v>10.47545419404716</v>
          </cell>
          <cell r="Q20">
            <v>7.7826358525921364</v>
          </cell>
          <cell r="R20">
            <v>5.9829059829059901</v>
          </cell>
          <cell r="S20">
            <v>5.1375707314152095</v>
          </cell>
          <cell r="T20">
            <v>4.9451831117331579</v>
          </cell>
          <cell r="U20">
            <v>5.7023643949930545</v>
          </cell>
          <cell r="V20">
            <v>6.7972350230414804</v>
          </cell>
          <cell r="W20">
            <v>7.6743457584645682</v>
          </cell>
          <cell r="X20">
            <v>9.9577683929762202</v>
          </cell>
          <cell r="Y20">
            <v>9.6052631578947398</v>
          </cell>
          <cell r="Z20">
            <v>7.4793239841783645</v>
          </cell>
          <cell r="AA20">
            <v>5.7891674600655847</v>
          </cell>
          <cell r="AB20">
            <v>-0.61427552705238497</v>
          </cell>
          <cell r="AC20">
            <v>-0.70112397262992943</v>
          </cell>
          <cell r="AD20">
            <v>0.4066185218979399</v>
          </cell>
          <cell r="AE20">
            <v>-3.0749891547358743E-2</v>
          </cell>
          <cell r="AF20">
            <v>1.1179276233316671</v>
          </cell>
          <cell r="AG20">
            <v>1.6994684356064624</v>
          </cell>
          <cell r="AH20">
            <v>1.9514701495022138</v>
          </cell>
          <cell r="AI20">
            <v>2.8162136355386735</v>
          </cell>
          <cell r="AJ20">
            <v>1.1588345314387851</v>
          </cell>
          <cell r="AK20">
            <v>1.6667948126290639</v>
          </cell>
          <cell r="AL20">
            <v>1.5486990224615482</v>
          </cell>
          <cell r="AM20">
            <v>1.0986652786233861</v>
          </cell>
          <cell r="AN20">
            <v>1.8568452778931146</v>
          </cell>
          <cell r="AO20">
            <v>1.1165090340627444</v>
          </cell>
          <cell r="AP20">
            <v>0.83816782113143518</v>
          </cell>
          <cell r="AQ20">
            <v>1.1959185433296966</v>
          </cell>
          <cell r="AR20">
            <v>5.1956391154373165</v>
          </cell>
          <cell r="AS20">
            <v>4.368133476166264</v>
          </cell>
          <cell r="AT20">
            <v>3.7790500966028162</v>
          </cell>
          <cell r="AU20">
            <v>3.2625305582794795</v>
          </cell>
          <cell r="AV20">
            <v>-1.6500619145736835</v>
          </cell>
          <cell r="AW20">
            <v>-0.64307048643918563</v>
          </cell>
          <cell r="AX20">
            <v>-0.82075654944371479</v>
          </cell>
          <cell r="AY20">
            <v>-0.63716521827514327</v>
          </cell>
          <cell r="AZ20">
            <v>4.270275724969494</v>
          </cell>
          <cell r="BA20">
            <v>3.5145059763588335</v>
          </cell>
          <cell r="BB20">
            <v>3.9334739753298891</v>
          </cell>
          <cell r="BC20">
            <v>4.5244973280997129</v>
          </cell>
          <cell r="BD20">
            <v>2.4360987066792035</v>
          </cell>
          <cell r="BE20">
            <v>1.0839872990311363</v>
          </cell>
          <cell r="BF20">
            <v>1.0026585808064823</v>
          </cell>
          <cell r="BG20">
            <v>0.67464112148594779</v>
          </cell>
          <cell r="BH20">
            <v>0.26959525966074693</v>
          </cell>
          <cell r="BI20">
            <v>2.8406524254870931</v>
          </cell>
          <cell r="BJ20">
            <v>4.0828875670975151</v>
          </cell>
          <cell r="BK20">
            <v>5.4172840141051779</v>
          </cell>
          <cell r="BL20">
            <v>7.0357846493361365</v>
          </cell>
          <cell r="BM20">
            <v>6.3261495575777786</v>
          </cell>
          <cell r="BN20">
            <v>6.0262633621420463</v>
          </cell>
          <cell r="BO20">
            <v>5.1673657408813085</v>
          </cell>
          <cell r="BP20">
            <v>4.202071670979393</v>
          </cell>
          <cell r="BQ20">
            <v>3.7436443465541629</v>
          </cell>
          <cell r="BR20">
            <v>3.7914659967774895</v>
          </cell>
          <cell r="BS20">
            <v>4.0449809432782047</v>
          </cell>
          <cell r="BT20">
            <v>5.989233879334904</v>
          </cell>
          <cell r="BU20">
            <v>5.6844969078387635</v>
          </cell>
          <cell r="BV20">
            <v>5.2014433955670967</v>
          </cell>
          <cell r="BW20">
            <v>4.8022404506735938</v>
          </cell>
          <cell r="BX20">
            <v>3.7788833137448989</v>
          </cell>
          <cell r="BY20">
            <v>4.3721693596103535</v>
          </cell>
          <cell r="BZ20">
            <v>4.749089495735177</v>
          </cell>
          <cell r="CA20">
            <v>4.3035256725217863</v>
          </cell>
          <cell r="CB20">
            <v>2.7029122781624153</v>
          </cell>
          <cell r="CC20">
            <v>2.1933329848992713</v>
          </cell>
          <cell r="CD20">
            <v>2.421938822289917</v>
          </cell>
          <cell r="CE20">
            <v>3.2050614312578318</v>
          </cell>
          <cell r="CF20">
            <v>3.4006776877285176</v>
          </cell>
          <cell r="CG20">
            <v>3.8144079484027742</v>
          </cell>
          <cell r="CH20">
            <v>3.6325156383337287</v>
          </cell>
          <cell r="CI20">
            <v>3.6696768112732769</v>
          </cell>
          <cell r="CJ20">
            <v>3.502706552602703</v>
          </cell>
          <cell r="CK20">
            <v>3.4651019332610815</v>
          </cell>
          <cell r="CL20">
            <v>2.8005443553660569</v>
          </cell>
          <cell r="CM20">
            <v>2.259301755454743</v>
          </cell>
          <cell r="CN20">
            <v>0.48537609394448111</v>
          </cell>
          <cell r="CO20">
            <v>0.75822344174267187</v>
          </cell>
          <cell r="CP20">
            <v>1.0792434928257109</v>
          </cell>
          <cell r="CQ20">
            <v>1.7829742179359869</v>
          </cell>
          <cell r="CR20">
            <v>2.5604941883469365</v>
          </cell>
          <cell r="CS20">
            <v>2.6440299170325261</v>
          </cell>
          <cell r="CT20">
            <v>2.0694432498618909</v>
          </cell>
          <cell r="CU20">
            <v>1.3058222513781033</v>
          </cell>
          <cell r="CV20">
            <v>-1.745308313763843</v>
          </cell>
          <cell r="CW20">
            <v>-2.0485551230032968</v>
          </cell>
          <cell r="CX20">
            <v>-1.1716773908895277</v>
          </cell>
          <cell r="CY20">
            <v>-0.72697041181849897</v>
          </cell>
          <cell r="DA20">
            <v>0.69744026043271534</v>
          </cell>
          <cell r="DB20">
            <v>0</v>
          </cell>
          <cell r="DC20">
            <v>0.11644899405901396</v>
          </cell>
          <cell r="DD20">
            <v>0.11644899405901396</v>
          </cell>
        </row>
        <row r="21">
          <cell r="A21">
            <v>0</v>
          </cell>
          <cell r="B21" t="str">
            <v>Aluguéis</v>
          </cell>
          <cell r="C21">
            <v>6.9392836193083074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1.739028944911297</v>
          </cell>
          <cell r="M21">
            <v>2.2533566841797921</v>
          </cell>
          <cell r="N21">
            <v>2.6281976404625311</v>
          </cell>
          <cell r="O21">
            <v>2.8681021706912873</v>
          </cell>
          <cell r="P21">
            <v>0.67683836182172286</v>
          </cell>
          <cell r="Q21">
            <v>0.63941539164193273</v>
          </cell>
          <cell r="R21">
            <v>0.66014113362167848</v>
          </cell>
          <cell r="S21">
            <v>0.73163841807908625</v>
          </cell>
          <cell r="T21">
            <v>7.1103008204193259</v>
          </cell>
          <cell r="U21">
            <v>7.2555026094849069</v>
          </cell>
          <cell r="V21">
            <v>7.3420774913312243</v>
          </cell>
          <cell r="W21">
            <v>7.378221486861662</v>
          </cell>
          <cell r="X21">
            <v>4.7234042553191387</v>
          </cell>
          <cell r="Y21">
            <v>4.6332046332046275</v>
          </cell>
          <cell r="Z21">
            <v>4.5470505617977324</v>
          </cell>
          <cell r="AA21">
            <v>4.4659179942543688</v>
          </cell>
          <cell r="AB21">
            <v>3.7598484630403419</v>
          </cell>
          <cell r="AC21">
            <v>3.6201390134805536</v>
          </cell>
          <cell r="AD21">
            <v>3.4359470990689545</v>
          </cell>
          <cell r="AE21">
            <v>2.3860323607920861</v>
          </cell>
          <cell r="AF21">
            <v>1.365824253873555</v>
          </cell>
          <cell r="AG21">
            <v>1.3823689571228073</v>
          </cell>
          <cell r="AH21">
            <v>1.4584081134489111</v>
          </cell>
          <cell r="AI21">
            <v>2.5058541556760332</v>
          </cell>
          <cell r="AJ21">
            <v>2.9311678603438196</v>
          </cell>
          <cell r="AK21">
            <v>2.9854193093728156</v>
          </cell>
          <cell r="AL21">
            <v>2.8305793153583778</v>
          </cell>
          <cell r="AM21">
            <v>2.5702769923841231</v>
          </cell>
          <cell r="AN21">
            <v>3.8149437889859001</v>
          </cell>
          <cell r="AO21">
            <v>3.2287253153471198</v>
          </cell>
          <cell r="AP21">
            <v>2.848300189450697</v>
          </cell>
          <cell r="AQ21">
            <v>2.3222687717950237</v>
          </cell>
          <cell r="AR21">
            <v>0.3747415781891732</v>
          </cell>
          <cell r="AS21">
            <v>1.2999154206371486</v>
          </cell>
          <cell r="AT21">
            <v>2.5296776466538802</v>
          </cell>
          <cell r="AU21">
            <v>4.0244268245269552</v>
          </cell>
          <cell r="AV21">
            <v>5.7827530131486355</v>
          </cell>
          <cell r="AW21">
            <v>5.7576130418899965</v>
          </cell>
          <cell r="AX21">
            <v>5.2812180329977707</v>
          </cell>
          <cell r="AY21">
            <v>4.5182358207763116</v>
          </cell>
          <cell r="AZ21">
            <v>3.9832161020064092</v>
          </cell>
          <cell r="BA21">
            <v>3.9319902681449861</v>
          </cell>
          <cell r="BB21">
            <v>4.0914512369810296</v>
          </cell>
          <cell r="BC21">
            <v>4.370980707395475</v>
          </cell>
          <cell r="BD21">
            <v>6.8154135914773519</v>
          </cell>
          <cell r="BE21">
            <v>5.8396681687139136</v>
          </cell>
          <cell r="BF21">
            <v>4.5465136631141405</v>
          </cell>
          <cell r="BG21">
            <v>3.3542783928311053</v>
          </cell>
          <cell r="BH21">
            <v>-1.0393073185636155</v>
          </cell>
          <cell r="BI21">
            <v>0.54452962004754113</v>
          </cell>
          <cell r="BJ21">
            <v>2.6113841891965279</v>
          </cell>
          <cell r="BK21">
            <v>3.8633276668383019</v>
          </cell>
          <cell r="BL21">
            <v>6.7945713605170823</v>
          </cell>
          <cell r="BM21">
            <v>5.9119805245251484</v>
          </cell>
          <cell r="BN21">
            <v>4.9999829461640104</v>
          </cell>
          <cell r="BO21">
            <v>4.7091112637068733</v>
          </cell>
          <cell r="BP21">
            <v>2.4120054984971375</v>
          </cell>
          <cell r="BQ21">
            <v>2.6470330116160881</v>
          </cell>
          <cell r="BR21">
            <v>2.9806762867638668</v>
          </cell>
          <cell r="BS21">
            <v>2.9862883833057197</v>
          </cell>
          <cell r="BT21">
            <v>5.381680219762643</v>
          </cell>
          <cell r="BU21">
            <v>5.5088148388799425</v>
          </cell>
          <cell r="BV21">
            <v>5.2372169536928084</v>
          </cell>
          <cell r="BW21">
            <v>4.9006750350575601</v>
          </cell>
          <cell r="BX21">
            <v>2.7934896960780264</v>
          </cell>
          <cell r="BY21">
            <v>2.3400290933975043</v>
          </cell>
          <cell r="BZ21">
            <v>2.2388567568810203</v>
          </cell>
          <cell r="CA21">
            <v>1.7844562036851244</v>
          </cell>
          <cell r="CB21">
            <v>2.2562055699304722</v>
          </cell>
          <cell r="CC21">
            <v>2.2806229940165679</v>
          </cell>
          <cell r="CD21">
            <v>2.1834103972594932</v>
          </cell>
          <cell r="CE21">
            <v>2.6401510288124541</v>
          </cell>
          <cell r="CF21">
            <v>1.8097708766800622</v>
          </cell>
          <cell r="CG21">
            <v>1.7955308661262563</v>
          </cell>
          <cell r="CH21">
            <v>1.6970566138453194</v>
          </cell>
          <cell r="CI21">
            <v>1.6990613089245841</v>
          </cell>
          <cell r="CJ21">
            <v>1.6587393363642633</v>
          </cell>
          <cell r="CK21">
            <v>1.5562567525259965</v>
          </cell>
          <cell r="CL21">
            <v>1.4892118567555883</v>
          </cell>
          <cell r="CM21">
            <v>1.4485352421987869</v>
          </cell>
          <cell r="CN21">
            <v>1.2063705244221836</v>
          </cell>
          <cell r="CO21">
            <v>1.2930898570004103</v>
          </cell>
          <cell r="CP21">
            <v>1.3550191212322886</v>
          </cell>
          <cell r="CQ21">
            <v>1.3445752286313422</v>
          </cell>
          <cell r="CR21">
            <v>1.8790804261886223</v>
          </cell>
          <cell r="CS21">
            <v>2.0119515043380432</v>
          </cell>
          <cell r="CT21">
            <v>1.5099500055352593</v>
          </cell>
          <cell r="CU21">
            <v>1.2358770960826178</v>
          </cell>
          <cell r="CV21">
            <v>-1.9288254885188252</v>
          </cell>
          <cell r="CW21">
            <v>-1.8134841106184609</v>
          </cell>
          <cell r="CX21">
            <v>-0.99714140221256287</v>
          </cell>
          <cell r="CY21">
            <v>-0.58534948119735475</v>
          </cell>
          <cell r="DA21">
            <v>0.26013553875125284</v>
          </cell>
          <cell r="DB21">
            <v>0</v>
          </cell>
          <cell r="DC21">
            <v>4.8337234493417376E-2</v>
          </cell>
          <cell r="DD21">
            <v>4.8337234493417376E-2</v>
          </cell>
        </row>
        <row r="22">
          <cell r="A22">
            <v>0</v>
          </cell>
          <cell r="B22" t="str">
            <v>Governo</v>
          </cell>
          <cell r="C22">
            <v>14.366488615911067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1.5228426395939039</v>
          </cell>
          <cell r="M22">
            <v>2.0019447463249804</v>
          </cell>
          <cell r="N22">
            <v>2.3873891025396858</v>
          </cell>
          <cell r="O22">
            <v>2.6638176638176532</v>
          </cell>
          <cell r="P22">
            <v>3.7499999999999858</v>
          </cell>
          <cell r="Q22">
            <v>3.8187629675320949</v>
          </cell>
          <cell r="R22">
            <v>3.934548159167008</v>
          </cell>
          <cell r="S22">
            <v>4.0904676009435406</v>
          </cell>
          <cell r="T22">
            <v>3.3077765607885965</v>
          </cell>
          <cell r="U22">
            <v>3.435238198120345</v>
          </cell>
          <cell r="V22">
            <v>3.470731358236705</v>
          </cell>
          <cell r="W22">
            <v>3.415180356714373</v>
          </cell>
          <cell r="X22">
            <v>3.0216284987277362</v>
          </cell>
          <cell r="Y22">
            <v>2.919060052219308</v>
          </cell>
          <cell r="Z22">
            <v>2.9531779514489358</v>
          </cell>
          <cell r="AA22">
            <v>3.1193606599639168</v>
          </cell>
          <cell r="AB22">
            <v>5.2191453175467473</v>
          </cell>
          <cell r="AC22">
            <v>5.2927398635359282</v>
          </cell>
          <cell r="AD22">
            <v>5.0580975322491781</v>
          </cell>
          <cell r="AE22">
            <v>4.3128399483569808</v>
          </cell>
          <cell r="AF22">
            <v>0.73814478504780823</v>
          </cell>
          <cell r="AG22">
            <v>5.2957169868861342E-2</v>
          </cell>
          <cell r="AH22">
            <v>-0.27526135875513091</v>
          </cell>
          <cell r="AI22">
            <v>-4.2563480340447768E-2</v>
          </cell>
          <cell r="AJ22">
            <v>1.5559660633270198</v>
          </cell>
          <cell r="AK22">
            <v>2.1950515255518184</v>
          </cell>
          <cell r="AL22">
            <v>2.6439052215861096</v>
          </cell>
          <cell r="AM22">
            <v>2.8934668804292869</v>
          </cell>
          <cell r="AN22">
            <v>3.9457363711863565</v>
          </cell>
          <cell r="AO22">
            <v>3.7147109675771617</v>
          </cell>
          <cell r="AP22">
            <v>3.4939248249365278</v>
          </cell>
          <cell r="AQ22">
            <v>3.2849234844251072</v>
          </cell>
          <cell r="AR22">
            <v>1.4396980755302167</v>
          </cell>
          <cell r="AS22">
            <v>1.4097279026390623</v>
          </cell>
          <cell r="AT22">
            <v>1.4832659337073579</v>
          </cell>
          <cell r="AU22">
            <v>1.6635294283977657</v>
          </cell>
          <cell r="AV22">
            <v>2.6130629827517282</v>
          </cell>
          <cell r="AW22">
            <v>2.9114234730999158</v>
          </cell>
          <cell r="AX22">
            <v>3.1139677638471142</v>
          </cell>
          <cell r="AY22">
            <v>3.2120167058962323</v>
          </cell>
          <cell r="AZ22">
            <v>3.9473410990464401</v>
          </cell>
          <cell r="BA22">
            <v>3.7995409876210289</v>
          </cell>
          <cell r="BB22">
            <v>3.6716696008631544</v>
          </cell>
          <cell r="BC22">
            <v>3.5669029058749544</v>
          </cell>
          <cell r="BD22">
            <v>2.4965964551414004</v>
          </cell>
          <cell r="BE22">
            <v>2.5760446490535287</v>
          </cell>
          <cell r="BF22">
            <v>2.7298008086858374</v>
          </cell>
          <cell r="BG22">
            <v>2.958609807412202</v>
          </cell>
          <cell r="BH22">
            <v>7.2511520209616265</v>
          </cell>
          <cell r="BI22">
            <v>4.8186928459386991</v>
          </cell>
          <cell r="BJ22">
            <v>4.1845810940025245</v>
          </cell>
          <cell r="BK22">
            <v>3.7822181332301454</v>
          </cell>
          <cell r="BL22">
            <v>-0.39879236606572022</v>
          </cell>
          <cell r="BM22">
            <v>1.0556042055007424</v>
          </cell>
          <cell r="BN22">
            <v>1.2592756573107238</v>
          </cell>
          <cell r="BO22">
            <v>1.0853948169171161</v>
          </cell>
          <cell r="BP22">
            <v>3.2470384045439289</v>
          </cell>
          <cell r="BQ22">
            <v>3.0496634747214415</v>
          </cell>
          <cell r="BR22">
            <v>3.0887181930977476</v>
          </cell>
          <cell r="BS22">
            <v>3.3449256122022035</v>
          </cell>
          <cell r="BT22">
            <v>2.9547986193314841</v>
          </cell>
          <cell r="BU22">
            <v>2.6645735733806646</v>
          </cell>
          <cell r="BV22">
            <v>2.5645327177728774</v>
          </cell>
          <cell r="BW22">
            <v>2.3010392339255077</v>
          </cell>
          <cell r="BX22">
            <v>0.10883447724687301</v>
          </cell>
          <cell r="BY22">
            <v>0.49427922474588115</v>
          </cell>
          <cell r="BZ22">
            <v>0.7277580695730137</v>
          </cell>
          <cell r="CA22">
            <v>0.92671327302238637</v>
          </cell>
          <cell r="CB22">
            <v>2.9807099403427344</v>
          </cell>
          <cell r="CC22">
            <v>2.7901097954620155</v>
          </cell>
          <cell r="CD22">
            <v>2.7746013784697681</v>
          </cell>
          <cell r="CE22">
            <v>3.0290592641009511</v>
          </cell>
          <cell r="CF22">
            <v>2.3231178621350352</v>
          </cell>
          <cell r="CG22">
            <v>2.4394799961121407</v>
          </cell>
          <cell r="CH22">
            <v>2.3679047981602963</v>
          </cell>
          <cell r="CI22">
            <v>2.2726872678970267</v>
          </cell>
          <cell r="CJ22">
            <v>2.9519821412605154</v>
          </cell>
          <cell r="CK22">
            <v>2.8619356365618955</v>
          </cell>
          <cell r="CL22">
            <v>2.5846238382926146</v>
          </cell>
          <cell r="CM22">
            <v>2.2994895329764518</v>
          </cell>
          <cell r="CN22">
            <v>2.8666394665026758</v>
          </cell>
          <cell r="CO22">
            <v>3.0639195529742551</v>
          </cell>
          <cell r="CP22">
            <v>2.94343343701766</v>
          </cell>
          <cell r="CQ22">
            <v>2.821213590567794</v>
          </cell>
          <cell r="CR22">
            <v>2.2411061452646521</v>
          </cell>
          <cell r="CS22">
            <v>1.8822591481007578</v>
          </cell>
          <cell r="CT22">
            <v>1.3899239935056187</v>
          </cell>
          <cell r="CU22">
            <v>1.2325564023434765</v>
          </cell>
          <cell r="CV22">
            <v>-1.8497887782010451</v>
          </cell>
          <cell r="CW22">
            <v>-1.8113254018723239</v>
          </cell>
          <cell r="CX22">
            <v>-1.0076007378079908</v>
          </cell>
          <cell r="CY22">
            <v>-0.60003209636178667</v>
          </cell>
          <cell r="DA22">
            <v>0.28753638185672303</v>
          </cell>
          <cell r="DB22">
            <v>0</v>
          </cell>
          <cell r="DC22">
            <v>9.7311667866481349E-2</v>
          </cell>
          <cell r="DD22">
            <v>9.7311667866481349E-2</v>
          </cell>
        </row>
        <row r="23">
          <cell r="A23" t="str">
            <v>ServiçosTotal</v>
          </cell>
          <cell r="B23" t="str">
            <v>Total</v>
          </cell>
          <cell r="C23">
            <v>58.176481994082543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-5.7793149615084189</v>
          </cell>
          <cell r="M23">
            <v>-2.8735632183908137</v>
          </cell>
          <cell r="N23">
            <v>-0.91332712022366991</v>
          </cell>
          <cell r="O23">
            <v>0.76414647070306785</v>
          </cell>
          <cell r="P23">
            <v>3.9550029603315551</v>
          </cell>
          <cell r="Q23">
            <v>3.0339946629539583</v>
          </cell>
          <cell r="R23">
            <v>3.1000752445447688</v>
          </cell>
          <cell r="S23">
            <v>3.1607207107470003</v>
          </cell>
          <cell r="T23">
            <v>2.5857159129741376</v>
          </cell>
          <cell r="U23">
            <v>2.3422104611226615</v>
          </cell>
          <cell r="V23">
            <v>3.0652459494964006</v>
          </cell>
          <cell r="W23">
            <v>4.0243607973600177</v>
          </cell>
          <cell r="X23">
            <v>6.5733955141017191</v>
          </cell>
          <cell r="Y23">
            <v>6.5082246795401062</v>
          </cell>
          <cell r="Z23">
            <v>4.599206911202387</v>
          </cell>
          <cell r="AA23">
            <v>3.1645732855337485</v>
          </cell>
          <cell r="AB23">
            <v>2.1637814227007937</v>
          </cell>
          <cell r="AC23">
            <v>2.7997982503732857</v>
          </cell>
          <cell r="AD23">
            <v>3.2001622655502899</v>
          </cell>
          <cell r="AE23">
            <v>2.1941296083646478</v>
          </cell>
          <cell r="AF23">
            <v>2.0610132320656476</v>
          </cell>
          <cell r="AG23">
            <v>2.2480402706789278</v>
          </cell>
          <cell r="AH23">
            <v>1.9369931027805762</v>
          </cell>
          <cell r="AI23">
            <v>2.5823316875675602</v>
          </cell>
          <cell r="AJ23">
            <v>1.3640543993288929</v>
          </cell>
          <cell r="AK23">
            <v>1.6172532794592342</v>
          </cell>
          <cell r="AL23">
            <v>1.5124855267492308</v>
          </cell>
          <cell r="AM23">
            <v>1.1103850859631308</v>
          </cell>
          <cell r="AN23">
            <v>2.0827955802940892</v>
          </cell>
          <cell r="AO23">
            <v>1.3450770472319391</v>
          </cell>
          <cell r="AP23">
            <v>0.95604879794287001</v>
          </cell>
          <cell r="AQ23">
            <v>1.2016567855597486</v>
          </cell>
          <cell r="AR23">
            <v>3.2274216627750718</v>
          </cell>
          <cell r="AS23">
            <v>3.1826146813090901</v>
          </cell>
          <cell r="AT23">
            <v>3.3746418517696526</v>
          </cell>
          <cell r="AU23">
            <v>3.5779654317102683</v>
          </cell>
          <cell r="AV23">
            <v>2.1704137148532539</v>
          </cell>
          <cell r="AW23">
            <v>2.5364964110740686</v>
          </cell>
          <cell r="AX23">
            <v>2.2128957678275896</v>
          </cell>
          <cell r="AY23">
            <v>1.9012281827827593</v>
          </cell>
          <cell r="AZ23">
            <v>2.8385770679399229</v>
          </cell>
          <cell r="BA23">
            <v>2.6801231695085477</v>
          </cell>
          <cell r="BB23">
            <v>3.0065583072702537</v>
          </cell>
          <cell r="BC23">
            <v>3.2145300722587109</v>
          </cell>
          <cell r="BD23">
            <v>1.6583181655524157</v>
          </cell>
          <cell r="BE23">
            <v>1.0701193175284516</v>
          </cell>
          <cell r="BF23">
            <v>0.72315523413293192</v>
          </cell>
          <cell r="BG23">
            <v>0.7641457584661282</v>
          </cell>
          <cell r="BH23">
            <v>3.3999797306789645</v>
          </cell>
          <cell r="BI23">
            <v>4.4078233304700944</v>
          </cell>
          <cell r="BJ23">
            <v>4.708679887221507</v>
          </cell>
          <cell r="BK23">
            <v>4.9995225046755962</v>
          </cell>
          <cell r="BL23">
            <v>4.583793540833625</v>
          </cell>
          <cell r="BM23">
            <v>4.4339226217503978</v>
          </cell>
          <cell r="BN23">
            <v>4.1271762256484266</v>
          </cell>
          <cell r="BO23">
            <v>3.6755223755423998</v>
          </cell>
          <cell r="BP23">
            <v>4.5271076729278548</v>
          </cell>
          <cell r="BQ23">
            <v>4.040605325981744</v>
          </cell>
          <cell r="BR23">
            <v>4.1365897197634354</v>
          </cell>
          <cell r="BS23">
            <v>4.2377445650574259</v>
          </cell>
          <cell r="BT23">
            <v>5.9055636360406396</v>
          </cell>
          <cell r="BU23">
            <v>6.1017848370074574</v>
          </cell>
          <cell r="BV23">
            <v>6.0005517977790106</v>
          </cell>
          <cell r="BW23">
            <v>6.1414019551492061</v>
          </cell>
          <cell r="BX23">
            <v>5.5531418830738346</v>
          </cell>
          <cell r="BY23">
            <v>5.7360910706037771</v>
          </cell>
          <cell r="BZ23">
            <v>5.9558951026965161</v>
          </cell>
          <cell r="CA23">
            <v>4.9304898377493345</v>
          </cell>
          <cell r="CB23">
            <v>0.91760766460826915</v>
          </cell>
          <cell r="CC23">
            <v>0.80193343081627688</v>
          </cell>
          <cell r="CD23">
            <v>1.0113174383822354</v>
          </cell>
          <cell r="CE23">
            <v>2.1225515694454771</v>
          </cell>
          <cell r="CF23">
            <v>6.20040221249387</v>
          </cell>
          <cell r="CG23">
            <v>6.0203336162012846</v>
          </cell>
          <cell r="CH23">
            <v>5.73806143246631</v>
          </cell>
          <cell r="CI23">
            <v>5.4905825717573862</v>
          </cell>
          <cell r="CJ23">
            <v>3.9726351197262915</v>
          </cell>
          <cell r="CK23">
            <v>3.8354054796181316</v>
          </cell>
          <cell r="CL23">
            <v>3.2009137152583946</v>
          </cell>
          <cell r="CM23">
            <v>2.7311358310651457</v>
          </cell>
          <cell r="CN23">
            <v>1.5759585996170955</v>
          </cell>
          <cell r="CO23">
            <v>1.5362144010851608</v>
          </cell>
          <cell r="CP23">
            <v>1.4782230693578953</v>
          </cell>
          <cell r="CQ23">
            <v>1.6537658537864246</v>
          </cell>
          <cell r="CR23">
            <v>1.8558097348096112</v>
          </cell>
          <cell r="CS23">
            <v>2.1057123280862555</v>
          </cell>
          <cell r="CT23">
            <v>1.8123238517164566</v>
          </cell>
          <cell r="CU23">
            <v>1.4249229146796409</v>
          </cell>
          <cell r="CV23">
            <v>-1.8345791517853911</v>
          </cell>
          <cell r="CW23">
            <v>-1.8935731848615092</v>
          </cell>
          <cell r="CX23">
            <v>-0.93142750669973395</v>
          </cell>
          <cell r="CY23">
            <v>-0.44992326933946458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</row>
        <row r="25">
          <cell r="A25" t="str">
            <v>Dummy financeiro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</row>
        <row r="27">
          <cell r="A27" t="str">
            <v>Vapb</v>
          </cell>
          <cell r="B27">
            <v>0</v>
          </cell>
          <cell r="C27">
            <v>84.968166569548131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-2.6156223992390863</v>
          </cell>
          <cell r="M27">
            <v>-2.1212472470152051</v>
          </cell>
          <cell r="N27">
            <v>-1.599909225008517</v>
          </cell>
          <cell r="O27">
            <v>-0.24100484845048697</v>
          </cell>
          <cell r="P27">
            <v>4.3218166280063457</v>
          </cell>
          <cell r="Q27">
            <v>4.0620558976788317</v>
          </cell>
          <cell r="R27">
            <v>4.2281672816728388</v>
          </cell>
          <cell r="S27">
            <v>4.2547748976807753</v>
          </cell>
          <cell r="T27">
            <v>3.4172030427150446</v>
          </cell>
          <cell r="U27">
            <v>2.8166609764424635</v>
          </cell>
          <cell r="V27">
            <v>3.7726803363327832</v>
          </cell>
          <cell r="W27">
            <v>5.1170905918595224</v>
          </cell>
          <cell r="X27">
            <v>8.679416091433751</v>
          </cell>
          <cell r="Y27">
            <v>8.2406331285627346</v>
          </cell>
          <cell r="Z27">
            <v>5.782010732435424</v>
          </cell>
          <cell r="AA27">
            <v>3.742414025623745</v>
          </cell>
          <cell r="AB27">
            <v>-0.11669209278475989</v>
          </cell>
          <cell r="AC27">
            <v>0.66050043090288568</v>
          </cell>
          <cell r="AD27">
            <v>2.3291444960594276</v>
          </cell>
          <cell r="AE27">
            <v>1.9250459140858425</v>
          </cell>
          <cell r="AF27">
            <v>2.9718439857728214</v>
          </cell>
          <cell r="AG27">
            <v>3.5555490442681617</v>
          </cell>
          <cell r="AH27">
            <v>2.550272830495274</v>
          </cell>
          <cell r="AI27">
            <v>2.9145515243130546</v>
          </cell>
          <cell r="AJ27">
            <v>0.68347218189164494</v>
          </cell>
          <cell r="AK27">
            <v>1.2828485930736377</v>
          </cell>
          <cell r="AL27">
            <v>0.93236609922162472</v>
          </cell>
          <cell r="AM27">
            <v>0.26738160829444269</v>
          </cell>
          <cell r="AN27">
            <v>1.3520825348239498</v>
          </cell>
          <cell r="AO27">
            <v>0.47199849174471353</v>
          </cell>
          <cell r="AP27">
            <v>0.13424576377116182</v>
          </cell>
          <cell r="AQ27">
            <v>0.69861734033187872</v>
          </cell>
          <cell r="AR27">
            <v>3.9663966871176228</v>
          </cell>
          <cell r="AS27">
            <v>3.6907771608669862</v>
          </cell>
          <cell r="AT27">
            <v>3.738381262880992</v>
          </cell>
          <cell r="AU27">
            <v>3.8550843943526445</v>
          </cell>
          <cell r="AV27">
            <v>2.9598093082609438</v>
          </cell>
          <cell r="AW27">
            <v>2.7180588712108857</v>
          </cell>
          <cell r="AX27">
            <v>1.9968256223637013</v>
          </cell>
          <cell r="AY27">
            <v>1.4365024926036085</v>
          </cell>
          <cell r="AZ27">
            <v>1.1633924336360053</v>
          </cell>
          <cell r="BA27">
            <v>1.7219866076840589</v>
          </cell>
          <cell r="BB27">
            <v>2.4832817742668709</v>
          </cell>
          <cell r="BC27">
            <v>3.1087608549315178</v>
          </cell>
          <cell r="BD27">
            <v>2.0912845582809609</v>
          </cell>
          <cell r="BE27">
            <v>1.6133435876000988</v>
          </cell>
          <cell r="BF27">
            <v>1.3585376641235456</v>
          </cell>
          <cell r="BG27">
            <v>1.2361667160635932</v>
          </cell>
          <cell r="BH27">
            <v>4.4662096114988827</v>
          </cell>
          <cell r="BI27">
            <v>5.2944885775206814</v>
          </cell>
          <cell r="BJ27">
            <v>5.5075693384028597</v>
          </cell>
          <cell r="BK27">
            <v>5.6063663280865796</v>
          </cell>
          <cell r="BL27">
            <v>4.1866355660037158</v>
          </cell>
          <cell r="BM27">
            <v>4.1720438021804114</v>
          </cell>
          <cell r="BN27">
            <v>3.3640672869544233</v>
          </cell>
          <cell r="BO27">
            <v>2.9623863771396799</v>
          </cell>
          <cell r="BP27">
            <v>3.8409458226489761</v>
          </cell>
          <cell r="BQ27">
            <v>2.5899962670230252</v>
          </cell>
          <cell r="BR27">
            <v>3.2392949754119513</v>
          </cell>
          <cell r="BS27">
            <v>3.6760966619004591</v>
          </cell>
          <cell r="BT27">
            <v>5.0573133644290067</v>
          </cell>
          <cell r="BU27">
            <v>5.6661904456874339</v>
          </cell>
          <cell r="BV27">
            <v>5.7659560030570702</v>
          </cell>
          <cell r="BW27">
            <v>5.8187071899080962</v>
          </cell>
          <cell r="BX27">
            <v>5.9429193490850452</v>
          </cell>
          <cell r="BY27">
            <v>6.0059401448675089</v>
          </cell>
          <cell r="BZ27">
            <v>6.1606077354374094</v>
          </cell>
          <cell r="CA27">
            <v>4.7686088014340839</v>
          </cell>
          <cell r="CB27">
            <v>-2.5958158521435735</v>
          </cell>
          <cell r="CC27">
            <v>-2.4103349578700488</v>
          </cell>
          <cell r="CD27">
            <v>-2.0811314184517187</v>
          </cell>
          <cell r="CE27">
            <v>-0.34300263195591185</v>
          </cell>
          <cell r="CF27">
            <v>8.5059631428162703</v>
          </cell>
          <cell r="CG27">
            <v>8.314077841620076</v>
          </cell>
          <cell r="CH27">
            <v>7.6036710196959234</v>
          </cell>
          <cell r="CI27">
            <v>6.8639519907643063</v>
          </cell>
          <cell r="CJ27">
            <v>3.8622939859691598</v>
          </cell>
          <cell r="CK27">
            <v>3.3642972024279061</v>
          </cell>
          <cell r="CL27">
            <v>2.8874971434338761</v>
          </cell>
          <cell r="CM27">
            <v>2.4697120559442141</v>
          </cell>
          <cell r="CN27">
            <v>0.6039521582870151</v>
          </cell>
          <cell r="CO27">
            <v>0.52558930476138244</v>
          </cell>
          <cell r="CP27">
            <v>0.62204788469395567</v>
          </cell>
          <cell r="CQ27">
            <v>0.75385766212117744</v>
          </cell>
          <cell r="CR27">
            <v>1.8331272061038959</v>
          </cell>
          <cell r="CS27">
            <v>2.5065890666703154</v>
          </cell>
          <cell r="CT27">
            <v>1.9019878420156289</v>
          </cell>
          <cell r="CU27">
            <v>1.6065345807805897</v>
          </cell>
          <cell r="CV27">
            <v>-1.9778054005634544</v>
          </cell>
          <cell r="CW27">
            <v>-2.3282053346143385</v>
          </cell>
          <cell r="CX27">
            <v>-1.2393817451510643</v>
          </cell>
          <cell r="CY27">
            <v>-0.69184722024840539</v>
          </cell>
        </row>
        <row r="28">
          <cell r="A28">
            <v>0</v>
          </cell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</row>
        <row r="29">
          <cell r="A29" t="str">
            <v>Impostos sobre produtos</v>
          </cell>
          <cell r="B29">
            <v>0</v>
          </cell>
          <cell r="C29">
            <v>15.031833430451851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-7.2672906916276645</v>
          </cell>
          <cell r="M29">
            <v>-6.5410480903438639</v>
          </cell>
          <cell r="N29">
            <v>-5.3675370031598106</v>
          </cell>
          <cell r="O29">
            <v>-2.3427126146063841</v>
          </cell>
          <cell r="P29">
            <v>8.8181690733212008</v>
          </cell>
          <cell r="Q29">
            <v>9.6055936460525544</v>
          </cell>
          <cell r="R29">
            <v>9.6744431264004049</v>
          </cell>
          <cell r="S29">
            <v>8.6147172132474452</v>
          </cell>
          <cell r="T29">
            <v>4.4189641844885301</v>
          </cell>
          <cell r="U29">
            <v>3.1896444939923327</v>
          </cell>
          <cell r="V29">
            <v>3.9258101990946841</v>
          </cell>
          <cell r="W29">
            <v>7.8926974664679648</v>
          </cell>
          <cell r="X29">
            <v>23.664404688463918</v>
          </cell>
          <cell r="Y29">
            <v>21.163195486465398</v>
          </cell>
          <cell r="Z29">
            <v>15.742204062752933</v>
          </cell>
          <cell r="AA29">
            <v>10.503342726117467</v>
          </cell>
          <cell r="AB29">
            <v>-6.5500324731971062</v>
          </cell>
          <cell r="AC29">
            <v>-4.081280844749088</v>
          </cell>
          <cell r="AD29">
            <v>0.49758176483230443</v>
          </cell>
          <cell r="AE29">
            <v>3.6836604663463675</v>
          </cell>
          <cell r="AF29">
            <v>8.9787449877433971</v>
          </cell>
          <cell r="AG29">
            <v>10.080689126392599</v>
          </cell>
          <cell r="AH29">
            <v>9.2956514935221861</v>
          </cell>
          <cell r="AI29">
            <v>6.7606113323503507</v>
          </cell>
          <cell r="AJ29">
            <v>1.5413268110947058</v>
          </cell>
          <cell r="AK29">
            <v>-3.3221186340369968E-2</v>
          </cell>
          <cell r="AL29">
            <v>-0.92618760283858137</v>
          </cell>
          <cell r="AM29">
            <v>-1.7407171577872163</v>
          </cell>
          <cell r="AN29">
            <v>-5.3965666609389444</v>
          </cell>
          <cell r="AO29">
            <v>-4.7064188589820759</v>
          </cell>
          <cell r="AP29">
            <v>-4.6026582992501375</v>
          </cell>
          <cell r="AQ29">
            <v>-3.1443073708276756</v>
          </cell>
          <cell r="AR29">
            <v>10.334061157566367</v>
          </cell>
          <cell r="AS29">
            <v>8.7929681458805931</v>
          </cell>
          <cell r="AT29">
            <v>8.0709107144044907</v>
          </cell>
          <cell r="AU29">
            <v>7.3576977738761116</v>
          </cell>
          <cell r="AV29">
            <v>7.1312366581099269</v>
          </cell>
          <cell r="AW29">
            <v>4.0919983561434634</v>
          </cell>
          <cell r="AX29">
            <v>2.0299599032418172</v>
          </cell>
          <cell r="AY29">
            <v>0.51446456403563445</v>
          </cell>
          <cell r="AZ29">
            <v>-6.3669336956492515</v>
          </cell>
          <cell r="BA29">
            <v>-3.3938122090141434</v>
          </cell>
          <cell r="BB29">
            <v>-1.5237466675328051</v>
          </cell>
          <cell r="BC29">
            <v>-8.8817205472864202E-2</v>
          </cell>
          <cell r="BD29">
            <v>3.846823128924882</v>
          </cell>
          <cell r="BE29">
            <v>1.4175200999570308</v>
          </cell>
          <cell r="BF29">
            <v>0.49730884535246389</v>
          </cell>
          <cell r="BG29">
            <v>0.58966354491846573</v>
          </cell>
          <cell r="BH29">
            <v>2.7775251460349324</v>
          </cell>
          <cell r="BI29">
            <v>4.8339753257294689</v>
          </cell>
          <cell r="BJ29">
            <v>6.107794587370833</v>
          </cell>
          <cell r="BK29">
            <v>6.3915511873511974</v>
          </cell>
          <cell r="BL29">
            <v>3.992196630613563</v>
          </cell>
          <cell r="BM29">
            <v>4.74627915737058</v>
          </cell>
          <cell r="BN29">
            <v>4.4198391034285294</v>
          </cell>
          <cell r="BO29">
            <v>4.3540190537495249</v>
          </cell>
          <cell r="BP29">
            <v>7.3165066115313664</v>
          </cell>
          <cell r="BQ29">
            <v>6.167604380059629</v>
          </cell>
          <cell r="BR29">
            <v>6.1751489152389638</v>
          </cell>
          <cell r="BS29">
            <v>5.6540296931662226</v>
          </cell>
          <cell r="BT29">
            <v>5.8096803776294621</v>
          </cell>
          <cell r="BU29">
            <v>6.6568139525266474</v>
          </cell>
          <cell r="BV29">
            <v>6.6619226601923458</v>
          </cell>
          <cell r="BW29">
            <v>7.7471997803397983</v>
          </cell>
          <cell r="BX29">
            <v>8.4338860844530785</v>
          </cell>
          <cell r="BY29">
            <v>8.6436745218750701</v>
          </cell>
          <cell r="BZ29">
            <v>9.5049426028493258</v>
          </cell>
          <cell r="CA29">
            <v>7.6401792838285871</v>
          </cell>
          <cell r="CB29">
            <v>-3.3564934196839431</v>
          </cell>
          <cell r="CC29">
            <v>-3.3371173079598151</v>
          </cell>
          <cell r="CD29">
            <v>-2.7289245406852842</v>
          </cell>
          <cell r="CE29">
            <v>-0.2538992460498406</v>
          </cell>
          <cell r="CF29">
            <v>14.533115384875799</v>
          </cell>
          <cell r="CG29">
            <v>13.548626357917911</v>
          </cell>
          <cell r="CH29">
            <v>12.701075718351973</v>
          </cell>
          <cell r="CI29">
            <v>11.739061202716812</v>
          </cell>
          <cell r="CJ29">
            <v>6.4753890374526151</v>
          </cell>
          <cell r="CK29">
            <v>6.1966231091194999</v>
          </cell>
          <cell r="CL29">
            <v>5.0915753953531038</v>
          </cell>
          <cell r="CM29">
            <v>4.296707740548797</v>
          </cell>
          <cell r="CN29">
            <v>1.6039867833648174</v>
          </cell>
          <cell r="CO29">
            <v>1.1588991809635729</v>
          </cell>
          <cell r="CP29">
            <v>1.1649308277327179</v>
          </cell>
          <cell r="CQ29">
            <v>1.5533947501747036</v>
          </cell>
          <cell r="CR29">
            <v>2.4319539550439657</v>
          </cell>
          <cell r="CS29">
            <v>3.2493908700129879</v>
          </cell>
          <cell r="CT29">
            <v>2.7419415081827196</v>
          </cell>
          <cell r="CU29">
            <v>2.0431628387370608</v>
          </cell>
          <cell r="CV29">
            <v>-2.2897525160724399</v>
          </cell>
          <cell r="CW29">
            <v>-2.1842425818759352</v>
          </cell>
          <cell r="CX29">
            <v>-0.78981927328547386</v>
          </cell>
          <cell r="CY29">
            <v>-9.9641156991026492E-2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</row>
        <row r="31">
          <cell r="A31" t="str">
            <v>PIB a pm</v>
          </cell>
          <cell r="B31">
            <v>0</v>
          </cell>
          <cell r="C31">
            <v>100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-3.1515877771120557</v>
          </cell>
          <cell r="M31">
            <v>-2.6232764664641337</v>
          </cell>
          <cell r="N31">
            <v>-2.0256351567864499</v>
          </cell>
          <cell r="O31">
            <v>-0.46691492409051705</v>
          </cell>
          <cell r="P31">
            <v>4.751299183370449</v>
          </cell>
          <cell r="Q31">
            <v>4.5899082018359536</v>
          </cell>
          <cell r="R31">
            <v>4.7463302573686832</v>
          </cell>
          <cell r="S31">
            <v>4.6651509482832978</v>
          </cell>
          <cell r="T31">
            <v>3.5081502480510238</v>
          </cell>
          <cell r="U31">
            <v>2.8338687471317172</v>
          </cell>
          <cell r="V31">
            <v>3.769236487993453</v>
          </cell>
          <cell r="W31">
            <v>5.3343598768147871</v>
          </cell>
          <cell r="X31">
            <v>10.099281068127368</v>
          </cell>
          <cell r="Y31">
            <v>9.4722749079549544</v>
          </cell>
          <cell r="Z31">
            <v>6.7237426565410487</v>
          </cell>
          <cell r="AA31">
            <v>4.4168319933173308</v>
          </cell>
          <cell r="AB31">
            <v>-0.86994894198359418</v>
          </cell>
          <cell r="AC31">
            <v>0.11233809069733525</v>
          </cell>
          <cell r="AD31">
            <v>2.1158843912625827</v>
          </cell>
          <cell r="AE31">
            <v>2.1504990822090946</v>
          </cell>
          <cell r="AF31">
            <v>3.7037238100139973</v>
          </cell>
          <cell r="AG31">
            <v>4.3457362852598749</v>
          </cell>
          <cell r="AH31">
            <v>3.3641899819465664</v>
          </cell>
          <cell r="AI31">
            <v>3.3752976329728455</v>
          </cell>
          <cell r="AJ31">
            <v>0.79788820611024391</v>
          </cell>
          <cell r="AK31">
            <v>1.1396461943499219</v>
          </cell>
          <cell r="AL31">
            <v>0.71700136928392055</v>
          </cell>
          <cell r="AM31">
            <v>3.5345705695391416E-2</v>
          </cell>
          <cell r="AN31">
            <v>0.5677463467013979</v>
          </cell>
          <cell r="AO31">
            <v>-0.12636765542474393</v>
          </cell>
          <cell r="AP31">
            <v>-0.41430784476099802</v>
          </cell>
          <cell r="AQ31">
            <v>0.25407838420798612</v>
          </cell>
          <cell r="AR31">
            <v>4.7314048905147104</v>
          </cell>
          <cell r="AS31">
            <v>4.3102456440111041</v>
          </cell>
          <cell r="AT31">
            <v>4.2798861889905169</v>
          </cell>
          <cell r="AU31">
            <v>4.3061866024125521</v>
          </cell>
          <cell r="AV31">
            <v>3.5205011113354203</v>
          </cell>
          <cell r="AW31">
            <v>2.9015520760499385</v>
          </cell>
          <cell r="AX31">
            <v>2.0013178039167059</v>
          </cell>
          <cell r="AY31">
            <v>1.3131187238863049</v>
          </cell>
          <cell r="AZ31">
            <v>9.7050115038626927E-2</v>
          </cell>
          <cell r="BA31">
            <v>1.0053731619793211</v>
          </cell>
          <cell r="BB31">
            <v>1.9219917939070399</v>
          </cell>
          <cell r="BC31">
            <v>2.658094319883773</v>
          </cell>
          <cell r="BD31">
            <v>2.3368919226133329</v>
          </cell>
          <cell r="BE31">
            <v>1.5863403538889571</v>
          </cell>
          <cell r="BF31">
            <v>1.2392989941518948</v>
          </cell>
          <cell r="BG31">
            <v>1.1466196168506997</v>
          </cell>
          <cell r="BH31">
            <v>4.2231868264038184</v>
          </cell>
          <cell r="BI31">
            <v>5.2304036733370509</v>
          </cell>
          <cell r="BJ31">
            <v>5.5886840966824991</v>
          </cell>
          <cell r="BK31">
            <v>5.7122928533252662</v>
          </cell>
          <cell r="BL31">
            <v>4.1631610082389727</v>
          </cell>
          <cell r="BM31">
            <v>4.2491205468301985</v>
          </cell>
          <cell r="BN31">
            <v>3.5119854426990855</v>
          </cell>
          <cell r="BO31">
            <v>3.1596737174901506</v>
          </cell>
          <cell r="BP31">
            <v>4.3322255425746619</v>
          </cell>
          <cell r="BQ31">
            <v>3.0939921827204131</v>
          </cell>
          <cell r="BR31">
            <v>3.6550862252020977</v>
          </cell>
          <cell r="BS31">
            <v>3.9570350594214432</v>
          </cell>
          <cell r="BT31">
            <v>5.1624937976135925</v>
          </cell>
          <cell r="BU31">
            <v>5.8060413659493122</v>
          </cell>
          <cell r="BV31">
            <v>5.8919331857380257</v>
          </cell>
          <cell r="BW31">
            <v>6.0914106615617385</v>
          </cell>
          <cell r="BX31">
            <v>6.2927528295493289</v>
          </cell>
          <cell r="BY31">
            <v>6.3763409178114756</v>
          </cell>
          <cell r="BZ31">
            <v>6.6296144971032192</v>
          </cell>
          <cell r="CA31">
            <v>5.1715974315339963</v>
          </cell>
          <cell r="CB31">
            <v>-2.71303796121191</v>
          </cell>
          <cell r="CC31">
            <v>-2.5524347652196582</v>
          </cell>
          <cell r="CD31">
            <v>-2.1785763980677046</v>
          </cell>
          <cell r="CE31">
            <v>-0.32972752770216118</v>
          </cell>
          <cell r="CF31">
            <v>9.3440726798654055</v>
          </cell>
          <cell r="CG31">
            <v>9.0465259276442396</v>
          </cell>
          <cell r="CH31">
            <v>8.310341193538477</v>
          </cell>
          <cell r="CI31">
            <v>7.5336879893751103</v>
          </cell>
          <cell r="CJ31">
            <v>4.2347592486003265</v>
          </cell>
          <cell r="CK31">
            <v>3.763671062988962</v>
          </cell>
          <cell r="CL31">
            <v>3.2017046384276995</v>
          </cell>
          <cell r="CM31">
            <v>2.7328052417383333</v>
          </cell>
          <cell r="CN31">
            <v>0.75133987163727056</v>
          </cell>
          <cell r="CO31">
            <v>0.61716441214636575</v>
          </cell>
          <cell r="CP31">
            <v>0.70126017280180974</v>
          </cell>
          <cell r="CQ31">
            <v>0.87199151192893964</v>
          </cell>
          <cell r="CR31">
            <v>1.9233019400942908</v>
          </cell>
          <cell r="CS31">
            <v>2.6156721880280571</v>
          </cell>
          <cell r="CT31">
            <v>2.02638994907349</v>
          </cell>
          <cell r="CU31">
            <v>1.6721678132268778</v>
          </cell>
          <cell r="CV31">
            <v>-2.0249077520777377</v>
          </cell>
          <cell r="CW31">
            <v>-2.3063134367342144</v>
          </cell>
          <cell r="CX31">
            <v>-1.1718140518312907</v>
          </cell>
          <cell r="CY31">
            <v>-0.60282779125452635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Dados"/>
      <sheetName val="Módulo1"/>
      <sheetName val="Módulo2"/>
      <sheetName val="Crítica"/>
      <sheetName val="Gráficos Volume VP"/>
      <sheetName val="Gráficos Volume CI"/>
      <sheetName val="Gráficos Preço"/>
      <sheetName val="Índices Preço"/>
      <sheetName val="Índices"/>
      <sheetName val="Gráficos Relação CI VP"/>
      <sheetName val="Gráficos Relação VA VP"/>
      <sheetName val="Gráficos Comparação Relação"/>
      <sheetName val="Relações"/>
      <sheetName val="Dados Totalizados"/>
      <sheetName val="AgroPrincipais"/>
      <sheetName val="Módulo3"/>
      <sheetName val="TransfPrincipais"/>
      <sheetName val="Ativ1"/>
      <sheetName val="Ativ2"/>
      <sheetName val="Ativ3"/>
      <sheetName val="Ativ4"/>
      <sheetName val="Ativ5"/>
      <sheetName val="Ativ6"/>
      <sheetName val="Ativ7"/>
      <sheetName val="Ativ8"/>
      <sheetName val="Ativ9"/>
      <sheetName val="Ativ10"/>
      <sheetName val="Ativ11"/>
      <sheetName val="Ativ12"/>
      <sheetName val="Ativ13"/>
      <sheetName val="Ativ14"/>
      <sheetName val="Ativ15"/>
      <sheetName val="Ativ16"/>
      <sheetName val="Ativ17"/>
      <sheetName val="Ativ18"/>
      <sheetName val="Ativ19"/>
      <sheetName val="Ativ20"/>
      <sheetName val="Ativ21"/>
      <sheetName val="Ativ22"/>
      <sheetName val="Total"/>
      <sheetName val="Agropecuária"/>
      <sheetName val="Ind Extr Mineral"/>
      <sheetName val="Ind Transformação"/>
      <sheetName val="Siup"/>
      <sheetName val="Construção"/>
      <sheetName val="Comércio"/>
      <sheetName val="Alojamento e Alimentação"/>
      <sheetName val="Transportes e Armazenagem"/>
      <sheetName val="Comunicações"/>
      <sheetName val="Financeiro"/>
      <sheetName val="Aluguel"/>
      <sheetName val="Apu"/>
      <sheetName val="Saúde e Educação"/>
      <sheetName val="Outros Serviços"/>
      <sheetName val="Serviços Domésticos"/>
      <sheetName val="PIB_Regional_SP"/>
      <sheetName val="G 4.1 - G 4"/>
    </sheetNames>
    <definedNames>
      <definedName name="VoltarAgro"/>
      <definedName name="VoltarTransf"/>
    </defined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iovani Baggio" id="{5526AC23-2B67-4EBF-9249-9660A951BF9F}" userId="S::giovani.baggio@fiergs.org.br::8d8d6d99-76f5-4ca8-ad94-1bb2bf2093a9" providerId="AD"/>
</personList>
</file>

<file path=xl/theme/theme1.xml><?xml version="1.0" encoding="utf-8"?>
<a:theme xmlns:a="http://schemas.openxmlformats.org/drawingml/2006/main" name="Tema do Office">
  <a:themeElements>
    <a:clrScheme name="FIERGS '24">
      <a:dk1>
        <a:srgbClr val="404040"/>
      </a:dk1>
      <a:lt1>
        <a:srgbClr val="FFFFFF"/>
      </a:lt1>
      <a:dk2>
        <a:srgbClr val="C00000"/>
      </a:dk2>
      <a:lt2>
        <a:srgbClr val="DEDEE5"/>
      </a:lt2>
      <a:accent1>
        <a:srgbClr val="1A4B9F"/>
      </a:accent1>
      <a:accent2>
        <a:srgbClr val="949494"/>
      </a:accent2>
      <a:accent3>
        <a:srgbClr val="0091D6"/>
      </a:accent3>
      <a:accent4>
        <a:srgbClr val="65B638"/>
      </a:accent4>
      <a:accent5>
        <a:srgbClr val="E46C0A"/>
      </a:accent5>
      <a:accent6>
        <a:srgbClr val="6140B2"/>
      </a:accent6>
      <a:hlink>
        <a:srgbClr val="FFC000"/>
      </a:hlink>
      <a:folHlink>
        <a:srgbClr val="FFFF0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FIERGS '24">
    <a:dk1>
      <a:srgbClr val="404040"/>
    </a:dk1>
    <a:lt1>
      <a:srgbClr val="FFFFFF"/>
    </a:lt1>
    <a:dk2>
      <a:srgbClr val="C00000"/>
    </a:dk2>
    <a:lt2>
      <a:srgbClr val="DEDEE5"/>
    </a:lt2>
    <a:accent1>
      <a:srgbClr val="1A4B9F"/>
    </a:accent1>
    <a:accent2>
      <a:srgbClr val="949494"/>
    </a:accent2>
    <a:accent3>
      <a:srgbClr val="0091D6"/>
    </a:accent3>
    <a:accent4>
      <a:srgbClr val="65B638"/>
    </a:accent4>
    <a:accent5>
      <a:srgbClr val="E46C0A"/>
    </a:accent5>
    <a:accent6>
      <a:srgbClr val="6140B2"/>
    </a:accent6>
    <a:hlink>
      <a:srgbClr val="FFC000"/>
    </a:hlink>
    <a:folHlink>
      <a:srgbClr val="FFFF0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2F75FF"/>
    </a:dk2>
    <a:lt2>
      <a:srgbClr val="FF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FIERGS '16">
    <a:dk1>
      <a:srgbClr val="272525"/>
    </a:dk1>
    <a:lt1>
      <a:sysClr val="window" lastClr="FFFFFF"/>
    </a:lt1>
    <a:dk2>
      <a:srgbClr val="003397"/>
    </a:dk2>
    <a:lt2>
      <a:srgbClr val="C00000"/>
    </a:lt2>
    <a:accent1>
      <a:srgbClr val="65B638"/>
    </a:accent1>
    <a:accent2>
      <a:srgbClr val="949494"/>
    </a:accent2>
    <a:accent3>
      <a:srgbClr val="6140B2"/>
    </a:accent3>
    <a:accent4>
      <a:srgbClr val="00ADEA"/>
    </a:accent4>
    <a:accent5>
      <a:srgbClr val="E46C0A"/>
    </a:accent5>
    <a:accent6>
      <a:srgbClr val="345D1D"/>
    </a:accent6>
    <a:hlink>
      <a:srgbClr val="3D3A3A"/>
    </a:hlink>
    <a:folHlink>
      <a:srgbClr val="302059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2-11-30T13:09:21.06" personId="{5526AC23-2B67-4EBF-9249-9660A951BF9F}" id="{767AE12C-004E-492E-8F7F-7B34243B56E0}">
    <text>30/11/2022 - Revisão após a divulgação da taxa de out/22, que surpreendeu para baixo.
Joguei tudo um pouco pra baixo, cerca de -0,2 p.p.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2-03-18T15:11:25.61" personId="{5526AC23-2B67-4EBF-9249-9660A951BF9F}" id="{29C4D75C-9431-40FA-99CB-DE0985046313}">
    <text>Previsões do Balanço</text>
  </threadedComment>
  <threadedComment ref="L2" dT="2022-03-18T15:11:11.94" personId="{5526AC23-2B67-4EBF-9249-9660A951BF9F}" id="{217F18DA-5473-4FDB-B830-E2C5D1B9BF00}">
    <text>Não atualizei previsões e nem confirmei</text>
  </threadedComment>
  <threadedComment ref="M2" dT="2022-03-18T16:50:58.71" personId="{5526AC23-2B67-4EBF-9249-9660A951BF9F}" id="{9DBE0D6D-F2E6-4FA6-9164-2B693D8E7A38}">
    <text>Novas projeções</text>
  </threadedComment>
  <threadedComment ref="N2" dT="2022-03-18T16:51:20.55" personId="{5526AC23-2B67-4EBF-9249-9660A951BF9F}" id="{9D029ABC-26F5-446E-ACFC-E8D380D0DA18}">
    <text>Projeções iniciais, iguais a fevereiro, confirmadas no Focus</text>
  </threadedComment>
  <threadedComment ref="O2" dT="2022-03-18T16:51:38.73" personId="{5526AC23-2B67-4EBF-9249-9660A951BF9F}" id="{766F4902-CFAE-465C-BB72-6D4AF27B242E}">
    <text>Novas projeções (18/03/2022)</text>
  </threadedComment>
  <threadedComment ref="P2" dT="2022-04-29T20:40:28.06" personId="{5526AC23-2B67-4EBF-9249-9660A951BF9F}" id="{30C55865-1F88-4D6F-98C2-2E40BA547A4E}">
    <text>Novas projeções (29/04/2022)</text>
  </threadedComment>
  <threadedComment ref="Q2" dT="2022-05-19T18:58:54.08" personId="{5526AC23-2B67-4EBF-9249-9660A951BF9F}" id="{C820F557-A04E-4604-B66A-308FAE145679}">
    <text>Projeções iguais a abr/22 (20/05/2022)</text>
  </threadedComment>
  <threadedComment ref="R2" dT="2022-06-10T20:33:24.39" personId="{5526AC23-2B67-4EBF-9249-9660A951BF9F}" id="{C95FFB83-A881-4EAF-98AD-009F53C38397}">
    <text>Projeções feitas às pressas no dia 10/06/2022.</text>
  </threadedComment>
  <threadedComment ref="S2" dT="2022-06-10T20:33:24.39" personId="{5526AC23-2B67-4EBF-9249-9660A951BF9F}" id="{15148210-0EF5-47C1-9B34-4AB4D1A8FE7A}">
    <text>Projeções confirmadas (17/06/2022), as mesmas da semana anterior.</text>
  </threadedComment>
  <threadedComment ref="T2" dT="2022-07-06T15:14:50.12" personId="{5526AC23-2B67-4EBF-9249-9660A951BF9F}" id="{41A07F25-9E37-4701-B802-16A68EE70EAE}">
    <text>Para previsão arr. SENAI</text>
  </threadedComment>
  <threadedComment ref="U2" dT="2022-07-22T15:06:48.08" personId="{5526AC23-2B67-4EBF-9249-9660A951BF9F}" id="{B45F1CFC-6672-479D-ADEC-2C5F794AC560}">
    <text>Novas projeções (22/07/2022)</text>
  </threadedComment>
  <threadedComment ref="V2" dT="2022-07-29T19:49:17.32" personId="{5526AC23-2B67-4EBF-9249-9660A951BF9F}" id="{08B8E9F5-176B-46A8-A057-E174A6276F46}">
    <text>Após divulgação PNAD-C jun/22, decidi manter os mesmos números, mesmo o pequeno erro de junho (esperava 9,2% e veio 9,3%) - (29/07/2022)</text>
  </threadedComment>
  <threadedComment ref="W2" dT="2022-08-19T18:11:35.14" personId="{5526AC23-2B67-4EBF-9249-9660A951BF9F}" id="{89715059-535D-4665-8EE9-C966AF6D5435}">
    <text>Novas projeções (19/08/2022).
Decidi diminuir um pouco em função dos números recentes do emprego formal, medidas de estímulo à demanda (PEC Benefícios Sociais + redução ICMS), PO e massa de renda da PNAD com forte recuperação nos dois últimos trimestres móveis. Em resumo, PIB deve crescer acima do esperado.</text>
  </threadedComment>
  <threadedComment ref="X2" dT="2022-09-16T20:04:42.83" personId="{5526AC23-2B67-4EBF-9249-9660A951BF9F}" id="{E7ACC8CE-CA9C-4DE4-B084-686AC2789E07}">
    <text>16/09/2022 - Mantive as mesmas projeções de ago/22, só corrigi o final de 2023, pois achei um erro na fórmula da sazonalidade (fator sazonal de set/jun usado no lugar de dez/set).</text>
  </threadedComment>
  <threadedComment ref="Y2" dT="2022-09-23T17:03:34.83" personId="{5526AC23-2B67-4EBF-9249-9660A951BF9F}" id="{075BF085-D953-4C5B-A3E6-F213772B1C16}">
    <text>23/09/2022 - Mantive as projeções feitas na semana anterior. Só adicionei o 1ºT/24.</text>
  </threadedComment>
  <threadedComment ref="Z2" dT="2022-11-11T12:23:21.10" personId="{5526AC23-2B67-4EBF-9249-9660A951BF9F}" id="{147C0C7C-4C88-452D-971B-84461BC8DAAA}">
    <text>21/10/2022 - Repeti as projeções anteriores.</text>
  </threadedComment>
  <threadedComment ref="AA2" dT="2022-11-17T19:10:38.92" personId="{5526AC23-2B67-4EBF-9249-9660A951BF9F}" id="{25AA704B-FB91-4687-8E68-01D695DC6D7A}">
    <text>17/11/2022 - Novas projeções para o Balanço e data crítica Focus (18/11/22).
Taxas de 2022 subiram um pouco, pois nos meses anteriores sempre ficaram um pouco acima das previsões.
Taxas de 2023 foram ajustadas para cima (piora nas expectativas de PIB). Deixei a média mais próxima de 2022 (taxa andar de lado) e também que o mercado espera (9,1% média ano).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genciadenoticias.ibge.gov.br/agencia-sala-de-imprensa/2013-agencia-de-noticias/releases/43222-pnad-continua-taxa-de-desocupacao-e-de-7-0-e-taxa-de-subutilizacao-e-de-15-9-no-trimestre-encerrado-em-marco" TargetMode="External"/><Relationship Id="rId1" Type="http://schemas.openxmlformats.org/officeDocument/2006/relationships/hyperlink" Target="https://publish-p128342-e1259725.adobeaemcloud.com/content/dam/banco-bradesco/economia-em-dia/staticfiles/primeira-rea&#231;&#227;o/20250430_pnad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investidor.estadao.com.br/ultimas/bc-nova-versao-rankings-top-5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3"/>
  <dimension ref="A1:Q144"/>
  <sheetViews>
    <sheetView workbookViewId="0">
      <pane xSplit="1" ySplit="3" topLeftCell="B140" activePane="bottomRight" state="frozen"/>
      <selection pane="topRight"/>
      <selection pane="bottomLeft"/>
      <selection pane="bottomRight" activeCell="P156" sqref="P156"/>
    </sheetView>
  </sheetViews>
  <sheetFormatPr defaultRowHeight="12.75" x14ac:dyDescent="0.2"/>
  <cols>
    <col min="4" max="4" width="2.140625" customWidth="1"/>
    <col min="9" max="9" width="2" style="46" customWidth="1"/>
    <col min="15" max="15" width="10.7109375" bestFit="1" customWidth="1"/>
  </cols>
  <sheetData>
    <row r="1" spans="1:13" x14ac:dyDescent="0.2">
      <c r="A1" s="182" t="s">
        <v>0</v>
      </c>
      <c r="J1" s="182" t="s">
        <v>0</v>
      </c>
    </row>
    <row r="2" spans="1:13" x14ac:dyDescent="0.2">
      <c r="B2" t="s">
        <v>1</v>
      </c>
      <c r="E2" s="182" t="s">
        <v>2</v>
      </c>
      <c r="K2" t="s">
        <v>3</v>
      </c>
    </row>
    <row r="3" spans="1:13" x14ac:dyDescent="0.2">
      <c r="B3" t="s">
        <v>4</v>
      </c>
      <c r="C3" t="s">
        <v>5</v>
      </c>
      <c r="E3" t="s">
        <v>4</v>
      </c>
      <c r="F3" t="s">
        <v>5</v>
      </c>
      <c r="K3" t="s">
        <v>4</v>
      </c>
      <c r="L3" t="s">
        <v>5</v>
      </c>
    </row>
    <row r="4" spans="1:13" x14ac:dyDescent="0.2">
      <c r="A4" s="6">
        <v>40969</v>
      </c>
      <c r="B4" s="7">
        <v>121489</v>
      </c>
      <c r="C4" s="7">
        <v>225818</v>
      </c>
      <c r="D4" s="7"/>
      <c r="E4" s="7">
        <f>B4/1000</f>
        <v>121.489</v>
      </c>
      <c r="F4" s="7">
        <f>C4/1000</f>
        <v>225.81800000000001</v>
      </c>
      <c r="G4" s="7"/>
      <c r="H4" s="18"/>
      <c r="I4" s="47"/>
      <c r="J4" s="6">
        <v>40969</v>
      </c>
      <c r="K4" s="7">
        <v>1424</v>
      </c>
      <c r="L4" s="7">
        <v>2647</v>
      </c>
      <c r="M4" s="8"/>
    </row>
    <row r="5" spans="1:13" x14ac:dyDescent="0.2">
      <c r="A5" s="6">
        <v>41000</v>
      </c>
      <c r="B5" s="7">
        <v>123327</v>
      </c>
      <c r="C5" s="7">
        <v>228248</v>
      </c>
      <c r="D5" s="7"/>
      <c r="E5" s="7">
        <f t="shared" ref="E5:E68" si="0">B5/1000</f>
        <v>123.327</v>
      </c>
      <c r="F5" s="7">
        <f t="shared" ref="F5:F68" si="1">C5/1000</f>
        <v>228.24799999999999</v>
      </c>
      <c r="G5" s="7"/>
      <c r="H5" s="18"/>
      <c r="I5" s="47"/>
      <c r="J5" s="6">
        <v>41000</v>
      </c>
      <c r="K5" s="7">
        <v>1435</v>
      </c>
      <c r="L5" s="7">
        <v>2656</v>
      </c>
      <c r="M5" s="8"/>
    </row>
    <row r="6" spans="1:13" x14ac:dyDescent="0.2">
      <c r="A6" s="6">
        <v>41030</v>
      </c>
      <c r="B6" s="7">
        <v>123965</v>
      </c>
      <c r="C6" s="7">
        <v>228520</v>
      </c>
      <c r="D6" s="7"/>
      <c r="E6" s="7">
        <f t="shared" si="0"/>
        <v>123.965</v>
      </c>
      <c r="F6" s="7">
        <f t="shared" si="1"/>
        <v>228.52</v>
      </c>
      <c r="G6" s="7"/>
      <c r="H6" s="18"/>
      <c r="I6" s="47"/>
      <c r="J6" s="6">
        <v>41030</v>
      </c>
      <c r="K6" s="7">
        <v>1437</v>
      </c>
      <c r="L6" s="7">
        <v>2650</v>
      </c>
      <c r="M6" s="8"/>
    </row>
    <row r="7" spans="1:13" x14ac:dyDescent="0.2">
      <c r="A7" s="6">
        <v>41061</v>
      </c>
      <c r="B7" s="7">
        <v>124884</v>
      </c>
      <c r="C7" s="7">
        <v>229381</v>
      </c>
      <c r="D7" s="7"/>
      <c r="E7" s="7">
        <f t="shared" si="0"/>
        <v>124.884</v>
      </c>
      <c r="F7" s="7">
        <f t="shared" si="1"/>
        <v>229.381</v>
      </c>
      <c r="G7" s="7"/>
      <c r="H7" s="18"/>
      <c r="I7" s="47"/>
      <c r="J7" s="6">
        <v>41061</v>
      </c>
      <c r="K7" s="7">
        <v>1446</v>
      </c>
      <c r="L7" s="7">
        <v>2656</v>
      </c>
      <c r="M7" s="8"/>
    </row>
    <row r="8" spans="1:13" x14ac:dyDescent="0.2">
      <c r="A8" s="6">
        <v>41091</v>
      </c>
      <c r="B8" s="7">
        <v>126088</v>
      </c>
      <c r="C8" s="7">
        <v>230904</v>
      </c>
      <c r="D8" s="7"/>
      <c r="E8" s="7">
        <f t="shared" si="0"/>
        <v>126.08799999999999</v>
      </c>
      <c r="F8" s="7">
        <f t="shared" si="1"/>
        <v>230.904</v>
      </c>
      <c r="G8" s="7"/>
      <c r="H8" s="18"/>
      <c r="I8" s="47"/>
      <c r="J8" s="6">
        <v>41091</v>
      </c>
      <c r="K8" s="7">
        <v>1458</v>
      </c>
      <c r="L8" s="7">
        <v>2669</v>
      </c>
      <c r="M8" s="8"/>
    </row>
    <row r="9" spans="1:13" x14ac:dyDescent="0.2">
      <c r="A9" s="6">
        <v>41122</v>
      </c>
      <c r="B9" s="7">
        <v>127296</v>
      </c>
      <c r="C9" s="7">
        <v>232433</v>
      </c>
      <c r="D9" s="7"/>
      <c r="E9" s="7">
        <f t="shared" si="0"/>
        <v>127.29600000000001</v>
      </c>
      <c r="F9" s="7">
        <f t="shared" si="1"/>
        <v>232.43299999999999</v>
      </c>
      <c r="G9" s="7"/>
      <c r="H9" s="18"/>
      <c r="I9" s="47"/>
      <c r="J9" s="6">
        <v>41122</v>
      </c>
      <c r="K9" s="7">
        <v>1467</v>
      </c>
      <c r="L9" s="7">
        <v>2678</v>
      </c>
      <c r="M9" s="8"/>
    </row>
    <row r="10" spans="1:13" x14ac:dyDescent="0.2">
      <c r="A10" s="6">
        <v>41153</v>
      </c>
      <c r="B10" s="7">
        <v>128112</v>
      </c>
      <c r="C10" s="7">
        <v>232824</v>
      </c>
      <c r="D10" s="7"/>
      <c r="E10" s="7">
        <f t="shared" si="0"/>
        <v>128.11199999999999</v>
      </c>
      <c r="F10" s="7">
        <f t="shared" si="1"/>
        <v>232.82400000000001</v>
      </c>
      <c r="G10" s="7">
        <f>SUM(F10,F7,F4)</f>
        <v>688.02300000000002</v>
      </c>
      <c r="H10" s="18"/>
      <c r="I10" s="47"/>
      <c r="J10" s="6">
        <v>41153</v>
      </c>
      <c r="K10" s="7">
        <v>1471</v>
      </c>
      <c r="L10" s="7">
        <v>2673</v>
      </c>
      <c r="M10" s="8"/>
    </row>
    <row r="11" spans="1:13" x14ac:dyDescent="0.2">
      <c r="A11" s="6">
        <v>41183</v>
      </c>
      <c r="B11" s="7">
        <v>128974</v>
      </c>
      <c r="C11" s="7">
        <v>233163</v>
      </c>
      <c r="D11" s="7"/>
      <c r="E11" s="7">
        <f t="shared" si="0"/>
        <v>128.97399999999999</v>
      </c>
      <c r="F11" s="7">
        <f t="shared" si="1"/>
        <v>233.16300000000001</v>
      </c>
      <c r="G11" s="7"/>
      <c r="H11" s="18"/>
      <c r="I11" s="47"/>
      <c r="J11" s="6">
        <v>41183</v>
      </c>
      <c r="K11" s="7">
        <v>1477</v>
      </c>
      <c r="L11" s="7">
        <v>2670</v>
      </c>
      <c r="M11" s="8"/>
    </row>
    <row r="12" spans="1:13" x14ac:dyDescent="0.2">
      <c r="A12" s="6">
        <v>41214</v>
      </c>
      <c r="B12" s="7">
        <v>129826</v>
      </c>
      <c r="C12" s="7">
        <v>233293</v>
      </c>
      <c r="D12" s="7"/>
      <c r="E12" s="7">
        <f t="shared" si="0"/>
        <v>129.82599999999999</v>
      </c>
      <c r="F12" s="7">
        <f t="shared" si="1"/>
        <v>233.29300000000001</v>
      </c>
      <c r="G12" s="7"/>
      <c r="H12" s="18"/>
      <c r="I12" s="47"/>
      <c r="J12" s="6">
        <v>41214</v>
      </c>
      <c r="K12" s="7">
        <v>1484</v>
      </c>
      <c r="L12" s="7">
        <v>2667</v>
      </c>
      <c r="M12" s="8"/>
    </row>
    <row r="13" spans="1:13" x14ac:dyDescent="0.2">
      <c r="A13" s="6">
        <v>41244</v>
      </c>
      <c r="B13" s="7">
        <v>130433</v>
      </c>
      <c r="C13" s="7">
        <v>232832</v>
      </c>
      <c r="D13" s="7"/>
      <c r="E13" s="7">
        <f t="shared" si="0"/>
        <v>130.43299999999999</v>
      </c>
      <c r="F13" s="7">
        <f t="shared" si="1"/>
        <v>232.83199999999999</v>
      </c>
      <c r="G13" s="7"/>
      <c r="H13" s="18"/>
      <c r="I13" s="47"/>
      <c r="J13" s="6">
        <v>41244</v>
      </c>
      <c r="K13" s="7">
        <v>1491</v>
      </c>
      <c r="L13" s="7">
        <v>2661</v>
      </c>
      <c r="M13" s="8"/>
    </row>
    <row r="14" spans="1:13" x14ac:dyDescent="0.2">
      <c r="A14" s="6">
        <v>41275</v>
      </c>
      <c r="B14" s="7">
        <v>131498</v>
      </c>
      <c r="C14" s="7">
        <v>232986</v>
      </c>
      <c r="D14" s="7"/>
      <c r="E14" s="7">
        <f t="shared" si="0"/>
        <v>131.49799999999999</v>
      </c>
      <c r="F14" s="7">
        <f t="shared" si="1"/>
        <v>232.98599999999999</v>
      </c>
      <c r="G14" s="7"/>
      <c r="H14" s="18"/>
      <c r="I14" s="47"/>
      <c r="J14" s="6">
        <v>41275</v>
      </c>
      <c r="K14" s="7">
        <v>1508</v>
      </c>
      <c r="L14" s="7">
        <v>2672</v>
      </c>
      <c r="M14" s="8"/>
    </row>
    <row r="15" spans="1:13" x14ac:dyDescent="0.2">
      <c r="A15" s="6">
        <v>41306</v>
      </c>
      <c r="B15" s="7">
        <v>132721</v>
      </c>
      <c r="C15" s="7">
        <v>233400</v>
      </c>
      <c r="D15" s="7"/>
      <c r="E15" s="7">
        <f t="shared" si="0"/>
        <v>132.721</v>
      </c>
      <c r="F15" s="7">
        <f t="shared" si="1"/>
        <v>233.4</v>
      </c>
      <c r="G15" s="7"/>
      <c r="H15" s="18"/>
      <c r="I15" s="47"/>
      <c r="J15" s="6">
        <v>41306</v>
      </c>
      <c r="K15" s="7">
        <v>1528</v>
      </c>
      <c r="L15" s="7">
        <v>2688</v>
      </c>
      <c r="M15" s="8"/>
    </row>
    <row r="16" spans="1:13" x14ac:dyDescent="0.2">
      <c r="A16" s="6">
        <v>41334</v>
      </c>
      <c r="B16" s="7">
        <v>134012</v>
      </c>
      <c r="C16" s="7">
        <v>234178</v>
      </c>
      <c r="D16" s="7"/>
      <c r="E16" s="7">
        <f t="shared" si="0"/>
        <v>134.012</v>
      </c>
      <c r="F16" s="7">
        <f t="shared" si="1"/>
        <v>234.178</v>
      </c>
      <c r="G16" s="7"/>
      <c r="H16" s="18"/>
      <c r="I16" s="47"/>
      <c r="J16" s="6">
        <v>41334</v>
      </c>
      <c r="K16" s="7">
        <v>1547</v>
      </c>
      <c r="L16" s="7">
        <v>2703</v>
      </c>
      <c r="M16" s="8"/>
    </row>
    <row r="17" spans="1:13" x14ac:dyDescent="0.2">
      <c r="A17" s="6">
        <v>41365</v>
      </c>
      <c r="B17" s="7">
        <v>135639</v>
      </c>
      <c r="C17" s="7">
        <v>235755</v>
      </c>
      <c r="D17" s="7"/>
      <c r="E17" s="7">
        <f t="shared" si="0"/>
        <v>135.63900000000001</v>
      </c>
      <c r="F17" s="7">
        <f t="shared" si="1"/>
        <v>235.755</v>
      </c>
      <c r="G17" s="7"/>
      <c r="H17" s="18"/>
      <c r="I17" s="47"/>
      <c r="J17" s="6">
        <v>41365</v>
      </c>
      <c r="K17" s="7">
        <v>1559</v>
      </c>
      <c r="L17" s="7">
        <v>2709</v>
      </c>
      <c r="M17" s="8"/>
    </row>
    <row r="18" spans="1:13" x14ac:dyDescent="0.2">
      <c r="A18" s="6">
        <v>41395</v>
      </c>
      <c r="B18" s="7">
        <v>136998</v>
      </c>
      <c r="C18" s="7">
        <v>237014</v>
      </c>
      <c r="D18" s="7"/>
      <c r="E18" s="7">
        <f t="shared" si="0"/>
        <v>136.99799999999999</v>
      </c>
      <c r="F18" s="7">
        <f t="shared" si="1"/>
        <v>237.01400000000001</v>
      </c>
      <c r="G18" s="7"/>
      <c r="H18" s="18"/>
      <c r="I18" s="47"/>
      <c r="J18" s="6">
        <v>41395</v>
      </c>
      <c r="K18" s="7">
        <v>1567</v>
      </c>
      <c r="L18" s="7">
        <v>2711</v>
      </c>
      <c r="M18" s="8"/>
    </row>
    <row r="19" spans="1:13" x14ac:dyDescent="0.2">
      <c r="A19" s="6">
        <v>41426</v>
      </c>
      <c r="B19" s="7">
        <v>139089</v>
      </c>
      <c r="C19" s="7">
        <v>239730</v>
      </c>
      <c r="D19" s="7"/>
      <c r="E19" s="7">
        <f t="shared" si="0"/>
        <v>139.089</v>
      </c>
      <c r="F19" s="7">
        <f t="shared" si="1"/>
        <v>239.73</v>
      </c>
      <c r="G19" s="7"/>
      <c r="H19" s="18"/>
      <c r="I19" s="47"/>
      <c r="J19" s="6">
        <v>41426</v>
      </c>
      <c r="K19" s="7">
        <v>1586</v>
      </c>
      <c r="L19" s="7">
        <v>2733</v>
      </c>
      <c r="M19" s="8"/>
    </row>
    <row r="20" spans="1:13" x14ac:dyDescent="0.2">
      <c r="A20" s="6">
        <v>41456</v>
      </c>
      <c r="B20" s="7">
        <v>140734</v>
      </c>
      <c r="C20" s="7">
        <v>242080</v>
      </c>
      <c r="D20" s="7"/>
      <c r="E20" s="7">
        <f t="shared" si="0"/>
        <v>140.73400000000001</v>
      </c>
      <c r="F20" s="7">
        <f t="shared" si="1"/>
        <v>242.08</v>
      </c>
      <c r="G20" s="7"/>
      <c r="H20" s="18"/>
      <c r="I20" s="47"/>
      <c r="J20" s="6">
        <v>41456</v>
      </c>
      <c r="K20" s="7">
        <v>1600</v>
      </c>
      <c r="L20" s="7">
        <v>2751</v>
      </c>
      <c r="M20" s="8"/>
    </row>
    <row r="21" spans="1:13" x14ac:dyDescent="0.2">
      <c r="A21" s="6">
        <v>41487</v>
      </c>
      <c r="B21" s="7">
        <v>142248</v>
      </c>
      <c r="C21" s="7">
        <v>244247</v>
      </c>
      <c r="D21" s="7"/>
      <c r="E21" s="7">
        <f t="shared" si="0"/>
        <v>142.24799999999999</v>
      </c>
      <c r="F21" s="7">
        <f t="shared" si="1"/>
        <v>244.24700000000001</v>
      </c>
      <c r="G21" s="7"/>
      <c r="H21" s="18"/>
      <c r="I21" s="47"/>
      <c r="J21" s="6">
        <v>41487</v>
      </c>
      <c r="K21" s="7">
        <v>1613</v>
      </c>
      <c r="L21" s="7">
        <v>2770</v>
      </c>
      <c r="M21" s="8"/>
    </row>
    <row r="22" spans="1:13" x14ac:dyDescent="0.2">
      <c r="A22" s="6">
        <v>41518</v>
      </c>
      <c r="B22" s="7">
        <v>142924</v>
      </c>
      <c r="C22" s="7">
        <v>244874</v>
      </c>
      <c r="D22" s="7"/>
      <c r="E22" s="7">
        <f t="shared" si="0"/>
        <v>142.92400000000001</v>
      </c>
      <c r="F22" s="7">
        <f t="shared" si="1"/>
        <v>244.874</v>
      </c>
      <c r="G22" s="7">
        <f>SUM(F22,F19,F16)</f>
        <v>718.78199999999993</v>
      </c>
      <c r="H22" s="18">
        <f>(G22/G10-1)*100</f>
        <v>4.4706354293388317</v>
      </c>
      <c r="I22" s="47"/>
      <c r="J22" s="6">
        <v>41518</v>
      </c>
      <c r="K22" s="7">
        <v>1617</v>
      </c>
      <c r="L22" s="7">
        <v>2770</v>
      </c>
      <c r="M22" s="8">
        <f>(L22/L10-1)*100</f>
        <v>3.628881406659179</v>
      </c>
    </row>
    <row r="23" spans="1:13" x14ac:dyDescent="0.2">
      <c r="A23" s="6">
        <v>41548</v>
      </c>
      <c r="B23" s="7">
        <v>144243</v>
      </c>
      <c r="C23" s="7">
        <v>246139</v>
      </c>
      <c r="D23" s="7"/>
      <c r="E23" s="7">
        <f t="shared" si="0"/>
        <v>144.24299999999999</v>
      </c>
      <c r="F23" s="7">
        <f t="shared" si="1"/>
        <v>246.13900000000001</v>
      </c>
      <c r="G23" s="7"/>
      <c r="H23" s="18"/>
      <c r="I23" s="47"/>
      <c r="J23" s="6">
        <v>41548</v>
      </c>
      <c r="K23" s="7">
        <v>1628</v>
      </c>
      <c r="L23" s="7">
        <v>2779</v>
      </c>
      <c r="M23" s="8"/>
    </row>
    <row r="24" spans="1:13" x14ac:dyDescent="0.2">
      <c r="A24" s="6">
        <v>41579</v>
      </c>
      <c r="B24" s="7">
        <v>144931</v>
      </c>
      <c r="C24" s="7">
        <v>246095</v>
      </c>
      <c r="D24" s="7"/>
      <c r="E24" s="7">
        <f t="shared" si="0"/>
        <v>144.93100000000001</v>
      </c>
      <c r="F24" s="7">
        <f t="shared" si="1"/>
        <v>246.095</v>
      </c>
      <c r="G24" s="7"/>
      <c r="H24" s="18"/>
      <c r="I24" s="47"/>
      <c r="J24" s="6">
        <v>41579</v>
      </c>
      <c r="K24" s="7">
        <v>1630</v>
      </c>
      <c r="L24" s="7">
        <v>2767</v>
      </c>
      <c r="M24" s="8"/>
    </row>
    <row r="25" spans="1:13" x14ac:dyDescent="0.2">
      <c r="A25" s="6">
        <v>41609</v>
      </c>
      <c r="B25" s="7">
        <v>144998</v>
      </c>
      <c r="C25" s="7">
        <v>244546</v>
      </c>
      <c r="D25" s="7"/>
      <c r="E25" s="7">
        <f t="shared" si="0"/>
        <v>144.99799999999999</v>
      </c>
      <c r="F25" s="7">
        <f t="shared" si="1"/>
        <v>244.54599999999999</v>
      </c>
      <c r="G25" s="7"/>
      <c r="H25" s="18"/>
      <c r="I25" s="47"/>
      <c r="J25" s="6">
        <v>41609</v>
      </c>
      <c r="K25" s="7">
        <v>1628</v>
      </c>
      <c r="L25" s="7">
        <v>2746</v>
      </c>
      <c r="M25" s="8"/>
    </row>
    <row r="26" spans="1:13" x14ac:dyDescent="0.2">
      <c r="A26" s="6">
        <v>41640</v>
      </c>
      <c r="B26" s="7">
        <v>145304</v>
      </c>
      <c r="C26" s="7">
        <v>243455</v>
      </c>
      <c r="D26" s="7"/>
      <c r="E26" s="7">
        <f t="shared" si="0"/>
        <v>145.304</v>
      </c>
      <c r="F26" s="7">
        <f t="shared" si="1"/>
        <v>243.45500000000001</v>
      </c>
      <c r="G26" s="7"/>
      <c r="H26" s="18"/>
      <c r="I26" s="47"/>
      <c r="J26" s="6">
        <v>41640</v>
      </c>
      <c r="K26" s="7">
        <v>1637</v>
      </c>
      <c r="L26" s="7">
        <v>2743</v>
      </c>
      <c r="M26" s="8"/>
    </row>
    <row r="27" spans="1:13" x14ac:dyDescent="0.2">
      <c r="A27" s="6">
        <v>41671</v>
      </c>
      <c r="B27" s="7">
        <v>147514</v>
      </c>
      <c r="C27" s="7">
        <v>245442</v>
      </c>
      <c r="D27" s="7"/>
      <c r="E27" s="7">
        <f t="shared" si="0"/>
        <v>147.51400000000001</v>
      </c>
      <c r="F27" s="7">
        <f t="shared" si="1"/>
        <v>245.44200000000001</v>
      </c>
      <c r="G27" s="7"/>
      <c r="H27" s="18"/>
      <c r="I27" s="47"/>
      <c r="J27" s="6">
        <v>41671</v>
      </c>
      <c r="K27" s="7">
        <v>1665</v>
      </c>
      <c r="L27" s="7">
        <v>2770</v>
      </c>
      <c r="M27" s="8"/>
    </row>
    <row r="28" spans="1:13" x14ac:dyDescent="0.2">
      <c r="A28" s="6">
        <v>41699</v>
      </c>
      <c r="B28" s="7">
        <v>150071</v>
      </c>
      <c r="C28" s="7">
        <v>247968</v>
      </c>
      <c r="D28" s="7"/>
      <c r="E28" s="7">
        <f t="shared" si="0"/>
        <v>150.071</v>
      </c>
      <c r="F28" s="7">
        <f t="shared" si="1"/>
        <v>247.96799999999999</v>
      </c>
      <c r="G28" s="7"/>
      <c r="H28" s="18"/>
      <c r="I28" s="47"/>
      <c r="J28" s="6">
        <v>41699</v>
      </c>
      <c r="K28" s="7">
        <v>1695</v>
      </c>
      <c r="L28" s="7">
        <v>2801</v>
      </c>
      <c r="M28" s="8"/>
    </row>
    <row r="29" spans="1:13" x14ac:dyDescent="0.2">
      <c r="A29" s="6">
        <v>41730</v>
      </c>
      <c r="B29" s="7">
        <v>151546</v>
      </c>
      <c r="C29" s="7">
        <v>248538</v>
      </c>
      <c r="D29" s="7"/>
      <c r="E29" s="7">
        <f t="shared" si="0"/>
        <v>151.54599999999999</v>
      </c>
      <c r="F29" s="7">
        <f t="shared" si="1"/>
        <v>248.53800000000001</v>
      </c>
      <c r="G29" s="7"/>
      <c r="H29" s="18"/>
      <c r="I29" s="47"/>
      <c r="J29" s="6">
        <v>41730</v>
      </c>
      <c r="K29" s="7">
        <v>1707</v>
      </c>
      <c r="L29" s="7">
        <v>2799</v>
      </c>
      <c r="M29" s="8"/>
    </row>
    <row r="30" spans="1:13" x14ac:dyDescent="0.2">
      <c r="A30" s="6">
        <v>41760</v>
      </c>
      <c r="B30" s="7">
        <v>152691</v>
      </c>
      <c r="C30" s="7">
        <v>248736</v>
      </c>
      <c r="D30" s="7"/>
      <c r="E30" s="7">
        <f t="shared" si="0"/>
        <v>152.691</v>
      </c>
      <c r="F30" s="7">
        <f t="shared" si="1"/>
        <v>248.73599999999999</v>
      </c>
      <c r="G30" s="7"/>
      <c r="H30" s="18"/>
      <c r="I30" s="47"/>
      <c r="J30" s="6">
        <v>41760</v>
      </c>
      <c r="K30" s="7">
        <v>1715</v>
      </c>
      <c r="L30" s="7">
        <v>2794</v>
      </c>
      <c r="M30" s="8"/>
    </row>
    <row r="31" spans="1:13" x14ac:dyDescent="0.2">
      <c r="A31" s="6">
        <v>41791</v>
      </c>
      <c r="B31" s="7">
        <v>152959</v>
      </c>
      <c r="C31" s="7">
        <v>247904</v>
      </c>
      <c r="D31" s="7"/>
      <c r="E31" s="7">
        <f t="shared" si="0"/>
        <v>152.959</v>
      </c>
      <c r="F31" s="7">
        <f t="shared" si="1"/>
        <v>247.904</v>
      </c>
      <c r="G31" s="7"/>
      <c r="H31" s="18"/>
      <c r="I31" s="47"/>
      <c r="J31" s="6">
        <v>41791</v>
      </c>
      <c r="K31" s="7">
        <v>1715</v>
      </c>
      <c r="L31" s="7">
        <v>2779</v>
      </c>
      <c r="M31" s="8"/>
    </row>
    <row r="32" spans="1:13" x14ac:dyDescent="0.2">
      <c r="A32" s="6">
        <v>41821</v>
      </c>
      <c r="B32" s="7">
        <v>153053</v>
      </c>
      <c r="C32" s="7">
        <v>247334</v>
      </c>
      <c r="D32" s="7"/>
      <c r="E32" s="7">
        <f t="shared" si="0"/>
        <v>153.053</v>
      </c>
      <c r="F32" s="7">
        <f t="shared" si="1"/>
        <v>247.334</v>
      </c>
      <c r="G32" s="7"/>
      <c r="H32" s="18"/>
      <c r="I32" s="47"/>
      <c r="J32" s="6">
        <v>41821</v>
      </c>
      <c r="K32" s="7">
        <v>1716</v>
      </c>
      <c r="L32" s="7">
        <v>2774</v>
      </c>
      <c r="M32" s="8"/>
    </row>
    <row r="33" spans="1:13" x14ac:dyDescent="0.2">
      <c r="A33" s="6">
        <v>41852</v>
      </c>
      <c r="B33" s="7">
        <v>154505</v>
      </c>
      <c r="C33" s="7">
        <v>249125</v>
      </c>
      <c r="D33" s="7"/>
      <c r="E33" s="7">
        <f t="shared" si="0"/>
        <v>154.505</v>
      </c>
      <c r="F33" s="7">
        <f t="shared" si="1"/>
        <v>249.125</v>
      </c>
      <c r="G33" s="7"/>
      <c r="H33" s="18"/>
      <c r="I33" s="47"/>
      <c r="J33" s="6">
        <v>41852</v>
      </c>
      <c r="K33" s="7">
        <v>1733</v>
      </c>
      <c r="L33" s="7">
        <v>2794</v>
      </c>
      <c r="M33" s="8"/>
    </row>
    <row r="34" spans="1:13" x14ac:dyDescent="0.2">
      <c r="A34" s="6">
        <v>41883</v>
      </c>
      <c r="B34" s="7">
        <v>156144</v>
      </c>
      <c r="C34" s="7">
        <v>251050</v>
      </c>
      <c r="D34" s="7"/>
      <c r="E34" s="7">
        <f t="shared" si="0"/>
        <v>156.14400000000001</v>
      </c>
      <c r="F34" s="7">
        <f t="shared" si="1"/>
        <v>251.05</v>
      </c>
      <c r="G34" s="7">
        <f t="shared" ref="G34" si="2">SUM(F34,F31,F28)</f>
        <v>746.92200000000003</v>
      </c>
      <c r="H34" s="18">
        <f t="shared" ref="H34" si="3">(G34/G22-1)*100</f>
        <v>3.9149561341269123</v>
      </c>
      <c r="I34" s="47"/>
      <c r="J34" s="6">
        <v>41883</v>
      </c>
      <c r="K34" s="7">
        <v>1744</v>
      </c>
      <c r="L34" s="7">
        <v>2803</v>
      </c>
      <c r="M34" s="8">
        <f t="shared" ref="M34" si="4">(L34/L22-1)*100</f>
        <v>1.1913357400721969</v>
      </c>
    </row>
    <row r="35" spans="1:13" x14ac:dyDescent="0.2">
      <c r="A35" s="6">
        <v>41913</v>
      </c>
      <c r="B35" s="7">
        <v>157979</v>
      </c>
      <c r="C35" s="7">
        <v>252954</v>
      </c>
      <c r="D35" s="7"/>
      <c r="E35" s="7">
        <f t="shared" si="0"/>
        <v>157.97900000000001</v>
      </c>
      <c r="F35" s="7">
        <f t="shared" si="1"/>
        <v>252.95400000000001</v>
      </c>
      <c r="G35" s="7"/>
      <c r="H35" s="18"/>
      <c r="I35" s="47"/>
      <c r="J35" s="6">
        <v>41913</v>
      </c>
      <c r="K35" s="7">
        <v>1758</v>
      </c>
      <c r="L35" s="7">
        <v>2814</v>
      </c>
      <c r="M35" s="8"/>
    </row>
    <row r="36" spans="1:13" x14ac:dyDescent="0.2">
      <c r="A36" s="6">
        <v>41944</v>
      </c>
      <c r="B36" s="7">
        <v>158063</v>
      </c>
      <c r="C36" s="7">
        <v>251817</v>
      </c>
      <c r="D36" s="7"/>
      <c r="E36" s="7">
        <f t="shared" si="0"/>
        <v>158.06299999999999</v>
      </c>
      <c r="F36" s="7">
        <f t="shared" si="1"/>
        <v>251.81700000000001</v>
      </c>
      <c r="G36" s="7"/>
      <c r="H36" s="18"/>
      <c r="I36" s="47"/>
      <c r="J36" s="6">
        <v>41944</v>
      </c>
      <c r="K36" s="7">
        <v>1754</v>
      </c>
      <c r="L36" s="7">
        <v>2795</v>
      </c>
      <c r="M36" s="8"/>
    </row>
    <row r="37" spans="1:13" x14ac:dyDescent="0.2">
      <c r="A37" s="6">
        <v>41974</v>
      </c>
      <c r="B37" s="7">
        <v>159125</v>
      </c>
      <c r="C37" s="7">
        <v>252082</v>
      </c>
      <c r="D37" s="7"/>
      <c r="E37" s="7">
        <f t="shared" si="0"/>
        <v>159.125</v>
      </c>
      <c r="F37" s="7">
        <f t="shared" si="1"/>
        <v>252.08199999999999</v>
      </c>
      <c r="G37" s="7"/>
      <c r="H37" s="18"/>
      <c r="I37" s="47"/>
      <c r="J37" s="6">
        <v>41974</v>
      </c>
      <c r="K37" s="7">
        <v>1765</v>
      </c>
      <c r="L37" s="7">
        <v>2796</v>
      </c>
      <c r="M37" s="8"/>
    </row>
    <row r="38" spans="1:13" x14ac:dyDescent="0.2">
      <c r="A38" s="6">
        <v>42005</v>
      </c>
      <c r="B38" s="7">
        <v>160189</v>
      </c>
      <c r="C38" s="7">
        <v>251656</v>
      </c>
      <c r="D38" s="7"/>
      <c r="E38" s="7">
        <f t="shared" si="0"/>
        <v>160.18899999999999</v>
      </c>
      <c r="F38" s="7">
        <f t="shared" si="1"/>
        <v>251.65600000000001</v>
      </c>
      <c r="G38" s="7"/>
      <c r="H38" s="18"/>
      <c r="I38" s="47"/>
      <c r="J38" s="6">
        <v>42005</v>
      </c>
      <c r="K38" s="7">
        <v>1782</v>
      </c>
      <c r="L38" s="7">
        <v>2800</v>
      </c>
      <c r="M38" s="8"/>
    </row>
    <row r="39" spans="1:13" x14ac:dyDescent="0.2">
      <c r="A39" s="6">
        <v>42036</v>
      </c>
      <c r="B39" s="7">
        <v>160803</v>
      </c>
      <c r="C39" s="7">
        <v>249938</v>
      </c>
      <c r="D39" s="7"/>
      <c r="E39" s="7">
        <f t="shared" si="0"/>
        <v>160.803</v>
      </c>
      <c r="F39" s="7">
        <f t="shared" si="1"/>
        <v>249.93799999999999</v>
      </c>
      <c r="G39" s="7"/>
      <c r="H39" s="18"/>
      <c r="I39" s="47"/>
      <c r="J39" s="6">
        <v>42036</v>
      </c>
      <c r="K39" s="7">
        <v>1799</v>
      </c>
      <c r="L39" s="7">
        <v>2795</v>
      </c>
      <c r="M39" s="8"/>
    </row>
    <row r="40" spans="1:13" x14ac:dyDescent="0.2">
      <c r="A40" s="6">
        <v>42064</v>
      </c>
      <c r="B40" s="7">
        <v>162227</v>
      </c>
      <c r="C40" s="7">
        <v>249037</v>
      </c>
      <c r="D40" s="7"/>
      <c r="E40" s="7">
        <f t="shared" si="0"/>
        <v>162.227</v>
      </c>
      <c r="F40" s="7">
        <f t="shared" si="1"/>
        <v>249.03700000000001</v>
      </c>
      <c r="G40" s="7"/>
      <c r="H40" s="18"/>
      <c r="I40" s="47"/>
      <c r="J40" s="6">
        <v>42064</v>
      </c>
      <c r="K40" s="7">
        <v>1822</v>
      </c>
      <c r="L40" s="7">
        <v>2796</v>
      </c>
      <c r="M40" s="8"/>
    </row>
    <row r="41" spans="1:13" x14ac:dyDescent="0.2">
      <c r="A41" s="6">
        <v>42095</v>
      </c>
      <c r="B41" s="7">
        <v>164024</v>
      </c>
      <c r="C41" s="7">
        <v>249095</v>
      </c>
      <c r="D41" s="7"/>
      <c r="E41" s="7">
        <f t="shared" si="0"/>
        <v>164.024</v>
      </c>
      <c r="F41" s="7">
        <f t="shared" si="1"/>
        <v>249.095</v>
      </c>
      <c r="G41" s="7"/>
      <c r="H41" s="18"/>
      <c r="I41" s="47"/>
      <c r="J41" s="6">
        <v>42095</v>
      </c>
      <c r="K41" s="7">
        <v>1837</v>
      </c>
      <c r="L41" s="7">
        <v>2790</v>
      </c>
      <c r="M41" s="8"/>
    </row>
    <row r="42" spans="1:13" x14ac:dyDescent="0.2">
      <c r="A42" s="6">
        <v>42125</v>
      </c>
      <c r="B42" s="7">
        <v>164791</v>
      </c>
      <c r="C42" s="7">
        <v>247979</v>
      </c>
      <c r="D42" s="7"/>
      <c r="E42" s="7">
        <f t="shared" si="0"/>
        <v>164.791</v>
      </c>
      <c r="F42" s="7">
        <f t="shared" si="1"/>
        <v>247.97900000000001</v>
      </c>
      <c r="G42" s="7"/>
      <c r="H42" s="18"/>
      <c r="I42" s="47"/>
      <c r="J42" s="6">
        <v>42125</v>
      </c>
      <c r="K42" s="7">
        <v>1846</v>
      </c>
      <c r="L42" s="7">
        <v>2777</v>
      </c>
      <c r="M42" s="8"/>
    </row>
    <row r="43" spans="1:13" x14ac:dyDescent="0.2">
      <c r="A43" s="6">
        <v>42156</v>
      </c>
      <c r="B43" s="7">
        <v>166585</v>
      </c>
      <c r="C43" s="7">
        <v>248809</v>
      </c>
      <c r="D43" s="7"/>
      <c r="E43" s="7">
        <f t="shared" si="0"/>
        <v>166.58500000000001</v>
      </c>
      <c r="F43" s="7">
        <f t="shared" si="1"/>
        <v>248.809</v>
      </c>
      <c r="G43" s="7"/>
      <c r="H43" s="18"/>
      <c r="I43" s="47"/>
      <c r="J43" s="6">
        <v>42156</v>
      </c>
      <c r="K43" s="7">
        <v>1865</v>
      </c>
      <c r="L43" s="7">
        <v>2785</v>
      </c>
      <c r="M43" s="8"/>
    </row>
    <row r="44" spans="1:13" x14ac:dyDescent="0.2">
      <c r="A44" s="6">
        <v>42186</v>
      </c>
      <c r="B44" s="7">
        <v>166627</v>
      </c>
      <c r="C44" s="7">
        <v>247088</v>
      </c>
      <c r="D44" s="7"/>
      <c r="E44" s="7">
        <f t="shared" si="0"/>
        <v>166.62700000000001</v>
      </c>
      <c r="F44" s="7">
        <f t="shared" si="1"/>
        <v>247.08799999999999</v>
      </c>
      <c r="G44" s="7"/>
      <c r="H44" s="18"/>
      <c r="I44" s="47"/>
      <c r="J44" s="6">
        <v>42186</v>
      </c>
      <c r="K44" s="7">
        <v>1865</v>
      </c>
      <c r="L44" s="7">
        <v>2766</v>
      </c>
      <c r="M44" s="8"/>
    </row>
    <row r="45" spans="1:13" x14ac:dyDescent="0.2">
      <c r="A45" s="6">
        <v>42217</v>
      </c>
      <c r="B45" s="7">
        <v>166684</v>
      </c>
      <c r="C45" s="7">
        <v>245818</v>
      </c>
      <c r="D45" s="7"/>
      <c r="E45" s="7">
        <f t="shared" si="0"/>
        <v>166.684</v>
      </c>
      <c r="F45" s="7">
        <f t="shared" si="1"/>
        <v>245.81800000000001</v>
      </c>
      <c r="G45" s="7"/>
      <c r="H45" s="18"/>
      <c r="I45" s="47"/>
      <c r="J45" s="6">
        <v>42217</v>
      </c>
      <c r="K45" s="7">
        <v>1867</v>
      </c>
      <c r="L45" s="7">
        <v>2753</v>
      </c>
      <c r="M45" s="8"/>
    </row>
    <row r="46" spans="1:13" x14ac:dyDescent="0.2">
      <c r="A46" s="6">
        <v>42248</v>
      </c>
      <c r="B46" s="7">
        <v>167602</v>
      </c>
      <c r="C46" s="7">
        <v>246035</v>
      </c>
      <c r="D46" s="7"/>
      <c r="E46" s="7">
        <f t="shared" si="0"/>
        <v>167.602</v>
      </c>
      <c r="F46" s="7">
        <f t="shared" si="1"/>
        <v>246.035</v>
      </c>
      <c r="G46" s="7">
        <f t="shared" ref="G46" si="5">SUM(F46,F43,F40)</f>
        <v>743.88099999999997</v>
      </c>
      <c r="H46" s="18">
        <f t="shared" ref="H46" si="6">(G46/G34-1)*100</f>
        <v>-0.40713755920966932</v>
      </c>
      <c r="I46" s="47"/>
      <c r="J46" s="6">
        <v>42248</v>
      </c>
      <c r="K46" s="7">
        <v>1874</v>
      </c>
      <c r="L46" s="7">
        <v>2752</v>
      </c>
      <c r="M46" s="8">
        <f t="shared" ref="M46" si="7">(L46/L34-1)*100</f>
        <v>-1.819479129504098</v>
      </c>
    </row>
    <row r="47" spans="1:13" x14ac:dyDescent="0.2">
      <c r="A47" s="6">
        <v>42278</v>
      </c>
      <c r="B47" s="7">
        <v>168307</v>
      </c>
      <c r="C47" s="7">
        <v>245767</v>
      </c>
      <c r="D47" s="7"/>
      <c r="E47" s="7">
        <f t="shared" si="0"/>
        <v>168.30699999999999</v>
      </c>
      <c r="F47" s="7">
        <f t="shared" si="1"/>
        <v>245.767</v>
      </c>
      <c r="G47" s="7"/>
      <c r="H47" s="18"/>
      <c r="I47" s="47"/>
      <c r="J47" s="6">
        <v>42278</v>
      </c>
      <c r="K47" s="7">
        <v>1877</v>
      </c>
      <c r="L47" s="7">
        <v>2741</v>
      </c>
      <c r="M47" s="8"/>
    </row>
    <row r="48" spans="1:13" x14ac:dyDescent="0.2">
      <c r="A48" s="6">
        <v>42309</v>
      </c>
      <c r="B48" s="7">
        <v>168438</v>
      </c>
      <c r="C48" s="7">
        <v>243992</v>
      </c>
      <c r="D48" s="7"/>
      <c r="E48" s="7">
        <f t="shared" si="0"/>
        <v>168.43799999999999</v>
      </c>
      <c r="F48" s="7">
        <f t="shared" si="1"/>
        <v>243.99199999999999</v>
      </c>
      <c r="G48" s="7"/>
      <c r="H48" s="18"/>
      <c r="I48" s="47"/>
      <c r="J48" s="6">
        <v>42309</v>
      </c>
      <c r="K48" s="7">
        <v>1878</v>
      </c>
      <c r="L48" s="7">
        <v>2721</v>
      </c>
      <c r="M48" s="8"/>
    </row>
    <row r="49" spans="1:13" x14ac:dyDescent="0.2">
      <c r="A49" s="6">
        <v>42339</v>
      </c>
      <c r="B49" s="7">
        <v>169406</v>
      </c>
      <c r="C49" s="7">
        <v>243105</v>
      </c>
      <c r="D49" s="7"/>
      <c r="E49" s="7">
        <f t="shared" si="0"/>
        <v>169.40600000000001</v>
      </c>
      <c r="F49" s="7">
        <f t="shared" si="1"/>
        <v>243.10499999999999</v>
      </c>
      <c r="G49" s="7"/>
      <c r="H49" s="18"/>
      <c r="I49" s="47"/>
      <c r="J49" s="6">
        <v>42339</v>
      </c>
      <c r="K49" s="7">
        <v>1886</v>
      </c>
      <c r="L49" s="7">
        <v>2707</v>
      </c>
      <c r="M49" s="8"/>
    </row>
    <row r="50" spans="1:13" x14ac:dyDescent="0.2">
      <c r="A50" s="6">
        <v>42370</v>
      </c>
      <c r="B50" s="7">
        <v>170809</v>
      </c>
      <c r="C50" s="7">
        <v>242518</v>
      </c>
      <c r="D50" s="7"/>
      <c r="E50" s="7">
        <f t="shared" si="0"/>
        <v>170.809</v>
      </c>
      <c r="F50" s="7">
        <f t="shared" si="1"/>
        <v>242.518</v>
      </c>
      <c r="G50" s="7"/>
      <c r="H50" s="18"/>
      <c r="I50" s="47"/>
      <c r="J50" s="6">
        <v>42370</v>
      </c>
      <c r="K50" s="7">
        <v>1912</v>
      </c>
      <c r="L50" s="7">
        <v>2715</v>
      </c>
      <c r="M50" s="8"/>
    </row>
    <row r="51" spans="1:13" x14ac:dyDescent="0.2">
      <c r="A51" s="6">
        <v>42401</v>
      </c>
      <c r="B51" s="7">
        <v>170658</v>
      </c>
      <c r="C51" s="7">
        <v>239816</v>
      </c>
      <c r="D51" s="7"/>
      <c r="E51" s="7">
        <f t="shared" si="0"/>
        <v>170.65799999999999</v>
      </c>
      <c r="F51" s="7">
        <f t="shared" si="1"/>
        <v>239.816</v>
      </c>
      <c r="G51" s="7"/>
      <c r="H51" s="18"/>
      <c r="I51" s="47"/>
      <c r="J51" s="6">
        <v>42401</v>
      </c>
      <c r="K51" s="7">
        <v>1921</v>
      </c>
      <c r="L51" s="7">
        <v>2699</v>
      </c>
      <c r="M51" s="8"/>
    </row>
    <row r="52" spans="1:13" x14ac:dyDescent="0.2">
      <c r="A52" s="6">
        <v>42430</v>
      </c>
      <c r="B52" s="7">
        <v>172015</v>
      </c>
      <c r="C52" s="7">
        <v>239655</v>
      </c>
      <c r="D52" s="7"/>
      <c r="E52" s="7">
        <f t="shared" si="0"/>
        <v>172.01499999999999</v>
      </c>
      <c r="F52" s="7">
        <f t="shared" si="1"/>
        <v>239.655</v>
      </c>
      <c r="G52" s="7"/>
      <c r="H52" s="18"/>
      <c r="I52" s="47"/>
      <c r="J52" s="6">
        <v>42430</v>
      </c>
      <c r="K52" s="7">
        <v>1946</v>
      </c>
      <c r="L52" s="7">
        <v>2712</v>
      </c>
      <c r="M52" s="8"/>
    </row>
    <row r="53" spans="1:13" x14ac:dyDescent="0.2">
      <c r="A53" s="6">
        <v>42461</v>
      </c>
      <c r="B53" s="7">
        <v>172103</v>
      </c>
      <c r="C53" s="7">
        <v>238224</v>
      </c>
      <c r="D53" s="7"/>
      <c r="E53" s="7">
        <f t="shared" si="0"/>
        <v>172.10300000000001</v>
      </c>
      <c r="F53" s="7">
        <f t="shared" si="1"/>
        <v>238.22399999999999</v>
      </c>
      <c r="G53" s="7"/>
      <c r="H53" s="18"/>
      <c r="I53" s="47"/>
      <c r="J53" s="6">
        <v>42461</v>
      </c>
      <c r="K53" s="7">
        <v>1949</v>
      </c>
      <c r="L53" s="7">
        <v>2698</v>
      </c>
      <c r="M53" s="8"/>
    </row>
    <row r="54" spans="1:13" x14ac:dyDescent="0.2">
      <c r="A54" s="6">
        <v>42491</v>
      </c>
      <c r="B54" s="7">
        <v>174160</v>
      </c>
      <c r="C54" s="7">
        <v>239609</v>
      </c>
      <c r="D54" s="7"/>
      <c r="E54" s="7">
        <f t="shared" si="0"/>
        <v>174.16</v>
      </c>
      <c r="F54" s="7">
        <f t="shared" si="1"/>
        <v>239.60900000000001</v>
      </c>
      <c r="G54" s="7"/>
      <c r="H54" s="18"/>
      <c r="I54" s="47"/>
      <c r="J54" s="6">
        <v>42491</v>
      </c>
      <c r="K54" s="7">
        <v>1967</v>
      </c>
      <c r="L54" s="7">
        <v>2707</v>
      </c>
      <c r="M54" s="8"/>
    </row>
    <row r="55" spans="1:13" x14ac:dyDescent="0.2">
      <c r="A55" s="6">
        <v>42522</v>
      </c>
      <c r="B55" s="7">
        <v>173334</v>
      </c>
      <c r="C55" s="7">
        <v>237074</v>
      </c>
      <c r="D55" s="7"/>
      <c r="E55" s="7">
        <f t="shared" si="0"/>
        <v>173.334</v>
      </c>
      <c r="F55" s="7">
        <f t="shared" si="1"/>
        <v>237.07400000000001</v>
      </c>
      <c r="G55" s="7"/>
      <c r="H55" s="18"/>
      <c r="I55" s="47"/>
      <c r="J55" s="6">
        <v>42522</v>
      </c>
      <c r="K55" s="7">
        <v>1959</v>
      </c>
      <c r="L55" s="7">
        <v>2679</v>
      </c>
      <c r="M55" s="8"/>
    </row>
    <row r="56" spans="1:13" x14ac:dyDescent="0.2">
      <c r="A56" s="6">
        <v>42552</v>
      </c>
      <c r="B56" s="7">
        <v>173818</v>
      </c>
      <c r="C56" s="7">
        <v>236446</v>
      </c>
      <c r="D56" s="7"/>
      <c r="E56" s="7">
        <f t="shared" si="0"/>
        <v>173.81800000000001</v>
      </c>
      <c r="F56" s="7">
        <f t="shared" si="1"/>
        <v>236.446</v>
      </c>
      <c r="G56" s="7"/>
      <c r="H56" s="18"/>
      <c r="I56" s="47"/>
      <c r="J56" s="6">
        <v>42552</v>
      </c>
      <c r="K56" s="7">
        <v>1970</v>
      </c>
      <c r="L56" s="7">
        <v>2680</v>
      </c>
      <c r="M56" s="8"/>
    </row>
    <row r="57" spans="1:13" x14ac:dyDescent="0.2">
      <c r="A57" s="6">
        <v>42583</v>
      </c>
      <c r="B57" s="7">
        <v>175640</v>
      </c>
      <c r="C57" s="7">
        <v>237917</v>
      </c>
      <c r="D57" s="7"/>
      <c r="E57" s="7">
        <f t="shared" si="0"/>
        <v>175.64</v>
      </c>
      <c r="F57" s="7">
        <f t="shared" si="1"/>
        <v>237.917</v>
      </c>
      <c r="G57" s="7"/>
      <c r="H57" s="18"/>
      <c r="I57" s="47"/>
      <c r="J57" s="6">
        <v>42583</v>
      </c>
      <c r="K57" s="7">
        <v>1996</v>
      </c>
      <c r="L57" s="7">
        <v>2704</v>
      </c>
      <c r="M57" s="8"/>
    </row>
    <row r="58" spans="1:13" x14ac:dyDescent="0.2">
      <c r="A58" s="6">
        <v>42614</v>
      </c>
      <c r="B58" s="7">
        <v>175606</v>
      </c>
      <c r="C58" s="7">
        <v>237067</v>
      </c>
      <c r="D58" s="7"/>
      <c r="E58" s="7">
        <f t="shared" si="0"/>
        <v>175.60599999999999</v>
      </c>
      <c r="F58" s="7">
        <f t="shared" si="1"/>
        <v>237.06700000000001</v>
      </c>
      <c r="G58" s="7">
        <f t="shared" ref="G58" si="8">SUM(F58,F55,F52)</f>
        <v>713.79600000000005</v>
      </c>
      <c r="H58" s="18">
        <f t="shared" ref="H58" si="9">(G58/G46-1)*100</f>
        <v>-4.0443296710091943</v>
      </c>
      <c r="I58" s="47"/>
      <c r="J58" s="6">
        <v>42614</v>
      </c>
      <c r="K58" s="7">
        <v>2001</v>
      </c>
      <c r="L58" s="7">
        <v>2701</v>
      </c>
      <c r="M58" s="8">
        <f t="shared" ref="M58" si="10">(L58/L46-1)*100</f>
        <v>-1.8531976744186052</v>
      </c>
    </row>
    <row r="59" spans="1:13" x14ac:dyDescent="0.2">
      <c r="A59" s="6">
        <v>42644</v>
      </c>
      <c r="B59" s="7">
        <v>176464</v>
      </c>
      <c r="C59" s="7">
        <v>237612</v>
      </c>
      <c r="D59" s="7"/>
      <c r="E59" s="7">
        <f t="shared" si="0"/>
        <v>176.464</v>
      </c>
      <c r="F59" s="7">
        <f t="shared" si="1"/>
        <v>237.61199999999999</v>
      </c>
      <c r="G59" s="7"/>
      <c r="H59" s="18"/>
      <c r="I59" s="47"/>
      <c r="J59" s="6">
        <v>42644</v>
      </c>
      <c r="K59" s="7">
        <v>2009</v>
      </c>
      <c r="L59" s="7">
        <v>2706</v>
      </c>
      <c r="M59" s="8"/>
    </row>
    <row r="60" spans="1:13" x14ac:dyDescent="0.2">
      <c r="A60" s="6">
        <v>42675</v>
      </c>
      <c r="B60" s="7">
        <v>177576</v>
      </c>
      <c r="C60" s="7">
        <v>238695</v>
      </c>
      <c r="D60" s="7"/>
      <c r="E60" s="7">
        <f t="shared" si="0"/>
        <v>177.57599999999999</v>
      </c>
      <c r="F60" s="7">
        <f t="shared" si="1"/>
        <v>238.69499999999999</v>
      </c>
      <c r="G60" s="7"/>
      <c r="H60" s="18"/>
      <c r="I60" s="47"/>
      <c r="J60" s="6">
        <v>42675</v>
      </c>
      <c r="K60" s="7">
        <v>2017</v>
      </c>
      <c r="L60" s="7">
        <v>2711</v>
      </c>
      <c r="M60" s="8"/>
    </row>
    <row r="61" spans="1:13" x14ac:dyDescent="0.2">
      <c r="A61" s="6">
        <v>42705</v>
      </c>
      <c r="B61" s="7">
        <v>178928</v>
      </c>
      <c r="C61" s="7">
        <v>239929</v>
      </c>
      <c r="D61" s="7"/>
      <c r="E61" s="7">
        <f t="shared" si="0"/>
        <v>178.928</v>
      </c>
      <c r="F61" s="7">
        <f t="shared" si="1"/>
        <v>239.929</v>
      </c>
      <c r="G61" s="7"/>
      <c r="H61" s="18"/>
      <c r="I61" s="47"/>
      <c r="J61" s="6">
        <v>42705</v>
      </c>
      <c r="K61" s="7">
        <v>2032</v>
      </c>
      <c r="L61" s="7">
        <v>2725</v>
      </c>
      <c r="M61" s="8"/>
    </row>
    <row r="62" spans="1:13" x14ac:dyDescent="0.2">
      <c r="A62" s="6">
        <v>42736</v>
      </c>
      <c r="B62" s="7">
        <v>179105</v>
      </c>
      <c r="C62" s="7">
        <v>239482</v>
      </c>
      <c r="D62" s="7"/>
      <c r="E62" s="7">
        <f t="shared" si="0"/>
        <v>179.10499999999999</v>
      </c>
      <c r="F62" s="7">
        <f t="shared" si="1"/>
        <v>239.482</v>
      </c>
      <c r="G62" s="7"/>
      <c r="H62" s="18"/>
      <c r="I62" s="47"/>
      <c r="J62" s="6">
        <v>42736</v>
      </c>
      <c r="K62" s="7">
        <v>2045</v>
      </c>
      <c r="L62" s="7">
        <v>2734</v>
      </c>
      <c r="M62" s="8"/>
    </row>
    <row r="63" spans="1:13" x14ac:dyDescent="0.2">
      <c r="A63" s="6">
        <v>42767</v>
      </c>
      <c r="B63" s="7">
        <v>179191</v>
      </c>
      <c r="C63" s="7">
        <v>238814</v>
      </c>
      <c r="D63" s="7"/>
      <c r="E63" s="7">
        <f t="shared" si="0"/>
        <v>179.191</v>
      </c>
      <c r="F63" s="7">
        <f t="shared" si="1"/>
        <v>238.81399999999999</v>
      </c>
      <c r="G63" s="7"/>
      <c r="H63" s="18"/>
      <c r="I63" s="47"/>
      <c r="J63" s="6">
        <v>42767</v>
      </c>
      <c r="K63" s="7">
        <v>2058</v>
      </c>
      <c r="L63" s="7">
        <v>2743</v>
      </c>
      <c r="M63" s="8"/>
    </row>
    <row r="64" spans="1:13" x14ac:dyDescent="0.2">
      <c r="A64" s="6">
        <v>42795</v>
      </c>
      <c r="B64" s="7">
        <v>179969</v>
      </c>
      <c r="C64" s="7">
        <v>239100</v>
      </c>
      <c r="D64" s="7"/>
      <c r="E64" s="7">
        <f t="shared" si="0"/>
        <v>179.96899999999999</v>
      </c>
      <c r="F64" s="7">
        <f t="shared" si="1"/>
        <v>239.1</v>
      </c>
      <c r="G64" s="7"/>
      <c r="H64" s="18"/>
      <c r="I64" s="47"/>
      <c r="J64" s="6">
        <v>42795</v>
      </c>
      <c r="K64" s="7">
        <v>2077</v>
      </c>
      <c r="L64" s="7">
        <v>2759</v>
      </c>
      <c r="M64" s="8"/>
    </row>
    <row r="65" spans="1:13" x14ac:dyDescent="0.2">
      <c r="A65" s="6">
        <v>42826</v>
      </c>
      <c r="B65" s="7">
        <v>180271</v>
      </c>
      <c r="C65" s="7">
        <v>238930</v>
      </c>
      <c r="D65" s="7"/>
      <c r="E65" s="7">
        <f t="shared" si="0"/>
        <v>180.27099999999999</v>
      </c>
      <c r="F65" s="7">
        <f t="shared" si="1"/>
        <v>238.93</v>
      </c>
      <c r="G65" s="7"/>
      <c r="H65" s="18"/>
      <c r="I65" s="47"/>
      <c r="J65" s="6">
        <v>42826</v>
      </c>
      <c r="K65" s="7">
        <v>2072</v>
      </c>
      <c r="L65" s="7">
        <v>2747</v>
      </c>
      <c r="M65" s="8"/>
    </row>
    <row r="66" spans="1:13" x14ac:dyDescent="0.2">
      <c r="A66" s="6">
        <v>42856</v>
      </c>
      <c r="B66" s="7">
        <v>181401</v>
      </c>
      <c r="C66" s="7">
        <v>239853</v>
      </c>
      <c r="D66" s="7"/>
      <c r="E66" s="7">
        <f t="shared" si="0"/>
        <v>181.40100000000001</v>
      </c>
      <c r="F66" s="7">
        <f t="shared" si="1"/>
        <v>239.85300000000001</v>
      </c>
      <c r="G66" s="7"/>
      <c r="H66" s="18"/>
      <c r="I66" s="47"/>
      <c r="J66" s="6">
        <v>42856</v>
      </c>
      <c r="K66" s="7">
        <v>2074</v>
      </c>
      <c r="L66" s="7">
        <v>2743</v>
      </c>
      <c r="M66" s="8"/>
    </row>
    <row r="67" spans="1:13" x14ac:dyDescent="0.2">
      <c r="A67" s="6">
        <v>42887</v>
      </c>
      <c r="B67" s="7">
        <v>181978</v>
      </c>
      <c r="C67" s="7">
        <v>240448</v>
      </c>
      <c r="D67" s="7"/>
      <c r="E67" s="7">
        <f t="shared" si="0"/>
        <v>181.97800000000001</v>
      </c>
      <c r="F67" s="7">
        <f t="shared" si="1"/>
        <v>240.44800000000001</v>
      </c>
      <c r="G67" s="7"/>
      <c r="H67" s="18"/>
      <c r="I67" s="47"/>
      <c r="J67" s="6">
        <v>42887</v>
      </c>
      <c r="K67" s="7">
        <v>2068</v>
      </c>
      <c r="L67" s="7">
        <v>2732</v>
      </c>
      <c r="M67" s="8"/>
    </row>
    <row r="68" spans="1:13" x14ac:dyDescent="0.2">
      <c r="A68" s="6">
        <v>42917</v>
      </c>
      <c r="B68" s="7">
        <v>182961</v>
      </c>
      <c r="C68" s="7">
        <v>241474</v>
      </c>
      <c r="D68" s="7"/>
      <c r="E68" s="7">
        <f t="shared" si="0"/>
        <v>182.96100000000001</v>
      </c>
      <c r="F68" s="7">
        <f t="shared" si="1"/>
        <v>241.47399999999999</v>
      </c>
      <c r="G68" s="7"/>
      <c r="H68" s="18"/>
      <c r="I68" s="47"/>
      <c r="J68" s="6">
        <v>42917</v>
      </c>
      <c r="K68" s="7">
        <v>2071</v>
      </c>
      <c r="L68" s="7">
        <v>2733</v>
      </c>
      <c r="M68" s="8"/>
    </row>
    <row r="69" spans="1:13" x14ac:dyDescent="0.2">
      <c r="A69" s="6">
        <v>42948</v>
      </c>
      <c r="B69" s="7">
        <v>183579</v>
      </c>
      <c r="C69" s="7">
        <v>242128</v>
      </c>
      <c r="D69" s="7"/>
      <c r="E69" s="7">
        <f t="shared" ref="E69:E117" si="11">B69/1000</f>
        <v>183.57900000000001</v>
      </c>
      <c r="F69" s="7">
        <f t="shared" ref="F69:F117" si="12">C69/1000</f>
        <v>242.12799999999999</v>
      </c>
      <c r="G69" s="7"/>
      <c r="H69" s="18"/>
      <c r="I69" s="47"/>
      <c r="J69" s="6">
        <v>42948</v>
      </c>
      <c r="K69" s="7">
        <v>2069</v>
      </c>
      <c r="L69" s="7">
        <v>2729</v>
      </c>
      <c r="M69" s="8"/>
    </row>
    <row r="70" spans="1:13" x14ac:dyDescent="0.2">
      <c r="A70" s="6">
        <v>42979</v>
      </c>
      <c r="B70" s="7">
        <v>185449</v>
      </c>
      <c r="C70" s="7">
        <v>244102</v>
      </c>
      <c r="D70" s="7"/>
      <c r="E70" s="7">
        <f t="shared" si="11"/>
        <v>185.44900000000001</v>
      </c>
      <c r="F70" s="7">
        <f t="shared" si="12"/>
        <v>244.102</v>
      </c>
      <c r="G70" s="7">
        <f t="shared" ref="G70" si="13">SUM(F70,F67,F64)</f>
        <v>723.65</v>
      </c>
      <c r="H70" s="18">
        <f t="shared" ref="H70" si="14">(G70/G58-1)*100</f>
        <v>1.3805064752394181</v>
      </c>
      <c r="I70" s="47"/>
      <c r="J70" s="6">
        <v>42979</v>
      </c>
      <c r="K70" s="7">
        <v>2084</v>
      </c>
      <c r="L70" s="7">
        <v>2743</v>
      </c>
      <c r="M70" s="8">
        <f t="shared" ref="M70" si="15">(L70/L58-1)*100</f>
        <v>1.5549796371714164</v>
      </c>
    </row>
    <row r="71" spans="1:13" x14ac:dyDescent="0.2">
      <c r="A71" s="6">
        <v>43009</v>
      </c>
      <c r="B71" s="7">
        <v>187382</v>
      </c>
      <c r="C71" s="7">
        <v>245987</v>
      </c>
      <c r="D71" s="7"/>
      <c r="E71" s="7">
        <f t="shared" si="11"/>
        <v>187.38200000000001</v>
      </c>
      <c r="F71" s="7">
        <f t="shared" si="12"/>
        <v>245.98699999999999</v>
      </c>
      <c r="G71" s="7"/>
      <c r="H71" s="18"/>
      <c r="I71" s="47"/>
      <c r="J71" s="6">
        <v>43009</v>
      </c>
      <c r="K71" s="7">
        <v>2097</v>
      </c>
      <c r="L71" s="7">
        <v>2753</v>
      </c>
      <c r="M71" s="8"/>
    </row>
    <row r="72" spans="1:13" x14ac:dyDescent="0.2">
      <c r="A72" s="6">
        <v>43040</v>
      </c>
      <c r="B72" s="7">
        <v>189604</v>
      </c>
      <c r="C72" s="7">
        <v>248159</v>
      </c>
      <c r="D72" s="7"/>
      <c r="E72" s="7">
        <f t="shared" si="11"/>
        <v>189.60400000000001</v>
      </c>
      <c r="F72" s="7">
        <f t="shared" si="12"/>
        <v>248.15899999999999</v>
      </c>
      <c r="G72" s="7"/>
      <c r="H72" s="18"/>
      <c r="I72" s="47"/>
      <c r="J72" s="6">
        <v>43040</v>
      </c>
      <c r="K72" s="7">
        <v>2113</v>
      </c>
      <c r="L72" s="7">
        <v>2765</v>
      </c>
      <c r="M72" s="8"/>
    </row>
    <row r="73" spans="1:13" x14ac:dyDescent="0.2">
      <c r="A73" s="6">
        <v>43070</v>
      </c>
      <c r="B73" s="7">
        <v>190910</v>
      </c>
      <c r="C73" s="7">
        <v>248917</v>
      </c>
      <c r="D73" s="7"/>
      <c r="E73" s="7">
        <f t="shared" si="11"/>
        <v>190.91</v>
      </c>
      <c r="F73" s="7">
        <f t="shared" si="12"/>
        <v>248.917</v>
      </c>
      <c r="G73" s="7"/>
      <c r="H73" s="18"/>
      <c r="I73" s="47"/>
      <c r="J73" s="6">
        <v>43070</v>
      </c>
      <c r="K73" s="7">
        <v>2122</v>
      </c>
      <c r="L73" s="7">
        <v>2766</v>
      </c>
      <c r="M73" s="8"/>
    </row>
    <row r="74" spans="1:13" x14ac:dyDescent="0.2">
      <c r="A74" s="6">
        <v>43101</v>
      </c>
      <c r="B74" s="7">
        <v>191452</v>
      </c>
      <c r="C74" s="7">
        <v>248798</v>
      </c>
      <c r="D74" s="7"/>
      <c r="E74" s="7">
        <f t="shared" si="11"/>
        <v>191.452</v>
      </c>
      <c r="F74" s="7">
        <f t="shared" si="12"/>
        <v>248.798</v>
      </c>
      <c r="G74" s="7"/>
      <c r="H74" s="18"/>
      <c r="I74" s="47"/>
      <c r="J74" s="6">
        <v>43101</v>
      </c>
      <c r="K74" s="7">
        <v>2137</v>
      </c>
      <c r="L74" s="7">
        <v>2777</v>
      </c>
      <c r="M74" s="8"/>
    </row>
    <row r="75" spans="1:13" x14ac:dyDescent="0.2">
      <c r="A75" s="6">
        <v>43132</v>
      </c>
      <c r="B75" s="7">
        <v>191729</v>
      </c>
      <c r="C75" s="7">
        <v>248324</v>
      </c>
      <c r="D75" s="7"/>
      <c r="E75" s="7">
        <f t="shared" si="11"/>
        <v>191.72900000000001</v>
      </c>
      <c r="F75" s="7">
        <f t="shared" si="12"/>
        <v>248.32400000000001</v>
      </c>
      <c r="G75" s="7"/>
      <c r="H75" s="18"/>
      <c r="I75" s="47"/>
      <c r="J75" s="6">
        <v>43132</v>
      </c>
      <c r="K75" s="7">
        <v>2152</v>
      </c>
      <c r="L75" s="7">
        <v>2788</v>
      </c>
      <c r="M75" s="8"/>
    </row>
    <row r="76" spans="1:13" x14ac:dyDescent="0.2">
      <c r="A76" s="6">
        <v>43160</v>
      </c>
      <c r="B76" s="7">
        <v>191101</v>
      </c>
      <c r="C76" s="7">
        <v>246949</v>
      </c>
      <c r="D76" s="7"/>
      <c r="E76" s="7">
        <f t="shared" si="11"/>
        <v>191.101</v>
      </c>
      <c r="F76" s="7">
        <f t="shared" si="12"/>
        <v>246.94900000000001</v>
      </c>
      <c r="G76" s="7"/>
      <c r="H76" s="18"/>
      <c r="I76" s="47"/>
      <c r="J76" s="6">
        <v>43160</v>
      </c>
      <c r="K76" s="7">
        <v>2156</v>
      </c>
      <c r="L76" s="7">
        <v>2786</v>
      </c>
      <c r="M76" s="8"/>
    </row>
    <row r="77" spans="1:13" x14ac:dyDescent="0.2">
      <c r="A77" s="6">
        <v>43191</v>
      </c>
      <c r="B77" s="7">
        <v>192527</v>
      </c>
      <c r="C77" s="7">
        <v>248288</v>
      </c>
      <c r="D77" s="7"/>
      <c r="E77" s="7">
        <f t="shared" si="11"/>
        <v>192.52699999999999</v>
      </c>
      <c r="F77" s="7">
        <f t="shared" si="12"/>
        <v>248.28800000000001</v>
      </c>
      <c r="G77" s="7"/>
      <c r="H77" s="18"/>
      <c r="I77" s="47"/>
      <c r="J77" s="6">
        <v>43191</v>
      </c>
      <c r="K77" s="7">
        <v>2167</v>
      </c>
      <c r="L77" s="7">
        <v>2795</v>
      </c>
      <c r="M77" s="8"/>
    </row>
    <row r="78" spans="1:13" x14ac:dyDescent="0.2">
      <c r="A78" s="6">
        <v>43221</v>
      </c>
      <c r="B78" s="7">
        <v>193398</v>
      </c>
      <c r="C78" s="7">
        <v>248820</v>
      </c>
      <c r="D78" s="7"/>
      <c r="E78" s="7">
        <f t="shared" si="11"/>
        <v>193.398</v>
      </c>
      <c r="F78" s="7">
        <f t="shared" si="12"/>
        <v>248.82</v>
      </c>
      <c r="G78" s="7"/>
      <c r="H78" s="18"/>
      <c r="I78" s="47"/>
      <c r="J78" s="6">
        <v>43221</v>
      </c>
      <c r="K78" s="7">
        <v>2173</v>
      </c>
      <c r="L78" s="7">
        <v>2796</v>
      </c>
      <c r="M78" s="8"/>
    </row>
    <row r="79" spans="1:13" x14ac:dyDescent="0.2">
      <c r="A79" s="6">
        <v>43252</v>
      </c>
      <c r="B79" s="7">
        <v>194935</v>
      </c>
      <c r="C79" s="7">
        <v>249247</v>
      </c>
      <c r="D79" s="7"/>
      <c r="E79" s="7">
        <f t="shared" si="11"/>
        <v>194.935</v>
      </c>
      <c r="F79" s="7">
        <f t="shared" si="12"/>
        <v>249.24700000000001</v>
      </c>
      <c r="G79" s="7"/>
      <c r="H79" s="18"/>
      <c r="I79" s="47"/>
      <c r="J79" s="6">
        <v>43252</v>
      </c>
      <c r="K79" s="7">
        <v>2183</v>
      </c>
      <c r="L79" s="7">
        <v>2792</v>
      </c>
      <c r="M79" s="8"/>
    </row>
    <row r="80" spans="1:13" x14ac:dyDescent="0.2">
      <c r="A80" s="6">
        <v>43282</v>
      </c>
      <c r="B80" s="7">
        <v>196501</v>
      </c>
      <c r="C80" s="7">
        <v>249623</v>
      </c>
      <c r="D80" s="7"/>
      <c r="E80" s="7">
        <f t="shared" si="11"/>
        <v>196.501</v>
      </c>
      <c r="F80" s="7">
        <f t="shared" si="12"/>
        <v>249.62299999999999</v>
      </c>
      <c r="G80" s="7"/>
      <c r="H80" s="18"/>
      <c r="I80" s="47"/>
      <c r="J80" s="6">
        <v>43282</v>
      </c>
      <c r="K80" s="7">
        <v>2190</v>
      </c>
      <c r="L80" s="7">
        <v>2782</v>
      </c>
      <c r="M80" s="8"/>
    </row>
    <row r="81" spans="1:13" x14ac:dyDescent="0.2">
      <c r="A81" s="6">
        <v>43313</v>
      </c>
      <c r="B81" s="7">
        <v>199189</v>
      </c>
      <c r="C81" s="7">
        <v>251815</v>
      </c>
      <c r="D81" s="7"/>
      <c r="E81" s="7">
        <f t="shared" si="11"/>
        <v>199.18899999999999</v>
      </c>
      <c r="F81" s="7">
        <f t="shared" si="12"/>
        <v>251.815</v>
      </c>
      <c r="G81" s="7"/>
      <c r="H81" s="18"/>
      <c r="I81" s="47"/>
      <c r="J81" s="6">
        <v>43313</v>
      </c>
      <c r="K81" s="7">
        <v>2209</v>
      </c>
      <c r="L81" s="7">
        <v>2793</v>
      </c>
      <c r="M81" s="8"/>
    </row>
    <row r="82" spans="1:13" x14ac:dyDescent="0.2">
      <c r="A82" s="6">
        <v>43344</v>
      </c>
      <c r="B82" s="7">
        <v>200002</v>
      </c>
      <c r="C82" s="7">
        <v>252247</v>
      </c>
      <c r="D82" s="7"/>
      <c r="E82" s="7">
        <f t="shared" si="11"/>
        <v>200.00200000000001</v>
      </c>
      <c r="F82" s="7">
        <f t="shared" si="12"/>
        <v>252.24700000000001</v>
      </c>
      <c r="G82" s="7">
        <f t="shared" ref="G82" si="16">SUM(F82,F79,F76)</f>
        <v>748.44299999999998</v>
      </c>
      <c r="H82" s="18">
        <f t="shared" ref="H82" si="17">(G82/G70-1)*100</f>
        <v>3.4261037794513838</v>
      </c>
      <c r="I82" s="47"/>
      <c r="J82" s="6">
        <v>43344</v>
      </c>
      <c r="K82" s="7">
        <v>2205</v>
      </c>
      <c r="L82" s="7">
        <v>2782</v>
      </c>
      <c r="M82" s="8">
        <f t="shared" ref="M82" si="18">(L82/L70-1)*100</f>
        <v>1.4218009478673022</v>
      </c>
    </row>
    <row r="83" spans="1:13" x14ac:dyDescent="0.2">
      <c r="A83" s="6">
        <v>43374</v>
      </c>
      <c r="B83" s="7">
        <v>201612</v>
      </c>
      <c r="C83" s="7">
        <v>253560</v>
      </c>
      <c r="D83" s="7"/>
      <c r="E83" s="7">
        <f t="shared" si="11"/>
        <v>201.61199999999999</v>
      </c>
      <c r="F83" s="7">
        <f t="shared" si="12"/>
        <v>253.56</v>
      </c>
      <c r="G83" s="7"/>
      <c r="H83" s="18"/>
      <c r="I83" s="47"/>
      <c r="J83" s="6">
        <v>43374</v>
      </c>
      <c r="K83" s="7">
        <v>2214</v>
      </c>
      <c r="L83" s="7">
        <v>2785</v>
      </c>
      <c r="M83" s="8"/>
    </row>
    <row r="84" spans="1:13" x14ac:dyDescent="0.2">
      <c r="A84" s="6">
        <v>43405</v>
      </c>
      <c r="B84" s="7">
        <v>203047</v>
      </c>
      <c r="C84" s="7">
        <v>254740</v>
      </c>
      <c r="D84" s="7"/>
      <c r="E84" s="7">
        <f t="shared" si="11"/>
        <v>203.047</v>
      </c>
      <c r="F84" s="7">
        <f t="shared" si="12"/>
        <v>254.74</v>
      </c>
      <c r="G84" s="7"/>
      <c r="H84" s="18"/>
      <c r="I84" s="47"/>
      <c r="J84" s="6">
        <v>43405</v>
      </c>
      <c r="K84" s="7">
        <v>2222</v>
      </c>
      <c r="L84" s="7">
        <v>2787</v>
      </c>
      <c r="M84" s="8"/>
    </row>
    <row r="85" spans="1:13" x14ac:dyDescent="0.2">
      <c r="A85" s="6">
        <v>43435</v>
      </c>
      <c r="B85" s="7">
        <v>204463</v>
      </c>
      <c r="C85" s="7">
        <v>256171</v>
      </c>
      <c r="D85" s="7"/>
      <c r="E85" s="7">
        <f t="shared" si="11"/>
        <v>204.46299999999999</v>
      </c>
      <c r="F85" s="7">
        <f t="shared" si="12"/>
        <v>256.17099999999999</v>
      </c>
      <c r="G85" s="7"/>
      <c r="H85" s="18"/>
      <c r="I85" s="47"/>
      <c r="J85" s="6">
        <v>43435</v>
      </c>
      <c r="K85" s="7">
        <v>2238</v>
      </c>
      <c r="L85" s="7">
        <v>2804</v>
      </c>
      <c r="M85" s="8"/>
    </row>
    <row r="86" spans="1:13" x14ac:dyDescent="0.2">
      <c r="A86" s="6">
        <v>43466</v>
      </c>
      <c r="B86" s="7">
        <v>204783</v>
      </c>
      <c r="C86" s="7">
        <v>256372</v>
      </c>
      <c r="D86" s="7"/>
      <c r="E86" s="7">
        <f t="shared" si="11"/>
        <v>204.78299999999999</v>
      </c>
      <c r="F86" s="7">
        <f t="shared" si="12"/>
        <v>256.37200000000001</v>
      </c>
      <c r="G86" s="7"/>
      <c r="H86" s="18"/>
      <c r="I86" s="47"/>
      <c r="J86" s="6">
        <v>43466</v>
      </c>
      <c r="K86" s="7">
        <v>2253</v>
      </c>
      <c r="L86" s="7">
        <v>2821</v>
      </c>
      <c r="M86" s="8"/>
    </row>
    <row r="87" spans="1:13" x14ac:dyDescent="0.2">
      <c r="A87" s="6">
        <v>43497</v>
      </c>
      <c r="B87" s="7">
        <v>205201</v>
      </c>
      <c r="C87" s="7">
        <v>256143</v>
      </c>
      <c r="D87" s="7"/>
      <c r="E87" s="7">
        <f t="shared" si="11"/>
        <v>205.20099999999999</v>
      </c>
      <c r="F87" s="7">
        <f t="shared" si="12"/>
        <v>256.14299999999997</v>
      </c>
      <c r="G87" s="7"/>
      <c r="H87" s="18"/>
      <c r="I87" s="47"/>
      <c r="J87" s="6">
        <v>43497</v>
      </c>
      <c r="K87" s="7">
        <v>2268</v>
      </c>
      <c r="L87" s="7">
        <v>2831</v>
      </c>
      <c r="M87" s="8"/>
    </row>
    <row r="88" spans="1:13" x14ac:dyDescent="0.2">
      <c r="A88" s="6">
        <v>43525</v>
      </c>
      <c r="B88" s="7">
        <v>205231</v>
      </c>
      <c r="C88" s="7">
        <v>254922</v>
      </c>
      <c r="D88" s="7"/>
      <c r="E88" s="7">
        <f t="shared" si="11"/>
        <v>205.23099999999999</v>
      </c>
      <c r="F88" s="7">
        <f t="shared" si="12"/>
        <v>254.922</v>
      </c>
      <c r="G88" s="7"/>
      <c r="H88" s="18"/>
      <c r="I88" s="47"/>
      <c r="J88" s="6">
        <v>43525</v>
      </c>
      <c r="K88" s="7">
        <v>2270</v>
      </c>
      <c r="L88" s="7">
        <v>2819</v>
      </c>
      <c r="M88" s="8"/>
    </row>
    <row r="89" spans="1:13" x14ac:dyDescent="0.2">
      <c r="A89" s="6">
        <v>43556</v>
      </c>
      <c r="B89" s="7">
        <v>206742</v>
      </c>
      <c r="C89" s="7">
        <v>255295</v>
      </c>
      <c r="D89" s="7"/>
      <c r="E89" s="7">
        <f t="shared" si="11"/>
        <v>206.74199999999999</v>
      </c>
      <c r="F89" s="7">
        <f t="shared" si="12"/>
        <v>255.29499999999999</v>
      </c>
      <c r="G89" s="7"/>
      <c r="H89" s="18"/>
      <c r="I89" s="47"/>
      <c r="J89" s="6">
        <v>43556</v>
      </c>
      <c r="K89" s="7">
        <v>2271</v>
      </c>
      <c r="L89" s="7">
        <v>2805</v>
      </c>
      <c r="M89" s="8"/>
    </row>
    <row r="90" spans="1:13" x14ac:dyDescent="0.2">
      <c r="A90" s="6">
        <v>43586</v>
      </c>
      <c r="B90" s="7">
        <v>207426</v>
      </c>
      <c r="C90" s="7">
        <v>254889</v>
      </c>
      <c r="D90" s="7"/>
      <c r="E90" s="7">
        <f t="shared" si="11"/>
        <v>207.42599999999999</v>
      </c>
      <c r="F90" s="7">
        <f t="shared" si="12"/>
        <v>254.88900000000001</v>
      </c>
      <c r="G90" s="7"/>
      <c r="H90" s="18"/>
      <c r="I90" s="47"/>
      <c r="J90" s="6">
        <v>43586</v>
      </c>
      <c r="K90" s="7">
        <v>2266</v>
      </c>
      <c r="L90" s="7">
        <v>2785</v>
      </c>
      <c r="M90" s="8"/>
    </row>
    <row r="91" spans="1:13" x14ac:dyDescent="0.2">
      <c r="A91" s="6">
        <v>43617</v>
      </c>
      <c r="B91" s="7">
        <v>208790</v>
      </c>
      <c r="C91" s="7">
        <v>255951</v>
      </c>
      <c r="D91" s="7"/>
      <c r="E91" s="7">
        <f t="shared" si="11"/>
        <v>208.79</v>
      </c>
      <c r="F91" s="7">
        <f t="shared" si="12"/>
        <v>255.95099999999999</v>
      </c>
      <c r="G91" s="7"/>
      <c r="H91" s="18"/>
      <c r="I91" s="47"/>
      <c r="J91" s="6">
        <v>43617</v>
      </c>
      <c r="K91" s="7">
        <v>2272</v>
      </c>
      <c r="L91" s="7">
        <v>2786</v>
      </c>
      <c r="M91" s="8"/>
    </row>
    <row r="92" spans="1:13" x14ac:dyDescent="0.2">
      <c r="A92" s="6">
        <v>43647</v>
      </c>
      <c r="B92" s="7">
        <v>209016</v>
      </c>
      <c r="C92" s="7">
        <v>255946</v>
      </c>
      <c r="D92" s="7"/>
      <c r="E92" s="7">
        <f t="shared" si="11"/>
        <v>209.01599999999999</v>
      </c>
      <c r="F92" s="7">
        <f t="shared" si="12"/>
        <v>255.946</v>
      </c>
      <c r="G92" s="7"/>
      <c r="H92" s="18"/>
      <c r="I92" s="47"/>
      <c r="J92" s="6">
        <v>43647</v>
      </c>
      <c r="K92" s="7">
        <v>2269</v>
      </c>
      <c r="L92" s="7">
        <v>2779</v>
      </c>
      <c r="M92" s="8"/>
    </row>
    <row r="93" spans="1:13" x14ac:dyDescent="0.2">
      <c r="A93" s="6">
        <v>43678</v>
      </c>
      <c r="B93" s="7">
        <v>210457</v>
      </c>
      <c r="C93" s="7">
        <v>257449</v>
      </c>
      <c r="D93" s="7"/>
      <c r="E93" s="7">
        <f t="shared" si="11"/>
        <v>210.45699999999999</v>
      </c>
      <c r="F93" s="7">
        <f t="shared" si="12"/>
        <v>257.44900000000001</v>
      </c>
      <c r="G93" s="7"/>
      <c r="H93" s="18"/>
      <c r="I93" s="47"/>
      <c r="J93" s="6">
        <v>43678</v>
      </c>
      <c r="K93" s="7">
        <v>2281</v>
      </c>
      <c r="L93" s="7">
        <v>2790</v>
      </c>
      <c r="M93" s="8"/>
    </row>
    <row r="94" spans="1:13" x14ac:dyDescent="0.2">
      <c r="A94" s="6">
        <v>43709</v>
      </c>
      <c r="B94" s="7">
        <v>211263</v>
      </c>
      <c r="C94" s="7">
        <v>258221</v>
      </c>
      <c r="D94" s="7"/>
      <c r="E94" s="7">
        <f t="shared" si="11"/>
        <v>211.26300000000001</v>
      </c>
      <c r="F94" s="7">
        <f t="shared" si="12"/>
        <v>258.221</v>
      </c>
      <c r="G94" s="7">
        <f t="shared" ref="G94" si="19">SUM(F94,F91,F88)</f>
        <v>769.09400000000005</v>
      </c>
      <c r="H94" s="18">
        <f t="shared" ref="H94" si="20">(G94/G82-1)*100</f>
        <v>2.7591947549780116</v>
      </c>
      <c r="I94" s="47"/>
      <c r="J94" s="6">
        <v>43709</v>
      </c>
      <c r="K94" s="7">
        <v>2283</v>
      </c>
      <c r="L94" s="7">
        <v>2790</v>
      </c>
      <c r="M94" s="8">
        <f t="shared" ref="M94" si="21">(L94/L82-1)*100</f>
        <v>0.28756290438534116</v>
      </c>
    </row>
    <row r="95" spans="1:13" x14ac:dyDescent="0.2">
      <c r="A95" s="6">
        <v>43739</v>
      </c>
      <c r="B95" s="7">
        <v>213719</v>
      </c>
      <c r="C95" s="7">
        <v>261073</v>
      </c>
      <c r="D95" s="7"/>
      <c r="E95" s="7">
        <f t="shared" si="11"/>
        <v>213.71899999999999</v>
      </c>
      <c r="F95" s="7">
        <f t="shared" si="12"/>
        <v>261.07299999999998</v>
      </c>
      <c r="G95" s="7"/>
      <c r="H95" s="18"/>
      <c r="I95" s="47"/>
      <c r="J95" s="6">
        <v>43739</v>
      </c>
      <c r="K95" s="7">
        <v>2301</v>
      </c>
      <c r="L95" s="7">
        <v>2811</v>
      </c>
      <c r="M95" s="8"/>
    </row>
    <row r="96" spans="1:13" x14ac:dyDescent="0.2">
      <c r="A96" s="6">
        <v>43770</v>
      </c>
      <c r="B96" s="7">
        <v>216040</v>
      </c>
      <c r="C96" s="13">
        <v>263399</v>
      </c>
      <c r="D96" s="7"/>
      <c r="E96" s="7">
        <f t="shared" si="11"/>
        <v>216.04</v>
      </c>
      <c r="F96" s="7">
        <f t="shared" si="12"/>
        <v>263.399</v>
      </c>
      <c r="G96" s="7"/>
      <c r="H96" s="18"/>
      <c r="I96" s="47"/>
      <c r="J96" s="6">
        <v>43770</v>
      </c>
      <c r="K96" s="7">
        <v>2316</v>
      </c>
      <c r="L96" s="7">
        <v>2824</v>
      </c>
      <c r="M96" s="8"/>
    </row>
    <row r="97" spans="1:13" x14ac:dyDescent="0.2">
      <c r="A97" s="6">
        <v>43800</v>
      </c>
      <c r="B97" s="7">
        <v>216981</v>
      </c>
      <c r="C97" s="7">
        <v>262975</v>
      </c>
      <c r="D97" s="7"/>
      <c r="E97" s="7">
        <f t="shared" si="11"/>
        <v>216.98099999999999</v>
      </c>
      <c r="F97" s="7">
        <f t="shared" si="12"/>
        <v>262.97500000000002</v>
      </c>
      <c r="G97" s="7"/>
      <c r="H97" s="18"/>
      <c r="I97" s="47"/>
      <c r="J97" s="6">
        <v>43800</v>
      </c>
      <c r="K97" s="7">
        <v>2323</v>
      </c>
      <c r="L97" s="7">
        <v>2815</v>
      </c>
      <c r="M97" s="8"/>
    </row>
    <row r="98" spans="1:13" x14ac:dyDescent="0.2">
      <c r="A98" s="6">
        <v>43831</v>
      </c>
      <c r="B98" s="7">
        <v>218066</v>
      </c>
      <c r="C98" s="7">
        <v>262633</v>
      </c>
      <c r="D98" s="7"/>
      <c r="E98" s="7">
        <f t="shared" si="11"/>
        <v>218.066</v>
      </c>
      <c r="F98" s="7">
        <f t="shared" si="12"/>
        <v>262.63299999999998</v>
      </c>
      <c r="G98" s="7"/>
      <c r="H98" s="18"/>
      <c r="I98" s="47"/>
      <c r="J98" s="6">
        <v>43831</v>
      </c>
      <c r="K98" s="7">
        <v>2342</v>
      </c>
      <c r="L98" s="7">
        <v>2821</v>
      </c>
      <c r="M98" s="8"/>
    </row>
    <row r="99" spans="1:13" x14ac:dyDescent="0.2">
      <c r="A99" s="6">
        <v>43862</v>
      </c>
      <c r="B99" s="7">
        <v>218402</v>
      </c>
      <c r="C99" s="7">
        <v>261637</v>
      </c>
      <c r="D99" s="7"/>
      <c r="E99" s="7">
        <f t="shared" si="11"/>
        <v>218.40199999999999</v>
      </c>
      <c r="F99" s="7">
        <f t="shared" si="12"/>
        <v>261.637</v>
      </c>
      <c r="G99" s="7"/>
      <c r="H99" s="18"/>
      <c r="I99" s="47"/>
      <c r="J99" s="6">
        <v>43862</v>
      </c>
      <c r="K99" s="7">
        <v>2357</v>
      </c>
      <c r="L99" s="7">
        <v>2824</v>
      </c>
      <c r="M99" s="8"/>
    </row>
    <row r="100" spans="1:13" x14ac:dyDescent="0.2">
      <c r="A100" s="6">
        <v>43891</v>
      </c>
      <c r="B100" s="7">
        <v>216999</v>
      </c>
      <c r="C100" s="7">
        <v>259501</v>
      </c>
      <c r="D100" s="7"/>
      <c r="E100" s="7">
        <f t="shared" si="11"/>
        <v>216.999</v>
      </c>
      <c r="F100" s="7">
        <f t="shared" si="12"/>
        <v>259.50099999999998</v>
      </c>
      <c r="G100" s="7"/>
      <c r="H100" s="18"/>
      <c r="I100" s="47"/>
      <c r="J100" s="6">
        <v>43891</v>
      </c>
      <c r="K100" s="7">
        <v>2381</v>
      </c>
      <c r="L100" s="7">
        <v>2847</v>
      </c>
      <c r="M100" s="8"/>
    </row>
    <row r="101" spans="1:13" x14ac:dyDescent="0.2">
      <c r="A101" s="6">
        <v>43922</v>
      </c>
      <c r="B101" s="7">
        <v>212275</v>
      </c>
      <c r="C101" s="7">
        <v>253852</v>
      </c>
      <c r="D101" s="7"/>
      <c r="E101" s="7">
        <f t="shared" si="11"/>
        <v>212.27500000000001</v>
      </c>
      <c r="F101" s="7">
        <f t="shared" si="12"/>
        <v>253.852</v>
      </c>
      <c r="G101" s="7"/>
      <c r="H101" s="18"/>
      <c r="I101" s="47"/>
      <c r="J101" s="6">
        <v>43922</v>
      </c>
      <c r="K101" s="7">
        <v>2407</v>
      </c>
      <c r="L101" s="7">
        <v>2878</v>
      </c>
      <c r="M101" s="8"/>
    </row>
    <row r="102" spans="1:13" x14ac:dyDescent="0.2">
      <c r="A102" s="6">
        <v>43952</v>
      </c>
      <c r="B102" s="7">
        <v>207076</v>
      </c>
      <c r="C102" s="7">
        <v>248152</v>
      </c>
      <c r="D102" s="7"/>
      <c r="E102" s="7">
        <f t="shared" si="11"/>
        <v>207.07599999999999</v>
      </c>
      <c r="F102" s="7">
        <f t="shared" si="12"/>
        <v>248.15199999999999</v>
      </c>
      <c r="G102" s="7"/>
      <c r="H102" s="18"/>
      <c r="I102" s="47"/>
      <c r="J102" s="6">
        <v>43952</v>
      </c>
      <c r="K102" s="7">
        <v>2442</v>
      </c>
      <c r="L102" s="7">
        <v>2926</v>
      </c>
      <c r="M102" s="8"/>
    </row>
    <row r="103" spans="1:13" x14ac:dyDescent="0.2">
      <c r="A103" s="6">
        <v>43983</v>
      </c>
      <c r="B103" s="7">
        <v>203421</v>
      </c>
      <c r="C103" s="7">
        <v>244118</v>
      </c>
      <c r="D103" s="7"/>
      <c r="E103" s="7">
        <f t="shared" si="11"/>
        <v>203.42099999999999</v>
      </c>
      <c r="F103" s="7">
        <f t="shared" si="12"/>
        <v>244.11799999999999</v>
      </c>
      <c r="G103" s="7"/>
      <c r="H103" s="18"/>
      <c r="I103" s="47"/>
      <c r="J103" s="6">
        <v>43983</v>
      </c>
      <c r="K103" s="7">
        <v>2476</v>
      </c>
      <c r="L103" s="7">
        <v>2971</v>
      </c>
      <c r="M103" s="8"/>
    </row>
    <row r="104" spans="1:13" x14ac:dyDescent="0.2">
      <c r="A104" s="6">
        <v>44013</v>
      </c>
      <c r="B104" s="7">
        <v>202627</v>
      </c>
      <c r="C104" s="7">
        <v>242964</v>
      </c>
      <c r="D104" s="7"/>
      <c r="E104" s="7">
        <f t="shared" si="11"/>
        <v>202.62700000000001</v>
      </c>
      <c r="F104" s="7">
        <f t="shared" si="12"/>
        <v>242.964</v>
      </c>
      <c r="G104" s="7"/>
      <c r="H104" s="18"/>
      <c r="I104" s="47"/>
      <c r="J104" s="6">
        <v>44013</v>
      </c>
      <c r="K104" s="7">
        <v>2507</v>
      </c>
      <c r="L104" s="7">
        <v>3006</v>
      </c>
      <c r="M104" s="8"/>
    </row>
    <row r="105" spans="1:13" x14ac:dyDescent="0.2">
      <c r="A105" s="6">
        <v>44044</v>
      </c>
      <c r="B105" s="7">
        <v>202411</v>
      </c>
      <c r="C105" s="7">
        <v>242010</v>
      </c>
      <c r="D105" s="7"/>
      <c r="E105" s="7">
        <f t="shared" si="11"/>
        <v>202.411</v>
      </c>
      <c r="F105" s="7">
        <f t="shared" si="12"/>
        <v>242.01</v>
      </c>
      <c r="G105" s="7"/>
      <c r="H105" s="18"/>
      <c r="I105" s="47"/>
      <c r="J105" s="6">
        <v>44044</v>
      </c>
      <c r="K105" s="7">
        <v>2511</v>
      </c>
      <c r="L105" s="7">
        <v>3002</v>
      </c>
      <c r="M105" s="8"/>
    </row>
    <row r="106" spans="1:13" x14ac:dyDescent="0.2">
      <c r="A106" s="6">
        <v>44075</v>
      </c>
      <c r="B106" s="7">
        <v>205410</v>
      </c>
      <c r="C106" s="7">
        <v>244583</v>
      </c>
      <c r="D106" s="7"/>
      <c r="E106" s="7">
        <f t="shared" si="11"/>
        <v>205.41</v>
      </c>
      <c r="F106" s="7">
        <f t="shared" si="12"/>
        <v>244.583</v>
      </c>
      <c r="G106" s="7">
        <f>SUM(F106,F103,F100)</f>
        <v>748.202</v>
      </c>
      <c r="H106" s="18">
        <f>(G106/G94-1)*100</f>
        <v>-2.7164429835624837</v>
      </c>
      <c r="I106" s="48"/>
      <c r="J106" s="6">
        <v>44075</v>
      </c>
      <c r="K106" s="7">
        <v>2523</v>
      </c>
      <c r="L106" s="7">
        <v>3004</v>
      </c>
      <c r="M106" s="8">
        <f>(L106/L94-1)*100</f>
        <v>7.6702508960573512</v>
      </c>
    </row>
    <row r="107" spans="1:13" x14ac:dyDescent="0.2">
      <c r="A107" s="6">
        <v>44105</v>
      </c>
      <c r="B107" s="7">
        <v>208147</v>
      </c>
      <c r="C107" s="7">
        <v>246409</v>
      </c>
      <c r="D107" s="7"/>
      <c r="E107" s="7">
        <f t="shared" si="11"/>
        <v>208.14699999999999</v>
      </c>
      <c r="F107" s="7">
        <f t="shared" si="12"/>
        <v>246.40899999999999</v>
      </c>
      <c r="G107" s="7"/>
      <c r="H107" s="18"/>
      <c r="I107" s="47"/>
      <c r="J107" s="6">
        <v>44105</v>
      </c>
      <c r="K107" s="7">
        <v>2500</v>
      </c>
      <c r="L107" s="7">
        <v>2960</v>
      </c>
      <c r="M107" s="8"/>
    </row>
    <row r="108" spans="1:13" x14ac:dyDescent="0.2">
      <c r="A108" s="6">
        <v>44136</v>
      </c>
      <c r="B108" s="7">
        <v>210777</v>
      </c>
      <c r="C108" s="7">
        <v>247541</v>
      </c>
      <c r="D108" s="7"/>
      <c r="E108" s="7">
        <f t="shared" si="11"/>
        <v>210.77699999999999</v>
      </c>
      <c r="F108" s="7">
        <f t="shared" si="12"/>
        <v>247.541</v>
      </c>
      <c r="G108" s="7"/>
      <c r="H108" s="18"/>
      <c r="I108" s="47"/>
      <c r="J108" s="6">
        <v>44136</v>
      </c>
      <c r="K108" s="7">
        <v>2494</v>
      </c>
      <c r="L108" s="7">
        <v>2929</v>
      </c>
      <c r="M108" s="8"/>
    </row>
    <row r="109" spans="1:13" x14ac:dyDescent="0.2">
      <c r="A109" s="6">
        <v>44166</v>
      </c>
      <c r="B109" s="7">
        <v>211395</v>
      </c>
      <c r="C109" s="7">
        <v>245734</v>
      </c>
      <c r="D109" s="7"/>
      <c r="E109" s="7">
        <f t="shared" si="11"/>
        <v>211.39500000000001</v>
      </c>
      <c r="F109" s="7">
        <f t="shared" si="12"/>
        <v>245.73400000000001</v>
      </c>
      <c r="G109" s="7"/>
      <c r="H109" s="18"/>
      <c r="I109" s="47"/>
      <c r="J109" s="6">
        <v>44166</v>
      </c>
      <c r="K109" s="7">
        <v>2482</v>
      </c>
      <c r="L109" s="7">
        <v>2885</v>
      </c>
      <c r="M109" s="8"/>
    </row>
    <row r="110" spans="1:13" x14ac:dyDescent="0.2">
      <c r="A110" s="6">
        <v>44197</v>
      </c>
      <c r="B110" s="7">
        <v>212561</v>
      </c>
      <c r="C110" s="7">
        <v>245049</v>
      </c>
      <c r="D110" s="7"/>
      <c r="E110" s="7">
        <f t="shared" si="11"/>
        <v>212.56100000000001</v>
      </c>
      <c r="F110" s="7">
        <f t="shared" si="12"/>
        <v>245.04900000000001</v>
      </c>
      <c r="G110" s="7"/>
      <c r="H110" s="18"/>
      <c r="I110" s="47"/>
      <c r="J110" s="6">
        <v>44197</v>
      </c>
      <c r="K110" s="7">
        <v>2496</v>
      </c>
      <c r="L110" s="7">
        <v>2878</v>
      </c>
      <c r="M110" s="8"/>
    </row>
    <row r="111" spans="1:13" x14ac:dyDescent="0.2">
      <c r="A111" s="6">
        <v>44228</v>
      </c>
      <c r="B111" s="7">
        <v>212714</v>
      </c>
      <c r="C111" s="7">
        <v>243228</v>
      </c>
      <c r="D111" s="7"/>
      <c r="E111" s="7">
        <f t="shared" si="11"/>
        <v>212.714</v>
      </c>
      <c r="F111" s="7">
        <f t="shared" si="12"/>
        <v>243.22800000000001</v>
      </c>
      <c r="G111" s="7"/>
      <c r="H111" s="18"/>
      <c r="I111" s="47"/>
      <c r="J111" s="6">
        <v>44228</v>
      </c>
      <c r="K111" s="7">
        <v>2495</v>
      </c>
      <c r="L111" s="7">
        <v>2852</v>
      </c>
      <c r="M111" s="8"/>
    </row>
    <row r="112" spans="1:13" x14ac:dyDescent="0.2">
      <c r="A112" s="6">
        <v>44256</v>
      </c>
      <c r="B112" s="7">
        <v>214284</v>
      </c>
      <c r="C112" s="7">
        <v>243364</v>
      </c>
      <c r="D112" s="7"/>
      <c r="E112" s="7">
        <f t="shared" si="11"/>
        <v>214.28399999999999</v>
      </c>
      <c r="F112" s="7">
        <f t="shared" si="12"/>
        <v>243.364</v>
      </c>
      <c r="G112" s="7"/>
      <c r="H112" s="18"/>
      <c r="I112" s="47"/>
      <c r="J112" s="6">
        <v>44256</v>
      </c>
      <c r="K112" s="7">
        <v>2519</v>
      </c>
      <c r="L112" s="7">
        <v>2861</v>
      </c>
      <c r="M112" s="8"/>
    </row>
    <row r="113" spans="1:17" x14ac:dyDescent="0.2">
      <c r="A113" s="6">
        <v>44287</v>
      </c>
      <c r="B113" s="7">
        <v>214284</v>
      </c>
      <c r="C113" s="7">
        <v>241663</v>
      </c>
      <c r="D113" s="7"/>
      <c r="E113" s="7">
        <f t="shared" si="11"/>
        <v>214.28399999999999</v>
      </c>
      <c r="F113" s="7">
        <f t="shared" si="12"/>
        <v>241.66300000000001</v>
      </c>
      <c r="G113" s="7"/>
      <c r="H113" s="18"/>
      <c r="I113" s="47"/>
      <c r="J113" s="6">
        <v>44287</v>
      </c>
      <c r="K113" s="7">
        <v>2507</v>
      </c>
      <c r="L113" s="7">
        <v>2827</v>
      </c>
      <c r="M113" s="8"/>
    </row>
    <row r="114" spans="1:17" x14ac:dyDescent="0.2">
      <c r="A114" s="6">
        <v>44317</v>
      </c>
      <c r="B114" s="7">
        <v>217218</v>
      </c>
      <c r="C114" s="7">
        <v>243290</v>
      </c>
      <c r="D114" s="7"/>
      <c r="E114" s="7">
        <f t="shared" si="11"/>
        <v>217.21799999999999</v>
      </c>
      <c r="F114" s="7">
        <f t="shared" si="12"/>
        <v>243.29</v>
      </c>
      <c r="G114" s="7"/>
      <c r="H114" s="18"/>
      <c r="I114" s="47"/>
      <c r="J114" s="6">
        <v>44317</v>
      </c>
      <c r="K114" s="7">
        <v>2522</v>
      </c>
      <c r="L114" s="7">
        <v>2825</v>
      </c>
      <c r="M114" s="8"/>
    </row>
    <row r="115" spans="1:17" x14ac:dyDescent="0.2">
      <c r="A115" s="6">
        <v>44348</v>
      </c>
      <c r="B115" s="7">
        <v>218136</v>
      </c>
      <c r="C115" s="7">
        <v>242949</v>
      </c>
      <c r="D115" s="7"/>
      <c r="E115" s="7">
        <f t="shared" si="11"/>
        <v>218.136</v>
      </c>
      <c r="F115" s="7">
        <f t="shared" si="12"/>
        <v>242.94900000000001</v>
      </c>
      <c r="G115" s="7"/>
      <c r="H115" s="18"/>
      <c r="I115" s="47"/>
      <c r="J115" s="6">
        <v>44348</v>
      </c>
      <c r="K115" s="7">
        <v>2498</v>
      </c>
      <c r="L115" s="7">
        <v>2782</v>
      </c>
      <c r="M115" s="8"/>
    </row>
    <row r="116" spans="1:17" x14ac:dyDescent="0.2">
      <c r="A116" s="6">
        <v>44378</v>
      </c>
      <c r="B116" s="7">
        <v>221028</v>
      </c>
      <c r="C116" s="7">
        <v>244277</v>
      </c>
      <c r="D116" s="7"/>
      <c r="E116" s="7">
        <f t="shared" si="11"/>
        <v>221.02799999999999</v>
      </c>
      <c r="F116" s="7">
        <f t="shared" si="12"/>
        <v>244.27699999999999</v>
      </c>
      <c r="G116" s="7"/>
      <c r="H116" s="18"/>
      <c r="I116" s="47"/>
      <c r="J116" s="6">
        <v>44378</v>
      </c>
      <c r="K116" s="7">
        <v>2494</v>
      </c>
      <c r="L116" s="7">
        <v>2756</v>
      </c>
      <c r="M116" s="8"/>
    </row>
    <row r="117" spans="1:17" x14ac:dyDescent="0.2">
      <c r="A117" s="6">
        <v>44409</v>
      </c>
      <c r="B117" s="7">
        <v>222212</v>
      </c>
      <c r="C117" s="7">
        <v>243665</v>
      </c>
      <c r="D117" s="7"/>
      <c r="E117" s="7">
        <f t="shared" si="11"/>
        <v>222.21199999999999</v>
      </c>
      <c r="F117" s="7">
        <f t="shared" si="12"/>
        <v>243.66499999999999</v>
      </c>
      <c r="G117" s="7"/>
      <c r="H117" s="18"/>
      <c r="I117" s="48"/>
      <c r="J117" s="6">
        <v>44409</v>
      </c>
      <c r="K117" s="7">
        <v>2478</v>
      </c>
      <c r="L117" s="7">
        <v>2718</v>
      </c>
      <c r="M117" s="8"/>
    </row>
    <row r="118" spans="1:17" x14ac:dyDescent="0.2">
      <c r="A118" s="6">
        <v>44440</v>
      </c>
      <c r="B118" s="7">
        <v>223549</v>
      </c>
      <c r="C118" s="7">
        <v>242686</v>
      </c>
      <c r="D118" s="7"/>
      <c r="E118" s="7">
        <f t="shared" ref="E118" si="22">B118/1000</f>
        <v>223.54900000000001</v>
      </c>
      <c r="F118" s="7">
        <f t="shared" ref="F118" si="23">C118/1000</f>
        <v>242.68600000000001</v>
      </c>
      <c r="G118" s="7">
        <f>SUM(F118,F115,F112)</f>
        <v>728.99900000000002</v>
      </c>
      <c r="H118" s="18">
        <f>(G118/G106-1)*100</f>
        <v>-2.5665528827776396</v>
      </c>
      <c r="I118" s="48"/>
      <c r="J118" s="6">
        <v>44440</v>
      </c>
      <c r="K118" s="7">
        <v>2459</v>
      </c>
      <c r="L118" s="7">
        <v>2670</v>
      </c>
      <c r="M118" s="8">
        <f>(L118/L106-1)*100</f>
        <v>-11.118508655126503</v>
      </c>
      <c r="O118" s="9"/>
      <c r="Q118" s="9"/>
    </row>
    <row r="119" spans="1:17" x14ac:dyDescent="0.2">
      <c r="A119" s="6">
        <v>44470</v>
      </c>
      <c r="B119" s="7">
        <v>225047</v>
      </c>
      <c r="C119" s="7">
        <v>241669</v>
      </c>
      <c r="D119" s="7"/>
      <c r="E119" s="7">
        <f t="shared" ref="E119:E130" si="24">B119/1000</f>
        <v>225.047</v>
      </c>
      <c r="F119" s="7">
        <f t="shared" ref="F119:F130" si="25">C119/1000</f>
        <v>241.66900000000001</v>
      </c>
      <c r="G119" s="7"/>
      <c r="H119" s="18"/>
      <c r="I119" s="48"/>
      <c r="J119" s="6">
        <v>44470</v>
      </c>
      <c r="K119" s="7">
        <v>2449</v>
      </c>
      <c r="L119" s="7">
        <v>2630</v>
      </c>
      <c r="M119" s="8"/>
      <c r="O119" s="9"/>
      <c r="Q119" s="9"/>
    </row>
    <row r="120" spans="1:17" x14ac:dyDescent="0.2">
      <c r="A120" s="6">
        <v>44501</v>
      </c>
      <c r="B120" s="7">
        <v>227032</v>
      </c>
      <c r="C120" s="7">
        <v>241130</v>
      </c>
      <c r="D120" s="7"/>
      <c r="E120" s="7">
        <f t="shared" si="24"/>
        <v>227.03200000000001</v>
      </c>
      <c r="F120" s="13">
        <f t="shared" si="25"/>
        <v>241.13</v>
      </c>
      <c r="G120" s="7"/>
      <c r="H120" s="18"/>
      <c r="I120" s="48"/>
      <c r="J120" s="6">
        <v>44501</v>
      </c>
      <c r="K120" s="7">
        <v>2444</v>
      </c>
      <c r="L120" s="7">
        <v>2596</v>
      </c>
      <c r="M120" s="8"/>
      <c r="O120" s="9"/>
      <c r="Q120" s="9"/>
    </row>
    <row r="121" spans="1:17" x14ac:dyDescent="0.2">
      <c r="A121" s="6">
        <v>44531</v>
      </c>
      <c r="B121" s="7">
        <v>229394</v>
      </c>
      <c r="C121" s="7">
        <v>241310</v>
      </c>
      <c r="D121" s="7"/>
      <c r="E121" s="7">
        <f t="shared" si="24"/>
        <v>229.39400000000001</v>
      </c>
      <c r="F121" s="7">
        <f t="shared" si="25"/>
        <v>241.31</v>
      </c>
      <c r="G121" s="7"/>
      <c r="H121" s="18"/>
      <c r="I121" s="48"/>
      <c r="J121" s="6">
        <v>44531</v>
      </c>
      <c r="K121" s="7">
        <v>2447</v>
      </c>
      <c r="L121" s="7">
        <v>2574</v>
      </c>
      <c r="M121" s="8"/>
      <c r="O121" s="9"/>
      <c r="Q121" s="9"/>
    </row>
    <row r="122" spans="1:17" x14ac:dyDescent="0.2">
      <c r="A122" s="6">
        <v>44562</v>
      </c>
      <c r="B122" s="7">
        <v>232594</v>
      </c>
      <c r="C122" s="7">
        <v>242900</v>
      </c>
      <c r="D122" s="7"/>
      <c r="E122" s="7">
        <f t="shared" si="24"/>
        <v>232.59399999999999</v>
      </c>
      <c r="F122" s="7">
        <f t="shared" si="25"/>
        <v>242.9</v>
      </c>
      <c r="G122" s="7"/>
      <c r="H122" s="18"/>
      <c r="I122" s="48"/>
      <c r="J122" s="6">
        <v>44562</v>
      </c>
      <c r="K122" s="7">
        <v>2489</v>
      </c>
      <c r="L122" s="7">
        <v>2600</v>
      </c>
      <c r="M122" s="8"/>
      <c r="O122" s="9"/>
      <c r="Q122" s="9"/>
    </row>
    <row r="123" spans="1:17" x14ac:dyDescent="0.2">
      <c r="A123" s="6">
        <v>44593</v>
      </c>
      <c r="B123" s="7">
        <v>234104</v>
      </c>
      <c r="C123" s="7">
        <v>242635</v>
      </c>
      <c r="D123" s="7"/>
      <c r="E123" s="7">
        <f t="shared" si="24"/>
        <v>234.10400000000001</v>
      </c>
      <c r="F123" s="7">
        <f t="shared" si="25"/>
        <v>242.63499999999999</v>
      </c>
      <c r="G123" s="7"/>
      <c r="H123" s="18"/>
      <c r="I123" s="48"/>
      <c r="J123" s="6">
        <v>44593</v>
      </c>
      <c r="K123" s="7">
        <v>2511</v>
      </c>
      <c r="L123" s="7">
        <v>2603</v>
      </c>
      <c r="M123" s="8"/>
      <c r="O123" s="9"/>
      <c r="Q123" s="9"/>
    </row>
    <row r="124" spans="1:17" x14ac:dyDescent="0.2">
      <c r="A124" s="6">
        <v>44621</v>
      </c>
      <c r="B124" s="7">
        <v>237673</v>
      </c>
      <c r="C124" s="7">
        <v>243750</v>
      </c>
      <c r="D124" s="7"/>
      <c r="E124" s="7">
        <f t="shared" si="24"/>
        <v>237.673</v>
      </c>
      <c r="F124" s="7">
        <f t="shared" si="25"/>
        <v>243.75</v>
      </c>
      <c r="G124" s="7"/>
      <c r="H124" s="18"/>
      <c r="I124" s="48"/>
      <c r="J124" s="6">
        <v>44621</v>
      </c>
      <c r="K124" s="7">
        <v>2548</v>
      </c>
      <c r="L124" s="7">
        <v>2613</v>
      </c>
      <c r="M124" s="8"/>
      <c r="O124" s="9"/>
      <c r="Q124" s="9"/>
    </row>
    <row r="125" spans="1:17" x14ac:dyDescent="0.2">
      <c r="A125" s="6">
        <v>44652</v>
      </c>
      <c r="B125" s="7">
        <v>242948</v>
      </c>
      <c r="C125" s="7">
        <v>246130</v>
      </c>
      <c r="D125" s="7"/>
      <c r="E125" s="7">
        <f t="shared" si="24"/>
        <v>242.94800000000001</v>
      </c>
      <c r="F125" s="7">
        <f t="shared" si="25"/>
        <v>246.13</v>
      </c>
      <c r="G125" s="7"/>
      <c r="H125" s="18"/>
      <c r="I125" s="48"/>
      <c r="J125" s="6">
        <v>44652</v>
      </c>
      <c r="K125" s="7">
        <v>2569</v>
      </c>
      <c r="L125" s="7">
        <v>2603</v>
      </c>
      <c r="M125" s="8"/>
      <c r="O125" s="9"/>
      <c r="Q125" s="9"/>
    </row>
    <row r="126" spans="1:17" x14ac:dyDescent="0.2">
      <c r="A126" s="6">
        <v>44682</v>
      </c>
      <c r="B126" s="7">
        <v>249849</v>
      </c>
      <c r="C126" s="7">
        <v>250505</v>
      </c>
      <c r="D126" s="7"/>
      <c r="E126" s="7">
        <f t="shared" si="24"/>
        <v>249.84899999999999</v>
      </c>
      <c r="F126" s="7">
        <f t="shared" si="25"/>
        <v>250.505</v>
      </c>
      <c r="G126" s="7"/>
      <c r="H126" s="18"/>
      <c r="I126" s="48"/>
      <c r="J126" s="6">
        <v>44682</v>
      </c>
      <c r="K126" s="7">
        <v>2613</v>
      </c>
      <c r="L126" s="7">
        <v>2620</v>
      </c>
      <c r="M126" s="8"/>
      <c r="O126" s="9"/>
      <c r="Q126" s="9"/>
    </row>
    <row r="127" spans="1:17" x14ac:dyDescent="0.2">
      <c r="A127" s="6">
        <v>44713</v>
      </c>
      <c r="B127" s="7">
        <v>255707</v>
      </c>
      <c r="C127" s="7">
        <v>254537</v>
      </c>
      <c r="D127" s="7"/>
      <c r="E127" s="7">
        <f t="shared" si="24"/>
        <v>255.70699999999999</v>
      </c>
      <c r="F127" s="7">
        <f t="shared" si="25"/>
        <v>254.53700000000001</v>
      </c>
      <c r="G127" s="7"/>
      <c r="H127" s="18"/>
      <c r="I127" s="48"/>
      <c r="J127" s="6">
        <v>44713</v>
      </c>
      <c r="K127" s="7">
        <v>2652</v>
      </c>
      <c r="L127" s="7">
        <v>2640</v>
      </c>
      <c r="M127" s="8"/>
      <c r="O127" s="9"/>
      <c r="Q127" s="9"/>
    </row>
    <row r="128" spans="1:17" x14ac:dyDescent="0.2">
      <c r="A128" s="6">
        <v>44743</v>
      </c>
      <c r="B128" s="7">
        <v>260699</v>
      </c>
      <c r="C128" s="7">
        <v>259158</v>
      </c>
      <c r="D128" s="7"/>
      <c r="E128" s="7">
        <f t="shared" si="24"/>
        <v>260.69900000000001</v>
      </c>
      <c r="F128" s="7">
        <f t="shared" si="25"/>
        <v>259.15800000000002</v>
      </c>
      <c r="G128" s="7"/>
      <c r="H128" s="18"/>
      <c r="I128" s="48"/>
      <c r="J128" s="6">
        <v>44743</v>
      </c>
      <c r="K128" s="7">
        <v>2693</v>
      </c>
      <c r="L128" s="7">
        <v>2677</v>
      </c>
      <c r="M128" s="8"/>
      <c r="O128" s="9"/>
      <c r="Q128" s="9"/>
    </row>
    <row r="129" spans="1:17" x14ac:dyDescent="0.2">
      <c r="A129" s="6">
        <v>44774</v>
      </c>
      <c r="B129" s="7">
        <v>263549</v>
      </c>
      <c r="C129" s="7">
        <v>262350</v>
      </c>
      <c r="D129" s="7"/>
      <c r="E129" s="7">
        <f t="shared" si="24"/>
        <v>263.54899999999998</v>
      </c>
      <c r="F129" s="7">
        <f t="shared" si="25"/>
        <v>262.35000000000002</v>
      </c>
      <c r="G129" s="7"/>
      <c r="H129" s="18"/>
      <c r="I129" s="48"/>
      <c r="J129" s="6">
        <v>44774</v>
      </c>
      <c r="K129" s="7">
        <v>2713</v>
      </c>
      <c r="L129" s="7">
        <v>2700</v>
      </c>
      <c r="M129" s="8"/>
      <c r="O129" s="9"/>
      <c r="Q129" s="9"/>
    </row>
    <row r="130" spans="1:17" x14ac:dyDescent="0.2">
      <c r="A130" s="6">
        <v>44805</v>
      </c>
      <c r="B130" s="7">
        <v>266731</v>
      </c>
      <c r="C130" s="7">
        <v>266731</v>
      </c>
      <c r="D130" s="7"/>
      <c r="E130" s="7">
        <f t="shared" si="24"/>
        <v>266.73099999999999</v>
      </c>
      <c r="F130" s="7">
        <f t="shared" si="25"/>
        <v>266.73099999999999</v>
      </c>
      <c r="G130" s="7">
        <f>SUM(F130,F127,F124)</f>
        <v>765.01800000000003</v>
      </c>
      <c r="H130" s="18">
        <f>(G130/G118-1)*100</f>
        <v>4.9408846925715899</v>
      </c>
      <c r="I130" s="48"/>
      <c r="J130" s="6">
        <v>44805</v>
      </c>
      <c r="K130" s="7">
        <v>2737</v>
      </c>
      <c r="L130" s="7">
        <v>2737</v>
      </c>
      <c r="M130" s="8">
        <f>(L130/L118-1)*100</f>
        <v>2.5093632958801404</v>
      </c>
      <c r="O130" s="9">
        <f>L130/L97-1</f>
        <v>-2.7708703374777932E-2</v>
      </c>
      <c r="P130" s="9">
        <f>L130/L121-1</f>
        <v>6.3325563325563383E-2</v>
      </c>
      <c r="Q130" s="9"/>
    </row>
    <row r="132" spans="1:17" x14ac:dyDescent="0.2">
      <c r="B132" s="7"/>
      <c r="C132" s="7"/>
      <c r="G132" s="18">
        <f>F130-F96</f>
        <v>3.3319999999999936</v>
      </c>
      <c r="H132" s="9">
        <f>F130/F96-1</f>
        <v>1.2650010060782257E-2</v>
      </c>
      <c r="O132" s="12"/>
    </row>
    <row r="133" spans="1:17" ht="15" x14ac:dyDescent="0.25">
      <c r="C133" s="7"/>
      <c r="E133" s="4" t="s">
        <v>6</v>
      </c>
      <c r="F133" s="4"/>
      <c r="G133" s="18">
        <f>F130-F120</f>
        <v>25.600999999999999</v>
      </c>
      <c r="H133" s="9">
        <f>F130/F120-1</f>
        <v>0.10617094513333059</v>
      </c>
      <c r="K133" s="4" t="s">
        <v>7</v>
      </c>
      <c r="L133" s="4"/>
    </row>
    <row r="134" spans="1:17" ht="15" x14ac:dyDescent="0.25">
      <c r="C134" s="7"/>
      <c r="E134" s="14"/>
      <c r="F134" s="14" t="s">
        <v>8</v>
      </c>
      <c r="G134" s="14"/>
      <c r="K134" s="14"/>
      <c r="L134" s="14" t="s">
        <v>8</v>
      </c>
    </row>
    <row r="135" spans="1:17" ht="15" x14ac:dyDescent="0.25">
      <c r="C135" s="12"/>
      <c r="E135" s="14">
        <v>2013</v>
      </c>
      <c r="F135" s="16">
        <f>H22</f>
        <v>4.4706354293388317</v>
      </c>
      <c r="G135" s="15"/>
      <c r="K135" s="14">
        <v>2013</v>
      </c>
      <c r="L135" s="16">
        <f>M22</f>
        <v>3.628881406659179</v>
      </c>
    </row>
    <row r="136" spans="1:17" ht="15" x14ac:dyDescent="0.25">
      <c r="E136" s="14">
        <v>2014</v>
      </c>
      <c r="F136" s="16">
        <f>H34</f>
        <v>3.9149561341269123</v>
      </c>
      <c r="G136" s="15"/>
      <c r="K136" s="14">
        <v>2014</v>
      </c>
      <c r="L136" s="16">
        <f>M34</f>
        <v>1.1913357400721969</v>
      </c>
    </row>
    <row r="137" spans="1:17" ht="15" x14ac:dyDescent="0.25">
      <c r="E137" s="14">
        <v>2015</v>
      </c>
      <c r="F137" s="16">
        <f>H46</f>
        <v>-0.40713755920966932</v>
      </c>
      <c r="G137" s="15"/>
      <c r="K137" s="14">
        <v>2015</v>
      </c>
      <c r="L137" s="16">
        <f>M46</f>
        <v>-1.819479129504098</v>
      </c>
    </row>
    <row r="138" spans="1:17" ht="15" x14ac:dyDescent="0.25">
      <c r="E138" s="14">
        <v>2016</v>
      </c>
      <c r="F138" s="16">
        <f>H58</f>
        <v>-4.0443296710091943</v>
      </c>
      <c r="G138" s="15"/>
      <c r="K138" s="14">
        <v>2016</v>
      </c>
      <c r="L138" s="16">
        <f>M58</f>
        <v>-1.8531976744186052</v>
      </c>
    </row>
    <row r="139" spans="1:17" ht="15" x14ac:dyDescent="0.25">
      <c r="E139" s="14">
        <v>2017</v>
      </c>
      <c r="F139" s="16">
        <f>H70</f>
        <v>1.3805064752394181</v>
      </c>
      <c r="G139" s="15"/>
      <c r="K139" s="14">
        <v>2017</v>
      </c>
      <c r="L139" s="16">
        <f>M70</f>
        <v>1.5549796371714164</v>
      </c>
    </row>
    <row r="140" spans="1:17" ht="15" x14ac:dyDescent="0.25">
      <c r="E140" s="14">
        <v>2018</v>
      </c>
      <c r="F140" s="16">
        <f>H82</f>
        <v>3.4261037794513838</v>
      </c>
      <c r="G140" s="15"/>
      <c r="K140" s="14">
        <v>2018</v>
      </c>
      <c r="L140" s="16">
        <f>M82</f>
        <v>1.4218009478673022</v>
      </c>
    </row>
    <row r="141" spans="1:17" ht="15" x14ac:dyDescent="0.25">
      <c r="E141" s="14">
        <v>2019</v>
      </c>
      <c r="F141" s="16">
        <f>H94</f>
        <v>2.7591947549780116</v>
      </c>
      <c r="G141" s="15"/>
      <c r="K141" s="14">
        <v>2019</v>
      </c>
      <c r="L141" s="16">
        <f>M94</f>
        <v>0.28756290438534116</v>
      </c>
    </row>
    <row r="142" spans="1:17" ht="15" x14ac:dyDescent="0.25">
      <c r="E142" s="14">
        <v>2020</v>
      </c>
      <c r="F142" s="16">
        <f>H106</f>
        <v>-2.7164429835624837</v>
      </c>
      <c r="G142" s="15"/>
      <c r="K142" s="14">
        <v>2020</v>
      </c>
      <c r="L142" s="16">
        <f>M106</f>
        <v>7.6702508960573512</v>
      </c>
    </row>
    <row r="143" spans="1:17" ht="15" x14ac:dyDescent="0.25">
      <c r="E143" s="14">
        <v>2021</v>
      </c>
      <c r="F143" s="16">
        <f>H118</f>
        <v>-2.5665528827776396</v>
      </c>
      <c r="G143" s="15"/>
      <c r="K143" s="14">
        <v>2021</v>
      </c>
      <c r="L143" s="16">
        <f>M118</f>
        <v>-11.118508655126503</v>
      </c>
    </row>
    <row r="144" spans="1:17" ht="15" x14ac:dyDescent="0.25">
      <c r="E144" s="14">
        <v>2022</v>
      </c>
      <c r="F144" s="16">
        <f>H130</f>
        <v>4.9408846925715899</v>
      </c>
      <c r="K144" s="14">
        <v>2022</v>
      </c>
      <c r="L144" s="16">
        <f>M130</f>
        <v>2.5093632958801404</v>
      </c>
    </row>
  </sheetData>
  <autoFilter ref="A3:L117" xr:uid="{00000000-0009-0000-0000-000009000000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1C2B-0F6D-4E6D-9BB1-EAD8C503E36C}">
  <sheetPr codeName="Planilha5"/>
  <dimension ref="A1:EL49"/>
  <sheetViews>
    <sheetView topLeftCell="B1" zoomScale="94" zoomScaleNormal="94" workbookViewId="0">
      <pane xSplit="1" ySplit="3" topLeftCell="DO43" activePane="bottomRight" state="frozen"/>
      <selection pane="topRight" activeCell="EN3" sqref="EN3"/>
      <selection pane="bottomLeft" activeCell="EN3" sqref="EN3"/>
      <selection pane="bottomRight" activeCell="EA13" sqref="EA13"/>
    </sheetView>
  </sheetViews>
  <sheetFormatPr defaultColWidth="9.140625" defaultRowHeight="15" x14ac:dyDescent="0.25"/>
  <cols>
    <col min="1" max="1" width="4.7109375" style="20" customWidth="1"/>
    <col min="2" max="2" width="39.85546875" style="20" customWidth="1"/>
    <col min="3" max="29" width="9.7109375" style="20" customWidth="1"/>
    <col min="30" max="59" width="9.7109375" style="23" customWidth="1"/>
    <col min="60" max="130" width="9.140625" style="23"/>
    <col min="131" max="131" width="5.85546875" style="23" customWidth="1"/>
    <col min="132" max="132" width="12.42578125" style="23" customWidth="1"/>
    <col min="133" max="133" width="10.5703125" style="23" customWidth="1"/>
    <col min="134" max="134" width="9.140625" style="23"/>
    <col min="135" max="135" width="12.42578125" style="23" customWidth="1"/>
    <col min="136" max="136" width="10.5703125" style="23" customWidth="1"/>
    <col min="137" max="137" width="9.140625" style="23"/>
    <col min="138" max="138" width="12.42578125" style="23" customWidth="1"/>
    <col min="139" max="139" width="10.5703125" style="23" customWidth="1"/>
    <col min="140" max="140" width="9.140625" style="23"/>
    <col min="141" max="141" width="12.42578125" style="23" customWidth="1"/>
    <col min="142" max="142" width="10.5703125" style="23" customWidth="1"/>
    <col min="143" max="16384" width="9.140625" style="23"/>
  </cols>
  <sheetData>
    <row r="1" spans="2:142" s="20" customFormat="1" ht="20.100000000000001" customHeight="1" x14ac:dyDescent="0.2">
      <c r="B1" s="19" t="s">
        <v>10</v>
      </c>
      <c r="DF1" s="65"/>
      <c r="DW1" s="66" t="s">
        <v>11</v>
      </c>
      <c r="EB1" s="66" t="s">
        <v>12</v>
      </c>
      <c r="EE1" s="67" t="s">
        <v>13</v>
      </c>
      <c r="EF1" s="66"/>
      <c r="EG1" s="66"/>
      <c r="EH1" s="68" t="s">
        <v>14</v>
      </c>
      <c r="EK1" s="69" t="s">
        <v>15</v>
      </c>
    </row>
    <row r="2" spans="2:142" s="20" customFormat="1" x14ac:dyDescent="0.25">
      <c r="B2" s="44"/>
      <c r="C2" s="20" t="s">
        <v>16</v>
      </c>
      <c r="DZ2" s="70"/>
      <c r="EB2" s="71" t="s">
        <v>53</v>
      </c>
      <c r="EE2" s="71" t="s">
        <v>17</v>
      </c>
      <c r="EH2" s="71" t="s">
        <v>54</v>
      </c>
      <c r="EK2" s="71" t="s">
        <v>55</v>
      </c>
    </row>
    <row r="3" spans="2:142" s="20" customFormat="1" ht="24.95" customHeight="1" x14ac:dyDescent="0.25">
      <c r="B3" s="21" t="s">
        <v>18</v>
      </c>
      <c r="C3" s="22">
        <v>40969</v>
      </c>
      <c r="D3" s="22">
        <v>41000</v>
      </c>
      <c r="E3" s="22">
        <v>41030</v>
      </c>
      <c r="F3" s="22">
        <v>41061</v>
      </c>
      <c r="G3" s="22">
        <v>41091</v>
      </c>
      <c r="H3" s="22">
        <v>41122</v>
      </c>
      <c r="I3" s="22">
        <v>41153</v>
      </c>
      <c r="J3" s="22">
        <v>41183</v>
      </c>
      <c r="K3" s="22">
        <v>41214</v>
      </c>
      <c r="L3" s="22">
        <v>41244</v>
      </c>
      <c r="M3" s="22">
        <v>41275</v>
      </c>
      <c r="N3" s="22">
        <v>41306</v>
      </c>
      <c r="O3" s="22">
        <v>41334</v>
      </c>
      <c r="P3" s="22">
        <v>41365</v>
      </c>
      <c r="Q3" s="22">
        <v>41395</v>
      </c>
      <c r="R3" s="22">
        <v>41426</v>
      </c>
      <c r="S3" s="22">
        <v>41456</v>
      </c>
      <c r="T3" s="22">
        <v>41487</v>
      </c>
      <c r="U3" s="22">
        <v>41518</v>
      </c>
      <c r="V3" s="22">
        <v>41548</v>
      </c>
      <c r="W3" s="22">
        <v>41579</v>
      </c>
      <c r="X3" s="22">
        <v>41609</v>
      </c>
      <c r="Y3" s="22">
        <v>41640</v>
      </c>
      <c r="Z3" s="22">
        <v>41671</v>
      </c>
      <c r="AA3" s="22">
        <v>41699</v>
      </c>
      <c r="AB3" s="22">
        <v>41730</v>
      </c>
      <c r="AC3" s="22">
        <v>41760</v>
      </c>
      <c r="AD3" s="22">
        <v>41791</v>
      </c>
      <c r="AE3" s="22">
        <v>41821</v>
      </c>
      <c r="AF3" s="22">
        <v>41852</v>
      </c>
      <c r="AG3" s="22">
        <v>41883</v>
      </c>
      <c r="AH3" s="22">
        <v>41913</v>
      </c>
      <c r="AI3" s="22">
        <v>41944</v>
      </c>
      <c r="AJ3" s="22">
        <v>41974</v>
      </c>
      <c r="AK3" s="22">
        <v>42005</v>
      </c>
      <c r="AL3" s="22">
        <v>42036</v>
      </c>
      <c r="AM3" s="22">
        <v>42064</v>
      </c>
      <c r="AN3" s="22">
        <v>42095</v>
      </c>
      <c r="AO3" s="22">
        <v>42125</v>
      </c>
      <c r="AP3" s="22">
        <v>42156</v>
      </c>
      <c r="AQ3" s="22">
        <v>42186</v>
      </c>
      <c r="AR3" s="22">
        <v>42217</v>
      </c>
      <c r="AS3" s="22">
        <v>42248</v>
      </c>
      <c r="AT3" s="22">
        <v>42278</v>
      </c>
      <c r="AU3" s="22">
        <v>42309</v>
      </c>
      <c r="AV3" s="22">
        <v>42339</v>
      </c>
      <c r="AW3" s="22">
        <v>42370</v>
      </c>
      <c r="AX3" s="22">
        <v>42401</v>
      </c>
      <c r="AY3" s="22">
        <v>42430</v>
      </c>
      <c r="AZ3" s="22">
        <v>42461</v>
      </c>
      <c r="BA3" s="22">
        <v>42491</v>
      </c>
      <c r="BB3" s="22">
        <v>42522</v>
      </c>
      <c r="BC3" s="22">
        <v>42552</v>
      </c>
      <c r="BD3" s="22">
        <v>42583</v>
      </c>
      <c r="BE3" s="22">
        <v>42614</v>
      </c>
      <c r="BF3" s="22">
        <v>42644</v>
      </c>
      <c r="BG3" s="22">
        <v>42675</v>
      </c>
      <c r="BH3" s="22">
        <v>42705</v>
      </c>
      <c r="BI3" s="22">
        <v>42736</v>
      </c>
      <c r="BJ3" s="22">
        <v>42767</v>
      </c>
      <c r="BK3" s="22">
        <v>42795</v>
      </c>
      <c r="BL3" s="22">
        <v>42826</v>
      </c>
      <c r="BM3" s="22">
        <v>42856</v>
      </c>
      <c r="BN3" s="22">
        <v>42887</v>
      </c>
      <c r="BO3" s="22">
        <v>42917</v>
      </c>
      <c r="BP3" s="22">
        <v>42948</v>
      </c>
      <c r="BQ3" s="22">
        <v>42979</v>
      </c>
      <c r="BR3" s="22">
        <v>43009</v>
      </c>
      <c r="BS3" s="22">
        <v>43040</v>
      </c>
      <c r="BT3" s="22">
        <v>43070</v>
      </c>
      <c r="BU3" s="22">
        <v>43101</v>
      </c>
      <c r="BV3" s="22">
        <v>43132</v>
      </c>
      <c r="BW3" s="22">
        <v>43160</v>
      </c>
      <c r="BX3" s="22">
        <v>43191</v>
      </c>
      <c r="BY3" s="22">
        <v>43221</v>
      </c>
      <c r="BZ3" s="22">
        <v>43252</v>
      </c>
      <c r="CA3" s="22">
        <v>43282</v>
      </c>
      <c r="CB3" s="22">
        <v>43313</v>
      </c>
      <c r="CC3" s="22">
        <v>43344</v>
      </c>
      <c r="CD3" s="22">
        <v>43374</v>
      </c>
      <c r="CE3" s="22">
        <v>43405</v>
      </c>
      <c r="CF3" s="22">
        <v>43435</v>
      </c>
      <c r="CG3" s="22">
        <v>43466</v>
      </c>
      <c r="CH3" s="22">
        <v>43497</v>
      </c>
      <c r="CI3" s="22">
        <v>43525</v>
      </c>
      <c r="CJ3" s="22">
        <v>43556</v>
      </c>
      <c r="CK3" s="22">
        <v>43586</v>
      </c>
      <c r="CL3" s="22">
        <v>43617</v>
      </c>
      <c r="CM3" s="22">
        <v>43647</v>
      </c>
      <c r="CN3" s="22">
        <v>43678</v>
      </c>
      <c r="CO3" s="22">
        <v>43709</v>
      </c>
      <c r="CP3" s="22">
        <v>43739</v>
      </c>
      <c r="CQ3" s="22">
        <v>43770</v>
      </c>
      <c r="CR3" s="22">
        <v>43800</v>
      </c>
      <c r="CS3" s="22">
        <v>43831</v>
      </c>
      <c r="CT3" s="22">
        <v>43862</v>
      </c>
      <c r="CU3" s="22">
        <v>43891</v>
      </c>
      <c r="CV3" s="22">
        <v>43922</v>
      </c>
      <c r="CW3" s="22">
        <v>43952</v>
      </c>
      <c r="CX3" s="22">
        <v>43983</v>
      </c>
      <c r="CY3" s="22">
        <v>44013</v>
      </c>
      <c r="CZ3" s="22">
        <v>44044</v>
      </c>
      <c r="DA3" s="22">
        <v>44075</v>
      </c>
      <c r="DB3" s="22">
        <v>44105</v>
      </c>
      <c r="DC3" s="22">
        <v>44136</v>
      </c>
      <c r="DD3" s="22">
        <v>44166</v>
      </c>
      <c r="DE3" s="22">
        <v>44197</v>
      </c>
      <c r="DF3" s="22">
        <v>44228</v>
      </c>
      <c r="DG3" s="22">
        <v>44256</v>
      </c>
      <c r="DH3" s="22">
        <v>44287</v>
      </c>
      <c r="DI3" s="22">
        <v>44317</v>
      </c>
      <c r="DJ3" s="22">
        <v>44348</v>
      </c>
      <c r="DK3" s="22">
        <v>44378</v>
      </c>
      <c r="DL3" s="22">
        <v>44409</v>
      </c>
      <c r="DM3" s="22">
        <v>44440</v>
      </c>
      <c r="DN3" s="22">
        <v>44470</v>
      </c>
      <c r="DO3" s="22">
        <v>44501</v>
      </c>
      <c r="DP3" s="22">
        <v>44531</v>
      </c>
      <c r="DQ3" s="22">
        <v>44562</v>
      </c>
      <c r="DR3" s="22">
        <v>44593</v>
      </c>
      <c r="DS3" s="22">
        <v>44621</v>
      </c>
      <c r="DT3" s="22">
        <v>44652</v>
      </c>
      <c r="DU3" s="22">
        <v>44682</v>
      </c>
      <c r="DV3" s="22">
        <v>44713</v>
      </c>
      <c r="DW3" s="22">
        <v>44743</v>
      </c>
      <c r="DX3" s="22">
        <v>44774</v>
      </c>
      <c r="DY3" s="22">
        <v>44805</v>
      </c>
      <c r="DZ3" s="70"/>
      <c r="EB3" s="24" t="s">
        <v>19</v>
      </c>
      <c r="EC3" s="24" t="s">
        <v>20</v>
      </c>
      <c r="EE3" s="24" t="s">
        <v>19</v>
      </c>
      <c r="EF3" s="24" t="s">
        <v>20</v>
      </c>
      <c r="EH3" s="24" t="s">
        <v>19</v>
      </c>
      <c r="EI3" s="24" t="s">
        <v>20</v>
      </c>
      <c r="EK3" s="24" t="s">
        <v>19</v>
      </c>
      <c r="EL3" s="24" t="s">
        <v>20</v>
      </c>
    </row>
    <row r="4" spans="2:142" s="20" customFormat="1" ht="15" customHeight="1" x14ac:dyDescent="0.25">
      <c r="B4" s="25" t="s">
        <v>21</v>
      </c>
      <c r="C4" s="26">
        <f>C21</f>
        <v>88012</v>
      </c>
      <c r="D4" s="26">
        <f t="shared" ref="D4:AU4" si="0">D21</f>
        <v>88845</v>
      </c>
      <c r="E4" s="26">
        <f t="shared" si="0"/>
        <v>89379</v>
      </c>
      <c r="F4" s="26">
        <f t="shared" si="0"/>
        <v>89647</v>
      </c>
      <c r="G4" s="26">
        <f t="shared" si="0"/>
        <v>89786</v>
      </c>
      <c r="H4" s="26">
        <f t="shared" si="0"/>
        <v>90086</v>
      </c>
      <c r="I4" s="26">
        <f t="shared" si="0"/>
        <v>90320</v>
      </c>
      <c r="J4" s="26">
        <f t="shared" si="0"/>
        <v>90466</v>
      </c>
      <c r="K4" s="26">
        <f t="shared" si="0"/>
        <v>90555</v>
      </c>
      <c r="L4" s="26">
        <f t="shared" si="0"/>
        <v>90593</v>
      </c>
      <c r="M4" s="26">
        <f t="shared" si="0"/>
        <v>90284</v>
      </c>
      <c r="N4" s="26">
        <f t="shared" si="0"/>
        <v>89901</v>
      </c>
      <c r="O4" s="26">
        <f t="shared" si="0"/>
        <v>89688</v>
      </c>
      <c r="P4" s="26">
        <f t="shared" si="0"/>
        <v>90088</v>
      </c>
      <c r="Q4" s="26">
        <f t="shared" si="0"/>
        <v>90546</v>
      </c>
      <c r="R4" s="26">
        <f t="shared" si="0"/>
        <v>90850</v>
      </c>
      <c r="S4" s="26">
        <f t="shared" si="0"/>
        <v>91104</v>
      </c>
      <c r="T4" s="26">
        <f t="shared" si="0"/>
        <v>91232</v>
      </c>
      <c r="U4" s="26">
        <f t="shared" si="0"/>
        <v>91438</v>
      </c>
      <c r="V4" s="26">
        <f t="shared" si="0"/>
        <v>91605</v>
      </c>
      <c r="W4" s="26">
        <f t="shared" si="0"/>
        <v>92000</v>
      </c>
      <c r="X4" s="26">
        <f t="shared" si="0"/>
        <v>92171</v>
      </c>
      <c r="Y4" s="26">
        <f t="shared" si="0"/>
        <v>91870</v>
      </c>
      <c r="Z4" s="26">
        <f t="shared" si="0"/>
        <v>91700</v>
      </c>
      <c r="AA4" s="26">
        <f t="shared" si="0"/>
        <v>91456</v>
      </c>
      <c r="AB4" s="26">
        <f t="shared" si="0"/>
        <v>91697</v>
      </c>
      <c r="AC4" s="26">
        <f t="shared" si="0"/>
        <v>91892</v>
      </c>
      <c r="AD4" s="26">
        <f t="shared" si="0"/>
        <v>92117</v>
      </c>
      <c r="AE4" s="26">
        <f t="shared" si="0"/>
        <v>92056</v>
      </c>
      <c r="AF4" s="26">
        <f t="shared" si="0"/>
        <v>92056</v>
      </c>
      <c r="AG4" s="26">
        <f t="shared" si="0"/>
        <v>92406</v>
      </c>
      <c r="AH4" s="26">
        <f t="shared" si="0"/>
        <v>92692</v>
      </c>
      <c r="AI4" s="26">
        <f t="shared" si="0"/>
        <v>92878</v>
      </c>
      <c r="AJ4" s="26">
        <f t="shared" si="0"/>
        <v>92961</v>
      </c>
      <c r="AK4" s="26">
        <f t="shared" si="0"/>
        <v>92743</v>
      </c>
      <c r="AL4" s="26">
        <f t="shared" si="0"/>
        <v>92308</v>
      </c>
      <c r="AM4" s="26">
        <f t="shared" si="0"/>
        <v>91962</v>
      </c>
      <c r="AN4" s="26">
        <f t="shared" si="0"/>
        <v>92173</v>
      </c>
      <c r="AO4" s="26">
        <f t="shared" si="0"/>
        <v>92147</v>
      </c>
      <c r="AP4" s="26">
        <f t="shared" si="0"/>
        <v>92249</v>
      </c>
      <c r="AQ4" s="26">
        <f t="shared" si="0"/>
        <v>92230</v>
      </c>
      <c r="AR4" s="26">
        <f t="shared" si="0"/>
        <v>92173</v>
      </c>
      <c r="AS4" s="26">
        <f t="shared" si="0"/>
        <v>92200</v>
      </c>
      <c r="AT4" s="26">
        <f t="shared" si="0"/>
        <v>92386</v>
      </c>
      <c r="AU4" s="26">
        <f t="shared" si="0"/>
        <v>92288</v>
      </c>
      <c r="AV4" s="26">
        <f t="shared" ref="AV4:CC4" si="1">AV5+AV13</f>
        <v>92365</v>
      </c>
      <c r="AW4" s="26">
        <f t="shared" si="1"/>
        <v>91803</v>
      </c>
      <c r="AX4" s="26">
        <f t="shared" si="1"/>
        <v>91305</v>
      </c>
      <c r="AY4" s="26">
        <f t="shared" si="1"/>
        <v>90708</v>
      </c>
      <c r="AZ4" s="26">
        <f t="shared" si="1"/>
        <v>90549</v>
      </c>
      <c r="BA4" s="26">
        <f t="shared" si="1"/>
        <v>90709</v>
      </c>
      <c r="BB4" s="26">
        <f t="shared" si="1"/>
        <v>90674</v>
      </c>
      <c r="BC4" s="26">
        <f t="shared" si="1"/>
        <v>90329</v>
      </c>
      <c r="BD4" s="26">
        <f t="shared" si="1"/>
        <v>90081</v>
      </c>
      <c r="BE4" s="26">
        <f t="shared" si="1"/>
        <v>89821</v>
      </c>
      <c r="BF4" s="26">
        <f t="shared" si="1"/>
        <v>89883</v>
      </c>
      <c r="BG4" s="26">
        <f t="shared" si="1"/>
        <v>90148</v>
      </c>
      <c r="BH4" s="26">
        <f t="shared" si="1"/>
        <v>90174</v>
      </c>
      <c r="BI4" s="26">
        <f t="shared" si="1"/>
        <v>89746</v>
      </c>
      <c r="BJ4" s="26">
        <f t="shared" si="1"/>
        <v>89241</v>
      </c>
      <c r="BK4" s="26">
        <f t="shared" si="1"/>
        <v>88847</v>
      </c>
      <c r="BL4" s="26">
        <f t="shared" si="1"/>
        <v>89160</v>
      </c>
      <c r="BM4" s="26">
        <f t="shared" si="1"/>
        <v>89625</v>
      </c>
      <c r="BN4" s="26">
        <f t="shared" si="1"/>
        <v>90193</v>
      </c>
      <c r="BO4" s="26">
        <f t="shared" si="1"/>
        <v>90585</v>
      </c>
      <c r="BP4" s="26">
        <f t="shared" si="1"/>
        <v>91002</v>
      </c>
      <c r="BQ4" s="26">
        <f t="shared" si="1"/>
        <v>91268</v>
      </c>
      <c r="BR4" s="26">
        <f t="shared" si="1"/>
        <v>91603</v>
      </c>
      <c r="BS4" s="26">
        <f t="shared" si="1"/>
        <v>92025</v>
      </c>
      <c r="BT4" s="26">
        <f t="shared" si="1"/>
        <v>92228</v>
      </c>
      <c r="BU4" s="26">
        <f t="shared" si="1"/>
        <v>91859</v>
      </c>
      <c r="BV4" s="26">
        <f t="shared" si="1"/>
        <v>91311</v>
      </c>
      <c r="BW4" s="26">
        <f t="shared" si="1"/>
        <v>90878</v>
      </c>
      <c r="BX4" s="26">
        <f t="shared" si="1"/>
        <v>91050</v>
      </c>
      <c r="BY4" s="26">
        <f t="shared" si="1"/>
        <v>91177</v>
      </c>
      <c r="BZ4" s="26">
        <f t="shared" si="1"/>
        <v>91461</v>
      </c>
      <c r="CA4" s="26">
        <f t="shared" si="1"/>
        <v>91906</v>
      </c>
      <c r="CB4" s="26">
        <f t="shared" si="1"/>
        <v>92371</v>
      </c>
      <c r="CC4" s="26">
        <f t="shared" si="1"/>
        <v>92929</v>
      </c>
      <c r="CD4" s="26">
        <f>CD5+CD13</f>
        <v>93318</v>
      </c>
      <c r="CE4" s="26">
        <f>CE5+CE13</f>
        <v>93614</v>
      </c>
      <c r="CF4" s="26">
        <f>CF5+CF13</f>
        <v>93534</v>
      </c>
      <c r="CG4" s="26">
        <f>CG5+CG13</f>
        <v>93053</v>
      </c>
      <c r="CH4" s="26">
        <f t="shared" ref="CH4:CX4" si="2">CH5+CH13</f>
        <v>92642</v>
      </c>
      <c r="CI4" s="26">
        <f t="shared" si="2"/>
        <v>92621</v>
      </c>
      <c r="CJ4" s="26">
        <f t="shared" si="2"/>
        <v>93218</v>
      </c>
      <c r="CK4" s="26">
        <f t="shared" si="2"/>
        <v>93760</v>
      </c>
      <c r="CL4" s="26">
        <f t="shared" si="2"/>
        <v>94161</v>
      </c>
      <c r="CM4" s="26">
        <f t="shared" si="2"/>
        <v>94394</v>
      </c>
      <c r="CN4" s="26">
        <f t="shared" si="2"/>
        <v>94509</v>
      </c>
      <c r="CO4" s="26">
        <f t="shared" si="2"/>
        <v>94736</v>
      </c>
      <c r="CP4" s="26">
        <f t="shared" si="2"/>
        <v>95043</v>
      </c>
      <c r="CQ4" s="26">
        <f t="shared" si="2"/>
        <v>95409</v>
      </c>
      <c r="CR4" s="26">
        <f t="shared" si="2"/>
        <v>95515</v>
      </c>
      <c r="CS4" s="26">
        <f t="shared" si="2"/>
        <v>95122</v>
      </c>
      <c r="CT4" s="26">
        <f t="shared" si="2"/>
        <v>94674</v>
      </c>
      <c r="CU4" s="26">
        <f t="shared" si="2"/>
        <v>93115</v>
      </c>
      <c r="CV4" s="26">
        <f t="shared" si="2"/>
        <v>90135</v>
      </c>
      <c r="CW4" s="26">
        <f t="shared" si="2"/>
        <v>86715</v>
      </c>
      <c r="CX4" s="26">
        <f t="shared" si="2"/>
        <v>84051</v>
      </c>
      <c r="CY4" s="26">
        <f>CY5+CY13</f>
        <v>82725</v>
      </c>
      <c r="CZ4" s="26">
        <f t="shared" ref="CZ4:DY4" si="3">CZ5+CZ13</f>
        <v>82590</v>
      </c>
      <c r="DA4" s="26">
        <f t="shared" si="3"/>
        <v>83440</v>
      </c>
      <c r="DB4" s="26">
        <f t="shared" si="3"/>
        <v>85286</v>
      </c>
      <c r="DC4" s="26">
        <f t="shared" si="3"/>
        <v>86573</v>
      </c>
      <c r="DD4" s="26">
        <f t="shared" si="3"/>
        <v>87225</v>
      </c>
      <c r="DE4" s="26">
        <f t="shared" si="3"/>
        <v>87214</v>
      </c>
      <c r="DF4" s="26">
        <f t="shared" si="3"/>
        <v>87286</v>
      </c>
      <c r="DG4" s="26">
        <f t="shared" si="3"/>
        <v>87083</v>
      </c>
      <c r="DH4" s="26">
        <f t="shared" si="3"/>
        <v>87475</v>
      </c>
      <c r="DI4" s="26">
        <f t="shared" si="3"/>
        <v>88150</v>
      </c>
      <c r="DJ4" s="26">
        <f t="shared" si="3"/>
        <v>89385</v>
      </c>
      <c r="DK4" s="26">
        <f t="shared" si="3"/>
        <v>90667</v>
      </c>
      <c r="DL4" s="26">
        <f t="shared" si="3"/>
        <v>91725</v>
      </c>
      <c r="DM4" s="26">
        <f t="shared" si="3"/>
        <v>92977</v>
      </c>
      <c r="DN4" s="26">
        <f t="shared" si="3"/>
        <v>93958</v>
      </c>
      <c r="DO4" s="26">
        <f t="shared" si="3"/>
        <v>94928</v>
      </c>
      <c r="DP4" s="26">
        <f t="shared" si="3"/>
        <v>95747</v>
      </c>
      <c r="DQ4" s="26">
        <f t="shared" si="3"/>
        <v>95429</v>
      </c>
      <c r="DR4" s="26">
        <f t="shared" si="3"/>
        <v>95234</v>
      </c>
      <c r="DS4" s="26">
        <f t="shared" si="3"/>
        <v>95274</v>
      </c>
      <c r="DT4" s="26">
        <f t="shared" si="3"/>
        <v>96513</v>
      </c>
      <c r="DU4" s="26">
        <f t="shared" si="3"/>
        <v>97515</v>
      </c>
      <c r="DV4" s="26">
        <f t="shared" si="3"/>
        <v>98269</v>
      </c>
      <c r="DW4" s="26">
        <f t="shared" si="3"/>
        <v>98666</v>
      </c>
      <c r="DX4" s="26">
        <f t="shared" si="3"/>
        <v>99015</v>
      </c>
      <c r="DY4" s="26">
        <f t="shared" si="3"/>
        <v>99268</v>
      </c>
      <c r="DZ4" s="70"/>
      <c r="EA4" s="72"/>
      <c r="EB4" s="73">
        <f t="shared" ref="EB4:EB18" si="4">DY4/DM4-1</f>
        <v>6.7661894877227624E-2</v>
      </c>
      <c r="EC4" s="27">
        <f t="shared" ref="EC4:EC18" si="5">DY4-DM4</f>
        <v>6291</v>
      </c>
      <c r="EE4" s="73">
        <f t="shared" ref="EE4:EE18" si="6">CZ4/CR4-1</f>
        <v>-0.13531905983353398</v>
      </c>
      <c r="EF4" s="27">
        <f t="shared" ref="EF4:EF18" si="7">CZ4-CR4</f>
        <v>-12925</v>
      </c>
      <c r="EH4" s="73">
        <f t="shared" ref="EH4:EH18" si="8">DY4/CZ4-1</f>
        <v>0.20193728054243865</v>
      </c>
      <c r="EI4" s="27">
        <f t="shared" ref="EI4:EI18" si="9">DY4-CZ4</f>
        <v>16678</v>
      </c>
      <c r="EK4" s="73">
        <f t="shared" ref="EK4:EK18" si="10">DY4/CR4-1</f>
        <v>3.9292257760561222E-2</v>
      </c>
      <c r="EL4" s="27">
        <f t="shared" ref="EL4:EL18" si="11">DY4-CR4</f>
        <v>3753</v>
      </c>
    </row>
    <row r="5" spans="2:142" s="20" customFormat="1" ht="15" customHeight="1" x14ac:dyDescent="0.25">
      <c r="B5" s="28" t="s">
        <v>22</v>
      </c>
      <c r="C5" s="29" t="s">
        <v>23</v>
      </c>
      <c r="D5" s="29" t="s">
        <v>23</v>
      </c>
      <c r="E5" s="29" t="s">
        <v>23</v>
      </c>
      <c r="F5" s="29" t="s">
        <v>23</v>
      </c>
      <c r="G5" s="29" t="s">
        <v>23</v>
      </c>
      <c r="H5" s="29" t="s">
        <v>23</v>
      </c>
      <c r="I5" s="29" t="s">
        <v>23</v>
      </c>
      <c r="J5" s="29" t="s">
        <v>23</v>
      </c>
      <c r="K5" s="29" t="s">
        <v>23</v>
      </c>
      <c r="L5" s="29" t="s">
        <v>23</v>
      </c>
      <c r="M5" s="29" t="s">
        <v>23</v>
      </c>
      <c r="N5" s="29" t="s">
        <v>23</v>
      </c>
      <c r="O5" s="29" t="s">
        <v>23</v>
      </c>
      <c r="P5" s="29" t="s">
        <v>23</v>
      </c>
      <c r="Q5" s="29" t="s">
        <v>23</v>
      </c>
      <c r="R5" s="29" t="s">
        <v>23</v>
      </c>
      <c r="S5" s="29" t="s">
        <v>23</v>
      </c>
      <c r="T5" s="29" t="s">
        <v>23</v>
      </c>
      <c r="U5" s="29" t="s">
        <v>23</v>
      </c>
      <c r="V5" s="29" t="s">
        <v>23</v>
      </c>
      <c r="W5" s="29" t="s">
        <v>23</v>
      </c>
      <c r="X5" s="29" t="s">
        <v>23</v>
      </c>
      <c r="Y5" s="29" t="s">
        <v>23</v>
      </c>
      <c r="Z5" s="29" t="s">
        <v>23</v>
      </c>
      <c r="AA5" s="29" t="s">
        <v>23</v>
      </c>
      <c r="AB5" s="29" t="s">
        <v>23</v>
      </c>
      <c r="AC5" s="29" t="s">
        <v>23</v>
      </c>
      <c r="AD5" s="29" t="s">
        <v>23</v>
      </c>
      <c r="AE5" s="29" t="s">
        <v>23</v>
      </c>
      <c r="AF5" s="29" t="s">
        <v>23</v>
      </c>
      <c r="AG5" s="29" t="s">
        <v>23</v>
      </c>
      <c r="AH5" s="29" t="s">
        <v>23</v>
      </c>
      <c r="AI5" s="29" t="s">
        <v>23</v>
      </c>
      <c r="AJ5" s="29" t="s">
        <v>23</v>
      </c>
      <c r="AK5" s="29" t="s">
        <v>23</v>
      </c>
      <c r="AL5" s="29" t="s">
        <v>23</v>
      </c>
      <c r="AM5" s="29" t="s">
        <v>23</v>
      </c>
      <c r="AN5" s="29" t="s">
        <v>23</v>
      </c>
      <c r="AO5" s="29" t="s">
        <v>23</v>
      </c>
      <c r="AP5" s="29" t="s">
        <v>23</v>
      </c>
      <c r="AQ5" s="29" t="s">
        <v>23</v>
      </c>
      <c r="AR5" s="29" t="s">
        <v>23</v>
      </c>
      <c r="AS5" s="29" t="s">
        <v>23</v>
      </c>
      <c r="AT5" s="29" t="s">
        <v>23</v>
      </c>
      <c r="AU5" s="29" t="s">
        <v>23</v>
      </c>
      <c r="AV5" s="29">
        <f>SUM(AV6:AV12)</f>
        <v>57004</v>
      </c>
      <c r="AW5" s="29">
        <f t="shared" ref="AW5:CC5" si="12">SUM(AW6:AW12)</f>
        <v>56799</v>
      </c>
      <c r="AX5" s="29">
        <f t="shared" si="12"/>
        <v>56383</v>
      </c>
      <c r="AY5" s="29">
        <f t="shared" si="12"/>
        <v>55969</v>
      </c>
      <c r="AZ5" s="29">
        <f t="shared" si="12"/>
        <v>55692</v>
      </c>
      <c r="BA5" s="29">
        <f t="shared" si="12"/>
        <v>55644</v>
      </c>
      <c r="BB5" s="29">
        <f t="shared" si="12"/>
        <v>55650</v>
      </c>
      <c r="BC5" s="29">
        <f t="shared" si="12"/>
        <v>55397</v>
      </c>
      <c r="BD5" s="29">
        <f t="shared" si="12"/>
        <v>55466</v>
      </c>
      <c r="BE5" s="29">
        <f t="shared" si="12"/>
        <v>55318</v>
      </c>
      <c r="BF5" s="29">
        <f t="shared" si="12"/>
        <v>55310</v>
      </c>
      <c r="BG5" s="29">
        <f t="shared" si="12"/>
        <v>55272</v>
      </c>
      <c r="BH5" s="29">
        <f t="shared" si="12"/>
        <v>54972</v>
      </c>
      <c r="BI5" s="29">
        <f t="shared" si="12"/>
        <v>54571</v>
      </c>
      <c r="BJ5" s="29">
        <f t="shared" si="12"/>
        <v>54217</v>
      </c>
      <c r="BK5" s="29">
        <f t="shared" si="12"/>
        <v>53975</v>
      </c>
      <c r="BL5" s="29">
        <f t="shared" si="12"/>
        <v>53959</v>
      </c>
      <c r="BM5" s="29">
        <f t="shared" si="12"/>
        <v>54087</v>
      </c>
      <c r="BN5" s="29">
        <f t="shared" si="12"/>
        <v>54345</v>
      </c>
      <c r="BO5" s="29">
        <f t="shared" si="12"/>
        <v>54524</v>
      </c>
      <c r="BP5" s="29">
        <f t="shared" si="12"/>
        <v>54624</v>
      </c>
      <c r="BQ5" s="29">
        <f t="shared" si="12"/>
        <v>54596</v>
      </c>
      <c r="BR5" s="29">
        <f t="shared" si="12"/>
        <v>54832</v>
      </c>
      <c r="BS5" s="29">
        <f t="shared" si="12"/>
        <v>54984</v>
      </c>
      <c r="BT5" s="29">
        <f t="shared" si="12"/>
        <v>55117</v>
      </c>
      <c r="BU5" s="29">
        <f t="shared" si="12"/>
        <v>54898</v>
      </c>
      <c r="BV5" s="29">
        <f t="shared" si="12"/>
        <v>54608</v>
      </c>
      <c r="BW5" s="29">
        <f t="shared" si="12"/>
        <v>54377</v>
      </c>
      <c r="BX5" s="29">
        <f t="shared" si="12"/>
        <v>54303</v>
      </c>
      <c r="BY5" s="29">
        <f t="shared" si="12"/>
        <v>54400</v>
      </c>
      <c r="BZ5" s="29">
        <f t="shared" si="12"/>
        <v>54689</v>
      </c>
      <c r="CA5" s="29">
        <f t="shared" si="12"/>
        <v>55029</v>
      </c>
      <c r="CB5" s="29">
        <f t="shared" si="12"/>
        <v>55170</v>
      </c>
      <c r="CC5" s="29">
        <f t="shared" si="12"/>
        <v>55210</v>
      </c>
      <c r="CD5" s="29">
        <f>SUM(CD6:CD12)</f>
        <v>55344</v>
      </c>
      <c r="CE5" s="29">
        <f>SUM(CE6:CE12)</f>
        <v>55462</v>
      </c>
      <c r="CF5" s="29">
        <f>SUM(CF6:CF12)</f>
        <v>55491</v>
      </c>
      <c r="CG5" s="29">
        <f t="shared" ref="CG5:DY5" si="13">SUM(CG6:CG12)</f>
        <v>55325</v>
      </c>
      <c r="CH5" s="29">
        <f t="shared" si="13"/>
        <v>55315</v>
      </c>
      <c r="CI5" s="29">
        <f t="shared" si="13"/>
        <v>55227</v>
      </c>
      <c r="CJ5" s="29">
        <f t="shared" si="13"/>
        <v>55487</v>
      </c>
      <c r="CK5" s="29">
        <f t="shared" si="13"/>
        <v>55662</v>
      </c>
      <c r="CL5" s="29">
        <f t="shared" si="13"/>
        <v>55748</v>
      </c>
      <c r="CM5" s="29">
        <f t="shared" si="13"/>
        <v>55762</v>
      </c>
      <c r="CN5" s="29">
        <f t="shared" si="13"/>
        <v>55790</v>
      </c>
      <c r="CO5" s="29">
        <f t="shared" si="13"/>
        <v>55960</v>
      </c>
      <c r="CP5" s="29">
        <f t="shared" si="13"/>
        <v>56253</v>
      </c>
      <c r="CQ5" s="29">
        <f t="shared" si="13"/>
        <v>56564</v>
      </c>
      <c r="CR5" s="29">
        <f t="shared" si="13"/>
        <v>56759</v>
      </c>
      <c r="CS5" s="29">
        <f t="shared" si="13"/>
        <v>56797</v>
      </c>
      <c r="CT5" s="29">
        <f t="shared" si="13"/>
        <v>56593</v>
      </c>
      <c r="CU5" s="29">
        <f t="shared" si="13"/>
        <v>56332</v>
      </c>
      <c r="CV5" s="29">
        <f t="shared" si="13"/>
        <v>55576</v>
      </c>
      <c r="CW5" s="29">
        <f t="shared" si="13"/>
        <v>54476</v>
      </c>
      <c r="CX5" s="29">
        <f t="shared" si="13"/>
        <v>53351</v>
      </c>
      <c r="CY5" s="29">
        <f t="shared" si="13"/>
        <v>52057</v>
      </c>
      <c r="CZ5" s="29">
        <f t="shared" si="13"/>
        <v>51498</v>
      </c>
      <c r="DA5" s="29">
        <f t="shared" si="13"/>
        <v>51749</v>
      </c>
      <c r="DB5" s="29">
        <f t="shared" si="13"/>
        <v>52523</v>
      </c>
      <c r="DC5" s="29">
        <f t="shared" si="13"/>
        <v>53032</v>
      </c>
      <c r="DD5" s="29">
        <f t="shared" si="13"/>
        <v>53173</v>
      </c>
      <c r="DE5" s="29">
        <f t="shared" si="13"/>
        <v>53062</v>
      </c>
      <c r="DF5" s="29">
        <f t="shared" si="13"/>
        <v>53196</v>
      </c>
      <c r="DG5" s="29">
        <f t="shared" si="13"/>
        <v>53029</v>
      </c>
      <c r="DH5" s="29">
        <f t="shared" si="13"/>
        <v>53126</v>
      </c>
      <c r="DI5" s="29">
        <f t="shared" si="13"/>
        <v>53375</v>
      </c>
      <c r="DJ5" s="29">
        <f t="shared" si="13"/>
        <v>53623</v>
      </c>
      <c r="DK5" s="29">
        <f t="shared" si="13"/>
        <v>54238</v>
      </c>
      <c r="DL5" s="29">
        <f t="shared" si="13"/>
        <v>54519</v>
      </c>
      <c r="DM5" s="29">
        <f t="shared" si="13"/>
        <v>55268</v>
      </c>
      <c r="DN5" s="29">
        <f t="shared" si="13"/>
        <v>55747</v>
      </c>
      <c r="DO5" s="29">
        <f t="shared" si="13"/>
        <v>56350</v>
      </c>
      <c r="DP5" s="29">
        <f t="shared" si="13"/>
        <v>56803</v>
      </c>
      <c r="DQ5" s="29">
        <f t="shared" si="13"/>
        <v>56905</v>
      </c>
      <c r="DR5" s="29">
        <f t="shared" si="13"/>
        <v>56908</v>
      </c>
      <c r="DS5" s="29">
        <f t="shared" si="13"/>
        <v>57072</v>
      </c>
      <c r="DT5" s="29">
        <f t="shared" si="13"/>
        <v>57778</v>
      </c>
      <c r="DU5" s="29">
        <f t="shared" si="13"/>
        <v>58386</v>
      </c>
      <c r="DV5" s="29">
        <f>SUM(DV6:DV12)</f>
        <v>58983</v>
      </c>
      <c r="DW5" s="29">
        <f t="shared" si="13"/>
        <v>59372</v>
      </c>
      <c r="DX5" s="29">
        <f t="shared" si="13"/>
        <v>59706</v>
      </c>
      <c r="DY5" s="29">
        <f t="shared" si="13"/>
        <v>60124</v>
      </c>
      <c r="DZ5" s="70"/>
      <c r="EA5" s="72"/>
      <c r="EB5" s="74">
        <f t="shared" si="4"/>
        <v>8.7862777737569564E-2</v>
      </c>
      <c r="EC5" s="30">
        <f t="shared" si="5"/>
        <v>4856</v>
      </c>
      <c r="EE5" s="74">
        <f t="shared" si="6"/>
        <v>-9.2690146056132017E-2</v>
      </c>
      <c r="EF5" s="30">
        <f t="shared" si="7"/>
        <v>-5261</v>
      </c>
      <c r="EH5" s="74">
        <f t="shared" si="8"/>
        <v>0.16750165054953592</v>
      </c>
      <c r="EI5" s="30">
        <f t="shared" si="9"/>
        <v>8626</v>
      </c>
      <c r="EK5" s="74">
        <f t="shared" si="10"/>
        <v>5.928575203932418E-2</v>
      </c>
      <c r="EL5" s="30">
        <f t="shared" si="11"/>
        <v>3365</v>
      </c>
    </row>
    <row r="6" spans="2:142" s="20" customFormat="1" ht="15" customHeight="1" x14ac:dyDescent="0.25">
      <c r="B6" s="31" t="s">
        <v>24</v>
      </c>
      <c r="C6" s="32">
        <v>34262</v>
      </c>
      <c r="D6" s="32">
        <v>34574</v>
      </c>
      <c r="E6" s="32">
        <v>34759</v>
      </c>
      <c r="F6" s="32">
        <v>35004</v>
      </c>
      <c r="G6" s="32">
        <v>35120</v>
      </c>
      <c r="H6" s="32">
        <v>35296</v>
      </c>
      <c r="I6" s="32">
        <v>35477</v>
      </c>
      <c r="J6" s="32">
        <v>35626</v>
      </c>
      <c r="K6" s="32">
        <v>35669</v>
      </c>
      <c r="L6" s="32">
        <v>35880</v>
      </c>
      <c r="M6" s="32">
        <v>35945</v>
      </c>
      <c r="N6" s="32">
        <v>35931</v>
      </c>
      <c r="O6" s="32">
        <v>35645</v>
      </c>
      <c r="P6" s="32">
        <v>35706</v>
      </c>
      <c r="Q6" s="32">
        <v>35943</v>
      </c>
      <c r="R6" s="32">
        <v>36059</v>
      </c>
      <c r="S6" s="32">
        <v>36290</v>
      </c>
      <c r="T6" s="32">
        <v>36400</v>
      </c>
      <c r="U6" s="32">
        <v>36571</v>
      </c>
      <c r="V6" s="32">
        <v>36819</v>
      </c>
      <c r="W6" s="32">
        <v>36959</v>
      </c>
      <c r="X6" s="32">
        <v>37062</v>
      </c>
      <c r="Y6" s="32">
        <v>37067</v>
      </c>
      <c r="Z6" s="32">
        <v>37226</v>
      </c>
      <c r="AA6" s="32">
        <v>37333</v>
      </c>
      <c r="AB6" s="32">
        <v>37539</v>
      </c>
      <c r="AC6" s="32">
        <v>37563</v>
      </c>
      <c r="AD6" s="32">
        <v>37765</v>
      </c>
      <c r="AE6" s="32">
        <v>37594</v>
      </c>
      <c r="AF6" s="32">
        <v>37555</v>
      </c>
      <c r="AG6" s="32">
        <v>37601</v>
      </c>
      <c r="AH6" s="32">
        <v>37518</v>
      </c>
      <c r="AI6" s="32">
        <v>37562</v>
      </c>
      <c r="AJ6" s="32">
        <v>37529</v>
      </c>
      <c r="AK6" s="32">
        <v>37542</v>
      </c>
      <c r="AL6" s="32">
        <v>37288</v>
      </c>
      <c r="AM6" s="32">
        <v>37051</v>
      </c>
      <c r="AN6" s="32">
        <v>37068</v>
      </c>
      <c r="AO6" s="32">
        <v>36979</v>
      </c>
      <c r="AP6" s="32">
        <v>36926</v>
      </c>
      <c r="AQ6" s="32">
        <v>36746</v>
      </c>
      <c r="AR6" s="32">
        <v>36546</v>
      </c>
      <c r="AS6" s="32">
        <v>36456</v>
      </c>
      <c r="AT6" s="32">
        <v>36404</v>
      </c>
      <c r="AU6" s="32">
        <v>36455</v>
      </c>
      <c r="AV6" s="32">
        <v>36422</v>
      </c>
      <c r="AW6" s="32">
        <v>36199</v>
      </c>
      <c r="AX6" s="32">
        <v>35887</v>
      </c>
      <c r="AY6" s="32">
        <v>35577</v>
      </c>
      <c r="AZ6" s="32">
        <v>35392</v>
      </c>
      <c r="BA6" s="32">
        <v>35284</v>
      </c>
      <c r="BB6" s="32">
        <v>35269</v>
      </c>
      <c r="BC6" s="32">
        <v>35159</v>
      </c>
      <c r="BD6" s="32">
        <v>35014</v>
      </c>
      <c r="BE6" s="32">
        <v>34938</v>
      </c>
      <c r="BF6" s="32">
        <v>34866</v>
      </c>
      <c r="BG6" s="32">
        <v>34865</v>
      </c>
      <c r="BH6" s="32">
        <v>34792</v>
      </c>
      <c r="BI6" s="32">
        <v>34632</v>
      </c>
      <c r="BJ6" s="32">
        <v>34493</v>
      </c>
      <c r="BK6" s="32">
        <v>34204</v>
      </c>
      <c r="BL6" s="32">
        <v>34072</v>
      </c>
      <c r="BM6" s="32">
        <v>34031</v>
      </c>
      <c r="BN6" s="32">
        <v>34129</v>
      </c>
      <c r="BO6" s="32">
        <v>34115</v>
      </c>
      <c r="BP6" s="32">
        <v>34215</v>
      </c>
      <c r="BQ6" s="32">
        <v>34126</v>
      </c>
      <c r="BR6" s="32">
        <v>34185</v>
      </c>
      <c r="BS6" s="32">
        <v>34128</v>
      </c>
      <c r="BT6" s="32">
        <v>34243</v>
      </c>
      <c r="BU6" s="32">
        <v>34238</v>
      </c>
      <c r="BV6" s="32">
        <v>34102</v>
      </c>
      <c r="BW6" s="32">
        <v>33895</v>
      </c>
      <c r="BX6" s="32">
        <v>33739</v>
      </c>
      <c r="BY6" s="32">
        <v>33765</v>
      </c>
      <c r="BZ6" s="32">
        <v>33809</v>
      </c>
      <c r="CA6" s="32">
        <v>33986</v>
      </c>
      <c r="CB6" s="32">
        <v>34007</v>
      </c>
      <c r="CC6" s="32">
        <v>34020</v>
      </c>
      <c r="CD6" s="32">
        <v>34035</v>
      </c>
      <c r="CE6" s="32">
        <v>34099</v>
      </c>
      <c r="CF6" s="32">
        <v>34189</v>
      </c>
      <c r="CG6" s="32">
        <v>34100</v>
      </c>
      <c r="CH6" s="32">
        <v>34203</v>
      </c>
      <c r="CI6" s="32">
        <v>34133</v>
      </c>
      <c r="CJ6" s="32">
        <v>34372</v>
      </c>
      <c r="CK6" s="32">
        <v>34436</v>
      </c>
      <c r="CL6" s="32">
        <v>34430</v>
      </c>
      <c r="CM6" s="32">
        <v>34354</v>
      </c>
      <c r="CN6" s="32">
        <v>34299</v>
      </c>
      <c r="CO6" s="32">
        <v>34342</v>
      </c>
      <c r="CP6" s="32">
        <v>34503</v>
      </c>
      <c r="CQ6" s="32">
        <v>34701</v>
      </c>
      <c r="CR6" s="32">
        <v>34953</v>
      </c>
      <c r="CS6" s="32">
        <v>35030</v>
      </c>
      <c r="CT6" s="32">
        <v>34930</v>
      </c>
      <c r="CU6" s="32">
        <v>34398</v>
      </c>
      <c r="CV6" s="32">
        <v>33546</v>
      </c>
      <c r="CW6" s="32">
        <v>32425</v>
      </c>
      <c r="CX6" s="32">
        <v>31484</v>
      </c>
      <c r="CY6" s="32">
        <v>30679</v>
      </c>
      <c r="CZ6" s="32">
        <v>30499</v>
      </c>
      <c r="DA6" s="32">
        <v>30856</v>
      </c>
      <c r="DB6" s="32">
        <v>31325</v>
      </c>
      <c r="DC6" s="32">
        <v>31580</v>
      </c>
      <c r="DD6" s="32">
        <v>31592</v>
      </c>
      <c r="DE6" s="32">
        <v>31630</v>
      </c>
      <c r="DF6" s="32">
        <v>31612</v>
      </c>
      <c r="DG6" s="32">
        <v>31515</v>
      </c>
      <c r="DH6" s="32">
        <v>31587</v>
      </c>
      <c r="DI6" s="32">
        <v>31745</v>
      </c>
      <c r="DJ6" s="32">
        <v>32098</v>
      </c>
      <c r="DK6" s="32">
        <v>32552</v>
      </c>
      <c r="DL6" s="32">
        <v>32894</v>
      </c>
      <c r="DM6" s="32">
        <v>33508</v>
      </c>
      <c r="DN6" s="32">
        <v>33876</v>
      </c>
      <c r="DO6" s="32">
        <v>34224</v>
      </c>
      <c r="DP6" s="32">
        <v>34495</v>
      </c>
      <c r="DQ6" s="32">
        <v>34556</v>
      </c>
      <c r="DR6" s="32">
        <v>34596</v>
      </c>
      <c r="DS6" s="32">
        <v>34875</v>
      </c>
      <c r="DT6" s="32">
        <v>35247</v>
      </c>
      <c r="DU6" s="32">
        <v>35576</v>
      </c>
      <c r="DV6" s="32">
        <v>35782</v>
      </c>
      <c r="DW6" s="32">
        <v>35801</v>
      </c>
      <c r="DX6" s="32">
        <v>35975</v>
      </c>
      <c r="DY6" s="32">
        <v>36265</v>
      </c>
      <c r="DZ6" s="70"/>
      <c r="EA6" s="72"/>
      <c r="EB6" s="75">
        <f t="shared" si="4"/>
        <v>8.2278858779992747E-2</v>
      </c>
      <c r="EC6" s="33">
        <f t="shared" si="5"/>
        <v>2757</v>
      </c>
      <c r="EE6" s="75">
        <f t="shared" si="6"/>
        <v>-0.12742826080736991</v>
      </c>
      <c r="EF6" s="33">
        <f t="shared" si="7"/>
        <v>-4454</v>
      </c>
      <c r="EH6" s="75">
        <f t="shared" si="8"/>
        <v>0.18905537886488077</v>
      </c>
      <c r="EI6" s="33">
        <f t="shared" si="9"/>
        <v>5766</v>
      </c>
      <c r="EK6" s="75">
        <f t="shared" si="10"/>
        <v>3.7536119932480849E-2</v>
      </c>
      <c r="EL6" s="33">
        <f t="shared" si="11"/>
        <v>1312</v>
      </c>
    </row>
    <row r="7" spans="2:142" s="20" customFormat="1" ht="15" customHeight="1" x14ac:dyDescent="0.25">
      <c r="B7" s="31" t="s">
        <v>25</v>
      </c>
      <c r="C7" s="32">
        <v>1892</v>
      </c>
      <c r="D7" s="32">
        <v>1884</v>
      </c>
      <c r="E7" s="32">
        <v>1892</v>
      </c>
      <c r="F7" s="32">
        <v>1879</v>
      </c>
      <c r="G7" s="32">
        <v>1866</v>
      </c>
      <c r="H7" s="32">
        <v>1868</v>
      </c>
      <c r="I7" s="32">
        <v>1868</v>
      </c>
      <c r="J7" s="32">
        <v>1851</v>
      </c>
      <c r="K7" s="32">
        <v>1855</v>
      </c>
      <c r="L7" s="32">
        <v>1874</v>
      </c>
      <c r="M7" s="32">
        <v>1893</v>
      </c>
      <c r="N7" s="32">
        <v>1883</v>
      </c>
      <c r="O7" s="32">
        <v>1877</v>
      </c>
      <c r="P7" s="32">
        <v>1864</v>
      </c>
      <c r="Q7" s="32">
        <v>1842</v>
      </c>
      <c r="R7" s="32">
        <v>1791</v>
      </c>
      <c r="S7" s="32">
        <v>1773</v>
      </c>
      <c r="T7" s="32">
        <v>1743</v>
      </c>
      <c r="U7" s="32">
        <v>1741</v>
      </c>
      <c r="V7" s="32">
        <v>1744</v>
      </c>
      <c r="W7" s="32">
        <v>1795</v>
      </c>
      <c r="X7" s="32">
        <v>1819</v>
      </c>
      <c r="Y7" s="32">
        <v>1842</v>
      </c>
      <c r="Z7" s="32">
        <v>1817</v>
      </c>
      <c r="AA7" s="32">
        <v>1817</v>
      </c>
      <c r="AB7" s="32">
        <v>1827</v>
      </c>
      <c r="AC7" s="32">
        <v>1844</v>
      </c>
      <c r="AD7" s="32">
        <v>1852</v>
      </c>
      <c r="AE7" s="32">
        <v>1869</v>
      </c>
      <c r="AF7" s="32">
        <v>1864</v>
      </c>
      <c r="AG7" s="32">
        <v>1861</v>
      </c>
      <c r="AH7" s="32">
        <v>1871</v>
      </c>
      <c r="AI7" s="32">
        <v>1872</v>
      </c>
      <c r="AJ7" s="32">
        <v>1854</v>
      </c>
      <c r="AK7" s="32">
        <v>1830</v>
      </c>
      <c r="AL7" s="32">
        <v>1860</v>
      </c>
      <c r="AM7" s="32">
        <v>1871</v>
      </c>
      <c r="AN7" s="32">
        <v>1875</v>
      </c>
      <c r="AO7" s="32">
        <v>1851</v>
      </c>
      <c r="AP7" s="32">
        <v>1848</v>
      </c>
      <c r="AQ7" s="32">
        <v>1847</v>
      </c>
      <c r="AR7" s="32">
        <v>1840</v>
      </c>
      <c r="AS7" s="32">
        <v>1826</v>
      </c>
      <c r="AT7" s="32">
        <v>1888</v>
      </c>
      <c r="AU7" s="32">
        <v>1952</v>
      </c>
      <c r="AV7" s="32">
        <v>2024</v>
      </c>
      <c r="AW7" s="32">
        <v>2083</v>
      </c>
      <c r="AX7" s="32">
        <v>2093</v>
      </c>
      <c r="AY7" s="32">
        <v>2107</v>
      </c>
      <c r="AZ7" s="32">
        <v>2051</v>
      </c>
      <c r="BA7" s="32">
        <v>2025</v>
      </c>
      <c r="BB7" s="32">
        <v>2002</v>
      </c>
      <c r="BC7" s="32">
        <v>1977</v>
      </c>
      <c r="BD7" s="32">
        <v>1977</v>
      </c>
      <c r="BE7" s="32">
        <v>1965</v>
      </c>
      <c r="BF7" s="32">
        <v>1952</v>
      </c>
      <c r="BG7" s="32">
        <v>1907</v>
      </c>
      <c r="BH7" s="32">
        <v>1894</v>
      </c>
      <c r="BI7" s="32">
        <v>1870</v>
      </c>
      <c r="BJ7" s="32">
        <v>1862</v>
      </c>
      <c r="BK7" s="32">
        <v>1847</v>
      </c>
      <c r="BL7" s="32">
        <v>1819</v>
      </c>
      <c r="BM7" s="32">
        <v>1820</v>
      </c>
      <c r="BN7" s="32">
        <v>1807</v>
      </c>
      <c r="BO7" s="32">
        <v>1805</v>
      </c>
      <c r="BP7" s="32">
        <v>1775</v>
      </c>
      <c r="BQ7" s="32">
        <v>1775</v>
      </c>
      <c r="BR7" s="32">
        <v>1784</v>
      </c>
      <c r="BS7" s="32">
        <v>1830</v>
      </c>
      <c r="BT7" s="32">
        <v>1815</v>
      </c>
      <c r="BU7" s="32">
        <v>1808</v>
      </c>
      <c r="BV7" s="32">
        <v>1810</v>
      </c>
      <c r="BW7" s="32">
        <v>1809</v>
      </c>
      <c r="BX7" s="32">
        <v>1775</v>
      </c>
      <c r="BY7" s="32">
        <v>1757</v>
      </c>
      <c r="BZ7" s="32">
        <v>1781</v>
      </c>
      <c r="CA7" s="32">
        <v>1794</v>
      </c>
      <c r="CB7" s="32">
        <v>1794</v>
      </c>
      <c r="CC7" s="32">
        <v>1758</v>
      </c>
      <c r="CD7" s="32">
        <v>1760</v>
      </c>
      <c r="CE7" s="32">
        <v>1712</v>
      </c>
      <c r="CF7" s="32">
        <v>1725</v>
      </c>
      <c r="CG7" s="32">
        <v>1725</v>
      </c>
      <c r="CH7" s="32">
        <v>1731</v>
      </c>
      <c r="CI7" s="32">
        <v>1713</v>
      </c>
      <c r="CJ7" s="32">
        <v>1718</v>
      </c>
      <c r="CK7" s="32">
        <v>1718</v>
      </c>
      <c r="CL7" s="32">
        <v>1729</v>
      </c>
      <c r="CM7" s="32">
        <v>1704</v>
      </c>
      <c r="CN7" s="32">
        <v>1720</v>
      </c>
      <c r="CO7" s="32">
        <v>1697</v>
      </c>
      <c r="CP7" s="32">
        <v>1710</v>
      </c>
      <c r="CQ7" s="32">
        <v>1717</v>
      </c>
      <c r="CR7" s="32">
        <v>1725</v>
      </c>
      <c r="CS7" s="32">
        <v>1692</v>
      </c>
      <c r="CT7" s="32">
        <v>1675</v>
      </c>
      <c r="CU7" s="32">
        <v>1592</v>
      </c>
      <c r="CV7" s="32">
        <v>1532</v>
      </c>
      <c r="CW7" s="32">
        <v>1420</v>
      </c>
      <c r="CX7" s="32">
        <v>1369</v>
      </c>
      <c r="CY7" s="32">
        <v>1324</v>
      </c>
      <c r="CZ7" s="32">
        <v>1282</v>
      </c>
      <c r="DA7" s="32">
        <v>1255</v>
      </c>
      <c r="DB7" s="32">
        <v>1224</v>
      </c>
      <c r="DC7" s="32">
        <v>1186</v>
      </c>
      <c r="DD7" s="32">
        <v>1193</v>
      </c>
      <c r="DE7" s="32">
        <v>1229</v>
      </c>
      <c r="DF7" s="32">
        <v>1228</v>
      </c>
      <c r="DG7" s="32">
        <v>1258</v>
      </c>
      <c r="DH7" s="32">
        <v>1259</v>
      </c>
      <c r="DI7" s="32">
        <v>1266</v>
      </c>
      <c r="DJ7" s="32">
        <v>1250</v>
      </c>
      <c r="DK7" s="32">
        <v>1253</v>
      </c>
      <c r="DL7" s="32">
        <v>1309</v>
      </c>
      <c r="DM7" s="32">
        <v>1305</v>
      </c>
      <c r="DN7" s="32">
        <v>1344</v>
      </c>
      <c r="DO7" s="32">
        <v>1362</v>
      </c>
      <c r="DP7" s="32">
        <v>1401</v>
      </c>
      <c r="DQ7" s="32">
        <v>1404</v>
      </c>
      <c r="DR7" s="32">
        <v>1431</v>
      </c>
      <c r="DS7" s="32">
        <v>1402</v>
      </c>
      <c r="DT7" s="32">
        <v>1410</v>
      </c>
      <c r="DU7" s="32">
        <v>1414</v>
      </c>
      <c r="DV7" s="32">
        <v>1470</v>
      </c>
      <c r="DW7" s="32">
        <v>1484</v>
      </c>
      <c r="DX7" s="32">
        <v>1479</v>
      </c>
      <c r="DY7" s="32">
        <v>1487</v>
      </c>
      <c r="DZ7" s="70"/>
      <c r="EA7" s="72"/>
      <c r="EB7" s="75">
        <f t="shared" si="4"/>
        <v>0.13946360153256698</v>
      </c>
      <c r="EC7" s="33">
        <f t="shared" si="5"/>
        <v>182</v>
      </c>
      <c r="EE7" s="75">
        <f t="shared" si="6"/>
        <v>-0.25681159420289856</v>
      </c>
      <c r="EF7" s="33">
        <f t="shared" si="7"/>
        <v>-443</v>
      </c>
      <c r="EH7" s="75">
        <f t="shared" si="8"/>
        <v>0.15990639625585024</v>
      </c>
      <c r="EI7" s="33">
        <f t="shared" si="9"/>
        <v>205</v>
      </c>
      <c r="EK7" s="75">
        <f t="shared" si="10"/>
        <v>-0.13797101449275362</v>
      </c>
      <c r="EL7" s="33">
        <f t="shared" si="11"/>
        <v>-238</v>
      </c>
    </row>
    <row r="8" spans="2:142" s="20" customFormat="1" ht="15" customHeight="1" x14ac:dyDescent="0.25">
      <c r="B8" s="31" t="s">
        <v>26</v>
      </c>
      <c r="C8" s="32">
        <v>1451</v>
      </c>
      <c r="D8" s="32">
        <v>1437</v>
      </c>
      <c r="E8" s="32">
        <v>1435</v>
      </c>
      <c r="F8" s="32">
        <v>1463</v>
      </c>
      <c r="G8" s="32">
        <v>1417</v>
      </c>
      <c r="H8" s="32">
        <v>1425</v>
      </c>
      <c r="I8" s="32">
        <v>1367</v>
      </c>
      <c r="J8" s="32">
        <v>1378</v>
      </c>
      <c r="K8" s="32">
        <v>1335</v>
      </c>
      <c r="L8" s="32">
        <v>1367</v>
      </c>
      <c r="M8" s="32">
        <v>1359</v>
      </c>
      <c r="N8" s="32">
        <v>1388</v>
      </c>
      <c r="O8" s="32">
        <v>1356</v>
      </c>
      <c r="P8" s="32">
        <v>1397</v>
      </c>
      <c r="Q8" s="32">
        <v>1373</v>
      </c>
      <c r="R8" s="32">
        <v>1377</v>
      </c>
      <c r="S8" s="32">
        <v>1334</v>
      </c>
      <c r="T8" s="32">
        <v>1340</v>
      </c>
      <c r="U8" s="32">
        <v>1314</v>
      </c>
      <c r="V8" s="32">
        <v>1337</v>
      </c>
      <c r="W8" s="32">
        <v>1311</v>
      </c>
      <c r="X8" s="32">
        <v>1307</v>
      </c>
      <c r="Y8" s="32">
        <v>1278</v>
      </c>
      <c r="Z8" s="32">
        <v>1273</v>
      </c>
      <c r="AA8" s="32">
        <v>1295</v>
      </c>
      <c r="AB8" s="32">
        <v>1307</v>
      </c>
      <c r="AC8" s="32">
        <v>1314</v>
      </c>
      <c r="AD8" s="32">
        <v>1279</v>
      </c>
      <c r="AE8" s="32">
        <v>1298</v>
      </c>
      <c r="AF8" s="32">
        <v>1294</v>
      </c>
      <c r="AG8" s="32">
        <v>1331</v>
      </c>
      <c r="AH8" s="32">
        <v>1348</v>
      </c>
      <c r="AI8" s="32">
        <v>1324</v>
      </c>
      <c r="AJ8" s="32">
        <v>1356</v>
      </c>
      <c r="AK8" s="32">
        <v>1342</v>
      </c>
      <c r="AL8" s="32">
        <v>1355</v>
      </c>
      <c r="AM8" s="32">
        <v>1312</v>
      </c>
      <c r="AN8" s="32">
        <v>1296</v>
      </c>
      <c r="AO8" s="32">
        <v>1254</v>
      </c>
      <c r="AP8" s="32">
        <v>1252</v>
      </c>
      <c r="AQ8" s="32">
        <v>1233</v>
      </c>
      <c r="AR8" s="32">
        <v>1265</v>
      </c>
      <c r="AS8" s="32">
        <v>1255</v>
      </c>
      <c r="AT8" s="32">
        <v>1255</v>
      </c>
      <c r="AU8" s="32">
        <v>1237</v>
      </c>
      <c r="AV8" s="32">
        <v>1225</v>
      </c>
      <c r="AW8" s="32">
        <v>1220</v>
      </c>
      <c r="AX8" s="32">
        <v>1172</v>
      </c>
      <c r="AY8" s="32">
        <v>1136</v>
      </c>
      <c r="AZ8" s="32">
        <v>1103</v>
      </c>
      <c r="BA8" s="32">
        <v>1100</v>
      </c>
      <c r="BB8" s="32">
        <v>1133</v>
      </c>
      <c r="BC8" s="32">
        <v>1125</v>
      </c>
      <c r="BD8" s="32">
        <v>1120</v>
      </c>
      <c r="BE8" s="32">
        <v>1122</v>
      </c>
      <c r="BF8" s="32">
        <v>1138</v>
      </c>
      <c r="BG8" s="32">
        <v>1156</v>
      </c>
      <c r="BH8" s="32">
        <v>1127</v>
      </c>
      <c r="BI8" s="32">
        <v>1119</v>
      </c>
      <c r="BJ8" s="32">
        <v>1072</v>
      </c>
      <c r="BK8" s="32">
        <v>1064</v>
      </c>
      <c r="BL8" s="32">
        <v>1086</v>
      </c>
      <c r="BM8" s="32">
        <v>1160</v>
      </c>
      <c r="BN8" s="32">
        <v>1213</v>
      </c>
      <c r="BO8" s="32">
        <v>1266</v>
      </c>
      <c r="BP8" s="32">
        <v>1270</v>
      </c>
      <c r="BQ8" s="32">
        <v>1246</v>
      </c>
      <c r="BR8" s="32">
        <v>1188</v>
      </c>
      <c r="BS8" s="32">
        <v>1146</v>
      </c>
      <c r="BT8" s="32">
        <v>1145</v>
      </c>
      <c r="BU8" s="32">
        <v>1136</v>
      </c>
      <c r="BV8" s="32">
        <v>1150</v>
      </c>
      <c r="BW8" s="32">
        <v>1160</v>
      </c>
      <c r="BX8" s="32">
        <v>1203</v>
      </c>
      <c r="BY8" s="32">
        <v>1229</v>
      </c>
      <c r="BZ8" s="32">
        <v>1269</v>
      </c>
      <c r="CA8" s="32">
        <v>1277</v>
      </c>
      <c r="CB8" s="32">
        <v>1290</v>
      </c>
      <c r="CC8" s="32">
        <v>1270</v>
      </c>
      <c r="CD8" s="32">
        <v>1259</v>
      </c>
      <c r="CE8" s="32">
        <v>1248</v>
      </c>
      <c r="CF8" s="32">
        <v>1207</v>
      </c>
      <c r="CG8" s="32">
        <v>1224</v>
      </c>
      <c r="CH8" s="32">
        <v>1208</v>
      </c>
      <c r="CI8" s="32">
        <v>1201</v>
      </c>
      <c r="CJ8" s="32">
        <v>1219</v>
      </c>
      <c r="CK8" s="32">
        <v>1252</v>
      </c>
      <c r="CL8" s="32">
        <v>1307</v>
      </c>
      <c r="CM8" s="32">
        <v>1310</v>
      </c>
      <c r="CN8" s="32">
        <v>1259</v>
      </c>
      <c r="CO8" s="32">
        <v>1247</v>
      </c>
      <c r="CP8" s="32">
        <v>1209</v>
      </c>
      <c r="CQ8" s="32">
        <v>1218</v>
      </c>
      <c r="CR8" s="32">
        <v>1176</v>
      </c>
      <c r="CS8" s="32">
        <v>1174</v>
      </c>
      <c r="CT8" s="32">
        <v>1188</v>
      </c>
      <c r="CU8" s="32">
        <v>1181</v>
      </c>
      <c r="CV8" s="32">
        <v>1177</v>
      </c>
      <c r="CW8" s="32">
        <v>1177</v>
      </c>
      <c r="CX8" s="32">
        <v>1221</v>
      </c>
      <c r="CY8" s="32">
        <v>1182</v>
      </c>
      <c r="CZ8" s="32">
        <v>1183</v>
      </c>
      <c r="DA8" s="32">
        <v>1140</v>
      </c>
      <c r="DB8" s="32">
        <v>1141</v>
      </c>
      <c r="DC8" s="32">
        <v>1146</v>
      </c>
      <c r="DD8" s="32">
        <v>1175</v>
      </c>
      <c r="DE8" s="32">
        <v>1128</v>
      </c>
      <c r="DF8" s="32">
        <v>1161</v>
      </c>
      <c r="DG8" s="32">
        <v>1168</v>
      </c>
      <c r="DH8" s="32">
        <v>1187</v>
      </c>
      <c r="DI8" s="32">
        <v>1200</v>
      </c>
      <c r="DJ8" s="32">
        <v>1250</v>
      </c>
      <c r="DK8" s="32">
        <v>1287</v>
      </c>
      <c r="DL8" s="32">
        <v>1258</v>
      </c>
      <c r="DM8" s="32">
        <v>1208</v>
      </c>
      <c r="DN8" s="32">
        <v>1226</v>
      </c>
      <c r="DO8" s="32">
        <v>1237</v>
      </c>
      <c r="DP8" s="32">
        <v>1280</v>
      </c>
      <c r="DQ8" s="32">
        <v>1268</v>
      </c>
      <c r="DR8" s="32">
        <v>1258</v>
      </c>
      <c r="DS8" s="32">
        <v>1219</v>
      </c>
      <c r="DT8" s="32">
        <v>1225</v>
      </c>
      <c r="DU8" s="32">
        <v>1251</v>
      </c>
      <c r="DV8" s="32">
        <v>1298</v>
      </c>
      <c r="DW8" s="32">
        <v>1318</v>
      </c>
      <c r="DX8" s="32">
        <v>1337</v>
      </c>
      <c r="DY8" s="32">
        <v>1323</v>
      </c>
      <c r="DZ8" s="70"/>
      <c r="EA8" s="72"/>
      <c r="EB8" s="75">
        <f t="shared" si="4"/>
        <v>9.5198675496688701E-2</v>
      </c>
      <c r="EC8" s="33">
        <f t="shared" si="5"/>
        <v>115</v>
      </c>
      <c r="EE8" s="75">
        <f t="shared" si="6"/>
        <v>5.9523809523809312E-3</v>
      </c>
      <c r="EF8" s="33">
        <f t="shared" si="7"/>
        <v>7</v>
      </c>
      <c r="EH8" s="75">
        <f t="shared" si="8"/>
        <v>0.11834319526627213</v>
      </c>
      <c r="EI8" s="33">
        <f t="shared" si="9"/>
        <v>140</v>
      </c>
      <c r="EK8" s="75">
        <f t="shared" si="10"/>
        <v>0.125</v>
      </c>
      <c r="EL8" s="33">
        <f t="shared" si="11"/>
        <v>147</v>
      </c>
    </row>
    <row r="9" spans="2:142" s="20" customFormat="1" ht="15" customHeight="1" x14ac:dyDescent="0.25">
      <c r="B9" s="76" t="s">
        <v>27</v>
      </c>
      <c r="C9" s="77">
        <v>2059</v>
      </c>
      <c r="D9" s="77">
        <v>2098</v>
      </c>
      <c r="E9" s="77">
        <v>2095</v>
      </c>
      <c r="F9" s="77">
        <v>2155</v>
      </c>
      <c r="G9" s="77">
        <v>2211</v>
      </c>
      <c r="H9" s="77">
        <v>2260</v>
      </c>
      <c r="I9" s="77">
        <v>2223</v>
      </c>
      <c r="J9" s="77">
        <v>2226</v>
      </c>
      <c r="K9" s="77">
        <v>2185</v>
      </c>
      <c r="L9" s="77">
        <v>2113</v>
      </c>
      <c r="M9" s="77">
        <v>1957</v>
      </c>
      <c r="N9" s="77">
        <v>1922</v>
      </c>
      <c r="O9" s="77">
        <v>1918</v>
      </c>
      <c r="P9" s="77">
        <v>2044</v>
      </c>
      <c r="Q9" s="77">
        <v>2106</v>
      </c>
      <c r="R9" s="77">
        <v>2189</v>
      </c>
      <c r="S9" s="77">
        <v>2210</v>
      </c>
      <c r="T9" s="77">
        <v>2231</v>
      </c>
      <c r="U9" s="77">
        <v>2232</v>
      </c>
      <c r="V9" s="77">
        <v>2271</v>
      </c>
      <c r="W9" s="77">
        <v>2268</v>
      </c>
      <c r="X9" s="77">
        <v>2248</v>
      </c>
      <c r="Y9" s="77">
        <v>2136</v>
      </c>
      <c r="Z9" s="77">
        <v>2070</v>
      </c>
      <c r="AA9" s="77">
        <v>2081</v>
      </c>
      <c r="AB9" s="77">
        <v>2179</v>
      </c>
      <c r="AC9" s="77">
        <v>2221</v>
      </c>
      <c r="AD9" s="77">
        <v>2221</v>
      </c>
      <c r="AE9" s="77">
        <v>2232</v>
      </c>
      <c r="AF9" s="77">
        <v>2276</v>
      </c>
      <c r="AG9" s="77">
        <v>2316</v>
      </c>
      <c r="AH9" s="77">
        <v>2340</v>
      </c>
      <c r="AI9" s="77">
        <v>2348</v>
      </c>
      <c r="AJ9" s="77">
        <v>2288</v>
      </c>
      <c r="AK9" s="77">
        <v>2185</v>
      </c>
      <c r="AL9" s="77">
        <v>2110</v>
      </c>
      <c r="AM9" s="77">
        <v>2111</v>
      </c>
      <c r="AN9" s="77">
        <v>2172</v>
      </c>
      <c r="AO9" s="77">
        <v>2199</v>
      </c>
      <c r="AP9" s="77">
        <v>2239</v>
      </c>
      <c r="AQ9" s="77">
        <v>2291</v>
      </c>
      <c r="AR9" s="77">
        <v>2324</v>
      </c>
      <c r="AS9" s="77">
        <v>2338</v>
      </c>
      <c r="AT9" s="77">
        <v>2338</v>
      </c>
      <c r="AU9" s="77">
        <v>2311</v>
      </c>
      <c r="AV9" s="77">
        <v>2257</v>
      </c>
      <c r="AW9" s="77">
        <v>2103</v>
      </c>
      <c r="AX9" s="77">
        <v>2019</v>
      </c>
      <c r="AY9" s="77">
        <v>2002</v>
      </c>
      <c r="AZ9" s="77">
        <v>2097</v>
      </c>
      <c r="BA9" s="77">
        <v>2183</v>
      </c>
      <c r="BB9" s="77">
        <v>2222</v>
      </c>
      <c r="BC9" s="77">
        <v>2230</v>
      </c>
      <c r="BD9" s="77">
        <v>2240</v>
      </c>
      <c r="BE9" s="77">
        <v>2203</v>
      </c>
      <c r="BF9" s="77">
        <v>2177</v>
      </c>
      <c r="BG9" s="77">
        <v>2151</v>
      </c>
      <c r="BH9" s="77">
        <v>2026</v>
      </c>
      <c r="BI9" s="77">
        <v>1877</v>
      </c>
      <c r="BJ9" s="77">
        <v>1799</v>
      </c>
      <c r="BK9" s="77">
        <v>1827</v>
      </c>
      <c r="BL9" s="77">
        <v>2037</v>
      </c>
      <c r="BM9" s="77">
        <v>2172</v>
      </c>
      <c r="BN9" s="77">
        <v>2333</v>
      </c>
      <c r="BO9" s="77">
        <v>2391</v>
      </c>
      <c r="BP9" s="77">
        <v>2449</v>
      </c>
      <c r="BQ9" s="77">
        <v>2453</v>
      </c>
      <c r="BR9" s="77">
        <v>2484</v>
      </c>
      <c r="BS9" s="77">
        <v>2520</v>
      </c>
      <c r="BT9" s="77">
        <v>2479</v>
      </c>
      <c r="BU9" s="77">
        <v>2311</v>
      </c>
      <c r="BV9" s="77">
        <v>2160</v>
      </c>
      <c r="BW9" s="77">
        <v>2172</v>
      </c>
      <c r="BX9" s="77">
        <v>2278</v>
      </c>
      <c r="BY9" s="77">
        <v>2366</v>
      </c>
      <c r="BZ9" s="77">
        <v>2452</v>
      </c>
      <c r="CA9" s="77">
        <v>2489</v>
      </c>
      <c r="CB9" s="77">
        <v>2522</v>
      </c>
      <c r="CC9" s="77">
        <v>2552</v>
      </c>
      <c r="CD9" s="77">
        <v>2556</v>
      </c>
      <c r="CE9" s="77">
        <v>2585</v>
      </c>
      <c r="CF9" s="77">
        <v>2470</v>
      </c>
      <c r="CG9" s="77">
        <v>2288</v>
      </c>
      <c r="CH9" s="77">
        <v>2151</v>
      </c>
      <c r="CI9" s="77">
        <v>2159</v>
      </c>
      <c r="CJ9" s="77">
        <v>2284</v>
      </c>
      <c r="CK9" s="77">
        <v>2394</v>
      </c>
      <c r="CL9" s="77">
        <v>2473</v>
      </c>
      <c r="CM9" s="77">
        <v>2525</v>
      </c>
      <c r="CN9" s="77">
        <v>2535</v>
      </c>
      <c r="CO9" s="77">
        <v>2599</v>
      </c>
      <c r="CP9" s="77">
        <v>2627</v>
      </c>
      <c r="CQ9" s="77">
        <v>2622</v>
      </c>
      <c r="CR9" s="77">
        <v>2508</v>
      </c>
      <c r="CS9" s="77">
        <v>2383</v>
      </c>
      <c r="CT9" s="77">
        <v>2278</v>
      </c>
      <c r="CU9" s="77">
        <v>2343</v>
      </c>
      <c r="CV9" s="77">
        <v>2452</v>
      </c>
      <c r="CW9" s="77">
        <v>2474</v>
      </c>
      <c r="CX9" s="77">
        <v>2437</v>
      </c>
      <c r="CY9" s="77">
        <v>2342</v>
      </c>
      <c r="CZ9" s="77">
        <v>2272</v>
      </c>
      <c r="DA9" s="77">
        <v>2251</v>
      </c>
      <c r="DB9" s="77">
        <v>2323</v>
      </c>
      <c r="DC9" s="77">
        <v>2335</v>
      </c>
      <c r="DD9" s="77">
        <v>2287</v>
      </c>
      <c r="DE9" s="77">
        <v>2092</v>
      </c>
      <c r="DF9" s="77">
        <v>1978</v>
      </c>
      <c r="DG9" s="77">
        <v>1920</v>
      </c>
      <c r="DH9" s="77">
        <v>1992</v>
      </c>
      <c r="DI9" s="77">
        <v>2080</v>
      </c>
      <c r="DJ9" s="77">
        <v>2128</v>
      </c>
      <c r="DK9" s="77">
        <v>2169</v>
      </c>
      <c r="DL9" s="77">
        <v>2213</v>
      </c>
      <c r="DM9" s="77">
        <v>2256</v>
      </c>
      <c r="DN9" s="77">
        <v>2333</v>
      </c>
      <c r="DO9" s="77">
        <v>2437</v>
      </c>
      <c r="DP9" s="77">
        <v>2488</v>
      </c>
      <c r="DQ9" s="77">
        <v>2421</v>
      </c>
      <c r="DR9" s="77">
        <v>2397</v>
      </c>
      <c r="DS9" s="77">
        <v>2351</v>
      </c>
      <c r="DT9" s="77">
        <v>2497</v>
      </c>
      <c r="DU9" s="77">
        <v>2600</v>
      </c>
      <c r="DV9" s="77">
        <v>2738</v>
      </c>
      <c r="DW9" s="77">
        <v>2851</v>
      </c>
      <c r="DX9" s="77">
        <v>2934</v>
      </c>
      <c r="DY9" s="77">
        <v>3055</v>
      </c>
      <c r="DZ9" s="70"/>
      <c r="EA9" s="72"/>
      <c r="EB9" s="75">
        <f t="shared" si="4"/>
        <v>0.35416666666666674</v>
      </c>
      <c r="EC9" s="33">
        <f t="shared" si="5"/>
        <v>799</v>
      </c>
      <c r="EE9" s="75">
        <f t="shared" si="6"/>
        <v>-9.4098883572567793E-2</v>
      </c>
      <c r="EF9" s="33">
        <f t="shared" si="7"/>
        <v>-236</v>
      </c>
      <c r="EH9" s="75">
        <f t="shared" si="8"/>
        <v>0.34463028169014076</v>
      </c>
      <c r="EI9" s="33">
        <f t="shared" si="9"/>
        <v>783</v>
      </c>
      <c r="EK9" s="75">
        <f t="shared" si="10"/>
        <v>0.21810207336523124</v>
      </c>
      <c r="EL9" s="33">
        <f t="shared" si="11"/>
        <v>547</v>
      </c>
    </row>
    <row r="10" spans="2:142" s="20" customFormat="1" ht="15" customHeight="1" x14ac:dyDescent="0.25">
      <c r="B10" s="31" t="s">
        <v>28</v>
      </c>
      <c r="C10" s="32">
        <v>7257</v>
      </c>
      <c r="D10" s="32">
        <v>7349</v>
      </c>
      <c r="E10" s="32">
        <v>7396</v>
      </c>
      <c r="F10" s="32">
        <v>7413</v>
      </c>
      <c r="G10" s="32">
        <v>7491</v>
      </c>
      <c r="H10" s="32">
        <v>7520</v>
      </c>
      <c r="I10" s="32">
        <v>7569</v>
      </c>
      <c r="J10" s="32">
        <v>7523</v>
      </c>
      <c r="K10" s="32">
        <v>7519</v>
      </c>
      <c r="L10" s="32">
        <v>7423</v>
      </c>
      <c r="M10" s="32">
        <v>7374</v>
      </c>
      <c r="N10" s="32">
        <v>7312</v>
      </c>
      <c r="O10" s="32">
        <v>7385</v>
      </c>
      <c r="P10" s="32">
        <v>7419</v>
      </c>
      <c r="Q10" s="32">
        <v>7428</v>
      </c>
      <c r="R10" s="32">
        <v>7482</v>
      </c>
      <c r="S10" s="32">
        <v>7551</v>
      </c>
      <c r="T10" s="32">
        <v>7556</v>
      </c>
      <c r="U10" s="32">
        <v>7544</v>
      </c>
      <c r="V10" s="32">
        <v>7485</v>
      </c>
      <c r="W10" s="32">
        <v>7510</v>
      </c>
      <c r="X10" s="32">
        <v>7439</v>
      </c>
      <c r="Y10" s="32">
        <v>7452</v>
      </c>
      <c r="Z10" s="32">
        <v>7496</v>
      </c>
      <c r="AA10" s="32">
        <v>7580</v>
      </c>
      <c r="AB10" s="32">
        <v>7635</v>
      </c>
      <c r="AC10" s="32">
        <v>7662</v>
      </c>
      <c r="AD10" s="32">
        <v>7632</v>
      </c>
      <c r="AE10" s="32">
        <v>7660</v>
      </c>
      <c r="AF10" s="32">
        <v>7698</v>
      </c>
      <c r="AG10" s="32">
        <v>7680</v>
      </c>
      <c r="AH10" s="32">
        <v>7732</v>
      </c>
      <c r="AI10" s="32">
        <v>7719</v>
      </c>
      <c r="AJ10" s="32">
        <v>7685</v>
      </c>
      <c r="AK10" s="32">
        <v>7620</v>
      </c>
      <c r="AL10" s="32">
        <v>7597</v>
      </c>
      <c r="AM10" s="32">
        <v>7608</v>
      </c>
      <c r="AN10" s="32">
        <v>7691</v>
      </c>
      <c r="AO10" s="32">
        <v>7685</v>
      </c>
      <c r="AP10" s="32">
        <v>7664</v>
      </c>
      <c r="AQ10" s="32">
        <v>7667</v>
      </c>
      <c r="AR10" s="32">
        <v>7671</v>
      </c>
      <c r="AS10" s="32">
        <v>7678</v>
      </c>
      <c r="AT10" s="32">
        <v>7643</v>
      </c>
      <c r="AU10" s="32">
        <v>7568</v>
      </c>
      <c r="AV10" s="32">
        <v>7574</v>
      </c>
      <c r="AW10" s="32">
        <v>7613</v>
      </c>
      <c r="AX10" s="32">
        <v>7589</v>
      </c>
      <c r="AY10" s="32">
        <v>7554</v>
      </c>
      <c r="AZ10" s="32">
        <v>7587</v>
      </c>
      <c r="BA10" s="32">
        <v>7601</v>
      </c>
      <c r="BB10" s="32">
        <v>7649</v>
      </c>
      <c r="BC10" s="32">
        <v>7598</v>
      </c>
      <c r="BD10" s="32">
        <v>7727</v>
      </c>
      <c r="BE10" s="32">
        <v>7747</v>
      </c>
      <c r="BF10" s="32">
        <v>7816</v>
      </c>
      <c r="BG10" s="32">
        <v>7835</v>
      </c>
      <c r="BH10" s="32">
        <v>7811</v>
      </c>
      <c r="BI10" s="32">
        <v>7704</v>
      </c>
      <c r="BJ10" s="32">
        <v>7682</v>
      </c>
      <c r="BK10" s="32">
        <v>7695</v>
      </c>
      <c r="BL10" s="32">
        <v>7608</v>
      </c>
      <c r="BM10" s="32">
        <v>7552</v>
      </c>
      <c r="BN10" s="32">
        <v>7482</v>
      </c>
      <c r="BO10" s="32">
        <v>7500</v>
      </c>
      <c r="BP10" s="32">
        <v>7464</v>
      </c>
      <c r="BQ10" s="32">
        <v>7506</v>
      </c>
      <c r="BR10" s="32">
        <v>7577</v>
      </c>
      <c r="BS10" s="32">
        <v>7604</v>
      </c>
      <c r="BT10" s="32">
        <v>7569</v>
      </c>
      <c r="BU10" s="32">
        <v>7586</v>
      </c>
      <c r="BV10" s="32">
        <v>7616</v>
      </c>
      <c r="BW10" s="32">
        <v>7631</v>
      </c>
      <c r="BX10" s="32">
        <v>7612</v>
      </c>
      <c r="BY10" s="32">
        <v>7611</v>
      </c>
      <c r="BZ10" s="32">
        <v>7603</v>
      </c>
      <c r="CA10" s="32">
        <v>7611</v>
      </c>
      <c r="CB10" s="32">
        <v>7634</v>
      </c>
      <c r="CC10" s="32">
        <v>7642</v>
      </c>
      <c r="CD10" s="32">
        <v>7641</v>
      </c>
      <c r="CE10" s="32">
        <v>7666</v>
      </c>
      <c r="CF10" s="32">
        <v>7698</v>
      </c>
      <c r="CG10" s="32">
        <v>7718</v>
      </c>
      <c r="CH10" s="32">
        <v>7696</v>
      </c>
      <c r="CI10" s="32">
        <v>7772</v>
      </c>
      <c r="CJ10" s="32">
        <v>7738</v>
      </c>
      <c r="CK10" s="32">
        <v>7675</v>
      </c>
      <c r="CL10" s="32">
        <v>7656</v>
      </c>
      <c r="CM10" s="32">
        <v>7662</v>
      </c>
      <c r="CN10" s="32">
        <v>7664</v>
      </c>
      <c r="CO10" s="32">
        <v>7637</v>
      </c>
      <c r="CP10" s="32">
        <v>7636</v>
      </c>
      <c r="CQ10" s="32">
        <v>7645</v>
      </c>
      <c r="CR10" s="32">
        <v>7731</v>
      </c>
      <c r="CS10" s="32">
        <v>7740</v>
      </c>
      <c r="CT10" s="32">
        <v>7685</v>
      </c>
      <c r="CU10" s="32">
        <v>7865</v>
      </c>
      <c r="CV10" s="32">
        <v>7975</v>
      </c>
      <c r="CW10" s="32">
        <v>8238</v>
      </c>
      <c r="CX10" s="32">
        <v>8291</v>
      </c>
      <c r="CY10" s="32">
        <v>8169</v>
      </c>
      <c r="CZ10" s="32">
        <v>8051</v>
      </c>
      <c r="DA10" s="32">
        <v>8027</v>
      </c>
      <c r="DB10" s="32">
        <v>8085</v>
      </c>
      <c r="DC10" s="32">
        <v>8223</v>
      </c>
      <c r="DD10" s="32">
        <v>8218</v>
      </c>
      <c r="DE10" s="32">
        <v>8357</v>
      </c>
      <c r="DF10" s="32">
        <v>8413</v>
      </c>
      <c r="DG10" s="32">
        <v>8321</v>
      </c>
      <c r="DH10" s="32">
        <v>8234</v>
      </c>
      <c r="DI10" s="32">
        <v>8256</v>
      </c>
      <c r="DJ10" s="32">
        <v>8081</v>
      </c>
      <c r="DK10" s="32">
        <v>7982</v>
      </c>
      <c r="DL10" s="32">
        <v>7759</v>
      </c>
      <c r="DM10" s="32">
        <v>7704</v>
      </c>
      <c r="DN10" s="32">
        <v>7593</v>
      </c>
      <c r="DO10" s="32">
        <v>7600</v>
      </c>
      <c r="DP10" s="32">
        <v>7607</v>
      </c>
      <c r="DQ10" s="32">
        <v>7673</v>
      </c>
      <c r="DR10" s="32">
        <v>7687</v>
      </c>
      <c r="DS10" s="32">
        <v>7692</v>
      </c>
      <c r="DT10" s="32">
        <v>7760</v>
      </c>
      <c r="DU10" s="32">
        <v>7765</v>
      </c>
      <c r="DV10" s="32">
        <v>7830</v>
      </c>
      <c r="DW10" s="32">
        <v>7858</v>
      </c>
      <c r="DX10" s="32">
        <v>7826</v>
      </c>
      <c r="DY10" s="32">
        <v>7778</v>
      </c>
      <c r="DZ10" s="70"/>
      <c r="EB10" s="75">
        <f t="shared" si="4"/>
        <v>9.605399792315783E-3</v>
      </c>
      <c r="EC10" s="33">
        <f t="shared" si="5"/>
        <v>74</v>
      </c>
      <c r="EE10" s="75">
        <f t="shared" si="6"/>
        <v>4.1391799249773653E-2</v>
      </c>
      <c r="EF10" s="33">
        <f t="shared" si="7"/>
        <v>320</v>
      </c>
      <c r="EH10" s="75">
        <f t="shared" si="8"/>
        <v>-3.3908831201093004E-2</v>
      </c>
      <c r="EI10" s="33">
        <f t="shared" si="9"/>
        <v>-273</v>
      </c>
      <c r="EK10" s="75">
        <f t="shared" si="10"/>
        <v>6.0794205148104741E-3</v>
      </c>
      <c r="EL10" s="33">
        <f t="shared" si="11"/>
        <v>47</v>
      </c>
    </row>
    <row r="11" spans="2:142" s="20" customFormat="1" ht="15" customHeight="1" x14ac:dyDescent="0.25">
      <c r="B11" s="31" t="s">
        <v>29</v>
      </c>
      <c r="C11" s="32" t="s">
        <v>23</v>
      </c>
      <c r="D11" s="32" t="s">
        <v>23</v>
      </c>
      <c r="E11" s="32" t="s">
        <v>23</v>
      </c>
      <c r="F11" s="32" t="s">
        <v>23</v>
      </c>
      <c r="G11" s="32" t="s">
        <v>23</v>
      </c>
      <c r="H11" s="32" t="s">
        <v>23</v>
      </c>
      <c r="I11" s="32" t="s">
        <v>23</v>
      </c>
      <c r="J11" s="32" t="s">
        <v>23</v>
      </c>
      <c r="K11" s="32" t="s">
        <v>23</v>
      </c>
      <c r="L11" s="32" t="s">
        <v>23</v>
      </c>
      <c r="M11" s="32" t="s">
        <v>23</v>
      </c>
      <c r="N11" s="32" t="s">
        <v>23</v>
      </c>
      <c r="O11" s="32" t="s">
        <v>23</v>
      </c>
      <c r="P11" s="32" t="s">
        <v>23</v>
      </c>
      <c r="Q11" s="32" t="s">
        <v>23</v>
      </c>
      <c r="R11" s="32" t="s">
        <v>23</v>
      </c>
      <c r="S11" s="32" t="s">
        <v>23</v>
      </c>
      <c r="T11" s="32" t="s">
        <v>23</v>
      </c>
      <c r="U11" s="32" t="s">
        <v>23</v>
      </c>
      <c r="V11" s="32" t="s">
        <v>23</v>
      </c>
      <c r="W11" s="32" t="s">
        <v>23</v>
      </c>
      <c r="X11" s="32" t="s">
        <v>23</v>
      </c>
      <c r="Y11" s="32" t="s">
        <v>23</v>
      </c>
      <c r="Z11" s="32" t="s">
        <v>23</v>
      </c>
      <c r="AA11" s="32" t="s">
        <v>23</v>
      </c>
      <c r="AB11" s="32" t="s">
        <v>23</v>
      </c>
      <c r="AC11" s="32" t="s">
        <v>23</v>
      </c>
      <c r="AD11" s="32" t="s">
        <v>23</v>
      </c>
      <c r="AE11" s="32" t="s">
        <v>23</v>
      </c>
      <c r="AF11" s="32" t="s">
        <v>23</v>
      </c>
      <c r="AG11" s="32" t="s">
        <v>23</v>
      </c>
      <c r="AH11" s="32" t="s">
        <v>23</v>
      </c>
      <c r="AI11" s="32" t="s">
        <v>23</v>
      </c>
      <c r="AJ11" s="32" t="s">
        <v>23</v>
      </c>
      <c r="AK11" s="32" t="s">
        <v>23</v>
      </c>
      <c r="AL11" s="32" t="s">
        <v>23</v>
      </c>
      <c r="AM11" s="32" t="s">
        <v>23</v>
      </c>
      <c r="AN11" s="32" t="s">
        <v>23</v>
      </c>
      <c r="AO11" s="32" t="s">
        <v>23</v>
      </c>
      <c r="AP11" s="32" t="s">
        <v>23</v>
      </c>
      <c r="AQ11" s="32" t="s">
        <v>23</v>
      </c>
      <c r="AR11" s="32" t="s">
        <v>23</v>
      </c>
      <c r="AS11" s="32" t="s">
        <v>23</v>
      </c>
      <c r="AT11" s="32" t="s">
        <v>23</v>
      </c>
      <c r="AU11" s="32" t="s">
        <v>23</v>
      </c>
      <c r="AV11" s="32">
        <v>3224</v>
      </c>
      <c r="AW11" s="32">
        <v>3159</v>
      </c>
      <c r="AX11" s="32">
        <v>3081</v>
      </c>
      <c r="AY11" s="32">
        <v>3053</v>
      </c>
      <c r="AZ11" s="32">
        <v>3050</v>
      </c>
      <c r="BA11" s="32">
        <v>3106</v>
      </c>
      <c r="BB11" s="32">
        <v>3055</v>
      </c>
      <c r="BC11" s="32">
        <v>3123</v>
      </c>
      <c r="BD11" s="32">
        <v>3202</v>
      </c>
      <c r="BE11" s="32">
        <v>3300</v>
      </c>
      <c r="BF11" s="32">
        <v>3347</v>
      </c>
      <c r="BG11" s="32">
        <v>3391</v>
      </c>
      <c r="BH11" s="32">
        <v>3362</v>
      </c>
      <c r="BI11" s="32">
        <v>3373</v>
      </c>
      <c r="BJ11" s="32">
        <v>3292</v>
      </c>
      <c r="BK11" s="32">
        <v>3312</v>
      </c>
      <c r="BL11" s="32">
        <v>3290</v>
      </c>
      <c r="BM11" s="32">
        <v>3275</v>
      </c>
      <c r="BN11" s="32">
        <v>3313</v>
      </c>
      <c r="BO11" s="32">
        <v>3354</v>
      </c>
      <c r="BP11" s="32">
        <v>3317</v>
      </c>
      <c r="BQ11" s="32">
        <v>3327</v>
      </c>
      <c r="BR11" s="32">
        <v>3386</v>
      </c>
      <c r="BS11" s="32">
        <v>3449</v>
      </c>
      <c r="BT11" s="32">
        <v>3458</v>
      </c>
      <c r="BU11" s="32">
        <v>3424</v>
      </c>
      <c r="BV11" s="32">
        <v>3416</v>
      </c>
      <c r="BW11" s="32">
        <v>3409</v>
      </c>
      <c r="BX11" s="32">
        <v>3382</v>
      </c>
      <c r="BY11" s="32">
        <v>3373</v>
      </c>
      <c r="BZ11" s="32">
        <v>3392</v>
      </c>
      <c r="CA11" s="32">
        <v>3442</v>
      </c>
      <c r="CB11" s="32">
        <v>3455</v>
      </c>
      <c r="CC11" s="32">
        <v>3456</v>
      </c>
      <c r="CD11" s="32">
        <v>3532</v>
      </c>
      <c r="CE11" s="32">
        <v>3528</v>
      </c>
      <c r="CF11" s="32">
        <v>3564</v>
      </c>
      <c r="CG11" s="32">
        <v>3586</v>
      </c>
      <c r="CH11" s="32">
        <v>3612</v>
      </c>
      <c r="CI11" s="32">
        <v>3538</v>
      </c>
      <c r="CJ11" s="32">
        <v>3468</v>
      </c>
      <c r="CK11" s="32">
        <v>3485</v>
      </c>
      <c r="CL11" s="32">
        <v>3452</v>
      </c>
      <c r="CM11" s="32">
        <v>3437</v>
      </c>
      <c r="CN11" s="32">
        <v>3473</v>
      </c>
      <c r="CO11" s="32">
        <v>3526</v>
      </c>
      <c r="CP11" s="32">
        <v>3623</v>
      </c>
      <c r="CQ11" s="32">
        <v>3658</v>
      </c>
      <c r="CR11" s="32">
        <v>3601</v>
      </c>
      <c r="CS11" s="32">
        <v>3576</v>
      </c>
      <c r="CT11" s="32">
        <v>3556</v>
      </c>
      <c r="CU11" s="32">
        <v>3538</v>
      </c>
      <c r="CV11" s="32">
        <v>3401</v>
      </c>
      <c r="CW11" s="32">
        <v>3283</v>
      </c>
      <c r="CX11" s="32">
        <v>3230</v>
      </c>
      <c r="CY11" s="32">
        <v>3208</v>
      </c>
      <c r="CZ11" s="32">
        <v>3172</v>
      </c>
      <c r="DA11" s="32">
        <v>3126</v>
      </c>
      <c r="DB11" s="32">
        <v>3165</v>
      </c>
      <c r="DC11" s="32">
        <v>3213</v>
      </c>
      <c r="DD11" s="32">
        <v>3211</v>
      </c>
      <c r="DE11" s="32">
        <v>3151</v>
      </c>
      <c r="DF11" s="32">
        <v>3112</v>
      </c>
      <c r="DG11" s="32">
        <v>3039</v>
      </c>
      <c r="DH11" s="32">
        <v>3046</v>
      </c>
      <c r="DI11" s="32">
        <v>3012</v>
      </c>
      <c r="DJ11" s="32">
        <v>3050</v>
      </c>
      <c r="DK11" s="32">
        <v>2981</v>
      </c>
      <c r="DL11" s="32">
        <v>3030</v>
      </c>
      <c r="DM11" s="32">
        <v>3063</v>
      </c>
      <c r="DN11" s="32">
        <v>3105</v>
      </c>
      <c r="DO11" s="32">
        <v>3110</v>
      </c>
      <c r="DP11" s="32">
        <v>3124</v>
      </c>
      <c r="DQ11" s="32">
        <v>3250</v>
      </c>
      <c r="DR11" s="32">
        <v>3293</v>
      </c>
      <c r="DS11" s="32">
        <v>3310</v>
      </c>
      <c r="DT11" s="32">
        <v>3321</v>
      </c>
      <c r="DU11" s="32">
        <v>3415</v>
      </c>
      <c r="DV11" s="32">
        <v>3437</v>
      </c>
      <c r="DW11" s="32">
        <v>3504</v>
      </c>
      <c r="DX11" s="32">
        <v>3514</v>
      </c>
      <c r="DY11" s="32">
        <v>3543</v>
      </c>
      <c r="DZ11" s="70"/>
      <c r="EB11" s="75">
        <f t="shared" si="4"/>
        <v>0.1567091087169441</v>
      </c>
      <c r="EC11" s="33">
        <f t="shared" si="5"/>
        <v>480</v>
      </c>
      <c r="EE11" s="75">
        <f t="shared" si="6"/>
        <v>-0.11913357400722024</v>
      </c>
      <c r="EF11" s="33">
        <f t="shared" si="7"/>
        <v>-429</v>
      </c>
      <c r="EH11" s="75">
        <f t="shared" si="8"/>
        <v>0.11696090794451441</v>
      </c>
      <c r="EI11" s="33">
        <f t="shared" si="9"/>
        <v>371</v>
      </c>
      <c r="EK11" s="75">
        <f t="shared" si="10"/>
        <v>-1.610663704526516E-2</v>
      </c>
      <c r="EL11" s="33">
        <f t="shared" si="11"/>
        <v>-58</v>
      </c>
    </row>
    <row r="12" spans="2:142" s="20" customFormat="1" ht="15" customHeight="1" x14ac:dyDescent="0.25">
      <c r="B12" s="31" t="s">
        <v>30</v>
      </c>
      <c r="C12" s="32" t="s">
        <v>23</v>
      </c>
      <c r="D12" s="32" t="s">
        <v>23</v>
      </c>
      <c r="E12" s="32" t="s">
        <v>23</v>
      </c>
      <c r="F12" s="32" t="s">
        <v>23</v>
      </c>
      <c r="G12" s="32" t="s">
        <v>23</v>
      </c>
      <c r="H12" s="32" t="s">
        <v>23</v>
      </c>
      <c r="I12" s="32" t="s">
        <v>23</v>
      </c>
      <c r="J12" s="32" t="s">
        <v>23</v>
      </c>
      <c r="K12" s="32" t="s">
        <v>23</v>
      </c>
      <c r="L12" s="32" t="s">
        <v>23</v>
      </c>
      <c r="M12" s="32" t="s">
        <v>23</v>
      </c>
      <c r="N12" s="32" t="s">
        <v>23</v>
      </c>
      <c r="O12" s="32" t="s">
        <v>23</v>
      </c>
      <c r="P12" s="32" t="s">
        <v>23</v>
      </c>
      <c r="Q12" s="32" t="s">
        <v>23</v>
      </c>
      <c r="R12" s="32" t="s">
        <v>23</v>
      </c>
      <c r="S12" s="32" t="s">
        <v>23</v>
      </c>
      <c r="T12" s="32" t="s">
        <v>23</v>
      </c>
      <c r="U12" s="32" t="s">
        <v>23</v>
      </c>
      <c r="V12" s="32" t="s">
        <v>23</v>
      </c>
      <c r="W12" s="32" t="s">
        <v>23</v>
      </c>
      <c r="X12" s="32" t="s">
        <v>23</v>
      </c>
      <c r="Y12" s="32" t="s">
        <v>23</v>
      </c>
      <c r="Z12" s="32" t="s">
        <v>23</v>
      </c>
      <c r="AA12" s="32" t="s">
        <v>23</v>
      </c>
      <c r="AB12" s="32" t="s">
        <v>23</v>
      </c>
      <c r="AC12" s="32" t="s">
        <v>23</v>
      </c>
      <c r="AD12" s="32" t="s">
        <v>23</v>
      </c>
      <c r="AE12" s="32" t="s">
        <v>23</v>
      </c>
      <c r="AF12" s="32" t="s">
        <v>23</v>
      </c>
      <c r="AG12" s="32" t="s">
        <v>23</v>
      </c>
      <c r="AH12" s="32" t="s">
        <v>23</v>
      </c>
      <c r="AI12" s="32" t="s">
        <v>23</v>
      </c>
      <c r="AJ12" s="32" t="s">
        <v>23</v>
      </c>
      <c r="AK12" s="32" t="s">
        <v>23</v>
      </c>
      <c r="AL12" s="32" t="s">
        <v>23</v>
      </c>
      <c r="AM12" s="32" t="s">
        <v>23</v>
      </c>
      <c r="AN12" s="32" t="s">
        <v>23</v>
      </c>
      <c r="AO12" s="32" t="s">
        <v>23</v>
      </c>
      <c r="AP12" s="32" t="s">
        <v>23</v>
      </c>
      <c r="AQ12" s="32" t="s">
        <v>23</v>
      </c>
      <c r="AR12" s="32" t="s">
        <v>23</v>
      </c>
      <c r="AS12" s="32" t="s">
        <v>23</v>
      </c>
      <c r="AT12" s="32" t="s">
        <v>23</v>
      </c>
      <c r="AU12" s="32" t="s">
        <v>23</v>
      </c>
      <c r="AV12" s="32">
        <v>4278</v>
      </c>
      <c r="AW12" s="32">
        <v>4422</v>
      </c>
      <c r="AX12" s="32">
        <v>4542</v>
      </c>
      <c r="AY12" s="32">
        <v>4540</v>
      </c>
      <c r="AZ12" s="32">
        <v>4412</v>
      </c>
      <c r="BA12" s="32">
        <v>4345</v>
      </c>
      <c r="BB12" s="32">
        <v>4320</v>
      </c>
      <c r="BC12" s="32">
        <v>4185</v>
      </c>
      <c r="BD12" s="32">
        <v>4186</v>
      </c>
      <c r="BE12" s="32">
        <v>4043</v>
      </c>
      <c r="BF12" s="32">
        <v>4014</v>
      </c>
      <c r="BG12" s="32">
        <v>3967</v>
      </c>
      <c r="BH12" s="32">
        <v>3960</v>
      </c>
      <c r="BI12" s="32">
        <v>3996</v>
      </c>
      <c r="BJ12" s="32">
        <v>4017</v>
      </c>
      <c r="BK12" s="32">
        <v>4026</v>
      </c>
      <c r="BL12" s="32">
        <v>4047</v>
      </c>
      <c r="BM12" s="32">
        <v>4077</v>
      </c>
      <c r="BN12" s="32">
        <v>4068</v>
      </c>
      <c r="BO12" s="32">
        <v>4093</v>
      </c>
      <c r="BP12" s="32">
        <v>4134</v>
      </c>
      <c r="BQ12" s="32">
        <v>4163</v>
      </c>
      <c r="BR12" s="32">
        <v>4228</v>
      </c>
      <c r="BS12" s="32">
        <v>4307</v>
      </c>
      <c r="BT12" s="32">
        <v>4408</v>
      </c>
      <c r="BU12" s="32">
        <v>4395</v>
      </c>
      <c r="BV12" s="32">
        <v>4354</v>
      </c>
      <c r="BW12" s="32">
        <v>4301</v>
      </c>
      <c r="BX12" s="32">
        <v>4314</v>
      </c>
      <c r="BY12" s="32">
        <v>4299</v>
      </c>
      <c r="BZ12" s="32">
        <v>4383</v>
      </c>
      <c r="CA12" s="32">
        <v>4430</v>
      </c>
      <c r="CB12" s="32">
        <v>4468</v>
      </c>
      <c r="CC12" s="32">
        <v>4512</v>
      </c>
      <c r="CD12" s="32">
        <v>4561</v>
      </c>
      <c r="CE12" s="32">
        <v>4624</v>
      </c>
      <c r="CF12" s="32">
        <v>4638</v>
      </c>
      <c r="CG12" s="32">
        <v>4684</v>
      </c>
      <c r="CH12" s="32">
        <v>4714</v>
      </c>
      <c r="CI12" s="32">
        <v>4711</v>
      </c>
      <c r="CJ12" s="32">
        <v>4688</v>
      </c>
      <c r="CK12" s="32">
        <v>4702</v>
      </c>
      <c r="CL12" s="32">
        <v>4701</v>
      </c>
      <c r="CM12" s="32">
        <v>4770</v>
      </c>
      <c r="CN12" s="32">
        <v>4840</v>
      </c>
      <c r="CO12" s="32">
        <v>4912</v>
      </c>
      <c r="CP12" s="32">
        <v>4945</v>
      </c>
      <c r="CQ12" s="32">
        <v>5003</v>
      </c>
      <c r="CR12" s="32">
        <v>5065</v>
      </c>
      <c r="CS12" s="32">
        <v>5202</v>
      </c>
      <c r="CT12" s="32">
        <v>5281</v>
      </c>
      <c r="CU12" s="32">
        <v>5415</v>
      </c>
      <c r="CV12" s="32">
        <v>5493</v>
      </c>
      <c r="CW12" s="32">
        <v>5459</v>
      </c>
      <c r="CX12" s="32">
        <v>5319</v>
      </c>
      <c r="CY12" s="32">
        <v>5153</v>
      </c>
      <c r="CZ12" s="32">
        <v>5039</v>
      </c>
      <c r="DA12" s="32">
        <v>5094</v>
      </c>
      <c r="DB12" s="32">
        <v>5260</v>
      </c>
      <c r="DC12" s="32">
        <v>5349</v>
      </c>
      <c r="DD12" s="32">
        <v>5497</v>
      </c>
      <c r="DE12" s="32">
        <v>5475</v>
      </c>
      <c r="DF12" s="32">
        <v>5692</v>
      </c>
      <c r="DG12" s="32">
        <v>5808</v>
      </c>
      <c r="DH12" s="32">
        <v>5821</v>
      </c>
      <c r="DI12" s="32">
        <v>5816</v>
      </c>
      <c r="DJ12" s="32">
        <v>5766</v>
      </c>
      <c r="DK12" s="32">
        <v>6014</v>
      </c>
      <c r="DL12" s="32">
        <v>6056</v>
      </c>
      <c r="DM12" s="32">
        <v>6224</v>
      </c>
      <c r="DN12" s="32">
        <v>6270</v>
      </c>
      <c r="DO12" s="32">
        <v>6380</v>
      </c>
      <c r="DP12" s="32">
        <v>6408</v>
      </c>
      <c r="DQ12" s="32">
        <v>6333</v>
      </c>
      <c r="DR12" s="32">
        <v>6246</v>
      </c>
      <c r="DS12" s="32">
        <v>6223</v>
      </c>
      <c r="DT12" s="32">
        <v>6318</v>
      </c>
      <c r="DU12" s="32">
        <v>6365</v>
      </c>
      <c r="DV12" s="32">
        <v>6428</v>
      </c>
      <c r="DW12" s="32">
        <v>6556</v>
      </c>
      <c r="DX12" s="32">
        <v>6641</v>
      </c>
      <c r="DY12" s="32">
        <v>6673</v>
      </c>
      <c r="DZ12" s="70"/>
      <c r="EB12" s="78">
        <f t="shared" si="4"/>
        <v>7.2140102827763508E-2</v>
      </c>
      <c r="EC12" s="34">
        <f t="shared" si="5"/>
        <v>449</v>
      </c>
      <c r="EE12" s="78">
        <f t="shared" si="6"/>
        <v>-5.1332675222112156E-3</v>
      </c>
      <c r="EF12" s="34">
        <f t="shared" si="7"/>
        <v>-26</v>
      </c>
      <c r="EH12" s="78">
        <f t="shared" si="8"/>
        <v>0.32427068862869612</v>
      </c>
      <c r="EI12" s="34">
        <f t="shared" si="9"/>
        <v>1634</v>
      </c>
      <c r="EK12" s="78">
        <f t="shared" si="10"/>
        <v>0.31747285291214222</v>
      </c>
      <c r="EL12" s="34">
        <f t="shared" si="11"/>
        <v>1608</v>
      </c>
    </row>
    <row r="13" spans="2:142" s="20" customFormat="1" ht="15" customHeight="1" x14ac:dyDescent="0.25">
      <c r="B13" s="35" t="s">
        <v>31</v>
      </c>
      <c r="C13" s="36" t="s">
        <v>23</v>
      </c>
      <c r="D13" s="36" t="s">
        <v>23</v>
      </c>
      <c r="E13" s="36" t="s">
        <v>23</v>
      </c>
      <c r="F13" s="36" t="s">
        <v>23</v>
      </c>
      <c r="G13" s="36" t="s">
        <v>23</v>
      </c>
      <c r="H13" s="36" t="s">
        <v>23</v>
      </c>
      <c r="I13" s="36" t="s">
        <v>23</v>
      </c>
      <c r="J13" s="36" t="s">
        <v>23</v>
      </c>
      <c r="K13" s="36" t="s">
        <v>23</v>
      </c>
      <c r="L13" s="36" t="s">
        <v>23</v>
      </c>
      <c r="M13" s="36" t="s">
        <v>23</v>
      </c>
      <c r="N13" s="36" t="s">
        <v>23</v>
      </c>
      <c r="O13" s="36" t="s">
        <v>23</v>
      </c>
      <c r="P13" s="36" t="s">
        <v>23</v>
      </c>
      <c r="Q13" s="36" t="s">
        <v>23</v>
      </c>
      <c r="R13" s="36" t="s">
        <v>23</v>
      </c>
      <c r="S13" s="36" t="s">
        <v>23</v>
      </c>
      <c r="T13" s="36" t="s">
        <v>23</v>
      </c>
      <c r="U13" s="36" t="s">
        <v>23</v>
      </c>
      <c r="V13" s="36" t="s">
        <v>23</v>
      </c>
      <c r="W13" s="36" t="s">
        <v>23</v>
      </c>
      <c r="X13" s="36" t="s">
        <v>23</v>
      </c>
      <c r="Y13" s="36" t="s">
        <v>23</v>
      </c>
      <c r="Z13" s="36" t="s">
        <v>23</v>
      </c>
      <c r="AA13" s="36" t="s">
        <v>23</v>
      </c>
      <c r="AB13" s="36" t="s">
        <v>23</v>
      </c>
      <c r="AC13" s="36" t="s">
        <v>23</v>
      </c>
      <c r="AD13" s="36" t="s">
        <v>23</v>
      </c>
      <c r="AE13" s="36" t="s">
        <v>23</v>
      </c>
      <c r="AF13" s="36" t="s">
        <v>23</v>
      </c>
      <c r="AG13" s="36" t="s">
        <v>23</v>
      </c>
      <c r="AH13" s="36" t="s">
        <v>23</v>
      </c>
      <c r="AI13" s="36" t="s">
        <v>23</v>
      </c>
      <c r="AJ13" s="36" t="s">
        <v>23</v>
      </c>
      <c r="AK13" s="36" t="s">
        <v>23</v>
      </c>
      <c r="AL13" s="36" t="s">
        <v>23</v>
      </c>
      <c r="AM13" s="36" t="s">
        <v>23</v>
      </c>
      <c r="AN13" s="36" t="s">
        <v>23</v>
      </c>
      <c r="AO13" s="36" t="s">
        <v>23</v>
      </c>
      <c r="AP13" s="36" t="s">
        <v>23</v>
      </c>
      <c r="AQ13" s="36" t="s">
        <v>23</v>
      </c>
      <c r="AR13" s="36" t="s">
        <v>23</v>
      </c>
      <c r="AS13" s="36" t="s">
        <v>23</v>
      </c>
      <c r="AT13" s="36" t="s">
        <v>23</v>
      </c>
      <c r="AU13" s="36" t="s">
        <v>23</v>
      </c>
      <c r="AV13" s="36">
        <f t="shared" ref="AV13:CA13" si="14">SUM(AV14:AV18)</f>
        <v>35361</v>
      </c>
      <c r="AW13" s="36">
        <f t="shared" si="14"/>
        <v>35004</v>
      </c>
      <c r="AX13" s="36">
        <f t="shared" si="14"/>
        <v>34922</v>
      </c>
      <c r="AY13" s="36">
        <f t="shared" si="14"/>
        <v>34739</v>
      </c>
      <c r="AZ13" s="36">
        <f t="shared" si="14"/>
        <v>34857</v>
      </c>
      <c r="BA13" s="36">
        <f t="shared" si="14"/>
        <v>35065</v>
      </c>
      <c r="BB13" s="36">
        <f t="shared" si="14"/>
        <v>35024</v>
      </c>
      <c r="BC13" s="36">
        <f t="shared" si="14"/>
        <v>34932</v>
      </c>
      <c r="BD13" s="36">
        <f t="shared" si="14"/>
        <v>34615</v>
      </c>
      <c r="BE13" s="36">
        <f t="shared" si="14"/>
        <v>34503</v>
      </c>
      <c r="BF13" s="36">
        <f t="shared" si="14"/>
        <v>34573</v>
      </c>
      <c r="BG13" s="36">
        <f t="shared" si="14"/>
        <v>34876</v>
      </c>
      <c r="BH13" s="36">
        <f t="shared" si="14"/>
        <v>35202</v>
      </c>
      <c r="BI13" s="36">
        <f t="shared" si="14"/>
        <v>35175</v>
      </c>
      <c r="BJ13" s="36">
        <f t="shared" si="14"/>
        <v>35024</v>
      </c>
      <c r="BK13" s="36">
        <f t="shared" si="14"/>
        <v>34872</v>
      </c>
      <c r="BL13" s="36">
        <f t="shared" si="14"/>
        <v>35201</v>
      </c>
      <c r="BM13" s="36">
        <f t="shared" si="14"/>
        <v>35538</v>
      </c>
      <c r="BN13" s="36">
        <f t="shared" si="14"/>
        <v>35848</v>
      </c>
      <c r="BO13" s="36">
        <f t="shared" si="14"/>
        <v>36061</v>
      </c>
      <c r="BP13" s="36">
        <f t="shared" si="14"/>
        <v>36378</v>
      </c>
      <c r="BQ13" s="36">
        <f t="shared" si="14"/>
        <v>36672</v>
      </c>
      <c r="BR13" s="36">
        <f t="shared" si="14"/>
        <v>36771</v>
      </c>
      <c r="BS13" s="36">
        <f t="shared" si="14"/>
        <v>37041</v>
      </c>
      <c r="BT13" s="36">
        <f t="shared" si="14"/>
        <v>37111</v>
      </c>
      <c r="BU13" s="36">
        <f t="shared" si="14"/>
        <v>36961</v>
      </c>
      <c r="BV13" s="36">
        <f t="shared" si="14"/>
        <v>36703</v>
      </c>
      <c r="BW13" s="36">
        <f t="shared" si="14"/>
        <v>36501</v>
      </c>
      <c r="BX13" s="36">
        <f t="shared" si="14"/>
        <v>36747</v>
      </c>
      <c r="BY13" s="36">
        <f t="shared" si="14"/>
        <v>36777</v>
      </c>
      <c r="BZ13" s="36">
        <f t="shared" si="14"/>
        <v>36772</v>
      </c>
      <c r="CA13" s="36">
        <f t="shared" si="14"/>
        <v>36877</v>
      </c>
      <c r="CB13" s="36">
        <f t="shared" ref="CB13:DY13" si="15">SUM(CB14:CB18)</f>
        <v>37201</v>
      </c>
      <c r="CC13" s="36">
        <f t="shared" si="15"/>
        <v>37719</v>
      </c>
      <c r="CD13" s="36">
        <f t="shared" si="15"/>
        <v>37974</v>
      </c>
      <c r="CE13" s="36">
        <f t="shared" si="15"/>
        <v>38152</v>
      </c>
      <c r="CF13" s="36">
        <f t="shared" si="15"/>
        <v>38043</v>
      </c>
      <c r="CG13" s="36">
        <f t="shared" si="15"/>
        <v>37728</v>
      </c>
      <c r="CH13" s="36">
        <f t="shared" si="15"/>
        <v>37327</v>
      </c>
      <c r="CI13" s="36">
        <f t="shared" si="15"/>
        <v>37394</v>
      </c>
      <c r="CJ13" s="36">
        <f t="shared" si="15"/>
        <v>37731</v>
      </c>
      <c r="CK13" s="36">
        <f t="shared" si="15"/>
        <v>38098</v>
      </c>
      <c r="CL13" s="36">
        <f t="shared" si="15"/>
        <v>38413</v>
      </c>
      <c r="CM13" s="36">
        <f t="shared" si="15"/>
        <v>38632</v>
      </c>
      <c r="CN13" s="36">
        <f t="shared" si="15"/>
        <v>38719</v>
      </c>
      <c r="CO13" s="36">
        <f t="shared" si="15"/>
        <v>38776</v>
      </c>
      <c r="CP13" s="36">
        <f t="shared" si="15"/>
        <v>38790</v>
      </c>
      <c r="CQ13" s="36">
        <f t="shared" si="15"/>
        <v>38845</v>
      </c>
      <c r="CR13" s="36">
        <f t="shared" si="15"/>
        <v>38756</v>
      </c>
      <c r="CS13" s="36">
        <f t="shared" si="15"/>
        <v>38325</v>
      </c>
      <c r="CT13" s="36">
        <f t="shared" si="15"/>
        <v>38081</v>
      </c>
      <c r="CU13" s="36">
        <f t="shared" si="15"/>
        <v>36783</v>
      </c>
      <c r="CV13" s="36">
        <f t="shared" si="15"/>
        <v>34559</v>
      </c>
      <c r="CW13" s="36">
        <f t="shared" si="15"/>
        <v>32239</v>
      </c>
      <c r="CX13" s="36">
        <f t="shared" si="15"/>
        <v>30700</v>
      </c>
      <c r="CY13" s="36">
        <f t="shared" si="15"/>
        <v>30668</v>
      </c>
      <c r="CZ13" s="36">
        <f t="shared" si="15"/>
        <v>31092</v>
      </c>
      <c r="DA13" s="36">
        <f t="shared" si="15"/>
        <v>31691</v>
      </c>
      <c r="DB13" s="36">
        <f t="shared" si="15"/>
        <v>32763</v>
      </c>
      <c r="DC13" s="36">
        <f t="shared" si="15"/>
        <v>33541</v>
      </c>
      <c r="DD13" s="36">
        <f t="shared" si="15"/>
        <v>34052</v>
      </c>
      <c r="DE13" s="36">
        <f t="shared" si="15"/>
        <v>34152</v>
      </c>
      <c r="DF13" s="36">
        <f t="shared" si="15"/>
        <v>34090</v>
      </c>
      <c r="DG13" s="36">
        <f t="shared" si="15"/>
        <v>34054</v>
      </c>
      <c r="DH13" s="36">
        <f t="shared" si="15"/>
        <v>34349</v>
      </c>
      <c r="DI13" s="36">
        <f t="shared" si="15"/>
        <v>34775</v>
      </c>
      <c r="DJ13" s="36">
        <f t="shared" si="15"/>
        <v>35762</v>
      </c>
      <c r="DK13" s="36">
        <f t="shared" si="15"/>
        <v>36429</v>
      </c>
      <c r="DL13" s="36">
        <f t="shared" si="15"/>
        <v>37206</v>
      </c>
      <c r="DM13" s="36">
        <f t="shared" si="15"/>
        <v>37709</v>
      </c>
      <c r="DN13" s="36">
        <f t="shared" si="15"/>
        <v>38211</v>
      </c>
      <c r="DO13" s="36">
        <f t="shared" si="15"/>
        <v>38578</v>
      </c>
      <c r="DP13" s="36">
        <f t="shared" si="15"/>
        <v>38944</v>
      </c>
      <c r="DQ13" s="36">
        <f t="shared" si="15"/>
        <v>38524</v>
      </c>
      <c r="DR13" s="36">
        <f t="shared" si="15"/>
        <v>38326</v>
      </c>
      <c r="DS13" s="36">
        <f t="shared" si="15"/>
        <v>38202</v>
      </c>
      <c r="DT13" s="36">
        <f t="shared" si="15"/>
        <v>38735</v>
      </c>
      <c r="DU13" s="36">
        <f t="shared" si="15"/>
        <v>39129</v>
      </c>
      <c r="DV13" s="36">
        <f t="shared" si="15"/>
        <v>39286</v>
      </c>
      <c r="DW13" s="36">
        <f t="shared" si="15"/>
        <v>39294</v>
      </c>
      <c r="DX13" s="36">
        <f t="shared" si="15"/>
        <v>39309</v>
      </c>
      <c r="DY13" s="36">
        <f t="shared" si="15"/>
        <v>39144</v>
      </c>
      <c r="DZ13" s="70"/>
      <c r="EB13" s="74">
        <f t="shared" si="4"/>
        <v>3.8054575830703596E-2</v>
      </c>
      <c r="EC13" s="30">
        <f t="shared" si="5"/>
        <v>1435</v>
      </c>
      <c r="EE13" s="74">
        <f t="shared" si="6"/>
        <v>-0.19775002580245638</v>
      </c>
      <c r="EF13" s="30">
        <f t="shared" si="7"/>
        <v>-7664</v>
      </c>
      <c r="EH13" s="74">
        <f t="shared" si="8"/>
        <v>0.25897336935546122</v>
      </c>
      <c r="EI13" s="30">
        <f t="shared" si="9"/>
        <v>8052</v>
      </c>
      <c r="EK13" s="74">
        <f t="shared" si="10"/>
        <v>1.0011353080813246E-2</v>
      </c>
      <c r="EL13" s="30">
        <f t="shared" si="11"/>
        <v>388</v>
      </c>
    </row>
    <row r="14" spans="2:142" s="20" customFormat="1" ht="15" customHeight="1" x14ac:dyDescent="0.25">
      <c r="B14" s="37" t="s">
        <v>32</v>
      </c>
      <c r="C14" s="38">
        <v>11122</v>
      </c>
      <c r="D14" s="38">
        <v>11180</v>
      </c>
      <c r="E14" s="38">
        <v>11244</v>
      </c>
      <c r="F14" s="38">
        <v>11265</v>
      </c>
      <c r="G14" s="38">
        <v>11293</v>
      </c>
      <c r="H14" s="38">
        <v>11322</v>
      </c>
      <c r="I14" s="38">
        <v>11432</v>
      </c>
      <c r="J14" s="38">
        <v>11431</v>
      </c>
      <c r="K14" s="38">
        <v>11384</v>
      </c>
      <c r="L14" s="38">
        <v>11153</v>
      </c>
      <c r="M14" s="38">
        <v>11057</v>
      </c>
      <c r="N14" s="38">
        <v>11018</v>
      </c>
      <c r="O14" s="38">
        <v>11035</v>
      </c>
      <c r="P14" s="38">
        <v>11017</v>
      </c>
      <c r="Q14" s="38">
        <v>11007</v>
      </c>
      <c r="R14" s="38">
        <v>11052</v>
      </c>
      <c r="S14" s="38">
        <v>10969</v>
      </c>
      <c r="T14" s="38">
        <v>11098</v>
      </c>
      <c r="U14" s="38">
        <v>11104</v>
      </c>
      <c r="V14" s="38">
        <v>11036</v>
      </c>
      <c r="W14" s="38">
        <v>11007</v>
      </c>
      <c r="X14" s="38">
        <v>10915</v>
      </c>
      <c r="Y14" s="38">
        <v>10810</v>
      </c>
      <c r="Z14" s="38">
        <v>10668</v>
      </c>
      <c r="AA14" s="38">
        <v>10626</v>
      </c>
      <c r="AB14" s="38">
        <v>10564</v>
      </c>
      <c r="AC14" s="38">
        <v>10532</v>
      </c>
      <c r="AD14" s="38">
        <v>10477</v>
      </c>
      <c r="AE14" s="38">
        <v>10431</v>
      </c>
      <c r="AF14" s="38">
        <v>10372</v>
      </c>
      <c r="AG14" s="38">
        <v>10419</v>
      </c>
      <c r="AH14" s="38">
        <v>10571</v>
      </c>
      <c r="AI14" s="38">
        <v>10636</v>
      </c>
      <c r="AJ14" s="38">
        <v>10658</v>
      </c>
      <c r="AK14" s="38">
        <v>10565</v>
      </c>
      <c r="AL14" s="38">
        <v>10391</v>
      </c>
      <c r="AM14" s="38">
        <v>10218</v>
      </c>
      <c r="AN14" s="38">
        <v>10191</v>
      </c>
      <c r="AO14" s="38">
        <v>10248</v>
      </c>
      <c r="AP14" s="38">
        <v>10249</v>
      </c>
      <c r="AQ14" s="38">
        <v>10241</v>
      </c>
      <c r="AR14" s="38">
        <v>10264</v>
      </c>
      <c r="AS14" s="38">
        <v>10354</v>
      </c>
      <c r="AT14" s="38">
        <v>10376</v>
      </c>
      <c r="AU14" s="38">
        <v>10276</v>
      </c>
      <c r="AV14" s="38">
        <v>10210</v>
      </c>
      <c r="AW14" s="38">
        <v>9956</v>
      </c>
      <c r="AX14" s="38">
        <v>9886</v>
      </c>
      <c r="AY14" s="38">
        <v>9904</v>
      </c>
      <c r="AZ14" s="38">
        <v>10119</v>
      </c>
      <c r="BA14" s="38">
        <v>10212</v>
      </c>
      <c r="BB14" s="38">
        <v>10233</v>
      </c>
      <c r="BC14" s="38">
        <v>10307</v>
      </c>
      <c r="BD14" s="38">
        <v>10375</v>
      </c>
      <c r="BE14" s="38">
        <v>10434</v>
      </c>
      <c r="BF14" s="38">
        <v>10538</v>
      </c>
      <c r="BG14" s="38">
        <v>10610</v>
      </c>
      <c r="BH14" s="38">
        <v>10676</v>
      </c>
      <c r="BI14" s="38">
        <v>10545</v>
      </c>
      <c r="BJ14" s="38">
        <v>10383</v>
      </c>
      <c r="BK14" s="38">
        <v>10301</v>
      </c>
      <c r="BL14" s="38">
        <v>10393</v>
      </c>
      <c r="BM14" s="38">
        <v>10620</v>
      </c>
      <c r="BN14" s="38">
        <v>10775</v>
      </c>
      <c r="BO14" s="38">
        <v>10872</v>
      </c>
      <c r="BP14" s="38">
        <v>10912</v>
      </c>
      <c r="BQ14" s="38">
        <v>11087</v>
      </c>
      <c r="BR14" s="38">
        <v>11158</v>
      </c>
      <c r="BS14" s="38">
        <v>11358</v>
      </c>
      <c r="BT14" s="38">
        <v>11319</v>
      </c>
      <c r="BU14" s="38">
        <v>11196</v>
      </c>
      <c r="BV14" s="38">
        <v>10982</v>
      </c>
      <c r="BW14" s="38">
        <v>10954</v>
      </c>
      <c r="BX14" s="38">
        <v>11175</v>
      </c>
      <c r="BY14" s="38">
        <v>11341</v>
      </c>
      <c r="BZ14" s="38">
        <v>11249</v>
      </c>
      <c r="CA14" s="38">
        <v>11347</v>
      </c>
      <c r="CB14" s="38">
        <v>11446</v>
      </c>
      <c r="CC14" s="38">
        <v>11769</v>
      </c>
      <c r="CD14" s="38">
        <v>11903</v>
      </c>
      <c r="CE14" s="38">
        <v>11967</v>
      </c>
      <c r="CF14" s="38">
        <v>11826</v>
      </c>
      <c r="CG14" s="38">
        <v>11580</v>
      </c>
      <c r="CH14" s="38">
        <v>11399</v>
      </c>
      <c r="CI14" s="38">
        <v>11466</v>
      </c>
      <c r="CJ14" s="38">
        <v>11584</v>
      </c>
      <c r="CK14" s="38">
        <v>11757</v>
      </c>
      <c r="CL14" s="38">
        <v>11883</v>
      </c>
      <c r="CM14" s="38">
        <v>12042</v>
      </c>
      <c r="CN14" s="38">
        <v>12178</v>
      </c>
      <c r="CO14" s="38">
        <v>12214</v>
      </c>
      <c r="CP14" s="38">
        <v>12252</v>
      </c>
      <c r="CQ14" s="38">
        <v>12213</v>
      </c>
      <c r="CR14" s="38">
        <v>12255</v>
      </c>
      <c r="CS14" s="38">
        <v>12053</v>
      </c>
      <c r="CT14" s="38">
        <v>12028</v>
      </c>
      <c r="CU14" s="38">
        <v>11429</v>
      </c>
      <c r="CV14" s="38">
        <v>10550</v>
      </c>
      <c r="CW14" s="38">
        <v>9634</v>
      </c>
      <c r="CX14" s="38">
        <v>9041</v>
      </c>
      <c r="CY14" s="38">
        <v>9119</v>
      </c>
      <c r="CZ14" s="38">
        <v>9225</v>
      </c>
      <c r="DA14" s="38">
        <v>9496</v>
      </c>
      <c r="DB14" s="38">
        <v>9980</v>
      </c>
      <c r="DC14" s="38">
        <v>10260</v>
      </c>
      <c r="DD14" s="38">
        <v>10522</v>
      </c>
      <c r="DE14" s="38">
        <v>10334</v>
      </c>
      <c r="DF14" s="38">
        <v>10361</v>
      </c>
      <c r="DG14" s="38">
        <v>10244</v>
      </c>
      <c r="DH14" s="38">
        <v>10323</v>
      </c>
      <c r="DI14" s="38">
        <v>10358</v>
      </c>
      <c r="DJ14" s="38">
        <v>10605</v>
      </c>
      <c r="DK14" s="38">
        <v>10918</v>
      </c>
      <c r="DL14" s="38">
        <v>11342</v>
      </c>
      <c r="DM14" s="38">
        <v>11691</v>
      </c>
      <c r="DN14" s="38">
        <v>11956</v>
      </c>
      <c r="DO14" s="38">
        <v>12179</v>
      </c>
      <c r="DP14" s="38">
        <v>12443</v>
      </c>
      <c r="DQ14" s="38">
        <v>12383</v>
      </c>
      <c r="DR14" s="38">
        <v>12281</v>
      </c>
      <c r="DS14" s="38">
        <v>12216</v>
      </c>
      <c r="DT14" s="38">
        <v>12474</v>
      </c>
      <c r="DU14" s="38">
        <v>12804</v>
      </c>
      <c r="DV14" s="38">
        <v>13043</v>
      </c>
      <c r="DW14" s="38">
        <v>13075</v>
      </c>
      <c r="DX14" s="38">
        <v>13160</v>
      </c>
      <c r="DY14" s="38">
        <v>13212</v>
      </c>
      <c r="DZ14" s="70"/>
      <c r="EA14" s="72"/>
      <c r="EB14" s="75">
        <f t="shared" si="4"/>
        <v>0.13010007698229398</v>
      </c>
      <c r="EC14" s="33">
        <f t="shared" si="5"/>
        <v>1521</v>
      </c>
      <c r="EE14" s="75">
        <f t="shared" si="6"/>
        <v>-0.24724602203182378</v>
      </c>
      <c r="EF14" s="33">
        <f t="shared" si="7"/>
        <v>-3030</v>
      </c>
      <c r="EH14" s="75">
        <f t="shared" si="8"/>
        <v>0.43219512195121945</v>
      </c>
      <c r="EI14" s="33">
        <f t="shared" si="9"/>
        <v>3987</v>
      </c>
      <c r="EK14" s="75">
        <f t="shared" si="10"/>
        <v>7.8090575275397756E-2</v>
      </c>
      <c r="EL14" s="33">
        <f t="shared" si="11"/>
        <v>957</v>
      </c>
    </row>
    <row r="15" spans="2:142" s="20" customFormat="1" ht="15" customHeight="1" x14ac:dyDescent="0.25">
      <c r="B15" s="37" t="s">
        <v>33</v>
      </c>
      <c r="C15" s="38">
        <v>4062</v>
      </c>
      <c r="D15" s="38">
        <v>4064</v>
      </c>
      <c r="E15" s="38">
        <v>4107</v>
      </c>
      <c r="F15" s="38">
        <v>4120</v>
      </c>
      <c r="G15" s="38">
        <v>4125</v>
      </c>
      <c r="H15" s="38">
        <v>4127</v>
      </c>
      <c r="I15" s="38">
        <v>4122</v>
      </c>
      <c r="J15" s="38">
        <v>4105</v>
      </c>
      <c r="K15" s="38">
        <v>4107</v>
      </c>
      <c r="L15" s="38">
        <v>4120</v>
      </c>
      <c r="M15" s="38">
        <v>4107</v>
      </c>
      <c r="N15" s="38">
        <v>4075</v>
      </c>
      <c r="O15" s="38">
        <v>4048</v>
      </c>
      <c r="P15" s="38">
        <v>4072</v>
      </c>
      <c r="Q15" s="38">
        <v>4093</v>
      </c>
      <c r="R15" s="38">
        <v>4034</v>
      </c>
      <c r="S15" s="38">
        <v>4043</v>
      </c>
      <c r="T15" s="38">
        <v>3990</v>
      </c>
      <c r="U15" s="38">
        <v>4066</v>
      </c>
      <c r="V15" s="38">
        <v>4062</v>
      </c>
      <c r="W15" s="38">
        <v>4055</v>
      </c>
      <c r="X15" s="38">
        <v>4017</v>
      </c>
      <c r="Y15" s="38">
        <v>3974</v>
      </c>
      <c r="Z15" s="38">
        <v>3990</v>
      </c>
      <c r="AA15" s="38">
        <v>3957</v>
      </c>
      <c r="AB15" s="38">
        <v>3953</v>
      </c>
      <c r="AC15" s="38">
        <v>3950</v>
      </c>
      <c r="AD15" s="38">
        <v>3997</v>
      </c>
      <c r="AE15" s="38">
        <v>3982</v>
      </c>
      <c r="AF15" s="38">
        <v>3936</v>
      </c>
      <c r="AG15" s="38">
        <v>3967</v>
      </c>
      <c r="AH15" s="38">
        <v>3956</v>
      </c>
      <c r="AI15" s="38">
        <v>3958</v>
      </c>
      <c r="AJ15" s="38">
        <v>3946</v>
      </c>
      <c r="AK15" s="38">
        <v>3990</v>
      </c>
      <c r="AL15" s="38">
        <v>3996</v>
      </c>
      <c r="AM15" s="38">
        <v>3967</v>
      </c>
      <c r="AN15" s="38">
        <v>3931</v>
      </c>
      <c r="AO15" s="38">
        <v>3949</v>
      </c>
      <c r="AP15" s="38">
        <v>3973</v>
      </c>
      <c r="AQ15" s="38">
        <v>4021</v>
      </c>
      <c r="AR15" s="38">
        <v>4022</v>
      </c>
      <c r="AS15" s="38">
        <v>4016</v>
      </c>
      <c r="AT15" s="38">
        <v>4080</v>
      </c>
      <c r="AU15" s="38">
        <v>4095</v>
      </c>
      <c r="AV15" s="38">
        <v>4081</v>
      </c>
      <c r="AW15" s="38">
        <v>3988</v>
      </c>
      <c r="AX15" s="38">
        <v>3955</v>
      </c>
      <c r="AY15" s="38">
        <v>3957</v>
      </c>
      <c r="AZ15" s="38">
        <v>3999</v>
      </c>
      <c r="BA15" s="38">
        <v>4076</v>
      </c>
      <c r="BB15" s="38">
        <v>4056</v>
      </c>
      <c r="BC15" s="38">
        <v>4025</v>
      </c>
      <c r="BD15" s="38">
        <v>3976</v>
      </c>
      <c r="BE15" s="38">
        <v>3995</v>
      </c>
      <c r="BF15" s="38">
        <v>4022</v>
      </c>
      <c r="BG15" s="38">
        <v>4009</v>
      </c>
      <c r="BH15" s="38">
        <v>4053</v>
      </c>
      <c r="BI15" s="38">
        <v>4018</v>
      </c>
      <c r="BJ15" s="38">
        <v>4014</v>
      </c>
      <c r="BK15" s="38">
        <v>4027</v>
      </c>
      <c r="BL15" s="38">
        <v>4112</v>
      </c>
      <c r="BM15" s="38">
        <v>4140</v>
      </c>
      <c r="BN15" s="38">
        <v>4121</v>
      </c>
      <c r="BO15" s="38">
        <v>4098</v>
      </c>
      <c r="BP15" s="38">
        <v>4155</v>
      </c>
      <c r="BQ15" s="38">
        <v>4214</v>
      </c>
      <c r="BR15" s="38">
        <v>4284</v>
      </c>
      <c r="BS15" s="38">
        <v>4300</v>
      </c>
      <c r="BT15" s="38">
        <v>4353</v>
      </c>
      <c r="BU15" s="38">
        <v>4322</v>
      </c>
      <c r="BV15" s="38">
        <v>4286</v>
      </c>
      <c r="BW15" s="38">
        <v>4203</v>
      </c>
      <c r="BX15" s="38">
        <v>4199</v>
      </c>
      <c r="BY15" s="38">
        <v>4188</v>
      </c>
      <c r="BZ15" s="38">
        <v>4256</v>
      </c>
      <c r="CA15" s="38">
        <v>4288</v>
      </c>
      <c r="CB15" s="38">
        <v>4323</v>
      </c>
      <c r="CC15" s="38">
        <v>4322</v>
      </c>
      <c r="CD15" s="38">
        <v>4312</v>
      </c>
      <c r="CE15" s="38">
        <v>4345</v>
      </c>
      <c r="CF15" s="38">
        <v>4341</v>
      </c>
      <c r="CG15" s="38">
        <v>4309</v>
      </c>
      <c r="CH15" s="38">
        <v>4237</v>
      </c>
      <c r="CI15" s="38">
        <v>4205</v>
      </c>
      <c r="CJ15" s="38">
        <v>4248</v>
      </c>
      <c r="CK15" s="38">
        <v>4295</v>
      </c>
      <c r="CL15" s="38">
        <v>4352</v>
      </c>
      <c r="CM15" s="38">
        <v>4398</v>
      </c>
      <c r="CN15" s="38">
        <v>4396</v>
      </c>
      <c r="CO15" s="38">
        <v>4418</v>
      </c>
      <c r="CP15" s="38">
        <v>4437</v>
      </c>
      <c r="CQ15" s="38">
        <v>4465</v>
      </c>
      <c r="CR15" s="38">
        <v>4447</v>
      </c>
      <c r="CS15" s="38">
        <v>4396</v>
      </c>
      <c r="CT15" s="38">
        <v>4363</v>
      </c>
      <c r="CU15" s="38">
        <v>4195</v>
      </c>
      <c r="CV15" s="38">
        <v>3803</v>
      </c>
      <c r="CW15" s="38">
        <v>3421</v>
      </c>
      <c r="CX15" s="38">
        <v>3155</v>
      </c>
      <c r="CY15" s="38">
        <v>3078</v>
      </c>
      <c r="CZ15" s="38">
        <v>3078</v>
      </c>
      <c r="DA15" s="38">
        <v>3162</v>
      </c>
      <c r="DB15" s="38">
        <v>3286</v>
      </c>
      <c r="DC15" s="38">
        <v>3394</v>
      </c>
      <c r="DD15" s="38">
        <v>3472</v>
      </c>
      <c r="DE15" s="38">
        <v>3461</v>
      </c>
      <c r="DF15" s="38">
        <v>3461</v>
      </c>
      <c r="DG15" s="38">
        <v>3455</v>
      </c>
      <c r="DH15" s="38">
        <v>3445</v>
      </c>
      <c r="DI15" s="38">
        <v>3527</v>
      </c>
      <c r="DJ15" s="38">
        <v>3656</v>
      </c>
      <c r="DK15" s="38">
        <v>3861</v>
      </c>
      <c r="DL15" s="38">
        <v>3985</v>
      </c>
      <c r="DM15" s="38">
        <v>4052</v>
      </c>
      <c r="DN15" s="38">
        <v>4168</v>
      </c>
      <c r="DO15" s="38">
        <v>4247</v>
      </c>
      <c r="DP15" s="38">
        <v>4296</v>
      </c>
      <c r="DQ15" s="38">
        <v>4217</v>
      </c>
      <c r="DR15" s="38">
        <v>4233</v>
      </c>
      <c r="DS15" s="38">
        <v>4205</v>
      </c>
      <c r="DT15" s="38">
        <v>4360</v>
      </c>
      <c r="DU15" s="38">
        <v>4373</v>
      </c>
      <c r="DV15" s="38">
        <v>4385</v>
      </c>
      <c r="DW15" s="38">
        <v>4348</v>
      </c>
      <c r="DX15" s="38">
        <v>4372</v>
      </c>
      <c r="DY15" s="38">
        <v>4401</v>
      </c>
      <c r="DZ15" s="70"/>
      <c r="EB15" s="75">
        <f t="shared" si="4"/>
        <v>8.6130306021717562E-2</v>
      </c>
      <c r="EC15" s="33">
        <f t="shared" si="5"/>
        <v>349</v>
      </c>
      <c r="EE15" s="75">
        <f t="shared" si="6"/>
        <v>-0.30784798740724084</v>
      </c>
      <c r="EF15" s="33">
        <f t="shared" si="7"/>
        <v>-1369</v>
      </c>
      <c r="EH15" s="75">
        <f t="shared" si="8"/>
        <v>0.42982456140350878</v>
      </c>
      <c r="EI15" s="33">
        <f t="shared" si="9"/>
        <v>1323</v>
      </c>
      <c r="EK15" s="75">
        <f t="shared" si="10"/>
        <v>-1.0344052170002227E-2</v>
      </c>
      <c r="EL15" s="33">
        <f t="shared" si="11"/>
        <v>-46</v>
      </c>
    </row>
    <row r="16" spans="2:142" s="20" customFormat="1" ht="15" customHeight="1" x14ac:dyDescent="0.25">
      <c r="B16" s="37" t="s">
        <v>34</v>
      </c>
      <c r="C16" s="38" t="s">
        <v>23</v>
      </c>
      <c r="D16" s="38" t="s">
        <v>23</v>
      </c>
      <c r="E16" s="38" t="s">
        <v>23</v>
      </c>
      <c r="F16" s="38" t="s">
        <v>23</v>
      </c>
      <c r="G16" s="38" t="s">
        <v>23</v>
      </c>
      <c r="H16" s="38" t="s">
        <v>23</v>
      </c>
      <c r="I16" s="38" t="s">
        <v>23</v>
      </c>
      <c r="J16" s="38" t="s">
        <v>23</v>
      </c>
      <c r="K16" s="38" t="s">
        <v>23</v>
      </c>
      <c r="L16" s="38" t="s">
        <v>23</v>
      </c>
      <c r="M16" s="38" t="s">
        <v>23</v>
      </c>
      <c r="N16" s="38" t="s">
        <v>23</v>
      </c>
      <c r="O16" s="38" t="s">
        <v>23</v>
      </c>
      <c r="P16" s="38" t="s">
        <v>23</v>
      </c>
      <c r="Q16" s="38" t="s">
        <v>23</v>
      </c>
      <c r="R16" s="38" t="s">
        <v>23</v>
      </c>
      <c r="S16" s="38" t="s">
        <v>23</v>
      </c>
      <c r="T16" s="38" t="s">
        <v>23</v>
      </c>
      <c r="U16" s="38" t="s">
        <v>23</v>
      </c>
      <c r="V16" s="38" t="s">
        <v>23</v>
      </c>
      <c r="W16" s="38" t="s">
        <v>23</v>
      </c>
      <c r="X16" s="38" t="s">
        <v>23</v>
      </c>
      <c r="Y16" s="38" t="s">
        <v>23</v>
      </c>
      <c r="Z16" s="38" t="s">
        <v>23</v>
      </c>
      <c r="AA16" s="38" t="s">
        <v>23</v>
      </c>
      <c r="AB16" s="38" t="s">
        <v>23</v>
      </c>
      <c r="AC16" s="38" t="s">
        <v>23</v>
      </c>
      <c r="AD16" s="38" t="s">
        <v>23</v>
      </c>
      <c r="AE16" s="38" t="s">
        <v>23</v>
      </c>
      <c r="AF16" s="38" t="s">
        <v>23</v>
      </c>
      <c r="AG16" s="38" t="s">
        <v>23</v>
      </c>
      <c r="AH16" s="38" t="s">
        <v>23</v>
      </c>
      <c r="AI16" s="38" t="s">
        <v>23</v>
      </c>
      <c r="AJ16" s="38" t="s">
        <v>23</v>
      </c>
      <c r="AK16" s="38" t="s">
        <v>23</v>
      </c>
      <c r="AL16" s="38" t="s">
        <v>23</v>
      </c>
      <c r="AM16" s="38" t="s">
        <v>23</v>
      </c>
      <c r="AN16" s="38" t="s">
        <v>23</v>
      </c>
      <c r="AO16" s="38" t="s">
        <v>23</v>
      </c>
      <c r="AP16" s="38" t="s">
        <v>23</v>
      </c>
      <c r="AQ16" s="38" t="s">
        <v>23</v>
      </c>
      <c r="AR16" s="38" t="s">
        <v>23</v>
      </c>
      <c r="AS16" s="38" t="s">
        <v>23</v>
      </c>
      <c r="AT16" s="38" t="s">
        <v>23</v>
      </c>
      <c r="AU16" s="38" t="s">
        <v>23</v>
      </c>
      <c r="AV16" s="38">
        <v>663</v>
      </c>
      <c r="AW16" s="38">
        <v>625</v>
      </c>
      <c r="AX16" s="38">
        <v>615</v>
      </c>
      <c r="AY16" s="38">
        <v>575</v>
      </c>
      <c r="AZ16" s="38">
        <v>592</v>
      </c>
      <c r="BA16" s="38">
        <v>576</v>
      </c>
      <c r="BB16" s="38">
        <v>573</v>
      </c>
      <c r="BC16" s="38">
        <v>612</v>
      </c>
      <c r="BD16" s="38">
        <v>659</v>
      </c>
      <c r="BE16" s="38">
        <v>704</v>
      </c>
      <c r="BF16" s="38">
        <v>702</v>
      </c>
      <c r="BG16" s="38">
        <v>701</v>
      </c>
      <c r="BH16" s="38">
        <v>708</v>
      </c>
      <c r="BI16" s="38">
        <v>740</v>
      </c>
      <c r="BJ16" s="38">
        <v>752</v>
      </c>
      <c r="BK16" s="38">
        <v>736</v>
      </c>
      <c r="BL16" s="38">
        <v>753</v>
      </c>
      <c r="BM16" s="38">
        <v>772</v>
      </c>
      <c r="BN16" s="38">
        <v>806</v>
      </c>
      <c r="BO16" s="38">
        <v>809</v>
      </c>
      <c r="BP16" s="38">
        <v>815</v>
      </c>
      <c r="BQ16" s="38">
        <v>836</v>
      </c>
      <c r="BR16" s="38">
        <v>846</v>
      </c>
      <c r="BS16" s="38">
        <v>881</v>
      </c>
      <c r="BT16" s="38">
        <v>877</v>
      </c>
      <c r="BU16" s="38">
        <v>868</v>
      </c>
      <c r="BV16" s="38">
        <v>861</v>
      </c>
      <c r="BW16" s="38">
        <v>878</v>
      </c>
      <c r="BX16" s="38">
        <v>899</v>
      </c>
      <c r="BY16" s="38">
        <v>898</v>
      </c>
      <c r="BZ16" s="38">
        <v>892</v>
      </c>
      <c r="CA16" s="38">
        <v>867</v>
      </c>
      <c r="CB16" s="38">
        <v>882</v>
      </c>
      <c r="CC16" s="38">
        <v>884</v>
      </c>
      <c r="CD16" s="38">
        <v>898</v>
      </c>
      <c r="CE16" s="38">
        <v>864</v>
      </c>
      <c r="CF16" s="38">
        <v>886</v>
      </c>
      <c r="CG16" s="38">
        <v>851</v>
      </c>
      <c r="CH16" s="38">
        <v>842</v>
      </c>
      <c r="CI16" s="38">
        <v>828</v>
      </c>
      <c r="CJ16" s="38">
        <v>850</v>
      </c>
      <c r="CK16" s="38">
        <v>871</v>
      </c>
      <c r="CL16" s="38">
        <v>856</v>
      </c>
      <c r="CM16" s="38">
        <v>828</v>
      </c>
      <c r="CN16" s="38">
        <v>811</v>
      </c>
      <c r="CO16" s="38">
        <v>782</v>
      </c>
      <c r="CP16" s="38">
        <v>781</v>
      </c>
      <c r="CQ16" s="38">
        <v>775</v>
      </c>
      <c r="CR16" s="38">
        <v>792</v>
      </c>
      <c r="CS16" s="38">
        <v>790</v>
      </c>
      <c r="CT16" s="38">
        <v>804</v>
      </c>
      <c r="CU16" s="38">
        <v>799</v>
      </c>
      <c r="CV16" s="38">
        <v>752</v>
      </c>
      <c r="CW16" s="38">
        <v>706</v>
      </c>
      <c r="CX16" s="38">
        <v>655</v>
      </c>
      <c r="CY16" s="38">
        <v>664</v>
      </c>
      <c r="CZ16" s="38">
        <v>669</v>
      </c>
      <c r="DA16" s="38">
        <v>673</v>
      </c>
      <c r="DB16" s="38">
        <v>653</v>
      </c>
      <c r="DC16" s="38">
        <v>643</v>
      </c>
      <c r="DD16" s="38">
        <v>637</v>
      </c>
      <c r="DE16" s="38">
        <v>650</v>
      </c>
      <c r="DF16" s="38">
        <v>670</v>
      </c>
      <c r="DG16" s="38">
        <v>658</v>
      </c>
      <c r="DH16" s="38">
        <v>658</v>
      </c>
      <c r="DI16" s="38">
        <v>634</v>
      </c>
      <c r="DJ16" s="38">
        <v>669</v>
      </c>
      <c r="DK16" s="38">
        <v>702</v>
      </c>
      <c r="DL16" s="38">
        <v>709</v>
      </c>
      <c r="DM16" s="38">
        <v>738</v>
      </c>
      <c r="DN16" s="38">
        <v>754</v>
      </c>
      <c r="DO16" s="38">
        <v>755</v>
      </c>
      <c r="DP16" s="38">
        <v>750</v>
      </c>
      <c r="DQ16" s="38">
        <v>758</v>
      </c>
      <c r="DR16" s="38">
        <v>775</v>
      </c>
      <c r="DS16" s="38">
        <v>785</v>
      </c>
      <c r="DT16" s="38">
        <v>797</v>
      </c>
      <c r="DU16" s="38">
        <v>821</v>
      </c>
      <c r="DV16" s="38">
        <v>800</v>
      </c>
      <c r="DW16" s="38">
        <v>776</v>
      </c>
      <c r="DX16" s="38">
        <v>790</v>
      </c>
      <c r="DY16" s="38">
        <v>808</v>
      </c>
      <c r="DZ16" s="70"/>
      <c r="EB16" s="75">
        <f t="shared" si="4"/>
        <v>9.4850948509485056E-2</v>
      </c>
      <c r="EC16" s="33">
        <f t="shared" si="5"/>
        <v>70</v>
      </c>
      <c r="EE16" s="75">
        <f t="shared" si="6"/>
        <v>-0.15530303030303028</v>
      </c>
      <c r="EF16" s="33">
        <f t="shared" si="7"/>
        <v>-123</v>
      </c>
      <c r="EH16" s="75">
        <f t="shared" si="8"/>
        <v>0.20777279521674141</v>
      </c>
      <c r="EI16" s="33">
        <f t="shared" si="9"/>
        <v>139</v>
      </c>
      <c r="EK16" s="75">
        <f t="shared" si="10"/>
        <v>2.020202020202011E-2</v>
      </c>
      <c r="EL16" s="33">
        <f t="shared" si="11"/>
        <v>16</v>
      </c>
    </row>
    <row r="17" spans="2:142" s="20" customFormat="1" ht="15" customHeight="1" x14ac:dyDescent="0.25">
      <c r="B17" s="37" t="s">
        <v>35</v>
      </c>
      <c r="C17" s="38" t="s">
        <v>23</v>
      </c>
      <c r="D17" s="38" t="s">
        <v>23</v>
      </c>
      <c r="E17" s="38" t="s">
        <v>23</v>
      </c>
      <c r="F17" s="38" t="s">
        <v>23</v>
      </c>
      <c r="G17" s="38" t="s">
        <v>23</v>
      </c>
      <c r="H17" s="38" t="s">
        <v>23</v>
      </c>
      <c r="I17" s="38" t="s">
        <v>23</v>
      </c>
      <c r="J17" s="38" t="s">
        <v>23</v>
      </c>
      <c r="K17" s="38" t="s">
        <v>23</v>
      </c>
      <c r="L17" s="38" t="s">
        <v>23</v>
      </c>
      <c r="M17" s="38" t="s">
        <v>23</v>
      </c>
      <c r="N17" s="38" t="s">
        <v>23</v>
      </c>
      <c r="O17" s="38" t="s">
        <v>23</v>
      </c>
      <c r="P17" s="38" t="s">
        <v>23</v>
      </c>
      <c r="Q17" s="38" t="s">
        <v>23</v>
      </c>
      <c r="R17" s="38" t="s">
        <v>23</v>
      </c>
      <c r="S17" s="38" t="s">
        <v>23</v>
      </c>
      <c r="T17" s="38" t="s">
        <v>23</v>
      </c>
      <c r="U17" s="38" t="s">
        <v>23</v>
      </c>
      <c r="V17" s="38" t="s">
        <v>23</v>
      </c>
      <c r="W17" s="38" t="s">
        <v>23</v>
      </c>
      <c r="X17" s="38" t="s">
        <v>23</v>
      </c>
      <c r="Y17" s="38" t="s">
        <v>23</v>
      </c>
      <c r="Z17" s="38" t="s">
        <v>23</v>
      </c>
      <c r="AA17" s="38" t="s">
        <v>23</v>
      </c>
      <c r="AB17" s="38" t="s">
        <v>23</v>
      </c>
      <c r="AC17" s="38" t="s">
        <v>23</v>
      </c>
      <c r="AD17" s="38" t="s">
        <v>23</v>
      </c>
      <c r="AE17" s="38" t="s">
        <v>23</v>
      </c>
      <c r="AF17" s="38" t="s">
        <v>23</v>
      </c>
      <c r="AG17" s="38" t="s">
        <v>23</v>
      </c>
      <c r="AH17" s="38" t="s">
        <v>23</v>
      </c>
      <c r="AI17" s="38" t="s">
        <v>23</v>
      </c>
      <c r="AJ17" s="38" t="s">
        <v>23</v>
      </c>
      <c r="AK17" s="38" t="s">
        <v>23</v>
      </c>
      <c r="AL17" s="38" t="s">
        <v>23</v>
      </c>
      <c r="AM17" s="38" t="s">
        <v>23</v>
      </c>
      <c r="AN17" s="38" t="s">
        <v>23</v>
      </c>
      <c r="AO17" s="38" t="s">
        <v>23</v>
      </c>
      <c r="AP17" s="38" t="s">
        <v>23</v>
      </c>
      <c r="AQ17" s="38" t="s">
        <v>23</v>
      </c>
      <c r="AR17" s="38" t="s">
        <v>23</v>
      </c>
      <c r="AS17" s="38" t="s">
        <v>23</v>
      </c>
      <c r="AT17" s="38" t="s">
        <v>23</v>
      </c>
      <c r="AU17" s="38" t="s">
        <v>23</v>
      </c>
      <c r="AV17" s="38">
        <v>18142</v>
      </c>
      <c r="AW17" s="38">
        <v>18215</v>
      </c>
      <c r="AX17" s="38">
        <v>18272</v>
      </c>
      <c r="AY17" s="38">
        <v>18178</v>
      </c>
      <c r="AZ17" s="38">
        <v>18072</v>
      </c>
      <c r="BA17" s="38">
        <v>18129</v>
      </c>
      <c r="BB17" s="38">
        <v>18092</v>
      </c>
      <c r="BC17" s="38">
        <v>17946</v>
      </c>
      <c r="BD17" s="38">
        <v>17579</v>
      </c>
      <c r="BE17" s="38">
        <v>17373</v>
      </c>
      <c r="BF17" s="38">
        <v>17305</v>
      </c>
      <c r="BG17" s="38">
        <v>17525</v>
      </c>
      <c r="BH17" s="38">
        <v>17725</v>
      </c>
      <c r="BI17" s="38">
        <v>17778</v>
      </c>
      <c r="BJ17" s="38">
        <v>17749</v>
      </c>
      <c r="BK17" s="38">
        <v>17691</v>
      </c>
      <c r="BL17" s="38">
        <v>17838</v>
      </c>
      <c r="BM17" s="38">
        <v>17908</v>
      </c>
      <c r="BN17" s="38">
        <v>18040</v>
      </c>
      <c r="BO17" s="38">
        <v>18128</v>
      </c>
      <c r="BP17" s="38">
        <v>18308</v>
      </c>
      <c r="BQ17" s="38">
        <v>18341</v>
      </c>
      <c r="BR17" s="38">
        <v>18340</v>
      </c>
      <c r="BS17" s="38">
        <v>18336</v>
      </c>
      <c r="BT17" s="38">
        <v>18411</v>
      </c>
      <c r="BU17" s="38">
        <v>18400</v>
      </c>
      <c r="BV17" s="38">
        <v>18411</v>
      </c>
      <c r="BW17" s="38">
        <v>18304</v>
      </c>
      <c r="BX17" s="38">
        <v>18355</v>
      </c>
      <c r="BY17" s="38">
        <v>18274</v>
      </c>
      <c r="BZ17" s="38">
        <v>18291</v>
      </c>
      <c r="CA17" s="38">
        <v>18291</v>
      </c>
      <c r="CB17" s="38">
        <v>18418</v>
      </c>
      <c r="CC17" s="38">
        <v>18582</v>
      </c>
      <c r="CD17" s="38">
        <v>18675</v>
      </c>
      <c r="CE17" s="38">
        <v>18821</v>
      </c>
      <c r="CF17" s="38">
        <v>18874</v>
      </c>
      <c r="CG17" s="38">
        <v>18876</v>
      </c>
      <c r="CH17" s="38">
        <v>18748</v>
      </c>
      <c r="CI17" s="38">
        <v>18771</v>
      </c>
      <c r="CJ17" s="38">
        <v>18949</v>
      </c>
      <c r="CK17" s="38">
        <v>19058</v>
      </c>
      <c r="CL17" s="38">
        <v>19166</v>
      </c>
      <c r="CM17" s="38">
        <v>19181</v>
      </c>
      <c r="CN17" s="38">
        <v>19184</v>
      </c>
      <c r="CO17" s="38">
        <v>19279</v>
      </c>
      <c r="CP17" s="38">
        <v>19251</v>
      </c>
      <c r="CQ17" s="38">
        <v>19374</v>
      </c>
      <c r="CR17" s="38">
        <v>19271</v>
      </c>
      <c r="CS17" s="38">
        <v>19147</v>
      </c>
      <c r="CT17" s="38">
        <v>18951</v>
      </c>
      <c r="CU17" s="38">
        <v>18458</v>
      </c>
      <c r="CV17" s="38">
        <v>17591</v>
      </c>
      <c r="CW17" s="38">
        <v>16637</v>
      </c>
      <c r="CX17" s="38">
        <v>16028</v>
      </c>
      <c r="CY17" s="38">
        <v>15954</v>
      </c>
      <c r="CZ17" s="38">
        <v>16216</v>
      </c>
      <c r="DA17" s="38">
        <v>16404</v>
      </c>
      <c r="DB17" s="38">
        <v>16881</v>
      </c>
      <c r="DC17" s="38">
        <v>17259</v>
      </c>
      <c r="DD17" s="38">
        <v>17449</v>
      </c>
      <c r="DE17" s="38">
        <v>17706</v>
      </c>
      <c r="DF17" s="38">
        <v>17654</v>
      </c>
      <c r="DG17" s="38">
        <v>17752</v>
      </c>
      <c r="DH17" s="38">
        <v>18009</v>
      </c>
      <c r="DI17" s="38">
        <v>18307</v>
      </c>
      <c r="DJ17" s="38">
        <v>18877</v>
      </c>
      <c r="DK17" s="38">
        <v>18986</v>
      </c>
      <c r="DL17" s="38">
        <v>19197</v>
      </c>
      <c r="DM17" s="38">
        <v>19237</v>
      </c>
      <c r="DN17" s="38">
        <v>19368</v>
      </c>
      <c r="DO17" s="38">
        <v>19461</v>
      </c>
      <c r="DP17" s="38">
        <v>19536</v>
      </c>
      <c r="DQ17" s="38">
        <v>19243</v>
      </c>
      <c r="DR17" s="38">
        <v>19107</v>
      </c>
      <c r="DS17" s="38">
        <v>19061</v>
      </c>
      <c r="DT17" s="38">
        <v>19229</v>
      </c>
      <c r="DU17" s="38">
        <v>19291</v>
      </c>
      <c r="DV17" s="38">
        <v>19286</v>
      </c>
      <c r="DW17" s="38">
        <v>19317</v>
      </c>
      <c r="DX17" s="38">
        <v>19228</v>
      </c>
      <c r="DY17" s="38">
        <v>19011</v>
      </c>
      <c r="DZ17" s="70"/>
      <c r="EB17" s="75">
        <f t="shared" si="4"/>
        <v>-1.1748193585278344E-2</v>
      </c>
      <c r="EC17" s="33">
        <f t="shared" si="5"/>
        <v>-226</v>
      </c>
      <c r="EE17" s="75">
        <f t="shared" si="6"/>
        <v>-0.15852835867365467</v>
      </c>
      <c r="EF17" s="33">
        <f t="shared" si="7"/>
        <v>-3055</v>
      </c>
      <c r="EH17" s="75">
        <f t="shared" si="8"/>
        <v>0.17236063147508629</v>
      </c>
      <c r="EI17" s="33">
        <f t="shared" si="9"/>
        <v>2795</v>
      </c>
      <c r="EK17" s="75">
        <f t="shared" si="10"/>
        <v>-1.3491775206268541E-2</v>
      </c>
      <c r="EL17" s="33">
        <f t="shared" si="11"/>
        <v>-260</v>
      </c>
    </row>
    <row r="18" spans="2:142" s="20" customFormat="1" ht="15" customHeight="1" x14ac:dyDescent="0.25">
      <c r="B18" s="39" t="s">
        <v>36</v>
      </c>
      <c r="C18" s="40">
        <v>2346</v>
      </c>
      <c r="D18" s="40">
        <v>2562</v>
      </c>
      <c r="E18" s="40">
        <v>2781</v>
      </c>
      <c r="F18" s="40">
        <v>2922</v>
      </c>
      <c r="G18" s="40">
        <v>2918</v>
      </c>
      <c r="H18" s="40">
        <v>2896</v>
      </c>
      <c r="I18" s="40">
        <v>2839</v>
      </c>
      <c r="J18" s="40">
        <v>2763</v>
      </c>
      <c r="K18" s="40">
        <v>2776</v>
      </c>
      <c r="L18" s="40">
        <v>2801</v>
      </c>
      <c r="M18" s="40">
        <v>2788</v>
      </c>
      <c r="N18" s="40">
        <v>2744</v>
      </c>
      <c r="O18" s="40">
        <v>2736</v>
      </c>
      <c r="P18" s="40">
        <v>2756</v>
      </c>
      <c r="Q18" s="40">
        <v>2779</v>
      </c>
      <c r="R18" s="40">
        <v>2774</v>
      </c>
      <c r="S18" s="40">
        <v>2733</v>
      </c>
      <c r="T18" s="40">
        <v>2668</v>
      </c>
      <c r="U18" s="40">
        <v>2627</v>
      </c>
      <c r="V18" s="40">
        <v>2620</v>
      </c>
      <c r="W18" s="40">
        <v>2671</v>
      </c>
      <c r="X18" s="40">
        <v>2741</v>
      </c>
      <c r="Y18" s="40">
        <v>2734</v>
      </c>
      <c r="Z18" s="40">
        <v>2712</v>
      </c>
      <c r="AA18" s="40">
        <v>2583</v>
      </c>
      <c r="AB18" s="40">
        <v>2568</v>
      </c>
      <c r="AC18" s="40">
        <v>2535</v>
      </c>
      <c r="AD18" s="40">
        <v>2589</v>
      </c>
      <c r="AE18" s="40">
        <v>2568</v>
      </c>
      <c r="AF18" s="40">
        <v>2571</v>
      </c>
      <c r="AG18" s="40">
        <v>2523</v>
      </c>
      <c r="AH18" s="40">
        <v>2489</v>
      </c>
      <c r="AI18" s="40">
        <v>2465</v>
      </c>
      <c r="AJ18" s="40">
        <v>2517</v>
      </c>
      <c r="AK18" s="40">
        <v>2575</v>
      </c>
      <c r="AL18" s="40">
        <v>2617</v>
      </c>
      <c r="AM18" s="40">
        <v>2615</v>
      </c>
      <c r="AN18" s="40">
        <v>2614</v>
      </c>
      <c r="AO18" s="40">
        <v>2594</v>
      </c>
      <c r="AP18" s="40">
        <v>2641</v>
      </c>
      <c r="AQ18" s="40">
        <v>2657</v>
      </c>
      <c r="AR18" s="40">
        <v>2636</v>
      </c>
      <c r="AS18" s="40">
        <v>2582</v>
      </c>
      <c r="AT18" s="40">
        <v>2481</v>
      </c>
      <c r="AU18" s="40">
        <v>2353</v>
      </c>
      <c r="AV18" s="40">
        <v>2265</v>
      </c>
      <c r="AW18" s="40">
        <v>2220</v>
      </c>
      <c r="AX18" s="40">
        <v>2194</v>
      </c>
      <c r="AY18" s="40">
        <v>2125</v>
      </c>
      <c r="AZ18" s="40">
        <v>2075</v>
      </c>
      <c r="BA18" s="40">
        <v>2072</v>
      </c>
      <c r="BB18" s="40">
        <v>2070</v>
      </c>
      <c r="BC18" s="40">
        <v>2042</v>
      </c>
      <c r="BD18" s="40">
        <v>2026</v>
      </c>
      <c r="BE18" s="40">
        <v>1997</v>
      </c>
      <c r="BF18" s="40">
        <v>2006</v>
      </c>
      <c r="BG18" s="40">
        <v>2031</v>
      </c>
      <c r="BH18" s="40">
        <v>2040</v>
      </c>
      <c r="BI18" s="40">
        <v>2094</v>
      </c>
      <c r="BJ18" s="40">
        <v>2126</v>
      </c>
      <c r="BK18" s="40">
        <v>2117</v>
      </c>
      <c r="BL18" s="40">
        <v>2105</v>
      </c>
      <c r="BM18" s="40">
        <v>2098</v>
      </c>
      <c r="BN18" s="40">
        <v>2106</v>
      </c>
      <c r="BO18" s="40">
        <v>2154</v>
      </c>
      <c r="BP18" s="40">
        <v>2188</v>
      </c>
      <c r="BQ18" s="40">
        <v>2194</v>
      </c>
      <c r="BR18" s="40">
        <v>2143</v>
      </c>
      <c r="BS18" s="40">
        <v>2166</v>
      </c>
      <c r="BT18" s="40">
        <v>2151</v>
      </c>
      <c r="BU18" s="40">
        <v>2175</v>
      </c>
      <c r="BV18" s="40">
        <v>2163</v>
      </c>
      <c r="BW18" s="40">
        <v>2162</v>
      </c>
      <c r="BX18" s="40">
        <v>2119</v>
      </c>
      <c r="BY18" s="40">
        <v>2076</v>
      </c>
      <c r="BZ18" s="40">
        <v>2084</v>
      </c>
      <c r="CA18" s="40">
        <v>2084</v>
      </c>
      <c r="CB18" s="40">
        <v>2132</v>
      </c>
      <c r="CC18" s="40">
        <v>2162</v>
      </c>
      <c r="CD18" s="40">
        <v>2186</v>
      </c>
      <c r="CE18" s="40">
        <v>2155</v>
      </c>
      <c r="CF18" s="40">
        <v>2116</v>
      </c>
      <c r="CG18" s="40">
        <v>2112</v>
      </c>
      <c r="CH18" s="40">
        <v>2101</v>
      </c>
      <c r="CI18" s="40">
        <v>2124</v>
      </c>
      <c r="CJ18" s="40">
        <v>2100</v>
      </c>
      <c r="CK18" s="40">
        <v>2117</v>
      </c>
      <c r="CL18" s="40">
        <v>2156</v>
      </c>
      <c r="CM18" s="40">
        <v>2183</v>
      </c>
      <c r="CN18" s="40">
        <v>2150</v>
      </c>
      <c r="CO18" s="40">
        <v>2083</v>
      </c>
      <c r="CP18" s="40">
        <v>2069</v>
      </c>
      <c r="CQ18" s="40">
        <v>2018</v>
      </c>
      <c r="CR18" s="40">
        <v>1991</v>
      </c>
      <c r="CS18" s="40">
        <v>1939</v>
      </c>
      <c r="CT18" s="40">
        <v>1935</v>
      </c>
      <c r="CU18" s="40">
        <v>1902</v>
      </c>
      <c r="CV18" s="40">
        <v>1863</v>
      </c>
      <c r="CW18" s="40">
        <v>1841</v>
      </c>
      <c r="CX18" s="40">
        <v>1821</v>
      </c>
      <c r="CY18" s="40">
        <v>1853</v>
      </c>
      <c r="CZ18" s="40">
        <v>1904</v>
      </c>
      <c r="DA18" s="40">
        <v>1956</v>
      </c>
      <c r="DB18" s="38">
        <v>1963</v>
      </c>
      <c r="DC18" s="38">
        <v>1985</v>
      </c>
      <c r="DD18" s="38">
        <v>1972</v>
      </c>
      <c r="DE18" s="38">
        <v>2001</v>
      </c>
      <c r="DF18" s="38">
        <v>1944</v>
      </c>
      <c r="DG18" s="38">
        <v>1945</v>
      </c>
      <c r="DH18" s="38">
        <v>1914</v>
      </c>
      <c r="DI18" s="38">
        <v>1949</v>
      </c>
      <c r="DJ18" s="38">
        <v>1955</v>
      </c>
      <c r="DK18" s="38">
        <v>1962</v>
      </c>
      <c r="DL18" s="38">
        <v>1973</v>
      </c>
      <c r="DM18" s="38">
        <v>1991</v>
      </c>
      <c r="DN18" s="38">
        <v>1965</v>
      </c>
      <c r="DO18" s="38">
        <v>1936</v>
      </c>
      <c r="DP18" s="38">
        <v>1919</v>
      </c>
      <c r="DQ18" s="38">
        <v>1923</v>
      </c>
      <c r="DR18" s="38">
        <v>1930</v>
      </c>
      <c r="DS18" s="38">
        <v>1935</v>
      </c>
      <c r="DT18" s="38">
        <v>1875</v>
      </c>
      <c r="DU18" s="38">
        <v>1840</v>
      </c>
      <c r="DV18" s="38">
        <v>1772</v>
      </c>
      <c r="DW18" s="38">
        <v>1778</v>
      </c>
      <c r="DX18" s="38">
        <v>1759</v>
      </c>
      <c r="DY18" s="38">
        <v>1712</v>
      </c>
      <c r="DZ18" s="70"/>
      <c r="EB18" s="75">
        <f t="shared" si="4"/>
        <v>-0.14013058764439978</v>
      </c>
      <c r="EC18" s="33">
        <f t="shared" si="5"/>
        <v>-279</v>
      </c>
      <c r="EE18" s="75">
        <f t="shared" si="6"/>
        <v>-4.369663485685582E-2</v>
      </c>
      <c r="EF18" s="33">
        <f t="shared" si="7"/>
        <v>-87</v>
      </c>
      <c r="EH18" s="75">
        <f t="shared" si="8"/>
        <v>-0.10084033613445376</v>
      </c>
      <c r="EI18" s="33">
        <f t="shared" si="9"/>
        <v>-192</v>
      </c>
      <c r="EK18" s="75">
        <f t="shared" si="10"/>
        <v>-0.14013058764439978</v>
      </c>
      <c r="EL18" s="33">
        <f t="shared" si="11"/>
        <v>-279</v>
      </c>
    </row>
    <row r="19" spans="2:142" s="20" customFormat="1" ht="15" customHeight="1" x14ac:dyDescent="0.25">
      <c r="B19" s="41" t="s">
        <v>37</v>
      </c>
      <c r="C19" s="42" t="e">
        <f t="shared" ref="C19:BN19" si="16">(C13/C4)*100</f>
        <v>#VALUE!</v>
      </c>
      <c r="D19" s="42" t="e">
        <f t="shared" si="16"/>
        <v>#VALUE!</v>
      </c>
      <c r="E19" s="42" t="e">
        <f t="shared" si="16"/>
        <v>#VALUE!</v>
      </c>
      <c r="F19" s="42" t="e">
        <f t="shared" si="16"/>
        <v>#VALUE!</v>
      </c>
      <c r="G19" s="42" t="e">
        <f t="shared" si="16"/>
        <v>#VALUE!</v>
      </c>
      <c r="H19" s="42" t="e">
        <f t="shared" si="16"/>
        <v>#VALUE!</v>
      </c>
      <c r="I19" s="42" t="e">
        <f t="shared" si="16"/>
        <v>#VALUE!</v>
      </c>
      <c r="J19" s="42" t="e">
        <f t="shared" si="16"/>
        <v>#VALUE!</v>
      </c>
      <c r="K19" s="42" t="e">
        <f t="shared" si="16"/>
        <v>#VALUE!</v>
      </c>
      <c r="L19" s="42" t="e">
        <f t="shared" si="16"/>
        <v>#VALUE!</v>
      </c>
      <c r="M19" s="42" t="e">
        <f t="shared" si="16"/>
        <v>#VALUE!</v>
      </c>
      <c r="N19" s="42" t="e">
        <f t="shared" si="16"/>
        <v>#VALUE!</v>
      </c>
      <c r="O19" s="42" t="e">
        <f t="shared" si="16"/>
        <v>#VALUE!</v>
      </c>
      <c r="P19" s="42" t="e">
        <f t="shared" si="16"/>
        <v>#VALUE!</v>
      </c>
      <c r="Q19" s="42" t="e">
        <f t="shared" si="16"/>
        <v>#VALUE!</v>
      </c>
      <c r="R19" s="42" t="e">
        <f t="shared" si="16"/>
        <v>#VALUE!</v>
      </c>
      <c r="S19" s="42" t="e">
        <f t="shared" si="16"/>
        <v>#VALUE!</v>
      </c>
      <c r="T19" s="42" t="e">
        <f t="shared" si="16"/>
        <v>#VALUE!</v>
      </c>
      <c r="U19" s="42" t="e">
        <f t="shared" si="16"/>
        <v>#VALUE!</v>
      </c>
      <c r="V19" s="42" t="e">
        <f t="shared" si="16"/>
        <v>#VALUE!</v>
      </c>
      <c r="W19" s="42" t="e">
        <f t="shared" si="16"/>
        <v>#VALUE!</v>
      </c>
      <c r="X19" s="42" t="e">
        <f t="shared" si="16"/>
        <v>#VALUE!</v>
      </c>
      <c r="Y19" s="42" t="e">
        <f t="shared" si="16"/>
        <v>#VALUE!</v>
      </c>
      <c r="Z19" s="42" t="e">
        <f t="shared" si="16"/>
        <v>#VALUE!</v>
      </c>
      <c r="AA19" s="42" t="e">
        <f t="shared" si="16"/>
        <v>#VALUE!</v>
      </c>
      <c r="AB19" s="42" t="e">
        <f t="shared" si="16"/>
        <v>#VALUE!</v>
      </c>
      <c r="AC19" s="42" t="e">
        <f t="shared" si="16"/>
        <v>#VALUE!</v>
      </c>
      <c r="AD19" s="42" t="e">
        <f t="shared" si="16"/>
        <v>#VALUE!</v>
      </c>
      <c r="AE19" s="42" t="e">
        <f t="shared" si="16"/>
        <v>#VALUE!</v>
      </c>
      <c r="AF19" s="42" t="e">
        <f t="shared" si="16"/>
        <v>#VALUE!</v>
      </c>
      <c r="AG19" s="42" t="e">
        <f t="shared" si="16"/>
        <v>#VALUE!</v>
      </c>
      <c r="AH19" s="42" t="e">
        <f t="shared" si="16"/>
        <v>#VALUE!</v>
      </c>
      <c r="AI19" s="42" t="e">
        <f t="shared" si="16"/>
        <v>#VALUE!</v>
      </c>
      <c r="AJ19" s="42" t="e">
        <f t="shared" si="16"/>
        <v>#VALUE!</v>
      </c>
      <c r="AK19" s="42" t="e">
        <f t="shared" si="16"/>
        <v>#VALUE!</v>
      </c>
      <c r="AL19" s="42" t="e">
        <f t="shared" si="16"/>
        <v>#VALUE!</v>
      </c>
      <c r="AM19" s="42" t="e">
        <f t="shared" si="16"/>
        <v>#VALUE!</v>
      </c>
      <c r="AN19" s="42" t="e">
        <f t="shared" si="16"/>
        <v>#VALUE!</v>
      </c>
      <c r="AO19" s="42" t="e">
        <f t="shared" si="16"/>
        <v>#VALUE!</v>
      </c>
      <c r="AP19" s="42" t="e">
        <f t="shared" si="16"/>
        <v>#VALUE!</v>
      </c>
      <c r="AQ19" s="42" t="e">
        <f t="shared" si="16"/>
        <v>#VALUE!</v>
      </c>
      <c r="AR19" s="42" t="e">
        <f t="shared" si="16"/>
        <v>#VALUE!</v>
      </c>
      <c r="AS19" s="42" t="e">
        <f t="shared" si="16"/>
        <v>#VALUE!</v>
      </c>
      <c r="AT19" s="42" t="e">
        <f t="shared" si="16"/>
        <v>#VALUE!</v>
      </c>
      <c r="AU19" s="42" t="e">
        <f t="shared" si="16"/>
        <v>#VALUE!</v>
      </c>
      <c r="AV19" s="42">
        <f t="shared" si="16"/>
        <v>38.283982027824393</v>
      </c>
      <c r="AW19" s="42">
        <f t="shared" si="16"/>
        <v>38.12947289304271</v>
      </c>
      <c r="AX19" s="42">
        <f t="shared" si="16"/>
        <v>38.247631564536441</v>
      </c>
      <c r="AY19" s="42">
        <f t="shared" si="16"/>
        <v>38.297614322882218</v>
      </c>
      <c r="AZ19" s="42">
        <f t="shared" si="16"/>
        <v>38.495179405625684</v>
      </c>
      <c r="BA19" s="42">
        <f t="shared" si="16"/>
        <v>38.656583139490017</v>
      </c>
      <c r="BB19" s="42">
        <f t="shared" si="16"/>
        <v>38.626287579681055</v>
      </c>
      <c r="BC19" s="42">
        <f t="shared" si="16"/>
        <v>38.671965813858229</v>
      </c>
      <c r="BD19" s="42">
        <f t="shared" si="16"/>
        <v>38.426527236598176</v>
      </c>
      <c r="BE19" s="42">
        <f t="shared" si="16"/>
        <v>38.413065986795964</v>
      </c>
      <c r="BF19" s="42">
        <f t="shared" si="16"/>
        <v>38.464448227139727</v>
      </c>
      <c r="BG19" s="42">
        <f t="shared" si="16"/>
        <v>38.687491680347875</v>
      </c>
      <c r="BH19" s="42">
        <f t="shared" si="16"/>
        <v>39.037860137068336</v>
      </c>
      <c r="BI19" s="42">
        <f t="shared" si="16"/>
        <v>39.19394736255655</v>
      </c>
      <c r="BJ19" s="42">
        <f t="shared" si="16"/>
        <v>39.246534664560009</v>
      </c>
      <c r="BK19" s="42">
        <f t="shared" si="16"/>
        <v>39.249496325143227</v>
      </c>
      <c r="BL19" s="42">
        <f t="shared" si="16"/>
        <v>39.480708838043967</v>
      </c>
      <c r="BM19" s="42">
        <f t="shared" si="16"/>
        <v>39.651882845188283</v>
      </c>
      <c r="BN19" s="42">
        <f t="shared" si="16"/>
        <v>39.745878283237055</v>
      </c>
      <c r="BO19" s="42">
        <f t="shared" ref="BO19:DY19" si="17">(BO13/BO4)*100</f>
        <v>39.809019153281447</v>
      </c>
      <c r="BP19" s="42">
        <f t="shared" si="17"/>
        <v>39.974945605591081</v>
      </c>
      <c r="BQ19" s="42">
        <f t="shared" si="17"/>
        <v>40.18056712100627</v>
      </c>
      <c r="BR19" s="42">
        <f t="shared" si="17"/>
        <v>40.141698415990746</v>
      </c>
      <c r="BS19" s="42">
        <f t="shared" si="17"/>
        <v>40.251018744906276</v>
      </c>
      <c r="BT19" s="42">
        <f t="shared" si="17"/>
        <v>40.238322418354514</v>
      </c>
      <c r="BU19" s="42">
        <f t="shared" si="17"/>
        <v>40.236667065829153</v>
      </c>
      <c r="BV19" s="42">
        <f t="shared" si="17"/>
        <v>40.195595273296753</v>
      </c>
      <c r="BW19" s="42">
        <f t="shared" si="17"/>
        <v>40.164836374039922</v>
      </c>
      <c r="BX19" s="42">
        <f t="shared" si="17"/>
        <v>40.359143327841842</v>
      </c>
      <c r="BY19" s="42">
        <f t="shared" si="17"/>
        <v>40.33583030808208</v>
      </c>
      <c r="BZ19" s="42">
        <f t="shared" si="17"/>
        <v>40.205114748362689</v>
      </c>
      <c r="CA19" s="42">
        <f t="shared" si="17"/>
        <v>40.12469262072117</v>
      </c>
      <c r="CB19" s="42">
        <f t="shared" si="17"/>
        <v>40.273462450336147</v>
      </c>
      <c r="CC19" s="42">
        <f t="shared" si="17"/>
        <v>40.589051856793894</v>
      </c>
      <c r="CD19" s="42">
        <f t="shared" si="17"/>
        <v>40.693113868707002</v>
      </c>
      <c r="CE19" s="42">
        <f t="shared" si="17"/>
        <v>40.754587988976013</v>
      </c>
      <c r="CF19" s="42">
        <f t="shared" si="17"/>
        <v>40.672910385528255</v>
      </c>
      <c r="CG19" s="42">
        <f t="shared" si="17"/>
        <v>40.544635852686106</v>
      </c>
      <c r="CH19" s="42">
        <f t="shared" si="17"/>
        <v>40.291660370026555</v>
      </c>
      <c r="CI19" s="42">
        <f t="shared" si="17"/>
        <v>40.373133522635257</v>
      </c>
      <c r="CJ19" s="42">
        <f t="shared" si="17"/>
        <v>40.476088309124847</v>
      </c>
      <c r="CK19" s="42">
        <f t="shared" si="17"/>
        <v>40.633532423208187</v>
      </c>
      <c r="CL19" s="42">
        <f t="shared" si="17"/>
        <v>40.795021293316765</v>
      </c>
      <c r="CM19" s="42">
        <f t="shared" si="17"/>
        <v>40.926330063351486</v>
      </c>
      <c r="CN19" s="42">
        <f t="shared" si="17"/>
        <v>40.968585002486535</v>
      </c>
      <c r="CO19" s="42">
        <f t="shared" si="17"/>
        <v>40.930586049653769</v>
      </c>
      <c r="CP19" s="42">
        <f t="shared" si="17"/>
        <v>40.813105646917712</v>
      </c>
      <c r="CQ19" s="42">
        <f t="shared" si="17"/>
        <v>40.714188388936059</v>
      </c>
      <c r="CR19" s="42">
        <f t="shared" si="17"/>
        <v>40.575825786525677</v>
      </c>
      <c r="CS19" s="42">
        <f t="shared" si="17"/>
        <v>40.290363953659508</v>
      </c>
      <c r="CT19" s="42">
        <f t="shared" si="17"/>
        <v>40.223292561843799</v>
      </c>
      <c r="CU19" s="42">
        <f t="shared" si="17"/>
        <v>39.50276539762659</v>
      </c>
      <c r="CV19" s="42">
        <f t="shared" si="17"/>
        <v>38.341376823653412</v>
      </c>
      <c r="CW19" s="42">
        <f t="shared" si="17"/>
        <v>37.178112206653978</v>
      </c>
      <c r="CX19" s="42">
        <f t="shared" si="17"/>
        <v>36.525442885866916</v>
      </c>
      <c r="CY19" s="42">
        <f t="shared" si="17"/>
        <v>37.07222725899063</v>
      </c>
      <c r="CZ19" s="42">
        <f t="shared" si="17"/>
        <v>37.646204140937165</v>
      </c>
      <c r="DA19" s="42">
        <f t="shared" si="17"/>
        <v>37.980584851390219</v>
      </c>
      <c r="DB19" s="42">
        <f t="shared" si="17"/>
        <v>38.415449194475059</v>
      </c>
      <c r="DC19" s="42">
        <f t="shared" si="17"/>
        <v>38.743026116687652</v>
      </c>
      <c r="DD19" s="42">
        <f t="shared" si="17"/>
        <v>39.039266265405558</v>
      </c>
      <c r="DE19" s="42">
        <f t="shared" si="17"/>
        <v>39.158850643245351</v>
      </c>
      <c r="DF19" s="42">
        <f t="shared" si="17"/>
        <v>39.055518639873519</v>
      </c>
      <c r="DG19" s="42">
        <f t="shared" si="17"/>
        <v>39.105221455393128</v>
      </c>
      <c r="DH19" s="42">
        <f t="shared" si="17"/>
        <v>39.26721920548728</v>
      </c>
      <c r="DI19" s="42">
        <f t="shared" si="17"/>
        <v>39.449801474758935</v>
      </c>
      <c r="DJ19" s="42">
        <f t="shared" si="17"/>
        <v>40.008950047547124</v>
      </c>
      <c r="DK19" s="42">
        <f t="shared" si="17"/>
        <v>40.17889640111617</v>
      </c>
      <c r="DL19" s="42">
        <f t="shared" si="17"/>
        <v>40.562551103843006</v>
      </c>
      <c r="DM19" s="42">
        <f t="shared" si="17"/>
        <v>40.55734213837831</v>
      </c>
      <c r="DN19" s="42">
        <f t="shared" si="17"/>
        <v>40.66817088486345</v>
      </c>
      <c r="DO19" s="42">
        <f t="shared" si="17"/>
        <v>40.639221304567677</v>
      </c>
      <c r="DP19" s="42">
        <f t="shared" si="17"/>
        <v>40.673859233187464</v>
      </c>
      <c r="DQ19" s="42">
        <f t="shared" si="17"/>
        <v>40.369279778683634</v>
      </c>
      <c r="DR19" s="42">
        <f t="shared" si="17"/>
        <v>40.244030493311215</v>
      </c>
      <c r="DS19" s="42">
        <f t="shared" si="17"/>
        <v>40.096983437244162</v>
      </c>
      <c r="DT19" s="42">
        <f t="shared" si="17"/>
        <v>40.134489654243474</v>
      </c>
      <c r="DU19" s="42">
        <f t="shared" si="17"/>
        <v>40.126134440855253</v>
      </c>
      <c r="DV19" s="42">
        <f t="shared" si="17"/>
        <v>39.978019517854051</v>
      </c>
      <c r="DW19" s="42">
        <f t="shared" si="17"/>
        <v>39.825269089656011</v>
      </c>
      <c r="DX19" s="42">
        <f t="shared" si="17"/>
        <v>39.700045447659441</v>
      </c>
      <c r="DY19" s="42">
        <f t="shared" si="17"/>
        <v>39.432646975863314</v>
      </c>
      <c r="DZ19" s="70"/>
      <c r="EB19" s="75"/>
      <c r="EC19" s="71"/>
    </row>
    <row r="20" spans="2:142" s="20" customFormat="1" ht="15" customHeight="1" x14ac:dyDescent="0.25">
      <c r="B20" s="79" t="s">
        <v>38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70"/>
      <c r="EB20" s="81"/>
    </row>
    <row r="21" spans="2:142" s="20" customFormat="1" ht="15" customHeight="1" x14ac:dyDescent="0.2">
      <c r="B21" s="20" t="s">
        <v>39</v>
      </c>
      <c r="C21" s="43">
        <f>SUM(C23:C26)</f>
        <v>88012</v>
      </c>
      <c r="D21" s="43">
        <f t="shared" ref="D21:BO21" si="18">SUM(D23:D26)</f>
        <v>88845</v>
      </c>
      <c r="E21" s="43">
        <f t="shared" si="18"/>
        <v>89379</v>
      </c>
      <c r="F21" s="43">
        <f t="shared" si="18"/>
        <v>89647</v>
      </c>
      <c r="G21" s="43">
        <f t="shared" si="18"/>
        <v>89786</v>
      </c>
      <c r="H21" s="43">
        <f t="shared" si="18"/>
        <v>90086</v>
      </c>
      <c r="I21" s="43">
        <f t="shared" si="18"/>
        <v>90320</v>
      </c>
      <c r="J21" s="43">
        <f t="shared" si="18"/>
        <v>90466</v>
      </c>
      <c r="K21" s="43">
        <f t="shared" si="18"/>
        <v>90555</v>
      </c>
      <c r="L21" s="43">
        <f t="shared" si="18"/>
        <v>90593</v>
      </c>
      <c r="M21" s="43">
        <f t="shared" si="18"/>
        <v>90284</v>
      </c>
      <c r="N21" s="43">
        <f t="shared" si="18"/>
        <v>89901</v>
      </c>
      <c r="O21" s="43">
        <f t="shared" si="18"/>
        <v>89688</v>
      </c>
      <c r="P21" s="43">
        <f t="shared" si="18"/>
        <v>90088</v>
      </c>
      <c r="Q21" s="43">
        <f t="shared" si="18"/>
        <v>90546</v>
      </c>
      <c r="R21" s="43">
        <f t="shared" si="18"/>
        <v>90850</v>
      </c>
      <c r="S21" s="43">
        <f t="shared" si="18"/>
        <v>91104</v>
      </c>
      <c r="T21" s="43">
        <f t="shared" si="18"/>
        <v>91232</v>
      </c>
      <c r="U21" s="43">
        <f t="shared" si="18"/>
        <v>91438</v>
      </c>
      <c r="V21" s="43">
        <f t="shared" si="18"/>
        <v>91605</v>
      </c>
      <c r="W21" s="43">
        <f t="shared" si="18"/>
        <v>92000</v>
      </c>
      <c r="X21" s="43">
        <f t="shared" si="18"/>
        <v>92171</v>
      </c>
      <c r="Y21" s="43">
        <f t="shared" si="18"/>
        <v>91870</v>
      </c>
      <c r="Z21" s="43">
        <f t="shared" si="18"/>
        <v>91700</v>
      </c>
      <c r="AA21" s="43">
        <f t="shared" si="18"/>
        <v>91456</v>
      </c>
      <c r="AB21" s="43">
        <f t="shared" si="18"/>
        <v>91697</v>
      </c>
      <c r="AC21" s="43">
        <f t="shared" si="18"/>
        <v>91892</v>
      </c>
      <c r="AD21" s="43">
        <f t="shared" si="18"/>
        <v>92117</v>
      </c>
      <c r="AE21" s="43">
        <f t="shared" si="18"/>
        <v>92056</v>
      </c>
      <c r="AF21" s="43">
        <f t="shared" si="18"/>
        <v>92056</v>
      </c>
      <c r="AG21" s="43">
        <f t="shared" si="18"/>
        <v>92406</v>
      </c>
      <c r="AH21" s="43">
        <f t="shared" si="18"/>
        <v>92692</v>
      </c>
      <c r="AI21" s="43">
        <f t="shared" si="18"/>
        <v>92878</v>
      </c>
      <c r="AJ21" s="43">
        <f t="shared" si="18"/>
        <v>92961</v>
      </c>
      <c r="AK21" s="43">
        <f t="shared" si="18"/>
        <v>92743</v>
      </c>
      <c r="AL21" s="43">
        <f t="shared" si="18"/>
        <v>92308</v>
      </c>
      <c r="AM21" s="43">
        <f t="shared" si="18"/>
        <v>91962</v>
      </c>
      <c r="AN21" s="43">
        <f t="shared" si="18"/>
        <v>92173</v>
      </c>
      <c r="AO21" s="43">
        <f t="shared" si="18"/>
        <v>92147</v>
      </c>
      <c r="AP21" s="43">
        <f t="shared" si="18"/>
        <v>92249</v>
      </c>
      <c r="AQ21" s="43">
        <f t="shared" si="18"/>
        <v>92230</v>
      </c>
      <c r="AR21" s="43">
        <f t="shared" si="18"/>
        <v>92173</v>
      </c>
      <c r="AS21" s="43">
        <f t="shared" si="18"/>
        <v>92200</v>
      </c>
      <c r="AT21" s="43">
        <f t="shared" si="18"/>
        <v>92386</v>
      </c>
      <c r="AU21" s="43">
        <f t="shared" si="18"/>
        <v>92288</v>
      </c>
      <c r="AV21" s="43">
        <f>SUM(AV23:AV26)</f>
        <v>92365</v>
      </c>
      <c r="AW21" s="43">
        <f t="shared" si="18"/>
        <v>91803</v>
      </c>
      <c r="AX21" s="43">
        <f t="shared" si="18"/>
        <v>91305</v>
      </c>
      <c r="AY21" s="43">
        <f t="shared" si="18"/>
        <v>90708</v>
      </c>
      <c r="AZ21" s="43">
        <f t="shared" si="18"/>
        <v>90549</v>
      </c>
      <c r="BA21" s="43">
        <f t="shared" si="18"/>
        <v>90709</v>
      </c>
      <c r="BB21" s="43">
        <f t="shared" si="18"/>
        <v>90674</v>
      </c>
      <c r="BC21" s="43">
        <f t="shared" si="18"/>
        <v>90329</v>
      </c>
      <c r="BD21" s="43">
        <f t="shared" si="18"/>
        <v>90081</v>
      </c>
      <c r="BE21" s="43">
        <f t="shared" si="18"/>
        <v>89821</v>
      </c>
      <c r="BF21" s="43">
        <f t="shared" si="18"/>
        <v>89883</v>
      </c>
      <c r="BG21" s="43">
        <f t="shared" si="18"/>
        <v>90148</v>
      </c>
      <c r="BH21" s="43">
        <f t="shared" si="18"/>
        <v>90174</v>
      </c>
      <c r="BI21" s="43">
        <f t="shared" si="18"/>
        <v>89746</v>
      </c>
      <c r="BJ21" s="43">
        <f t="shared" si="18"/>
        <v>89241</v>
      </c>
      <c r="BK21" s="43">
        <f t="shared" si="18"/>
        <v>88847</v>
      </c>
      <c r="BL21" s="43">
        <f t="shared" si="18"/>
        <v>89160</v>
      </c>
      <c r="BM21" s="43">
        <f t="shared" si="18"/>
        <v>89625</v>
      </c>
      <c r="BN21" s="43">
        <f t="shared" si="18"/>
        <v>90193</v>
      </c>
      <c r="BO21" s="43">
        <f t="shared" si="18"/>
        <v>90585</v>
      </c>
      <c r="BP21" s="43">
        <f t="shared" ref="BP21:CX21" si="19">SUM(BP23:BP26)</f>
        <v>91002</v>
      </c>
      <c r="BQ21" s="43">
        <f t="shared" si="19"/>
        <v>91268</v>
      </c>
      <c r="BR21" s="43">
        <f t="shared" si="19"/>
        <v>91603</v>
      </c>
      <c r="BS21" s="43">
        <f t="shared" si="19"/>
        <v>92025</v>
      </c>
      <c r="BT21" s="43">
        <f t="shared" si="19"/>
        <v>92228</v>
      </c>
      <c r="BU21" s="43">
        <f t="shared" si="19"/>
        <v>91859</v>
      </c>
      <c r="BV21" s="43">
        <f t="shared" si="19"/>
        <v>91311</v>
      </c>
      <c r="BW21" s="43">
        <f t="shared" si="19"/>
        <v>90878</v>
      </c>
      <c r="BX21" s="43">
        <f t="shared" si="19"/>
        <v>91050</v>
      </c>
      <c r="BY21" s="43">
        <f t="shared" si="19"/>
        <v>91177</v>
      </c>
      <c r="BZ21" s="43">
        <f t="shared" si="19"/>
        <v>91461</v>
      </c>
      <c r="CA21" s="43">
        <f t="shared" si="19"/>
        <v>91906</v>
      </c>
      <c r="CB21" s="43">
        <f t="shared" si="19"/>
        <v>92371</v>
      </c>
      <c r="CC21" s="43">
        <f t="shared" si="19"/>
        <v>92929</v>
      </c>
      <c r="CD21" s="43">
        <f t="shared" si="19"/>
        <v>93318</v>
      </c>
      <c r="CE21" s="43">
        <f t="shared" si="19"/>
        <v>93614</v>
      </c>
      <c r="CF21" s="43">
        <f t="shared" si="19"/>
        <v>93534</v>
      </c>
      <c r="CG21" s="43">
        <f t="shared" si="19"/>
        <v>93053</v>
      </c>
      <c r="CH21" s="43">
        <f t="shared" si="19"/>
        <v>92642</v>
      </c>
      <c r="CI21" s="43">
        <f t="shared" si="19"/>
        <v>92621</v>
      </c>
      <c r="CJ21" s="43">
        <f t="shared" si="19"/>
        <v>93218</v>
      </c>
      <c r="CK21" s="43">
        <f t="shared" si="19"/>
        <v>93760</v>
      </c>
      <c r="CL21" s="43">
        <f t="shared" si="19"/>
        <v>94161</v>
      </c>
      <c r="CM21" s="43">
        <f t="shared" si="19"/>
        <v>94394</v>
      </c>
      <c r="CN21" s="43">
        <f t="shared" si="19"/>
        <v>94509</v>
      </c>
      <c r="CO21" s="43">
        <f t="shared" si="19"/>
        <v>94736</v>
      </c>
      <c r="CP21" s="43">
        <f>SUM(CP23:CP26)</f>
        <v>95043</v>
      </c>
      <c r="CQ21" s="43">
        <f t="shared" si="19"/>
        <v>95409</v>
      </c>
      <c r="CR21" s="43">
        <f t="shared" si="19"/>
        <v>95515</v>
      </c>
      <c r="CS21" s="43">
        <f t="shared" si="19"/>
        <v>95122</v>
      </c>
      <c r="CT21" s="43">
        <f t="shared" si="19"/>
        <v>94674</v>
      </c>
      <c r="CU21" s="43">
        <f t="shared" si="19"/>
        <v>93115</v>
      </c>
      <c r="CV21" s="43">
        <f t="shared" si="19"/>
        <v>90135</v>
      </c>
      <c r="CW21" s="43">
        <f t="shared" si="19"/>
        <v>86715</v>
      </c>
      <c r="CX21" s="43">
        <f t="shared" si="19"/>
        <v>84051</v>
      </c>
      <c r="CY21" s="43">
        <f>SUM(CY23:CY26)</f>
        <v>82725</v>
      </c>
      <c r="CZ21" s="43">
        <f t="shared" ref="CZ21:DU21" si="20">SUM(CZ23:CZ26)</f>
        <v>82590</v>
      </c>
      <c r="DA21" s="43">
        <f t="shared" si="20"/>
        <v>83440</v>
      </c>
      <c r="DB21" s="43">
        <f t="shared" si="20"/>
        <v>85286</v>
      </c>
      <c r="DC21" s="43">
        <f t="shared" si="20"/>
        <v>86573</v>
      </c>
      <c r="DD21" s="43">
        <f t="shared" si="20"/>
        <v>87225</v>
      </c>
      <c r="DE21" s="43">
        <f t="shared" si="20"/>
        <v>87214</v>
      </c>
      <c r="DF21" s="43">
        <f t="shared" si="20"/>
        <v>87286</v>
      </c>
      <c r="DG21" s="43">
        <f t="shared" si="20"/>
        <v>87083</v>
      </c>
      <c r="DH21" s="43">
        <f t="shared" si="20"/>
        <v>87475</v>
      </c>
      <c r="DI21" s="43">
        <f t="shared" si="20"/>
        <v>88150</v>
      </c>
      <c r="DJ21" s="43">
        <f t="shared" si="20"/>
        <v>89385</v>
      </c>
      <c r="DK21" s="43">
        <f t="shared" si="20"/>
        <v>90667</v>
      </c>
      <c r="DL21" s="43">
        <f t="shared" si="20"/>
        <v>91725</v>
      </c>
      <c r="DM21" s="43">
        <f t="shared" si="20"/>
        <v>92977</v>
      </c>
      <c r="DN21" s="43">
        <f t="shared" si="20"/>
        <v>93958</v>
      </c>
      <c r="DO21" s="43">
        <f t="shared" si="20"/>
        <v>94928</v>
      </c>
      <c r="DP21" s="43">
        <f t="shared" si="20"/>
        <v>95747</v>
      </c>
      <c r="DQ21" s="43">
        <f t="shared" si="20"/>
        <v>95429</v>
      </c>
      <c r="DR21" s="43">
        <f t="shared" si="20"/>
        <v>95234</v>
      </c>
      <c r="DS21" s="43">
        <f t="shared" si="20"/>
        <v>95274</v>
      </c>
      <c r="DT21" s="43">
        <f t="shared" si="20"/>
        <v>96513</v>
      </c>
      <c r="DU21" s="43">
        <f t="shared" si="20"/>
        <v>97515</v>
      </c>
      <c r="DV21" s="43">
        <f>SUM(DV23:DV26)</f>
        <v>98269</v>
      </c>
      <c r="DW21" s="43">
        <f>SUM(DW23:DW26)</f>
        <v>98666</v>
      </c>
      <c r="DX21" s="43">
        <f t="shared" ref="DX21:DY21" si="21">SUM(DX23:DX26)</f>
        <v>99015</v>
      </c>
      <c r="DY21" s="43">
        <f t="shared" si="21"/>
        <v>99268</v>
      </c>
      <c r="DZ21" s="43"/>
    </row>
    <row r="22" spans="2:142" s="20" customFormat="1" ht="12.75" x14ac:dyDescent="0.2"/>
    <row r="23" spans="2:142" s="20" customFormat="1" ht="15" customHeight="1" x14ac:dyDescent="0.2">
      <c r="B23" s="20" t="s">
        <v>40</v>
      </c>
      <c r="C23" s="43">
        <v>62104</v>
      </c>
      <c r="D23" s="43">
        <v>62586</v>
      </c>
      <c r="E23" s="43">
        <v>62928</v>
      </c>
      <c r="F23" s="43">
        <v>63300</v>
      </c>
      <c r="G23" s="43">
        <v>63523</v>
      </c>
      <c r="H23" s="43">
        <v>63818</v>
      </c>
      <c r="I23" s="43">
        <v>64058</v>
      </c>
      <c r="J23" s="43">
        <v>64140</v>
      </c>
      <c r="K23" s="43">
        <v>64055</v>
      </c>
      <c r="L23" s="43">
        <v>63932</v>
      </c>
      <c r="M23" s="43">
        <v>63692</v>
      </c>
      <c r="N23" s="43">
        <v>63528</v>
      </c>
      <c r="O23" s="43">
        <v>63263</v>
      </c>
      <c r="P23" s="43">
        <v>63520</v>
      </c>
      <c r="Q23" s="43">
        <v>63793</v>
      </c>
      <c r="R23" s="43">
        <v>63983</v>
      </c>
      <c r="S23" s="43">
        <v>64171</v>
      </c>
      <c r="T23" s="43">
        <v>64358</v>
      </c>
      <c r="U23" s="43">
        <v>64571</v>
      </c>
      <c r="V23" s="43">
        <v>64753</v>
      </c>
      <c r="W23" s="43">
        <v>64906</v>
      </c>
      <c r="X23" s="43">
        <v>64807</v>
      </c>
      <c r="Y23" s="43">
        <v>64558</v>
      </c>
      <c r="Z23" s="43">
        <v>64541</v>
      </c>
      <c r="AA23" s="43">
        <v>64689</v>
      </c>
      <c r="AB23" s="43">
        <v>65003</v>
      </c>
      <c r="AC23" s="43">
        <v>65086</v>
      </c>
      <c r="AD23" s="43">
        <v>65222</v>
      </c>
      <c r="AE23" s="43">
        <v>65065</v>
      </c>
      <c r="AF23" s="43">
        <v>64996</v>
      </c>
      <c r="AG23" s="43">
        <v>65174</v>
      </c>
      <c r="AH23" s="43">
        <v>65337</v>
      </c>
      <c r="AI23" s="43">
        <v>65419</v>
      </c>
      <c r="AJ23" s="43">
        <v>65316</v>
      </c>
      <c r="AK23" s="43">
        <v>65074</v>
      </c>
      <c r="AL23" s="43">
        <v>64596</v>
      </c>
      <c r="AM23" s="43">
        <v>64137</v>
      </c>
      <c r="AN23" s="43">
        <v>64223</v>
      </c>
      <c r="AO23" s="43">
        <v>64165</v>
      </c>
      <c r="AP23" s="43">
        <v>64152</v>
      </c>
      <c r="AQ23" s="43">
        <v>64046</v>
      </c>
      <c r="AR23" s="43">
        <v>63932</v>
      </c>
      <c r="AS23" s="43">
        <v>63923</v>
      </c>
      <c r="AT23" s="43">
        <v>63984</v>
      </c>
      <c r="AU23" s="43">
        <v>63893</v>
      </c>
      <c r="AV23" s="43">
        <f t="shared" ref="AV23:DG23" si="22">SUM(AV6:AV10,AV14:AV15)</f>
        <v>63793</v>
      </c>
      <c r="AW23" s="43">
        <f t="shared" si="22"/>
        <v>63162</v>
      </c>
      <c r="AX23" s="43">
        <f t="shared" si="22"/>
        <v>62601</v>
      </c>
      <c r="AY23" s="43">
        <f t="shared" si="22"/>
        <v>62237</v>
      </c>
      <c r="AZ23" s="43">
        <f t="shared" si="22"/>
        <v>62348</v>
      </c>
      <c r="BA23" s="43">
        <f t="shared" si="22"/>
        <v>62481</v>
      </c>
      <c r="BB23" s="43">
        <f t="shared" si="22"/>
        <v>62564</v>
      </c>
      <c r="BC23" s="43">
        <f t="shared" si="22"/>
        <v>62421</v>
      </c>
      <c r="BD23" s="43">
        <f t="shared" si="22"/>
        <v>62429</v>
      </c>
      <c r="BE23" s="43">
        <f t="shared" si="22"/>
        <v>62404</v>
      </c>
      <c r="BF23" s="43">
        <f t="shared" si="22"/>
        <v>62509</v>
      </c>
      <c r="BG23" s="43">
        <f t="shared" si="22"/>
        <v>62533</v>
      </c>
      <c r="BH23" s="43">
        <f t="shared" si="22"/>
        <v>62379</v>
      </c>
      <c r="BI23" s="43">
        <f t="shared" si="22"/>
        <v>61765</v>
      </c>
      <c r="BJ23" s="43">
        <f t="shared" si="22"/>
        <v>61305</v>
      </c>
      <c r="BK23" s="43">
        <f t="shared" si="22"/>
        <v>60965</v>
      </c>
      <c r="BL23" s="43">
        <f t="shared" si="22"/>
        <v>61127</v>
      </c>
      <c r="BM23" s="43">
        <f t="shared" si="22"/>
        <v>61495</v>
      </c>
      <c r="BN23" s="43">
        <f t="shared" si="22"/>
        <v>61860</v>
      </c>
      <c r="BO23" s="43">
        <f t="shared" si="22"/>
        <v>62047</v>
      </c>
      <c r="BP23" s="43">
        <f t="shared" si="22"/>
        <v>62240</v>
      </c>
      <c r="BQ23" s="43">
        <f t="shared" si="22"/>
        <v>62407</v>
      </c>
      <c r="BR23" s="43">
        <f t="shared" si="22"/>
        <v>62660</v>
      </c>
      <c r="BS23" s="43">
        <f t="shared" si="22"/>
        <v>62886</v>
      </c>
      <c r="BT23" s="43">
        <f t="shared" si="22"/>
        <v>62923</v>
      </c>
      <c r="BU23" s="43">
        <f t="shared" si="22"/>
        <v>62597</v>
      </c>
      <c r="BV23" s="43">
        <f t="shared" si="22"/>
        <v>62106</v>
      </c>
      <c r="BW23" s="43">
        <f t="shared" si="22"/>
        <v>61824</v>
      </c>
      <c r="BX23" s="43">
        <f t="shared" si="22"/>
        <v>61981</v>
      </c>
      <c r="BY23" s="43">
        <f t="shared" si="22"/>
        <v>62257</v>
      </c>
      <c r="BZ23" s="43">
        <f t="shared" si="22"/>
        <v>62419</v>
      </c>
      <c r="CA23" s="43">
        <f t="shared" si="22"/>
        <v>62792</v>
      </c>
      <c r="CB23" s="43">
        <f t="shared" si="22"/>
        <v>63016</v>
      </c>
      <c r="CC23" s="43">
        <f t="shared" si="22"/>
        <v>63333</v>
      </c>
      <c r="CD23" s="43">
        <f t="shared" si="22"/>
        <v>63466</v>
      </c>
      <c r="CE23" s="43">
        <f t="shared" si="22"/>
        <v>63622</v>
      </c>
      <c r="CF23" s="43">
        <f t="shared" si="22"/>
        <v>63456</v>
      </c>
      <c r="CG23" s="43">
        <f t="shared" si="22"/>
        <v>62944</v>
      </c>
      <c r="CH23" s="43">
        <f t="shared" si="22"/>
        <v>62625</v>
      </c>
      <c r="CI23" s="43">
        <f t="shared" si="22"/>
        <v>62649</v>
      </c>
      <c r="CJ23" s="43">
        <f t="shared" si="22"/>
        <v>63163</v>
      </c>
      <c r="CK23" s="43">
        <f t="shared" si="22"/>
        <v>63527</v>
      </c>
      <c r="CL23" s="43">
        <f t="shared" si="22"/>
        <v>63830</v>
      </c>
      <c r="CM23" s="43">
        <f t="shared" si="22"/>
        <v>63995</v>
      </c>
      <c r="CN23" s="43">
        <f t="shared" si="22"/>
        <v>64051</v>
      </c>
      <c r="CO23" s="43">
        <f t="shared" si="22"/>
        <v>64154</v>
      </c>
      <c r="CP23" s="43">
        <f t="shared" si="22"/>
        <v>64374</v>
      </c>
      <c r="CQ23" s="43">
        <f t="shared" si="22"/>
        <v>64581</v>
      </c>
      <c r="CR23" s="43">
        <f t="shared" si="22"/>
        <v>64795</v>
      </c>
      <c r="CS23" s="43">
        <f t="shared" si="22"/>
        <v>64468</v>
      </c>
      <c r="CT23" s="43">
        <f t="shared" si="22"/>
        <v>64147</v>
      </c>
      <c r="CU23" s="43">
        <f t="shared" si="22"/>
        <v>63003</v>
      </c>
      <c r="CV23" s="43">
        <f t="shared" si="22"/>
        <v>61035</v>
      </c>
      <c r="CW23" s="43">
        <f t="shared" si="22"/>
        <v>58789</v>
      </c>
      <c r="CX23" s="43">
        <f t="shared" si="22"/>
        <v>56998</v>
      </c>
      <c r="CY23" s="43">
        <f t="shared" si="22"/>
        <v>55893</v>
      </c>
      <c r="CZ23" s="43">
        <f t="shared" si="22"/>
        <v>55590</v>
      </c>
      <c r="DA23" s="43">
        <f t="shared" si="22"/>
        <v>56187</v>
      </c>
      <c r="DB23" s="43">
        <f t="shared" si="22"/>
        <v>57364</v>
      </c>
      <c r="DC23" s="43">
        <f t="shared" si="22"/>
        <v>58124</v>
      </c>
      <c r="DD23" s="43">
        <f t="shared" si="22"/>
        <v>58459</v>
      </c>
      <c r="DE23" s="43">
        <f t="shared" si="22"/>
        <v>58231</v>
      </c>
      <c r="DF23" s="43">
        <f t="shared" si="22"/>
        <v>58214</v>
      </c>
      <c r="DG23" s="43">
        <f t="shared" si="22"/>
        <v>57881</v>
      </c>
      <c r="DH23" s="43">
        <f t="shared" ref="DH23:DV23" si="23">SUM(DH6:DH10,DH14:DH15)</f>
        <v>58027</v>
      </c>
      <c r="DI23" s="43">
        <f t="shared" si="23"/>
        <v>58432</v>
      </c>
      <c r="DJ23" s="43">
        <f t="shared" si="23"/>
        <v>59068</v>
      </c>
      <c r="DK23" s="43">
        <f t="shared" si="23"/>
        <v>60022</v>
      </c>
      <c r="DL23" s="43">
        <f t="shared" si="23"/>
        <v>60760</v>
      </c>
      <c r="DM23" s="43">
        <f t="shared" si="23"/>
        <v>61724</v>
      </c>
      <c r="DN23" s="43">
        <f t="shared" si="23"/>
        <v>62496</v>
      </c>
      <c r="DO23" s="43">
        <f t="shared" si="23"/>
        <v>63286</v>
      </c>
      <c r="DP23" s="43">
        <f t="shared" si="23"/>
        <v>64010</v>
      </c>
      <c r="DQ23" s="43">
        <f t="shared" si="23"/>
        <v>63922</v>
      </c>
      <c r="DR23" s="43">
        <f t="shared" si="23"/>
        <v>63883</v>
      </c>
      <c r="DS23" s="43">
        <f t="shared" si="23"/>
        <v>63960</v>
      </c>
      <c r="DT23" s="43">
        <f t="shared" si="23"/>
        <v>64973</v>
      </c>
      <c r="DU23" s="43">
        <f t="shared" si="23"/>
        <v>65783</v>
      </c>
      <c r="DV23" s="43">
        <f t="shared" si="23"/>
        <v>66546</v>
      </c>
      <c r="DW23" s="43">
        <f>SUM(DW6:DW10,DW14:DW15)</f>
        <v>66735</v>
      </c>
      <c r="DX23" s="43">
        <f t="shared" ref="DX23:DY23" si="24">SUM(DX6:DX10,DX14:DX15)</f>
        <v>67083</v>
      </c>
      <c r="DY23" s="43">
        <f t="shared" si="24"/>
        <v>67521</v>
      </c>
      <c r="DZ23" s="43"/>
      <c r="EA23" s="82"/>
    </row>
    <row r="24" spans="2:142" s="20" customFormat="1" ht="15" customHeight="1" x14ac:dyDescent="0.2">
      <c r="B24" s="20" t="s">
        <v>41</v>
      </c>
      <c r="C24" s="43">
        <v>3388</v>
      </c>
      <c r="D24" s="43">
        <v>3492</v>
      </c>
      <c r="E24" s="43">
        <v>3505</v>
      </c>
      <c r="F24" s="43">
        <v>3495</v>
      </c>
      <c r="G24" s="43">
        <v>3502</v>
      </c>
      <c r="H24" s="43">
        <v>3535</v>
      </c>
      <c r="I24" s="43">
        <v>3540</v>
      </c>
      <c r="J24" s="43">
        <v>3543</v>
      </c>
      <c r="K24" s="43">
        <v>3604</v>
      </c>
      <c r="L24" s="43">
        <v>3632</v>
      </c>
      <c r="M24" s="43">
        <v>3628</v>
      </c>
      <c r="N24" s="43">
        <v>3611</v>
      </c>
      <c r="O24" s="43">
        <v>3606</v>
      </c>
      <c r="P24" s="43">
        <v>3662</v>
      </c>
      <c r="Q24" s="43">
        <v>3619</v>
      </c>
      <c r="R24" s="43">
        <v>3672</v>
      </c>
      <c r="S24" s="43">
        <v>3688</v>
      </c>
      <c r="T24" s="43">
        <v>3684</v>
      </c>
      <c r="U24" s="43">
        <v>3653</v>
      </c>
      <c r="V24" s="43">
        <v>3689</v>
      </c>
      <c r="W24" s="43">
        <v>3762</v>
      </c>
      <c r="X24" s="43">
        <v>3738</v>
      </c>
      <c r="Y24" s="43">
        <v>3657</v>
      </c>
      <c r="Z24" s="43">
        <v>3634</v>
      </c>
      <c r="AA24" s="43">
        <v>3651</v>
      </c>
      <c r="AB24" s="43">
        <v>3632</v>
      </c>
      <c r="AC24" s="43">
        <v>3602</v>
      </c>
      <c r="AD24" s="43">
        <v>3650</v>
      </c>
      <c r="AE24" s="43">
        <v>3623</v>
      </c>
      <c r="AF24" s="43">
        <v>3699</v>
      </c>
      <c r="AG24" s="43">
        <v>3678</v>
      </c>
      <c r="AH24" s="43">
        <v>3752</v>
      </c>
      <c r="AI24" s="43">
        <v>3810</v>
      </c>
      <c r="AJ24" s="43">
        <v>3845</v>
      </c>
      <c r="AK24" s="43">
        <v>3846</v>
      </c>
      <c r="AL24" s="43">
        <v>3871</v>
      </c>
      <c r="AM24" s="43">
        <v>3966</v>
      </c>
      <c r="AN24" s="43">
        <v>3932</v>
      </c>
      <c r="AO24" s="43">
        <v>3867</v>
      </c>
      <c r="AP24" s="43">
        <v>3894</v>
      </c>
      <c r="AQ24" s="43">
        <v>3915</v>
      </c>
      <c r="AR24" s="43">
        <v>3964</v>
      </c>
      <c r="AS24" s="43">
        <v>3969</v>
      </c>
      <c r="AT24" s="43">
        <v>3959</v>
      </c>
      <c r="AU24" s="43">
        <v>3923</v>
      </c>
      <c r="AV24" s="43">
        <f t="shared" ref="AV24:DG25" si="25">SUM(AV11,AV16)</f>
        <v>3887</v>
      </c>
      <c r="AW24" s="43">
        <f t="shared" si="25"/>
        <v>3784</v>
      </c>
      <c r="AX24" s="43">
        <f t="shared" si="25"/>
        <v>3696</v>
      </c>
      <c r="AY24" s="43">
        <f t="shared" si="25"/>
        <v>3628</v>
      </c>
      <c r="AZ24" s="43">
        <f t="shared" si="25"/>
        <v>3642</v>
      </c>
      <c r="BA24" s="43">
        <f t="shared" si="25"/>
        <v>3682</v>
      </c>
      <c r="BB24" s="43">
        <f t="shared" si="25"/>
        <v>3628</v>
      </c>
      <c r="BC24" s="43">
        <f t="shared" si="25"/>
        <v>3735</v>
      </c>
      <c r="BD24" s="43">
        <f t="shared" si="25"/>
        <v>3861</v>
      </c>
      <c r="BE24" s="43">
        <f t="shared" si="25"/>
        <v>4004</v>
      </c>
      <c r="BF24" s="43">
        <f t="shared" si="25"/>
        <v>4049</v>
      </c>
      <c r="BG24" s="43">
        <f t="shared" si="25"/>
        <v>4092</v>
      </c>
      <c r="BH24" s="43">
        <f t="shared" si="25"/>
        <v>4070</v>
      </c>
      <c r="BI24" s="43">
        <f t="shared" si="25"/>
        <v>4113</v>
      </c>
      <c r="BJ24" s="43">
        <f t="shared" si="25"/>
        <v>4044</v>
      </c>
      <c r="BK24" s="43">
        <f t="shared" si="25"/>
        <v>4048</v>
      </c>
      <c r="BL24" s="43">
        <f t="shared" si="25"/>
        <v>4043</v>
      </c>
      <c r="BM24" s="43">
        <f t="shared" si="25"/>
        <v>4047</v>
      </c>
      <c r="BN24" s="43">
        <f t="shared" si="25"/>
        <v>4119</v>
      </c>
      <c r="BO24" s="43">
        <f t="shared" si="25"/>
        <v>4163</v>
      </c>
      <c r="BP24" s="43">
        <f t="shared" si="25"/>
        <v>4132</v>
      </c>
      <c r="BQ24" s="43">
        <f t="shared" si="25"/>
        <v>4163</v>
      </c>
      <c r="BR24" s="43">
        <f t="shared" si="25"/>
        <v>4232</v>
      </c>
      <c r="BS24" s="43">
        <f t="shared" si="25"/>
        <v>4330</v>
      </c>
      <c r="BT24" s="43">
        <f t="shared" si="25"/>
        <v>4335</v>
      </c>
      <c r="BU24" s="43">
        <f t="shared" si="25"/>
        <v>4292</v>
      </c>
      <c r="BV24" s="43">
        <f t="shared" si="25"/>
        <v>4277</v>
      </c>
      <c r="BW24" s="43">
        <f t="shared" si="25"/>
        <v>4287</v>
      </c>
      <c r="BX24" s="43">
        <f t="shared" si="25"/>
        <v>4281</v>
      </c>
      <c r="BY24" s="43">
        <f t="shared" si="25"/>
        <v>4271</v>
      </c>
      <c r="BZ24" s="43">
        <f t="shared" si="25"/>
        <v>4284</v>
      </c>
      <c r="CA24" s="43">
        <f t="shared" si="25"/>
        <v>4309</v>
      </c>
      <c r="CB24" s="43">
        <f t="shared" si="25"/>
        <v>4337</v>
      </c>
      <c r="CC24" s="43">
        <f t="shared" si="25"/>
        <v>4340</v>
      </c>
      <c r="CD24" s="43">
        <f t="shared" si="25"/>
        <v>4430</v>
      </c>
      <c r="CE24" s="43">
        <f t="shared" si="25"/>
        <v>4392</v>
      </c>
      <c r="CF24" s="43">
        <f t="shared" si="25"/>
        <v>4450</v>
      </c>
      <c r="CG24" s="43">
        <f t="shared" si="25"/>
        <v>4437</v>
      </c>
      <c r="CH24" s="43">
        <f t="shared" si="25"/>
        <v>4454</v>
      </c>
      <c r="CI24" s="43">
        <f t="shared" si="25"/>
        <v>4366</v>
      </c>
      <c r="CJ24" s="43">
        <f t="shared" si="25"/>
        <v>4318</v>
      </c>
      <c r="CK24" s="43">
        <f t="shared" si="25"/>
        <v>4356</v>
      </c>
      <c r="CL24" s="43">
        <f t="shared" si="25"/>
        <v>4308</v>
      </c>
      <c r="CM24" s="43">
        <f t="shared" si="25"/>
        <v>4265</v>
      </c>
      <c r="CN24" s="43">
        <f t="shared" si="25"/>
        <v>4284</v>
      </c>
      <c r="CO24" s="43">
        <f t="shared" si="25"/>
        <v>4308</v>
      </c>
      <c r="CP24" s="43">
        <f t="shared" si="25"/>
        <v>4404</v>
      </c>
      <c r="CQ24" s="43">
        <f t="shared" si="25"/>
        <v>4433</v>
      </c>
      <c r="CR24" s="43">
        <f t="shared" si="25"/>
        <v>4393</v>
      </c>
      <c r="CS24" s="43">
        <f t="shared" si="25"/>
        <v>4366</v>
      </c>
      <c r="CT24" s="43">
        <f t="shared" si="25"/>
        <v>4360</v>
      </c>
      <c r="CU24" s="43">
        <f t="shared" si="25"/>
        <v>4337</v>
      </c>
      <c r="CV24" s="43">
        <f t="shared" si="25"/>
        <v>4153</v>
      </c>
      <c r="CW24" s="43">
        <f t="shared" si="25"/>
        <v>3989</v>
      </c>
      <c r="CX24" s="43">
        <f t="shared" si="25"/>
        <v>3885</v>
      </c>
      <c r="CY24" s="43">
        <f t="shared" si="25"/>
        <v>3872</v>
      </c>
      <c r="CZ24" s="43">
        <f t="shared" si="25"/>
        <v>3841</v>
      </c>
      <c r="DA24" s="43">
        <f t="shared" si="25"/>
        <v>3799</v>
      </c>
      <c r="DB24" s="43">
        <f t="shared" si="25"/>
        <v>3818</v>
      </c>
      <c r="DC24" s="43">
        <f t="shared" si="25"/>
        <v>3856</v>
      </c>
      <c r="DD24" s="43">
        <f t="shared" si="25"/>
        <v>3848</v>
      </c>
      <c r="DE24" s="43">
        <f t="shared" si="25"/>
        <v>3801</v>
      </c>
      <c r="DF24" s="43">
        <f t="shared" si="25"/>
        <v>3782</v>
      </c>
      <c r="DG24" s="43">
        <f t="shared" si="25"/>
        <v>3697</v>
      </c>
      <c r="DH24" s="43">
        <f t="shared" ref="DH24:DV25" si="26">SUM(DH11,DH16)</f>
        <v>3704</v>
      </c>
      <c r="DI24" s="43">
        <f t="shared" si="26"/>
        <v>3646</v>
      </c>
      <c r="DJ24" s="43">
        <f t="shared" si="26"/>
        <v>3719</v>
      </c>
      <c r="DK24" s="43">
        <f t="shared" si="26"/>
        <v>3683</v>
      </c>
      <c r="DL24" s="43">
        <f t="shared" si="26"/>
        <v>3739</v>
      </c>
      <c r="DM24" s="43">
        <f t="shared" si="26"/>
        <v>3801</v>
      </c>
      <c r="DN24" s="43">
        <f t="shared" si="26"/>
        <v>3859</v>
      </c>
      <c r="DO24" s="43">
        <f t="shared" si="26"/>
        <v>3865</v>
      </c>
      <c r="DP24" s="43">
        <f t="shared" si="26"/>
        <v>3874</v>
      </c>
      <c r="DQ24" s="43">
        <f t="shared" si="26"/>
        <v>4008</v>
      </c>
      <c r="DR24" s="43">
        <f t="shared" si="26"/>
        <v>4068</v>
      </c>
      <c r="DS24" s="43">
        <f t="shared" si="26"/>
        <v>4095</v>
      </c>
      <c r="DT24" s="43">
        <f t="shared" si="26"/>
        <v>4118</v>
      </c>
      <c r="DU24" s="43">
        <f t="shared" si="26"/>
        <v>4236</v>
      </c>
      <c r="DV24" s="43">
        <f t="shared" si="26"/>
        <v>4237</v>
      </c>
      <c r="DW24" s="43">
        <f>SUM(DW11,DW16)</f>
        <v>4280</v>
      </c>
      <c r="DX24" s="43">
        <f t="shared" ref="DX24:DY25" si="27">SUM(DX11,DX16)</f>
        <v>4304</v>
      </c>
      <c r="DY24" s="43">
        <f t="shared" si="27"/>
        <v>4351</v>
      </c>
      <c r="DZ24" s="43"/>
      <c r="EA24" s="82"/>
    </row>
    <row r="25" spans="2:142" s="20" customFormat="1" ht="15" customHeight="1" x14ac:dyDescent="0.2">
      <c r="B25" s="20" t="s">
        <v>42</v>
      </c>
      <c r="C25" s="43">
        <v>20174</v>
      </c>
      <c r="D25" s="43">
        <v>20205</v>
      </c>
      <c r="E25" s="43">
        <v>20165</v>
      </c>
      <c r="F25" s="43">
        <v>19930</v>
      </c>
      <c r="G25" s="43">
        <v>19843</v>
      </c>
      <c r="H25" s="43">
        <v>19837</v>
      </c>
      <c r="I25" s="43">
        <v>19883</v>
      </c>
      <c r="J25" s="43">
        <v>20020</v>
      </c>
      <c r="K25" s="43">
        <v>20120</v>
      </c>
      <c r="L25" s="43">
        <v>20228</v>
      </c>
      <c r="M25" s="43">
        <v>20176</v>
      </c>
      <c r="N25" s="43">
        <v>20018</v>
      </c>
      <c r="O25" s="43">
        <v>20083</v>
      </c>
      <c r="P25" s="43">
        <v>20150</v>
      </c>
      <c r="Q25" s="43">
        <v>20355</v>
      </c>
      <c r="R25" s="43">
        <v>20421</v>
      </c>
      <c r="S25" s="43">
        <v>20512</v>
      </c>
      <c r="T25" s="43">
        <v>20522</v>
      </c>
      <c r="U25" s="43">
        <v>20587</v>
      </c>
      <c r="V25" s="43">
        <v>20543</v>
      </c>
      <c r="W25" s="43">
        <v>20661</v>
      </c>
      <c r="X25" s="43">
        <v>20885</v>
      </c>
      <c r="Y25" s="43">
        <v>20921</v>
      </c>
      <c r="Z25" s="43">
        <v>20813</v>
      </c>
      <c r="AA25" s="43">
        <v>20533</v>
      </c>
      <c r="AB25" s="43">
        <v>20494</v>
      </c>
      <c r="AC25" s="43">
        <v>20669</v>
      </c>
      <c r="AD25" s="43">
        <v>20656</v>
      </c>
      <c r="AE25" s="43">
        <v>20800</v>
      </c>
      <c r="AF25" s="43">
        <v>20790</v>
      </c>
      <c r="AG25" s="43">
        <v>21031</v>
      </c>
      <c r="AH25" s="43">
        <v>21114</v>
      </c>
      <c r="AI25" s="43">
        <v>21184</v>
      </c>
      <c r="AJ25" s="43">
        <v>21283</v>
      </c>
      <c r="AK25" s="43">
        <v>21248</v>
      </c>
      <c r="AL25" s="43">
        <v>21224</v>
      </c>
      <c r="AM25" s="43">
        <v>21244</v>
      </c>
      <c r="AN25" s="43">
        <v>21404</v>
      </c>
      <c r="AO25" s="43">
        <v>21521</v>
      </c>
      <c r="AP25" s="43">
        <v>21562</v>
      </c>
      <c r="AQ25" s="43">
        <v>21612</v>
      </c>
      <c r="AR25" s="43">
        <v>21641</v>
      </c>
      <c r="AS25" s="43">
        <v>21726</v>
      </c>
      <c r="AT25" s="43">
        <v>21962</v>
      </c>
      <c r="AU25" s="43">
        <v>22119</v>
      </c>
      <c r="AV25" s="43">
        <f t="shared" si="25"/>
        <v>22420</v>
      </c>
      <c r="AW25" s="43">
        <f t="shared" si="25"/>
        <v>22637</v>
      </c>
      <c r="AX25" s="43">
        <f t="shared" si="25"/>
        <v>22814</v>
      </c>
      <c r="AY25" s="43">
        <f t="shared" si="25"/>
        <v>22718</v>
      </c>
      <c r="AZ25" s="43">
        <f t="shared" si="25"/>
        <v>22484</v>
      </c>
      <c r="BA25" s="43">
        <f t="shared" si="25"/>
        <v>22474</v>
      </c>
      <c r="BB25" s="43">
        <f t="shared" si="25"/>
        <v>22412</v>
      </c>
      <c r="BC25" s="43">
        <f t="shared" si="25"/>
        <v>22131</v>
      </c>
      <c r="BD25" s="43">
        <f t="shared" si="25"/>
        <v>21765</v>
      </c>
      <c r="BE25" s="43">
        <f t="shared" si="25"/>
        <v>21416</v>
      </c>
      <c r="BF25" s="43">
        <f t="shared" si="25"/>
        <v>21319</v>
      </c>
      <c r="BG25" s="43">
        <f t="shared" si="25"/>
        <v>21492</v>
      </c>
      <c r="BH25" s="43">
        <f t="shared" si="25"/>
        <v>21685</v>
      </c>
      <c r="BI25" s="43">
        <f t="shared" si="25"/>
        <v>21774</v>
      </c>
      <c r="BJ25" s="43">
        <f t="shared" si="25"/>
        <v>21766</v>
      </c>
      <c r="BK25" s="43">
        <f t="shared" si="25"/>
        <v>21717</v>
      </c>
      <c r="BL25" s="43">
        <f t="shared" si="25"/>
        <v>21885</v>
      </c>
      <c r="BM25" s="43">
        <f t="shared" si="25"/>
        <v>21985</v>
      </c>
      <c r="BN25" s="43">
        <f t="shared" si="25"/>
        <v>22108</v>
      </c>
      <c r="BO25" s="43">
        <f t="shared" si="25"/>
        <v>22221</v>
      </c>
      <c r="BP25" s="43">
        <f t="shared" si="25"/>
        <v>22442</v>
      </c>
      <c r="BQ25" s="43">
        <f t="shared" si="25"/>
        <v>22504</v>
      </c>
      <c r="BR25" s="43">
        <f t="shared" si="25"/>
        <v>22568</v>
      </c>
      <c r="BS25" s="43">
        <f t="shared" si="25"/>
        <v>22643</v>
      </c>
      <c r="BT25" s="43">
        <f t="shared" si="25"/>
        <v>22819</v>
      </c>
      <c r="BU25" s="43">
        <f t="shared" si="25"/>
        <v>22795</v>
      </c>
      <c r="BV25" s="43">
        <f t="shared" si="25"/>
        <v>22765</v>
      </c>
      <c r="BW25" s="43">
        <f t="shared" si="25"/>
        <v>22605</v>
      </c>
      <c r="BX25" s="43">
        <f t="shared" si="25"/>
        <v>22669</v>
      </c>
      <c r="BY25" s="43">
        <f t="shared" si="25"/>
        <v>22573</v>
      </c>
      <c r="BZ25" s="43">
        <f t="shared" si="25"/>
        <v>22674</v>
      </c>
      <c r="CA25" s="43">
        <f t="shared" si="25"/>
        <v>22721</v>
      </c>
      <c r="CB25" s="43">
        <f t="shared" si="25"/>
        <v>22886</v>
      </c>
      <c r="CC25" s="43">
        <f t="shared" si="25"/>
        <v>23094</v>
      </c>
      <c r="CD25" s="43">
        <f t="shared" si="25"/>
        <v>23236</v>
      </c>
      <c r="CE25" s="43">
        <f t="shared" si="25"/>
        <v>23445</v>
      </c>
      <c r="CF25" s="43">
        <f t="shared" si="25"/>
        <v>23512</v>
      </c>
      <c r="CG25" s="43">
        <f t="shared" si="25"/>
        <v>23560</v>
      </c>
      <c r="CH25" s="43">
        <f t="shared" si="25"/>
        <v>23462</v>
      </c>
      <c r="CI25" s="43">
        <f t="shared" si="25"/>
        <v>23482</v>
      </c>
      <c r="CJ25" s="43">
        <f t="shared" si="25"/>
        <v>23637</v>
      </c>
      <c r="CK25" s="43">
        <f t="shared" si="25"/>
        <v>23760</v>
      </c>
      <c r="CL25" s="43">
        <f t="shared" si="25"/>
        <v>23867</v>
      </c>
      <c r="CM25" s="43">
        <f t="shared" si="25"/>
        <v>23951</v>
      </c>
      <c r="CN25" s="43">
        <f t="shared" si="25"/>
        <v>24024</v>
      </c>
      <c r="CO25" s="43">
        <f t="shared" si="25"/>
        <v>24191</v>
      </c>
      <c r="CP25" s="43">
        <f t="shared" si="25"/>
        <v>24196</v>
      </c>
      <c r="CQ25" s="43">
        <f t="shared" si="25"/>
        <v>24377</v>
      </c>
      <c r="CR25" s="43">
        <f t="shared" si="25"/>
        <v>24336</v>
      </c>
      <c r="CS25" s="43">
        <f t="shared" si="25"/>
        <v>24349</v>
      </c>
      <c r="CT25" s="43">
        <f t="shared" si="25"/>
        <v>24232</v>
      </c>
      <c r="CU25" s="43">
        <f t="shared" si="25"/>
        <v>23873</v>
      </c>
      <c r="CV25" s="43">
        <f t="shared" si="25"/>
        <v>23084</v>
      </c>
      <c r="CW25" s="43">
        <f t="shared" si="25"/>
        <v>22096</v>
      </c>
      <c r="CX25" s="43">
        <f t="shared" si="25"/>
        <v>21347</v>
      </c>
      <c r="CY25" s="43">
        <f t="shared" si="25"/>
        <v>21107</v>
      </c>
      <c r="CZ25" s="43">
        <f t="shared" si="25"/>
        <v>21255</v>
      </c>
      <c r="DA25" s="43">
        <f t="shared" si="25"/>
        <v>21498</v>
      </c>
      <c r="DB25" s="43">
        <f t="shared" si="25"/>
        <v>22141</v>
      </c>
      <c r="DC25" s="43">
        <f t="shared" si="25"/>
        <v>22608</v>
      </c>
      <c r="DD25" s="43">
        <f t="shared" si="25"/>
        <v>22946</v>
      </c>
      <c r="DE25" s="43">
        <f t="shared" si="25"/>
        <v>23181</v>
      </c>
      <c r="DF25" s="43">
        <f t="shared" si="25"/>
        <v>23346</v>
      </c>
      <c r="DG25" s="43">
        <f t="shared" si="25"/>
        <v>23560</v>
      </c>
      <c r="DH25" s="43">
        <f t="shared" si="26"/>
        <v>23830</v>
      </c>
      <c r="DI25" s="43">
        <f t="shared" si="26"/>
        <v>24123</v>
      </c>
      <c r="DJ25" s="43">
        <f t="shared" si="26"/>
        <v>24643</v>
      </c>
      <c r="DK25" s="43">
        <f t="shared" si="26"/>
        <v>25000</v>
      </c>
      <c r="DL25" s="43">
        <f t="shared" si="26"/>
        <v>25253</v>
      </c>
      <c r="DM25" s="43">
        <f t="shared" si="26"/>
        <v>25461</v>
      </c>
      <c r="DN25" s="43">
        <f t="shared" si="26"/>
        <v>25638</v>
      </c>
      <c r="DO25" s="43">
        <f t="shared" si="26"/>
        <v>25841</v>
      </c>
      <c r="DP25" s="43">
        <f t="shared" si="26"/>
        <v>25944</v>
      </c>
      <c r="DQ25" s="43">
        <f t="shared" si="26"/>
        <v>25576</v>
      </c>
      <c r="DR25" s="43">
        <f t="shared" si="26"/>
        <v>25353</v>
      </c>
      <c r="DS25" s="43">
        <f t="shared" si="26"/>
        <v>25284</v>
      </c>
      <c r="DT25" s="43">
        <f t="shared" si="26"/>
        <v>25547</v>
      </c>
      <c r="DU25" s="43">
        <f t="shared" si="26"/>
        <v>25656</v>
      </c>
      <c r="DV25" s="43">
        <f t="shared" si="26"/>
        <v>25714</v>
      </c>
      <c r="DW25" s="43">
        <f>SUM(DW12,DW17)</f>
        <v>25873</v>
      </c>
      <c r="DX25" s="43">
        <f t="shared" si="27"/>
        <v>25869</v>
      </c>
      <c r="DY25" s="43">
        <f t="shared" si="27"/>
        <v>25684</v>
      </c>
      <c r="DZ25" s="43"/>
      <c r="EA25" s="82"/>
    </row>
    <row r="26" spans="2:142" s="20" customFormat="1" ht="15" customHeight="1" x14ac:dyDescent="0.2">
      <c r="B26" s="20" t="s">
        <v>36</v>
      </c>
      <c r="C26" s="43">
        <v>2346</v>
      </c>
      <c r="D26" s="43">
        <v>2562</v>
      </c>
      <c r="E26" s="43">
        <v>2781</v>
      </c>
      <c r="F26" s="43">
        <v>2922</v>
      </c>
      <c r="G26" s="43">
        <v>2918</v>
      </c>
      <c r="H26" s="43">
        <v>2896</v>
      </c>
      <c r="I26" s="43">
        <v>2839</v>
      </c>
      <c r="J26" s="43">
        <v>2763</v>
      </c>
      <c r="K26" s="43">
        <v>2776</v>
      </c>
      <c r="L26" s="43">
        <v>2801</v>
      </c>
      <c r="M26" s="43">
        <v>2788</v>
      </c>
      <c r="N26" s="43">
        <v>2744</v>
      </c>
      <c r="O26" s="43">
        <v>2736</v>
      </c>
      <c r="P26" s="43">
        <v>2756</v>
      </c>
      <c r="Q26" s="43">
        <v>2779</v>
      </c>
      <c r="R26" s="43">
        <v>2774</v>
      </c>
      <c r="S26" s="43">
        <v>2733</v>
      </c>
      <c r="T26" s="43">
        <v>2668</v>
      </c>
      <c r="U26" s="43">
        <v>2627</v>
      </c>
      <c r="V26" s="43">
        <v>2620</v>
      </c>
      <c r="W26" s="43">
        <v>2671</v>
      </c>
      <c r="X26" s="43">
        <v>2741</v>
      </c>
      <c r="Y26" s="43">
        <v>2734</v>
      </c>
      <c r="Z26" s="43">
        <v>2712</v>
      </c>
      <c r="AA26" s="43">
        <v>2583</v>
      </c>
      <c r="AB26" s="43">
        <v>2568</v>
      </c>
      <c r="AC26" s="43">
        <v>2535</v>
      </c>
      <c r="AD26" s="43">
        <v>2589</v>
      </c>
      <c r="AE26" s="43">
        <v>2568</v>
      </c>
      <c r="AF26" s="43">
        <v>2571</v>
      </c>
      <c r="AG26" s="43">
        <v>2523</v>
      </c>
      <c r="AH26" s="43">
        <v>2489</v>
      </c>
      <c r="AI26" s="43">
        <v>2465</v>
      </c>
      <c r="AJ26" s="43">
        <v>2517</v>
      </c>
      <c r="AK26" s="43">
        <v>2575</v>
      </c>
      <c r="AL26" s="43">
        <v>2617</v>
      </c>
      <c r="AM26" s="43">
        <v>2615</v>
      </c>
      <c r="AN26" s="43">
        <v>2614</v>
      </c>
      <c r="AO26" s="43">
        <v>2594</v>
      </c>
      <c r="AP26" s="43">
        <v>2641</v>
      </c>
      <c r="AQ26" s="43">
        <v>2657</v>
      </c>
      <c r="AR26" s="43">
        <v>2636</v>
      </c>
      <c r="AS26" s="43">
        <v>2582</v>
      </c>
      <c r="AT26" s="43">
        <v>2481</v>
      </c>
      <c r="AU26" s="43">
        <v>2353</v>
      </c>
      <c r="AV26" s="43">
        <f t="shared" ref="AV26:DG26" si="28">AV18</f>
        <v>2265</v>
      </c>
      <c r="AW26" s="43">
        <f t="shared" si="28"/>
        <v>2220</v>
      </c>
      <c r="AX26" s="43">
        <f t="shared" si="28"/>
        <v>2194</v>
      </c>
      <c r="AY26" s="43">
        <f t="shared" si="28"/>
        <v>2125</v>
      </c>
      <c r="AZ26" s="43">
        <f t="shared" si="28"/>
        <v>2075</v>
      </c>
      <c r="BA26" s="43">
        <f t="shared" si="28"/>
        <v>2072</v>
      </c>
      <c r="BB26" s="43">
        <f t="shared" si="28"/>
        <v>2070</v>
      </c>
      <c r="BC26" s="43">
        <f t="shared" si="28"/>
        <v>2042</v>
      </c>
      <c r="BD26" s="43">
        <f t="shared" si="28"/>
        <v>2026</v>
      </c>
      <c r="BE26" s="43">
        <f t="shared" si="28"/>
        <v>1997</v>
      </c>
      <c r="BF26" s="43">
        <f t="shared" si="28"/>
        <v>2006</v>
      </c>
      <c r="BG26" s="43">
        <f t="shared" si="28"/>
        <v>2031</v>
      </c>
      <c r="BH26" s="43">
        <f t="shared" si="28"/>
        <v>2040</v>
      </c>
      <c r="BI26" s="43">
        <f t="shared" si="28"/>
        <v>2094</v>
      </c>
      <c r="BJ26" s="43">
        <f t="shared" si="28"/>
        <v>2126</v>
      </c>
      <c r="BK26" s="43">
        <f t="shared" si="28"/>
        <v>2117</v>
      </c>
      <c r="BL26" s="43">
        <f t="shared" si="28"/>
        <v>2105</v>
      </c>
      <c r="BM26" s="43">
        <f t="shared" si="28"/>
        <v>2098</v>
      </c>
      <c r="BN26" s="43">
        <f t="shared" si="28"/>
        <v>2106</v>
      </c>
      <c r="BO26" s="43">
        <f t="shared" si="28"/>
        <v>2154</v>
      </c>
      <c r="BP26" s="43">
        <f t="shared" si="28"/>
        <v>2188</v>
      </c>
      <c r="BQ26" s="43">
        <f t="shared" si="28"/>
        <v>2194</v>
      </c>
      <c r="BR26" s="43">
        <f t="shared" si="28"/>
        <v>2143</v>
      </c>
      <c r="BS26" s="43">
        <f t="shared" si="28"/>
        <v>2166</v>
      </c>
      <c r="BT26" s="43">
        <f t="shared" si="28"/>
        <v>2151</v>
      </c>
      <c r="BU26" s="43">
        <f t="shared" si="28"/>
        <v>2175</v>
      </c>
      <c r="BV26" s="43">
        <f t="shared" si="28"/>
        <v>2163</v>
      </c>
      <c r="BW26" s="43">
        <f t="shared" si="28"/>
        <v>2162</v>
      </c>
      <c r="BX26" s="43">
        <f t="shared" si="28"/>
        <v>2119</v>
      </c>
      <c r="BY26" s="43">
        <f t="shared" si="28"/>
        <v>2076</v>
      </c>
      <c r="BZ26" s="43">
        <f t="shared" si="28"/>
        <v>2084</v>
      </c>
      <c r="CA26" s="43">
        <f t="shared" si="28"/>
        <v>2084</v>
      </c>
      <c r="CB26" s="43">
        <f t="shared" si="28"/>
        <v>2132</v>
      </c>
      <c r="CC26" s="43">
        <f t="shared" si="28"/>
        <v>2162</v>
      </c>
      <c r="CD26" s="43">
        <f t="shared" si="28"/>
        <v>2186</v>
      </c>
      <c r="CE26" s="43">
        <f t="shared" si="28"/>
        <v>2155</v>
      </c>
      <c r="CF26" s="43">
        <f t="shared" si="28"/>
        <v>2116</v>
      </c>
      <c r="CG26" s="43">
        <f t="shared" si="28"/>
        <v>2112</v>
      </c>
      <c r="CH26" s="43">
        <f t="shared" si="28"/>
        <v>2101</v>
      </c>
      <c r="CI26" s="43">
        <f t="shared" si="28"/>
        <v>2124</v>
      </c>
      <c r="CJ26" s="43">
        <f t="shared" si="28"/>
        <v>2100</v>
      </c>
      <c r="CK26" s="43">
        <f t="shared" si="28"/>
        <v>2117</v>
      </c>
      <c r="CL26" s="43">
        <f t="shared" si="28"/>
        <v>2156</v>
      </c>
      <c r="CM26" s="43">
        <f t="shared" si="28"/>
        <v>2183</v>
      </c>
      <c r="CN26" s="43">
        <f t="shared" si="28"/>
        <v>2150</v>
      </c>
      <c r="CO26" s="43">
        <f t="shared" si="28"/>
        <v>2083</v>
      </c>
      <c r="CP26" s="43">
        <f t="shared" si="28"/>
        <v>2069</v>
      </c>
      <c r="CQ26" s="43">
        <f t="shared" si="28"/>
        <v>2018</v>
      </c>
      <c r="CR26" s="43">
        <f t="shared" si="28"/>
        <v>1991</v>
      </c>
      <c r="CS26" s="43">
        <f t="shared" si="28"/>
        <v>1939</v>
      </c>
      <c r="CT26" s="43">
        <f t="shared" si="28"/>
        <v>1935</v>
      </c>
      <c r="CU26" s="43">
        <f t="shared" si="28"/>
        <v>1902</v>
      </c>
      <c r="CV26" s="43">
        <f t="shared" si="28"/>
        <v>1863</v>
      </c>
      <c r="CW26" s="43">
        <f t="shared" si="28"/>
        <v>1841</v>
      </c>
      <c r="CX26" s="43">
        <f t="shared" si="28"/>
        <v>1821</v>
      </c>
      <c r="CY26" s="43">
        <f t="shared" si="28"/>
        <v>1853</v>
      </c>
      <c r="CZ26" s="43">
        <f t="shared" si="28"/>
        <v>1904</v>
      </c>
      <c r="DA26" s="43">
        <f t="shared" si="28"/>
        <v>1956</v>
      </c>
      <c r="DB26" s="43">
        <f t="shared" si="28"/>
        <v>1963</v>
      </c>
      <c r="DC26" s="43">
        <f t="shared" si="28"/>
        <v>1985</v>
      </c>
      <c r="DD26" s="43">
        <f t="shared" si="28"/>
        <v>1972</v>
      </c>
      <c r="DE26" s="43">
        <f t="shared" si="28"/>
        <v>2001</v>
      </c>
      <c r="DF26" s="43">
        <f t="shared" si="28"/>
        <v>1944</v>
      </c>
      <c r="DG26" s="43">
        <f t="shared" si="28"/>
        <v>1945</v>
      </c>
      <c r="DH26" s="43">
        <f t="shared" ref="DH26:DU26" si="29">DH18</f>
        <v>1914</v>
      </c>
      <c r="DI26" s="43">
        <f t="shared" si="29"/>
        <v>1949</v>
      </c>
      <c r="DJ26" s="43">
        <f t="shared" si="29"/>
        <v>1955</v>
      </c>
      <c r="DK26" s="43">
        <f t="shared" si="29"/>
        <v>1962</v>
      </c>
      <c r="DL26" s="43">
        <f t="shared" si="29"/>
        <v>1973</v>
      </c>
      <c r="DM26" s="43">
        <f t="shared" si="29"/>
        <v>1991</v>
      </c>
      <c r="DN26" s="43">
        <f t="shared" si="29"/>
        <v>1965</v>
      </c>
      <c r="DO26" s="43">
        <f t="shared" si="29"/>
        <v>1936</v>
      </c>
      <c r="DP26" s="43">
        <f t="shared" si="29"/>
        <v>1919</v>
      </c>
      <c r="DQ26" s="43">
        <f t="shared" si="29"/>
        <v>1923</v>
      </c>
      <c r="DR26" s="43">
        <f t="shared" si="29"/>
        <v>1930</v>
      </c>
      <c r="DS26" s="43">
        <f t="shared" si="29"/>
        <v>1935</v>
      </c>
      <c r="DT26" s="43">
        <f t="shared" si="29"/>
        <v>1875</v>
      </c>
      <c r="DU26" s="43">
        <f t="shared" si="29"/>
        <v>1840</v>
      </c>
      <c r="DV26" s="43">
        <f>DV18</f>
        <v>1772</v>
      </c>
      <c r="DW26" s="43">
        <f>DW18</f>
        <v>1778</v>
      </c>
      <c r="DX26" s="43">
        <f t="shared" ref="DX26:DY26" si="30">DX18</f>
        <v>1759</v>
      </c>
      <c r="DY26" s="43">
        <f t="shared" si="30"/>
        <v>1712</v>
      </c>
      <c r="DZ26" s="43"/>
      <c r="EA26" s="82"/>
    </row>
    <row r="27" spans="2:142" x14ac:dyDescent="0.25">
      <c r="EB27" s="83"/>
    </row>
    <row r="29" spans="2:142" x14ac:dyDescent="0.25">
      <c r="B29" s="44" t="s">
        <v>43</v>
      </c>
      <c r="EA29" s="83"/>
      <c r="EB29" s="83"/>
      <c r="EC29" s="83"/>
      <c r="ED29" s="83"/>
      <c r="EE29" s="83"/>
      <c r="EF29" s="83"/>
      <c r="EG29" s="83"/>
      <c r="EH29" s="83"/>
    </row>
    <row r="30" spans="2:142" x14ac:dyDescent="0.25">
      <c r="B30" s="20" t="s">
        <v>44</v>
      </c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>
        <f t="shared" ref="BH30:DS30" si="31">AV5/AV4</f>
        <v>0.61716017972175607</v>
      </c>
      <c r="BI30" s="84">
        <f t="shared" si="31"/>
        <v>0.61870527106957285</v>
      </c>
      <c r="BJ30" s="84">
        <f t="shared" si="31"/>
        <v>0.61752368435463556</v>
      </c>
      <c r="BK30" s="84">
        <f t="shared" si="31"/>
        <v>0.61702385677117788</v>
      </c>
      <c r="BL30" s="84">
        <f t="shared" si="31"/>
        <v>0.61504820594374321</v>
      </c>
      <c r="BM30" s="84">
        <f t="shared" si="31"/>
        <v>0.61343416860509981</v>
      </c>
      <c r="BN30" s="84">
        <f t="shared" si="31"/>
        <v>0.61373712420318949</v>
      </c>
      <c r="BO30" s="84">
        <f t="shared" si="31"/>
        <v>0.61328034186141767</v>
      </c>
      <c r="BP30" s="84">
        <f t="shared" si="31"/>
        <v>0.61573472763401826</v>
      </c>
      <c r="BQ30" s="84">
        <f t="shared" si="31"/>
        <v>0.61586934013204042</v>
      </c>
      <c r="BR30" s="84">
        <f t="shared" si="31"/>
        <v>0.61535551772860275</v>
      </c>
      <c r="BS30" s="84">
        <f t="shared" si="31"/>
        <v>0.61312508319652126</v>
      </c>
      <c r="BT30" s="84">
        <f t="shared" si="31"/>
        <v>0.60962139862931664</v>
      </c>
      <c r="BU30" s="84">
        <f t="shared" si="31"/>
        <v>0.60806052637443453</v>
      </c>
      <c r="BV30" s="84">
        <f t="shared" si="31"/>
        <v>0.60753465335439993</v>
      </c>
      <c r="BW30" s="84">
        <f t="shared" si="31"/>
        <v>0.60750503674856782</v>
      </c>
      <c r="BX30" s="84">
        <f t="shared" si="31"/>
        <v>0.60519291161956035</v>
      </c>
      <c r="BY30" s="84">
        <f t="shared" si="31"/>
        <v>0.6034811715481172</v>
      </c>
      <c r="BZ30" s="84">
        <f t="shared" si="31"/>
        <v>0.60254121716762943</v>
      </c>
      <c r="CA30" s="84">
        <f t="shared" si="31"/>
        <v>0.60190980846718556</v>
      </c>
      <c r="CB30" s="84">
        <f t="shared" si="31"/>
        <v>0.60025054394408917</v>
      </c>
      <c r="CC30" s="84">
        <f t="shared" si="31"/>
        <v>0.59819432878993728</v>
      </c>
      <c r="CD30" s="84">
        <f t="shared" si="31"/>
        <v>0.59858301584009255</v>
      </c>
      <c r="CE30" s="84">
        <f t="shared" si="31"/>
        <v>0.59748981255093725</v>
      </c>
      <c r="CF30" s="84">
        <f t="shared" si="31"/>
        <v>0.59761677581645489</v>
      </c>
      <c r="CG30" s="84">
        <f t="shared" si="31"/>
        <v>0.59763332934170854</v>
      </c>
      <c r="CH30" s="84">
        <f t="shared" si="31"/>
        <v>0.59804404726703242</v>
      </c>
      <c r="CI30" s="84">
        <f t="shared" si="31"/>
        <v>0.59835163625960075</v>
      </c>
      <c r="CJ30" s="84">
        <f t="shared" si="31"/>
        <v>0.5964085667215816</v>
      </c>
      <c r="CK30" s="84">
        <f t="shared" si="31"/>
        <v>0.59664169691917923</v>
      </c>
      <c r="CL30" s="84">
        <f t="shared" si="31"/>
        <v>0.59794885251637309</v>
      </c>
      <c r="CM30" s="84">
        <f t="shared" si="31"/>
        <v>0.5987530737927883</v>
      </c>
      <c r="CN30" s="84">
        <f t="shared" si="31"/>
        <v>0.59726537549663861</v>
      </c>
      <c r="CO30" s="84">
        <f t="shared" si="31"/>
        <v>0.59410948143206099</v>
      </c>
      <c r="CP30" s="84">
        <f t="shared" si="31"/>
        <v>0.59306886131293002</v>
      </c>
      <c r="CQ30" s="84">
        <f t="shared" si="31"/>
        <v>0.5924541201102399</v>
      </c>
      <c r="CR30" s="84">
        <f t="shared" si="31"/>
        <v>0.5932708961447174</v>
      </c>
      <c r="CS30" s="84">
        <f t="shared" si="31"/>
        <v>0.59455364147313894</v>
      </c>
      <c r="CT30" s="84">
        <f t="shared" si="31"/>
        <v>0.5970833962997345</v>
      </c>
      <c r="CU30" s="84">
        <f t="shared" si="31"/>
        <v>0.59626866477364748</v>
      </c>
      <c r="CV30" s="84">
        <f t="shared" si="31"/>
        <v>0.59523911690875153</v>
      </c>
      <c r="CW30" s="84">
        <f t="shared" si="31"/>
        <v>0.59366467576791804</v>
      </c>
      <c r="CX30" s="84">
        <f t="shared" si="31"/>
        <v>0.59204978706683231</v>
      </c>
      <c r="CY30" s="84">
        <f t="shared" si="31"/>
        <v>0.59073669936648521</v>
      </c>
      <c r="CZ30" s="84">
        <f t="shared" si="31"/>
        <v>0.59031414997513465</v>
      </c>
      <c r="DA30" s="84">
        <f t="shared" si="31"/>
        <v>0.59069413950346228</v>
      </c>
      <c r="DB30" s="84">
        <f t="shared" si="31"/>
        <v>0.59186894353082287</v>
      </c>
      <c r="DC30" s="84">
        <f t="shared" si="31"/>
        <v>0.59285811611063943</v>
      </c>
      <c r="DD30" s="84">
        <f t="shared" si="31"/>
        <v>0.59424174213474323</v>
      </c>
      <c r="DE30" s="84">
        <f t="shared" si="31"/>
        <v>0.59709636046340486</v>
      </c>
      <c r="DF30" s="84">
        <f t="shared" si="31"/>
        <v>0.59776707438156196</v>
      </c>
      <c r="DG30" s="84">
        <f t="shared" si="31"/>
        <v>0.60497234602373406</v>
      </c>
      <c r="DH30" s="84">
        <f t="shared" si="31"/>
        <v>0.61658623176346594</v>
      </c>
      <c r="DI30" s="84">
        <f t="shared" si="31"/>
        <v>0.62821887793346021</v>
      </c>
      <c r="DJ30" s="84">
        <f t="shared" si="31"/>
        <v>0.6347455711413309</v>
      </c>
      <c r="DK30" s="84">
        <f t="shared" si="31"/>
        <v>0.62927772741009369</v>
      </c>
      <c r="DL30" s="84">
        <f t="shared" si="31"/>
        <v>0.62353795859062844</v>
      </c>
      <c r="DM30" s="84">
        <f t="shared" si="31"/>
        <v>0.6201941514860978</v>
      </c>
      <c r="DN30" s="84">
        <f t="shared" si="31"/>
        <v>0.6158455080552494</v>
      </c>
      <c r="DO30" s="84">
        <f t="shared" si="31"/>
        <v>0.61256973883312349</v>
      </c>
      <c r="DP30" s="84">
        <f t="shared" si="31"/>
        <v>0.60960733734594441</v>
      </c>
      <c r="DQ30" s="84">
        <f t="shared" si="31"/>
        <v>0.60841149356754654</v>
      </c>
      <c r="DR30" s="84">
        <f t="shared" si="31"/>
        <v>0.60944481360126479</v>
      </c>
      <c r="DS30" s="84">
        <f t="shared" si="31"/>
        <v>0.60894778544606865</v>
      </c>
      <c r="DT30" s="84">
        <f t="shared" ref="DT30:DX30" si="32">DH5/DH4</f>
        <v>0.6073278079451272</v>
      </c>
      <c r="DU30" s="84">
        <f t="shared" si="32"/>
        <v>0.60550198525241061</v>
      </c>
      <c r="DV30" s="84">
        <f t="shared" si="32"/>
        <v>0.59991049952452868</v>
      </c>
      <c r="DW30" s="84">
        <f t="shared" si="32"/>
        <v>0.59821103598883829</v>
      </c>
      <c r="DX30" s="84">
        <f t="shared" si="32"/>
        <v>0.59437448896156986</v>
      </c>
      <c r="DY30" s="84">
        <f>DM5/DM4</f>
        <v>0.59442657861621695</v>
      </c>
      <c r="DZ30" s="84"/>
      <c r="EA30" s="83"/>
      <c r="EB30" s="85"/>
      <c r="EC30" s="83"/>
      <c r="ED30" s="83"/>
      <c r="EE30" s="83"/>
      <c r="EF30" s="85"/>
      <c r="EG30" s="83"/>
      <c r="EH30" s="83"/>
    </row>
    <row r="31" spans="2:142" x14ac:dyDescent="0.25">
      <c r="B31" s="20" t="s">
        <v>45</v>
      </c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>
        <f t="shared" ref="BH31:DS31" si="33">AV13/AV4</f>
        <v>0.38283982027824393</v>
      </c>
      <c r="BI31" s="84">
        <f t="shared" si="33"/>
        <v>0.3812947289304271</v>
      </c>
      <c r="BJ31" s="84">
        <f t="shared" si="33"/>
        <v>0.38247631564536444</v>
      </c>
      <c r="BK31" s="84">
        <f t="shared" si="33"/>
        <v>0.38297614322882217</v>
      </c>
      <c r="BL31" s="84">
        <f t="shared" si="33"/>
        <v>0.38495179405625685</v>
      </c>
      <c r="BM31" s="84">
        <f t="shared" si="33"/>
        <v>0.38656583139490019</v>
      </c>
      <c r="BN31" s="84">
        <f t="shared" si="33"/>
        <v>0.38626287579681057</v>
      </c>
      <c r="BO31" s="84">
        <f t="shared" si="33"/>
        <v>0.38671965813858228</v>
      </c>
      <c r="BP31" s="84">
        <f t="shared" si="33"/>
        <v>0.38426527236598174</v>
      </c>
      <c r="BQ31" s="84">
        <f t="shared" si="33"/>
        <v>0.38413065986795963</v>
      </c>
      <c r="BR31" s="84">
        <f t="shared" si="33"/>
        <v>0.38464448227139725</v>
      </c>
      <c r="BS31" s="84">
        <f t="shared" si="33"/>
        <v>0.38687491680347874</v>
      </c>
      <c r="BT31" s="84">
        <f t="shared" si="33"/>
        <v>0.39037860137068336</v>
      </c>
      <c r="BU31" s="84">
        <f t="shared" si="33"/>
        <v>0.39193947362556547</v>
      </c>
      <c r="BV31" s="84">
        <f t="shared" si="33"/>
        <v>0.39246534664560012</v>
      </c>
      <c r="BW31" s="84">
        <f t="shared" si="33"/>
        <v>0.39249496325143224</v>
      </c>
      <c r="BX31" s="84">
        <f t="shared" si="33"/>
        <v>0.39480708838043965</v>
      </c>
      <c r="BY31" s="84">
        <f t="shared" si="33"/>
        <v>0.39651882845188285</v>
      </c>
      <c r="BZ31" s="84">
        <f t="shared" si="33"/>
        <v>0.39745878283237057</v>
      </c>
      <c r="CA31" s="84">
        <f t="shared" si="33"/>
        <v>0.3980901915328145</v>
      </c>
      <c r="CB31" s="84">
        <f t="shared" si="33"/>
        <v>0.39974945605591083</v>
      </c>
      <c r="CC31" s="84">
        <f t="shared" si="33"/>
        <v>0.40180567121006266</v>
      </c>
      <c r="CD31" s="84">
        <f t="shared" si="33"/>
        <v>0.40141698415990745</v>
      </c>
      <c r="CE31" s="84">
        <f t="shared" si="33"/>
        <v>0.40251018744906275</v>
      </c>
      <c r="CF31" s="84">
        <f t="shared" si="33"/>
        <v>0.40238322418354511</v>
      </c>
      <c r="CG31" s="84">
        <f t="shared" si="33"/>
        <v>0.40236667065829151</v>
      </c>
      <c r="CH31" s="84">
        <f t="shared" si="33"/>
        <v>0.40195595273296753</v>
      </c>
      <c r="CI31" s="84">
        <f t="shared" si="33"/>
        <v>0.40164836374039919</v>
      </c>
      <c r="CJ31" s="84">
        <f t="shared" si="33"/>
        <v>0.40359143327841845</v>
      </c>
      <c r="CK31" s="84">
        <f t="shared" si="33"/>
        <v>0.40335830308082082</v>
      </c>
      <c r="CL31" s="84">
        <f t="shared" si="33"/>
        <v>0.40205114748362691</v>
      </c>
      <c r="CM31" s="84">
        <f t="shared" si="33"/>
        <v>0.4012469262072117</v>
      </c>
      <c r="CN31" s="84">
        <f t="shared" si="33"/>
        <v>0.40273462450336145</v>
      </c>
      <c r="CO31" s="84">
        <f t="shared" si="33"/>
        <v>0.40589051856793895</v>
      </c>
      <c r="CP31" s="84">
        <f t="shared" si="33"/>
        <v>0.40693113868707004</v>
      </c>
      <c r="CQ31" s="84">
        <f t="shared" si="33"/>
        <v>0.4075458798897601</v>
      </c>
      <c r="CR31" s="84">
        <f t="shared" si="33"/>
        <v>0.40672910385528255</v>
      </c>
      <c r="CS31" s="84">
        <f t="shared" si="33"/>
        <v>0.40544635852686106</v>
      </c>
      <c r="CT31" s="84">
        <f t="shared" si="33"/>
        <v>0.40291660370026555</v>
      </c>
      <c r="CU31" s="84">
        <f t="shared" si="33"/>
        <v>0.40373133522635257</v>
      </c>
      <c r="CV31" s="84">
        <f t="shared" si="33"/>
        <v>0.40476088309124847</v>
      </c>
      <c r="CW31" s="84">
        <f t="shared" si="33"/>
        <v>0.40633532423208191</v>
      </c>
      <c r="CX31" s="84">
        <f t="shared" si="33"/>
        <v>0.40795021293316763</v>
      </c>
      <c r="CY31" s="84">
        <f t="shared" si="33"/>
        <v>0.40926330063351485</v>
      </c>
      <c r="CZ31" s="84">
        <f t="shared" si="33"/>
        <v>0.40968585002486535</v>
      </c>
      <c r="DA31" s="84">
        <f t="shared" si="33"/>
        <v>0.40930586049653772</v>
      </c>
      <c r="DB31" s="84">
        <f t="shared" si="33"/>
        <v>0.40813105646917713</v>
      </c>
      <c r="DC31" s="84">
        <f t="shared" si="33"/>
        <v>0.40714188388936057</v>
      </c>
      <c r="DD31" s="84">
        <f t="shared" si="33"/>
        <v>0.40575825786525677</v>
      </c>
      <c r="DE31" s="84">
        <f t="shared" si="33"/>
        <v>0.40290363953659508</v>
      </c>
      <c r="DF31" s="84">
        <f t="shared" si="33"/>
        <v>0.40223292561843799</v>
      </c>
      <c r="DG31" s="84">
        <f t="shared" si="33"/>
        <v>0.39502765397626588</v>
      </c>
      <c r="DH31" s="84">
        <f t="shared" si="33"/>
        <v>0.38341376823653411</v>
      </c>
      <c r="DI31" s="84">
        <f t="shared" si="33"/>
        <v>0.37178112206653979</v>
      </c>
      <c r="DJ31" s="84">
        <f t="shared" si="33"/>
        <v>0.36525442885866916</v>
      </c>
      <c r="DK31" s="84">
        <f t="shared" si="33"/>
        <v>0.37072227258990631</v>
      </c>
      <c r="DL31" s="84">
        <f t="shared" si="33"/>
        <v>0.37646204140937162</v>
      </c>
      <c r="DM31" s="84">
        <f t="shared" si="33"/>
        <v>0.3798058485139022</v>
      </c>
      <c r="DN31" s="84">
        <f t="shared" si="33"/>
        <v>0.3841544919447506</v>
      </c>
      <c r="DO31" s="84">
        <f t="shared" si="33"/>
        <v>0.38743026116687651</v>
      </c>
      <c r="DP31" s="84">
        <f t="shared" si="33"/>
        <v>0.39039266265405559</v>
      </c>
      <c r="DQ31" s="84">
        <f t="shared" si="33"/>
        <v>0.39158850643245352</v>
      </c>
      <c r="DR31" s="84">
        <f t="shared" si="33"/>
        <v>0.39055518639873521</v>
      </c>
      <c r="DS31" s="84">
        <f t="shared" si="33"/>
        <v>0.3910522145539313</v>
      </c>
      <c r="DT31" s="84">
        <f t="shared" ref="DT31:DY31" si="34">DH13/DH4</f>
        <v>0.3926721920548728</v>
      </c>
      <c r="DU31" s="84">
        <f t="shared" si="34"/>
        <v>0.39449801474758933</v>
      </c>
      <c r="DV31" s="84">
        <f t="shared" si="34"/>
        <v>0.40008950047547126</v>
      </c>
      <c r="DW31" s="84">
        <f t="shared" si="34"/>
        <v>0.40178896401116171</v>
      </c>
      <c r="DX31" s="84">
        <f t="shared" si="34"/>
        <v>0.40562551103843009</v>
      </c>
      <c r="DY31" s="84">
        <f t="shared" si="34"/>
        <v>0.40557342138378311</v>
      </c>
      <c r="DZ31" s="84"/>
      <c r="EA31" s="83"/>
      <c r="EB31" s="85"/>
      <c r="EC31" s="83"/>
      <c r="ED31" s="83"/>
      <c r="EE31" s="83"/>
      <c r="EF31" s="85"/>
      <c r="EG31" s="83"/>
      <c r="EH31" s="83"/>
    </row>
    <row r="32" spans="2:142" x14ac:dyDescent="0.25">
      <c r="EA32" s="83"/>
      <c r="EB32" s="83"/>
      <c r="EC32" s="83"/>
      <c r="ED32" s="83"/>
      <c r="EE32" s="83"/>
      <c r="EF32" s="83"/>
      <c r="EG32" s="83"/>
      <c r="EH32" s="83"/>
    </row>
    <row r="33" spans="1:138" x14ac:dyDescent="0.25">
      <c r="B33" s="44" t="s">
        <v>46</v>
      </c>
      <c r="EA33" s="83"/>
      <c r="EB33" s="86"/>
      <c r="EC33" s="86"/>
      <c r="ED33" s="83"/>
      <c r="EE33" s="83"/>
      <c r="EF33" s="86"/>
      <c r="EG33" s="86"/>
      <c r="EH33" s="83"/>
    </row>
    <row r="34" spans="1:138" s="87" customFormat="1" x14ac:dyDescent="0.25">
      <c r="A34" s="44" t="s">
        <v>39</v>
      </c>
      <c r="B34" s="44" t="s">
        <v>39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BH34" s="88">
        <f t="shared" ref="BH34:DS35" si="35">(BH4/AV4-1)*100</f>
        <v>-2.3721106479727139</v>
      </c>
      <c r="BI34" s="88">
        <f t="shared" si="35"/>
        <v>-2.2406675163121004</v>
      </c>
      <c r="BJ34" s="88">
        <f t="shared" si="35"/>
        <v>-2.260555281747989</v>
      </c>
      <c r="BK34" s="88">
        <f t="shared" si="35"/>
        <v>-2.0516382237509401</v>
      </c>
      <c r="BL34" s="88">
        <f t="shared" si="35"/>
        <v>-1.5339760792499102</v>
      </c>
      <c r="BM34" s="88">
        <f t="shared" si="35"/>
        <v>-1.1950302616057895</v>
      </c>
      <c r="BN34" s="88">
        <f t="shared" si="35"/>
        <v>-0.53047180007499417</v>
      </c>
      <c r="BO34" s="88">
        <f t="shared" si="35"/>
        <v>0.28340842918663789</v>
      </c>
      <c r="BP34" s="88">
        <f t="shared" si="35"/>
        <v>1.0224131614879894</v>
      </c>
      <c r="BQ34" s="88">
        <f t="shared" si="35"/>
        <v>1.6109818416628618</v>
      </c>
      <c r="BR34" s="88">
        <f t="shared" si="35"/>
        <v>1.9135987895375184</v>
      </c>
      <c r="BS34" s="88">
        <f t="shared" si="35"/>
        <v>2.0821316058037942</v>
      </c>
      <c r="BT34" s="88">
        <f t="shared" si="35"/>
        <v>2.2778184399050661</v>
      </c>
      <c r="BU34" s="88">
        <f t="shared" si="35"/>
        <v>2.3544224812247938</v>
      </c>
      <c r="BV34" s="88">
        <f t="shared" si="35"/>
        <v>2.3195616364675375</v>
      </c>
      <c r="BW34" s="88">
        <f t="shared" si="35"/>
        <v>2.2859522550001676</v>
      </c>
      <c r="BX34" s="88">
        <f t="shared" si="35"/>
        <v>2.1197846567967638</v>
      </c>
      <c r="BY34" s="88">
        <f t="shared" si="35"/>
        <v>1.7316596931659767</v>
      </c>
      <c r="BZ34" s="88">
        <f t="shared" si="35"/>
        <v>1.4058740700497729</v>
      </c>
      <c r="CA34" s="88">
        <f t="shared" si="35"/>
        <v>1.4582988353480264</v>
      </c>
      <c r="CB34" s="88">
        <f t="shared" si="35"/>
        <v>1.5043625414826067</v>
      </c>
      <c r="CC34" s="88">
        <f t="shared" si="35"/>
        <v>1.8199149756760402</v>
      </c>
      <c r="CD34" s="88">
        <f t="shared" si="35"/>
        <v>1.8722094254554955</v>
      </c>
      <c r="CE34" s="88">
        <f t="shared" si="35"/>
        <v>1.7267046998098445</v>
      </c>
      <c r="CF34" s="88">
        <f t="shared" si="35"/>
        <v>1.4160558615604835</v>
      </c>
      <c r="CG34" s="88">
        <f t="shared" si="35"/>
        <v>1.2998181996320524</v>
      </c>
      <c r="CH34" s="88">
        <f t="shared" si="35"/>
        <v>1.4576557041320326</v>
      </c>
      <c r="CI34" s="88">
        <f t="shared" si="35"/>
        <v>1.9179559409318037</v>
      </c>
      <c r="CJ34" s="88">
        <f t="shared" si="35"/>
        <v>2.3811092806150569</v>
      </c>
      <c r="CK34" s="88">
        <f t="shared" si="35"/>
        <v>2.8329512925408862</v>
      </c>
      <c r="CL34" s="88">
        <f t="shared" si="35"/>
        <v>2.9520779348574777</v>
      </c>
      <c r="CM34" s="88">
        <f t="shared" si="35"/>
        <v>2.7071137901769182</v>
      </c>
      <c r="CN34" s="88">
        <f t="shared" si="35"/>
        <v>2.314579251063642</v>
      </c>
      <c r="CO34" s="88">
        <f t="shared" si="35"/>
        <v>1.94449525982201</v>
      </c>
      <c r="CP34" s="88">
        <f t="shared" si="35"/>
        <v>1.8485179708094934</v>
      </c>
      <c r="CQ34" s="88">
        <f t="shared" si="35"/>
        <v>1.9174482449206387</v>
      </c>
      <c r="CR34" s="88">
        <f t="shared" si="35"/>
        <v>2.1179464152073058</v>
      </c>
      <c r="CS34" s="88">
        <f t="shared" si="35"/>
        <v>2.22346404737086</v>
      </c>
      <c r="CT34" s="88">
        <f t="shared" si="35"/>
        <v>2.1933896073055514</v>
      </c>
      <c r="CU34" s="88">
        <f t="shared" si="35"/>
        <v>0.53335636626683502</v>
      </c>
      <c r="CV34" s="88">
        <f t="shared" si="35"/>
        <v>-3.3073011650110451</v>
      </c>
      <c r="CW34" s="88">
        <f t="shared" si="35"/>
        <v>-7.5138651877133089</v>
      </c>
      <c r="CX34" s="88">
        <f t="shared" si="35"/>
        <v>-10.73692930194029</v>
      </c>
      <c r="CY34" s="88">
        <f t="shared" si="35"/>
        <v>-12.36201453482213</v>
      </c>
      <c r="CZ34" s="88">
        <f t="shared" si="35"/>
        <v>-12.61149731771577</v>
      </c>
      <c r="DA34" s="88">
        <f t="shared" si="35"/>
        <v>-11.92366154365817</v>
      </c>
      <c r="DB34" s="88">
        <f t="shared" si="35"/>
        <v>-10.265879654472187</v>
      </c>
      <c r="DC34" s="88">
        <f t="shared" si="35"/>
        <v>-9.2611808110345972</v>
      </c>
      <c r="DD34" s="88">
        <f t="shared" si="35"/>
        <v>-8.6792650369051927</v>
      </c>
      <c r="DE34" s="88">
        <f t="shared" si="35"/>
        <v>-8.3135341981875897</v>
      </c>
      <c r="DF34" s="88">
        <f t="shared" si="35"/>
        <v>-7.8036208462724748</v>
      </c>
      <c r="DG34" s="88">
        <f t="shared" si="35"/>
        <v>-6.4780110615905055</v>
      </c>
      <c r="DH34" s="88">
        <f t="shared" si="35"/>
        <v>-2.9511288622621645</v>
      </c>
      <c r="DI34" s="88">
        <f t="shared" si="35"/>
        <v>1.6548463356973908</v>
      </c>
      <c r="DJ34" s="88">
        <f t="shared" si="35"/>
        <v>6.3461469821893823</v>
      </c>
      <c r="DK34" s="88">
        <f t="shared" si="35"/>
        <v>9.6004835297673008</v>
      </c>
      <c r="DL34" s="88">
        <f t="shared" si="35"/>
        <v>11.060661096985115</v>
      </c>
      <c r="DM34" s="88">
        <f t="shared" si="35"/>
        <v>11.429769894534992</v>
      </c>
      <c r="DN34" s="88">
        <f t="shared" si="35"/>
        <v>10.168140140234039</v>
      </c>
      <c r="DO34" s="88">
        <f t="shared" si="35"/>
        <v>9.6508149192011459</v>
      </c>
      <c r="DP34" s="88">
        <f t="shared" si="35"/>
        <v>9.7701347090856991</v>
      </c>
      <c r="DQ34" s="88">
        <f t="shared" si="35"/>
        <v>9.4193592771802734</v>
      </c>
      <c r="DR34" s="88">
        <f t="shared" si="35"/>
        <v>9.1056985083518569</v>
      </c>
      <c r="DS34" s="88">
        <f t="shared" si="35"/>
        <v>9.4059690180632316</v>
      </c>
      <c r="DT34" s="88">
        <f t="shared" ref="DP34:DY35" si="36">(DT4/DH4-1)*100</f>
        <v>10.332094884252641</v>
      </c>
      <c r="DU34" s="88">
        <f t="shared" si="36"/>
        <v>10.623936471922857</v>
      </c>
      <c r="DV34" s="88">
        <f t="shared" si="36"/>
        <v>9.9390278010851993</v>
      </c>
      <c r="DW34" s="88">
        <f t="shared" si="36"/>
        <v>8.8223940353160391</v>
      </c>
      <c r="DX34" s="88">
        <f>(DX4/DL4-1)*100</f>
        <v>7.9476696647587941</v>
      </c>
      <c r="DY34" s="88">
        <f>(DY4/DM4-1)*100</f>
        <v>6.7661894877227624</v>
      </c>
      <c r="DZ34" s="88"/>
      <c r="EA34" s="89"/>
      <c r="EB34" s="90"/>
      <c r="EC34" s="91"/>
      <c r="ED34" s="89"/>
      <c r="EE34" s="89"/>
      <c r="EF34" s="92"/>
      <c r="EG34" s="91"/>
      <c r="EH34" s="89"/>
    </row>
    <row r="35" spans="1:138" x14ac:dyDescent="0.25">
      <c r="B35" s="20" t="s">
        <v>44</v>
      </c>
      <c r="BH35" s="93">
        <f t="shared" si="35"/>
        <v>-3.564662128973406</v>
      </c>
      <c r="BI35" s="93">
        <f t="shared" si="35"/>
        <v>-3.9226042712019571</v>
      </c>
      <c r="BJ35" s="93">
        <f t="shared" si="35"/>
        <v>-3.8415834560062478</v>
      </c>
      <c r="BK35" s="93">
        <f t="shared" si="35"/>
        <v>-3.5626864871625363</v>
      </c>
      <c r="BL35" s="93">
        <f t="shared" si="35"/>
        <v>-3.1117575235222295</v>
      </c>
      <c r="BM35" s="93">
        <f t="shared" si="35"/>
        <v>-2.7981453525986577</v>
      </c>
      <c r="BN35" s="93">
        <f t="shared" si="35"/>
        <v>-2.345013477088953</v>
      </c>
      <c r="BO35" s="93">
        <f t="shared" si="35"/>
        <v>-1.5758976117840273</v>
      </c>
      <c r="BP35" s="93">
        <f t="shared" si="35"/>
        <v>-1.5180470919121669</v>
      </c>
      <c r="BQ35" s="93">
        <f t="shared" si="35"/>
        <v>-1.305180953758267</v>
      </c>
      <c r="BR35" s="93">
        <f t="shared" si="35"/>
        <v>-0.8642198517447075</v>
      </c>
      <c r="BS35" s="93">
        <f t="shared" si="35"/>
        <v>-0.521059487624842</v>
      </c>
      <c r="BT35" s="93">
        <f t="shared" si="35"/>
        <v>0.26377064687477247</v>
      </c>
      <c r="BU35" s="93">
        <f t="shared" si="35"/>
        <v>0.59921936559710343</v>
      </c>
      <c r="BV35" s="93">
        <f t="shared" si="35"/>
        <v>0.72117601490306882</v>
      </c>
      <c r="BW35" s="93">
        <f t="shared" si="35"/>
        <v>0.74478925428438369</v>
      </c>
      <c r="BX35" s="93">
        <f t="shared" si="35"/>
        <v>0.63752108082062442</v>
      </c>
      <c r="BY35" s="93">
        <f t="shared" si="35"/>
        <v>0.57869728400539167</v>
      </c>
      <c r="BZ35" s="93">
        <f t="shared" si="35"/>
        <v>0.63299291563161386</v>
      </c>
      <c r="CA35" s="93">
        <f t="shared" si="35"/>
        <v>0.92619763773751362</v>
      </c>
      <c r="CB35" s="93">
        <f t="shared" si="35"/>
        <v>0.99956063268893391</v>
      </c>
      <c r="CC35" s="93">
        <f t="shared" si="35"/>
        <v>1.1246245146164568</v>
      </c>
      <c r="CD35" s="93">
        <f t="shared" si="35"/>
        <v>0.93376130726583462</v>
      </c>
      <c r="CE35" s="93">
        <f t="shared" si="35"/>
        <v>0.86934380910810294</v>
      </c>
      <c r="CF35" s="93">
        <f t="shared" si="35"/>
        <v>0.67855652521000565</v>
      </c>
      <c r="CG35" s="93">
        <f t="shared" si="35"/>
        <v>0.77780611315529935</v>
      </c>
      <c r="CH35" s="93">
        <f t="shared" si="35"/>
        <v>1.2946820978611218</v>
      </c>
      <c r="CI35" s="93">
        <f t="shared" si="35"/>
        <v>1.5631608952314302</v>
      </c>
      <c r="CJ35" s="93">
        <f t="shared" si="35"/>
        <v>2.1803583595749743</v>
      </c>
      <c r="CK35" s="93">
        <f t="shared" si="35"/>
        <v>2.3198529411764701</v>
      </c>
      <c r="CL35" s="93">
        <f t="shared" si="35"/>
        <v>1.9364040300608787</v>
      </c>
      <c r="CM35" s="93">
        <f t="shared" si="35"/>
        <v>1.3320249323084177</v>
      </c>
      <c r="CN35" s="93">
        <f t="shared" si="35"/>
        <v>1.1237991662135238</v>
      </c>
      <c r="CO35" s="93">
        <f t="shared" si="35"/>
        <v>1.3584495562398047</v>
      </c>
      <c r="CP35" s="93">
        <f t="shared" si="35"/>
        <v>1.6424544666088448</v>
      </c>
      <c r="CQ35" s="93">
        <f t="shared" si="35"/>
        <v>1.9869460170927944</v>
      </c>
      <c r="CR35" s="93">
        <f t="shared" si="35"/>
        <v>2.2850552341821206</v>
      </c>
      <c r="CS35" s="93">
        <f t="shared" si="35"/>
        <v>2.660641662901031</v>
      </c>
      <c r="CT35" s="93">
        <f t="shared" si="35"/>
        <v>2.3104040495344869</v>
      </c>
      <c r="CU35" s="93">
        <f t="shared" si="35"/>
        <v>2.0008329259239233</v>
      </c>
      <c r="CV35" s="93">
        <f t="shared" si="35"/>
        <v>0.16039793104691835</v>
      </c>
      <c r="CW35" s="93">
        <f t="shared" si="35"/>
        <v>-2.1307175451834248</v>
      </c>
      <c r="CX35" s="93">
        <f t="shared" si="35"/>
        <v>-4.2997058190428312</v>
      </c>
      <c r="CY35" s="93">
        <f t="shared" si="35"/>
        <v>-6.6443097449876305</v>
      </c>
      <c r="CZ35" s="93">
        <f t="shared" si="35"/>
        <v>-7.6931349704248086</v>
      </c>
      <c r="DA35" s="93">
        <f t="shared" si="35"/>
        <v>-7.5250178699070798</v>
      </c>
      <c r="DB35" s="93">
        <f t="shared" si="35"/>
        <v>-6.6307574707126786</v>
      </c>
      <c r="DC35" s="93">
        <f t="shared" si="35"/>
        <v>-6.2442542960186698</v>
      </c>
      <c r="DD35" s="93">
        <f t="shared" si="35"/>
        <v>-6.3179407671030141</v>
      </c>
      <c r="DE35" s="93">
        <f t="shared" si="35"/>
        <v>-6.5760515520185914</v>
      </c>
      <c r="DF35" s="93">
        <f t="shared" si="35"/>
        <v>-6.0025091442404532</v>
      </c>
      <c r="DG35" s="93">
        <f t="shared" si="35"/>
        <v>-5.8634523894056656</v>
      </c>
      <c r="DH35" s="93">
        <f t="shared" si="35"/>
        <v>-4.4083777170001444</v>
      </c>
      <c r="DI35" s="93">
        <f t="shared" si="35"/>
        <v>-2.0210735002569979</v>
      </c>
      <c r="DJ35" s="93">
        <f t="shared" si="35"/>
        <v>0.50983111844200568</v>
      </c>
      <c r="DK35" s="93">
        <f t="shared" si="35"/>
        <v>4.189638281114938</v>
      </c>
      <c r="DL35" s="93">
        <f t="shared" si="35"/>
        <v>5.8662472329022552</v>
      </c>
      <c r="DM35" s="93">
        <f t="shared" si="35"/>
        <v>6.8001314035053717</v>
      </c>
      <c r="DN35" s="93">
        <f t="shared" si="35"/>
        <v>6.1382632370580614</v>
      </c>
      <c r="DO35" s="93">
        <f t="shared" si="35"/>
        <v>6.2565997888067493</v>
      </c>
      <c r="DP35" s="93">
        <f t="shared" si="36"/>
        <v>6.8267729862900417</v>
      </c>
      <c r="DQ35" s="93">
        <f t="shared" si="36"/>
        <v>7.2424710715766505</v>
      </c>
      <c r="DR35" s="93">
        <f t="shared" si="36"/>
        <v>6.9779682682908462</v>
      </c>
      <c r="DS35" s="93">
        <f t="shared" si="36"/>
        <v>7.6241301929133032</v>
      </c>
      <c r="DT35" s="93">
        <f t="shared" si="36"/>
        <v>8.7565410533448684</v>
      </c>
      <c r="DU35" s="93">
        <f t="shared" si="36"/>
        <v>9.3882903981264541</v>
      </c>
      <c r="DV35" s="93">
        <f t="shared" si="36"/>
        <v>9.9957107957406421</v>
      </c>
      <c r="DW35" s="93">
        <f t="shared" si="36"/>
        <v>9.4656882628415531</v>
      </c>
      <c r="DX35" s="93">
        <f t="shared" si="36"/>
        <v>9.5141143454575463</v>
      </c>
      <c r="DY35" s="93">
        <f t="shared" si="36"/>
        <v>8.7862777737569573</v>
      </c>
      <c r="DZ35" s="93"/>
      <c r="EA35" s="83"/>
      <c r="EB35" s="94"/>
      <c r="EC35" s="95"/>
      <c r="ED35" s="83"/>
      <c r="EE35" s="83"/>
      <c r="EF35" s="96"/>
      <c r="EG35" s="95"/>
      <c r="EH35" s="96"/>
    </row>
    <row r="36" spans="1:138" x14ac:dyDescent="0.25">
      <c r="B36" s="20" t="s">
        <v>45</v>
      </c>
      <c r="BH36" s="93">
        <f t="shared" ref="BH36:DS36" si="37">(BH13/AV13-1)*100</f>
        <v>-0.44964791719691588</v>
      </c>
      <c r="BI36" s="93">
        <f t="shared" si="37"/>
        <v>0.48851559821734281</v>
      </c>
      <c r="BJ36" s="93">
        <f t="shared" si="37"/>
        <v>0.29207949143805756</v>
      </c>
      <c r="BK36" s="93">
        <f t="shared" si="37"/>
        <v>0.38285500446184617</v>
      </c>
      <c r="BL36" s="93">
        <f t="shared" si="37"/>
        <v>0.98688929052987984</v>
      </c>
      <c r="BM36" s="93">
        <f t="shared" si="37"/>
        <v>1.3489234279195683</v>
      </c>
      <c r="BN36" s="93">
        <f t="shared" si="37"/>
        <v>2.3526724531749643</v>
      </c>
      <c r="BO36" s="93">
        <f t="shared" si="37"/>
        <v>3.2319935875415151</v>
      </c>
      <c r="BP36" s="93">
        <f t="shared" si="37"/>
        <v>5.0931677018633437</v>
      </c>
      <c r="BQ36" s="93">
        <f t="shared" si="37"/>
        <v>6.2864098774019661</v>
      </c>
      <c r="BR36" s="93">
        <f t="shared" si="37"/>
        <v>6.3575622595667181</v>
      </c>
      <c r="BS36" s="93">
        <f t="shared" si="37"/>
        <v>6.2077073058836918</v>
      </c>
      <c r="BT36" s="93">
        <f t="shared" si="37"/>
        <v>5.4229873302653164</v>
      </c>
      <c r="BU36" s="93">
        <f t="shared" si="37"/>
        <v>5.0774697938877011</v>
      </c>
      <c r="BV36" s="93">
        <f t="shared" si="37"/>
        <v>4.7938556418456013</v>
      </c>
      <c r="BW36" s="93">
        <f t="shared" si="37"/>
        <v>4.6713695801789301</v>
      </c>
      <c r="BX36" s="93">
        <f t="shared" si="37"/>
        <v>4.391920684071482</v>
      </c>
      <c r="BY36" s="93">
        <f t="shared" si="37"/>
        <v>3.4864089144014843</v>
      </c>
      <c r="BZ36" s="93">
        <f t="shared" si="37"/>
        <v>2.5775496540950682</v>
      </c>
      <c r="CA36" s="93">
        <f t="shared" si="37"/>
        <v>2.2628324228390673</v>
      </c>
      <c r="CB36" s="93">
        <f t="shared" si="37"/>
        <v>2.2623563692341531</v>
      </c>
      <c r="CC36" s="93">
        <f t="shared" si="37"/>
        <v>2.8550392670157132</v>
      </c>
      <c r="CD36" s="93">
        <f t="shared" si="37"/>
        <v>3.2715999020967557</v>
      </c>
      <c r="CE36" s="93">
        <f t="shared" si="37"/>
        <v>2.9993790664399</v>
      </c>
      <c r="CF36" s="93">
        <f t="shared" si="37"/>
        <v>2.5113847646250465</v>
      </c>
      <c r="CG36" s="93">
        <f t="shared" si="37"/>
        <v>2.0751603041043287</v>
      </c>
      <c r="CH36" s="93">
        <f t="shared" si="37"/>
        <v>1.7001335040732313</v>
      </c>
      <c r="CI36" s="93">
        <f t="shared" si="37"/>
        <v>2.4465083148406785</v>
      </c>
      <c r="CJ36" s="93">
        <f t="shared" si="37"/>
        <v>2.6777696138460261</v>
      </c>
      <c r="CK36" s="93">
        <f t="shared" si="37"/>
        <v>3.5919188623324327</v>
      </c>
      <c r="CL36" s="93">
        <f t="shared" si="37"/>
        <v>4.4626346132927264</v>
      </c>
      <c r="CM36" s="93">
        <f t="shared" si="37"/>
        <v>4.7590639151774861</v>
      </c>
      <c r="CN36" s="93">
        <f t="shared" si="37"/>
        <v>4.0805354694766205</v>
      </c>
      <c r="CO36" s="93">
        <f t="shared" si="37"/>
        <v>2.8023012274980719</v>
      </c>
      <c r="CP36" s="93">
        <f t="shared" si="37"/>
        <v>2.1488386790962322</v>
      </c>
      <c r="CQ36" s="93">
        <f t="shared" si="37"/>
        <v>1.8164185363807928</v>
      </c>
      <c r="CR36" s="93">
        <f t="shared" si="37"/>
        <v>1.8741949898798627</v>
      </c>
      <c r="CS36" s="93">
        <f t="shared" si="37"/>
        <v>1.5823791348600569</v>
      </c>
      <c r="CT36" s="93">
        <f t="shared" si="37"/>
        <v>2.0199855332601047</v>
      </c>
      <c r="CU36" s="93">
        <f t="shared" si="37"/>
        <v>-1.6339519709044237</v>
      </c>
      <c r="CV36" s="93">
        <f t="shared" si="37"/>
        <v>-8.4068802841165144</v>
      </c>
      <c r="CW36" s="93">
        <f t="shared" si="37"/>
        <v>-15.378760039897109</v>
      </c>
      <c r="CX36" s="93">
        <f t="shared" si="37"/>
        <v>-20.079139874521644</v>
      </c>
      <c r="CY36" s="93">
        <f t="shared" si="37"/>
        <v>-20.615034168564918</v>
      </c>
      <c r="CZ36" s="93">
        <f t="shared" si="37"/>
        <v>-19.698339316614579</v>
      </c>
      <c r="DA36" s="93">
        <f t="shared" si="37"/>
        <v>-18.271611305962455</v>
      </c>
      <c r="DB36" s="93">
        <f t="shared" si="37"/>
        <v>-15.537509667440064</v>
      </c>
      <c r="DC36" s="93">
        <f t="shared" si="37"/>
        <v>-13.654266958424511</v>
      </c>
      <c r="DD36" s="93">
        <f t="shared" si="37"/>
        <v>-12.137475487666427</v>
      </c>
      <c r="DE36" s="93">
        <f t="shared" si="37"/>
        <v>-10.888454011741688</v>
      </c>
      <c r="DF36" s="93">
        <f t="shared" si="37"/>
        <v>-10.480292009138415</v>
      </c>
      <c r="DG36" s="93">
        <f t="shared" si="37"/>
        <v>-7.4191882119457375</v>
      </c>
      <c r="DH36" s="93">
        <f t="shared" si="37"/>
        <v>-0.60765647154141789</v>
      </c>
      <c r="DI36" s="93">
        <f t="shared" si="37"/>
        <v>7.8662489531313051</v>
      </c>
      <c r="DJ36" s="93">
        <f t="shared" si="37"/>
        <v>16.488599348534194</v>
      </c>
      <c r="DK36" s="93">
        <f t="shared" si="37"/>
        <v>18.785052823790259</v>
      </c>
      <c r="DL36" s="93">
        <f t="shared" si="37"/>
        <v>19.664222307989188</v>
      </c>
      <c r="DM36" s="93">
        <f t="shared" si="37"/>
        <v>18.98961850367613</v>
      </c>
      <c r="DN36" s="93">
        <f t="shared" si="37"/>
        <v>16.62851387235602</v>
      </c>
      <c r="DO36" s="93">
        <f t="shared" si="37"/>
        <v>15.017441340449</v>
      </c>
      <c r="DP36" s="93">
        <f t="shared" si="37"/>
        <v>14.366263361917063</v>
      </c>
      <c r="DQ36" s="93">
        <f t="shared" si="37"/>
        <v>12.801592878894352</v>
      </c>
      <c r="DR36" s="93">
        <f t="shared" si="37"/>
        <v>12.425931358169562</v>
      </c>
      <c r="DS36" s="93">
        <f t="shared" si="37"/>
        <v>12.180654255006761</v>
      </c>
      <c r="DT36" s="93">
        <f t="shared" ref="DT36:DY36" si="38">(DT13/DH13-1)*100</f>
        <v>12.768930682115931</v>
      </c>
      <c r="DU36" s="93">
        <f t="shared" si="38"/>
        <v>12.520488856937462</v>
      </c>
      <c r="DV36" s="93">
        <f t="shared" si="38"/>
        <v>9.8540350092276796</v>
      </c>
      <c r="DW36" s="93">
        <f t="shared" si="38"/>
        <v>7.8646133574899135</v>
      </c>
      <c r="DX36" s="93">
        <f t="shared" si="38"/>
        <v>5.6523141428801882</v>
      </c>
      <c r="DY36" s="93">
        <f t="shared" si="38"/>
        <v>3.8054575830703596</v>
      </c>
      <c r="DZ36" s="93"/>
      <c r="EA36" s="83"/>
      <c r="EB36" s="94"/>
      <c r="EC36" s="95"/>
      <c r="ED36" s="96"/>
      <c r="EE36" s="83"/>
      <c r="EF36" s="96"/>
      <c r="EG36" s="95"/>
      <c r="EH36" s="83"/>
    </row>
    <row r="37" spans="1:138" x14ac:dyDescent="0.25">
      <c r="EA37" s="83"/>
      <c r="EB37" s="83"/>
      <c r="EC37" s="83"/>
      <c r="ED37" s="83"/>
      <c r="EE37" s="83"/>
      <c r="EF37" s="83"/>
      <c r="EG37" s="83"/>
      <c r="EH37" s="83"/>
    </row>
    <row r="38" spans="1:138" x14ac:dyDescent="0.25">
      <c r="B38" s="44" t="s">
        <v>47</v>
      </c>
      <c r="BH38" s="103">
        <v>42705</v>
      </c>
      <c r="BI38" s="103">
        <v>42736</v>
      </c>
      <c r="BJ38" s="103">
        <v>42767</v>
      </c>
      <c r="BK38" s="103">
        <v>42795</v>
      </c>
      <c r="BL38" s="103">
        <v>42826</v>
      </c>
      <c r="BM38" s="103">
        <v>42856</v>
      </c>
      <c r="BN38" s="103">
        <v>42887</v>
      </c>
      <c r="BO38" s="103">
        <v>42917</v>
      </c>
      <c r="BP38" s="103">
        <v>42948</v>
      </c>
      <c r="BQ38" s="103">
        <v>42979</v>
      </c>
      <c r="BR38" s="103">
        <v>43009</v>
      </c>
      <c r="BS38" s="103">
        <v>43040</v>
      </c>
      <c r="BT38" s="103">
        <v>43070</v>
      </c>
      <c r="BU38" s="103">
        <v>43101</v>
      </c>
      <c r="BV38" s="103">
        <v>43132</v>
      </c>
      <c r="BW38" s="103">
        <v>43160</v>
      </c>
      <c r="BX38" s="103">
        <v>43191</v>
      </c>
      <c r="BY38" s="103">
        <v>43221</v>
      </c>
      <c r="BZ38" s="103">
        <v>43252</v>
      </c>
      <c r="CA38" s="103">
        <v>43282</v>
      </c>
      <c r="CB38" s="103">
        <v>43313</v>
      </c>
      <c r="CC38" s="103">
        <v>43344</v>
      </c>
      <c r="CD38" s="103">
        <v>43374</v>
      </c>
      <c r="CE38" s="103">
        <v>43405</v>
      </c>
      <c r="CF38" s="103">
        <v>43435</v>
      </c>
      <c r="CG38" s="103">
        <v>43466</v>
      </c>
      <c r="CH38" s="103">
        <v>43497</v>
      </c>
      <c r="CI38" s="103">
        <v>43525</v>
      </c>
      <c r="CJ38" s="103">
        <v>43556</v>
      </c>
      <c r="CK38" s="103">
        <v>43586</v>
      </c>
      <c r="CL38" s="103">
        <v>43617</v>
      </c>
      <c r="CM38" s="103">
        <v>43647</v>
      </c>
      <c r="CN38" s="103">
        <v>43678</v>
      </c>
      <c r="CO38" s="103">
        <v>43709</v>
      </c>
      <c r="CP38" s="103">
        <v>43739</v>
      </c>
      <c r="CQ38" s="103">
        <v>43770</v>
      </c>
      <c r="CR38" s="103">
        <v>43800</v>
      </c>
      <c r="CS38" s="103">
        <v>43831</v>
      </c>
      <c r="CT38" s="103">
        <v>43862</v>
      </c>
      <c r="CU38" s="103">
        <v>43891</v>
      </c>
      <c r="CV38" s="103">
        <v>43922</v>
      </c>
      <c r="CW38" s="103">
        <v>43952</v>
      </c>
      <c r="CX38" s="103">
        <v>43983</v>
      </c>
      <c r="CY38" s="103">
        <v>44013</v>
      </c>
      <c r="CZ38" s="103">
        <v>44044</v>
      </c>
      <c r="DA38" s="103">
        <v>44075</v>
      </c>
      <c r="DB38" s="103">
        <v>44105</v>
      </c>
      <c r="DC38" s="103">
        <v>44136</v>
      </c>
      <c r="DD38" s="103">
        <v>44166</v>
      </c>
      <c r="DE38" s="103">
        <v>44197</v>
      </c>
      <c r="DF38" s="103">
        <v>44228</v>
      </c>
      <c r="DG38" s="103">
        <v>44256</v>
      </c>
      <c r="DH38" s="103">
        <v>44287</v>
      </c>
      <c r="DI38" s="103">
        <v>44317</v>
      </c>
      <c r="DJ38" s="103">
        <v>44348</v>
      </c>
      <c r="DK38" s="103">
        <v>44378</v>
      </c>
      <c r="DL38" s="103">
        <v>44409</v>
      </c>
      <c r="DM38" s="103">
        <v>44440</v>
      </c>
      <c r="DN38" s="103">
        <v>44470</v>
      </c>
      <c r="DO38" s="103">
        <v>44501</v>
      </c>
      <c r="DP38" s="103">
        <v>44531</v>
      </c>
      <c r="DQ38" s="103">
        <v>44562</v>
      </c>
      <c r="DR38" s="103">
        <v>44593</v>
      </c>
      <c r="DS38" s="103">
        <v>44621</v>
      </c>
      <c r="DT38" s="103">
        <v>44652</v>
      </c>
      <c r="DU38" s="103">
        <v>44682</v>
      </c>
      <c r="DV38" s="103">
        <v>44713</v>
      </c>
      <c r="DW38" s="103">
        <v>44743</v>
      </c>
      <c r="DX38" s="103">
        <v>44774</v>
      </c>
      <c r="DY38" s="103">
        <v>44805</v>
      </c>
      <c r="EA38" s="83"/>
      <c r="EB38" s="83"/>
      <c r="EC38" s="83"/>
      <c r="ED38" s="83"/>
      <c r="EE38" s="83"/>
      <c r="EF38" s="83"/>
      <c r="EG38" s="83"/>
      <c r="EH38" s="83"/>
    </row>
    <row r="39" spans="1:138" s="87" customFormat="1" x14ac:dyDescent="0.25">
      <c r="A39" s="44"/>
      <c r="B39" s="44" t="s">
        <v>48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BH39" s="97">
        <f t="shared" ref="BH39:CZ39" si="39">SUM(BH40:BH41)</f>
        <v>-2.3721106479727188</v>
      </c>
      <c r="BI39" s="97">
        <f t="shared" si="39"/>
        <v>-2.2406675163121039</v>
      </c>
      <c r="BJ39" s="97">
        <f t="shared" si="39"/>
        <v>-2.2605552817479917</v>
      </c>
      <c r="BK39" s="97">
        <f t="shared" si="39"/>
        <v>-2.0516382237509361</v>
      </c>
      <c r="BL39" s="97">
        <f t="shared" si="39"/>
        <v>-1.5339760792499086</v>
      </c>
      <c r="BM39" s="97">
        <f t="shared" si="39"/>
        <v>-1.1950302616057944</v>
      </c>
      <c r="BN39" s="97">
        <f t="shared" si="39"/>
        <v>-0.53047180007499717</v>
      </c>
      <c r="BO39" s="97">
        <f t="shared" si="39"/>
        <v>0.28340842918664477</v>
      </c>
      <c r="BP39" s="97">
        <f t="shared" si="39"/>
        <v>1.0224131614879874</v>
      </c>
      <c r="BQ39" s="97">
        <f t="shared" si="39"/>
        <v>1.6109818416628652</v>
      </c>
      <c r="BR39" s="97">
        <f t="shared" si="39"/>
        <v>1.9135987895375137</v>
      </c>
      <c r="BS39" s="97">
        <f t="shared" si="39"/>
        <v>2.0821316058037826</v>
      </c>
      <c r="BT39" s="97">
        <f t="shared" si="39"/>
        <v>2.2778184399050692</v>
      </c>
      <c r="BU39" s="97">
        <f t="shared" si="39"/>
        <v>2.3544224812247836</v>
      </c>
      <c r="BV39" s="97">
        <f t="shared" si="39"/>
        <v>2.3195616364675429</v>
      </c>
      <c r="BW39" s="97">
        <f t="shared" si="39"/>
        <v>2.2859522550001605</v>
      </c>
      <c r="BX39" s="97">
        <f t="shared" si="39"/>
        <v>2.1197846567967731</v>
      </c>
      <c r="BY39" s="97">
        <f t="shared" si="39"/>
        <v>1.7316596931659645</v>
      </c>
      <c r="BZ39" s="97">
        <f t="shared" si="39"/>
        <v>1.4058740700497827</v>
      </c>
      <c r="CA39" s="97">
        <f t="shared" si="39"/>
        <v>1.4582988353480135</v>
      </c>
      <c r="CB39" s="97">
        <f t="shared" si="39"/>
        <v>1.5043625414826085</v>
      </c>
      <c r="CC39" s="97">
        <f t="shared" si="39"/>
        <v>1.8199149756760344</v>
      </c>
      <c r="CD39" s="97">
        <f t="shared" si="39"/>
        <v>1.8722094254554988</v>
      </c>
      <c r="CE39" s="97">
        <f t="shared" si="39"/>
        <v>1.7267046998098372</v>
      </c>
      <c r="CF39" s="97">
        <f t="shared" si="39"/>
        <v>1.4160558615604804</v>
      </c>
      <c r="CG39" s="97">
        <f t="shared" si="39"/>
        <v>1.2998181996320417</v>
      </c>
      <c r="CH39" s="97">
        <f t="shared" si="39"/>
        <v>1.4576557041320317</v>
      </c>
      <c r="CI39" s="97">
        <f t="shared" si="39"/>
        <v>1.9179559409317883</v>
      </c>
      <c r="CJ39" s="97">
        <f t="shared" si="39"/>
        <v>2.381109280615044</v>
      </c>
      <c r="CK39" s="97">
        <f t="shared" si="39"/>
        <v>2.8329512925408808</v>
      </c>
      <c r="CL39" s="97">
        <f t="shared" si="39"/>
        <v>2.9520779348574751</v>
      </c>
      <c r="CM39" s="97">
        <f t="shared" si="39"/>
        <v>2.7071137901769209</v>
      </c>
      <c r="CN39" s="97">
        <f t="shared" si="39"/>
        <v>2.3145792510636443</v>
      </c>
      <c r="CO39" s="97">
        <f t="shared" si="39"/>
        <v>1.9444952598220078</v>
      </c>
      <c r="CP39" s="97">
        <f t="shared" si="39"/>
        <v>1.8485179708094925</v>
      </c>
      <c r="CQ39" s="97">
        <f t="shared" si="39"/>
        <v>1.9174482449206374</v>
      </c>
      <c r="CR39" s="97">
        <f t="shared" si="39"/>
        <v>2.1179464152073009</v>
      </c>
      <c r="CS39" s="97">
        <f t="shared" si="39"/>
        <v>2.2234640473708507</v>
      </c>
      <c r="CT39" s="97">
        <f t="shared" si="39"/>
        <v>2.1933896073055426</v>
      </c>
      <c r="CU39" s="97">
        <f t="shared" si="39"/>
        <v>0.53335636626683469</v>
      </c>
      <c r="CV39" s="97">
        <f t="shared" si="39"/>
        <v>-3.3073011650110482</v>
      </c>
      <c r="CW39" s="97">
        <f t="shared" si="39"/>
        <v>-7.5138651877133089</v>
      </c>
      <c r="CX39" s="97">
        <f t="shared" si="39"/>
        <v>-10.73692930194029</v>
      </c>
      <c r="CY39" s="97">
        <f t="shared" si="39"/>
        <v>-12.36201453482213</v>
      </c>
      <c r="CZ39" s="97">
        <f t="shared" si="39"/>
        <v>-12.611497317715774</v>
      </c>
      <c r="DA39" s="97">
        <f>SUM(DA40:DA41)</f>
        <v>-11.923661543658168</v>
      </c>
      <c r="DB39" s="97">
        <f t="shared" ref="DB39:DU39" si="40">SUM(DB40:DB41)</f>
        <v>-10.26587965447219</v>
      </c>
      <c r="DC39" s="97">
        <f t="shared" si="40"/>
        <v>-9.261180811034599</v>
      </c>
      <c r="DD39" s="97">
        <f t="shared" si="40"/>
        <v>-8.679265036905198</v>
      </c>
      <c r="DE39" s="97">
        <f t="shared" si="40"/>
        <v>-8.3135341981875914</v>
      </c>
      <c r="DF39" s="97">
        <f t="shared" si="40"/>
        <v>-7.8036208462724712</v>
      </c>
      <c r="DG39" s="97">
        <f t="shared" si="40"/>
        <v>-6.4780110615905055</v>
      </c>
      <c r="DH39" s="97">
        <f t="shared" si="40"/>
        <v>-2.951128862262161</v>
      </c>
      <c r="DI39" s="97">
        <f t="shared" si="40"/>
        <v>1.6548463356973984</v>
      </c>
      <c r="DJ39" s="97">
        <f t="shared" si="40"/>
        <v>6.3461469821893752</v>
      </c>
      <c r="DK39" s="97">
        <f t="shared" si="40"/>
        <v>9.6004835297673026</v>
      </c>
      <c r="DL39" s="97">
        <f t="shared" si="40"/>
        <v>11.060661096985109</v>
      </c>
      <c r="DM39" s="97">
        <f t="shared" si="40"/>
        <v>11.429769894534992</v>
      </c>
      <c r="DN39" s="97">
        <f t="shared" si="40"/>
        <v>10.168140140234048</v>
      </c>
      <c r="DO39" s="97">
        <f t="shared" si="40"/>
        <v>9.6508149192011299</v>
      </c>
      <c r="DP39" s="97">
        <f t="shared" si="40"/>
        <v>9.7701347090857009</v>
      </c>
      <c r="DQ39" s="97">
        <f t="shared" si="40"/>
        <v>9.4193592771802717</v>
      </c>
      <c r="DR39" s="97">
        <f t="shared" si="40"/>
        <v>9.1056985083518569</v>
      </c>
      <c r="DS39" s="97">
        <f t="shared" si="40"/>
        <v>9.4059690180632245</v>
      </c>
      <c r="DT39" s="97">
        <f t="shared" si="40"/>
        <v>10.332094884252637</v>
      </c>
      <c r="DU39" s="97">
        <f t="shared" si="40"/>
        <v>10.623936471922855</v>
      </c>
      <c r="DV39" s="97">
        <f>SUM(DV40:DV41)</f>
        <v>9.9390278010851993</v>
      </c>
      <c r="DW39" s="97">
        <f>SUM(DW40:DW41)</f>
        <v>8.8223940353160479</v>
      </c>
      <c r="DX39" s="97">
        <f t="shared" ref="DX39:DY39" si="41">SUM(DX40:DX41)</f>
        <v>7.9476696647587914</v>
      </c>
      <c r="DY39" s="97">
        <f t="shared" si="41"/>
        <v>6.7661894877227677</v>
      </c>
      <c r="DZ39" s="97"/>
      <c r="EA39" s="89"/>
      <c r="EB39" s="98"/>
      <c r="EC39" s="89"/>
      <c r="ED39" s="89"/>
      <c r="EE39" s="89"/>
      <c r="EF39" s="98"/>
      <c r="EG39" s="89"/>
      <c r="EH39" s="89"/>
    </row>
    <row r="40" spans="1:138" x14ac:dyDescent="0.25">
      <c r="B40" s="20" t="s">
        <v>44</v>
      </c>
      <c r="BH40" s="45">
        <f>BH30*(BH35/100)*100</f>
        <v>-2.1999675201645648</v>
      </c>
      <c r="BI40" s="45">
        <f t="shared" ref="BI40:CZ41" si="42">BI30*(BI35/100)*100</f>
        <v>-2.426935938912671</v>
      </c>
      <c r="BJ40" s="45">
        <f t="shared" si="42"/>
        <v>-2.3722687695087918</v>
      </c>
      <c r="BK40" s="45">
        <f t="shared" si="42"/>
        <v>-2.1982625567755876</v>
      </c>
      <c r="BL40" s="45">
        <f t="shared" si="42"/>
        <v>-1.9138808821742923</v>
      </c>
      <c r="BM40" s="45">
        <f t="shared" si="42"/>
        <v>-1.7164779680075812</v>
      </c>
      <c r="BN40" s="45">
        <f t="shared" si="42"/>
        <v>-1.439221827646296</v>
      </c>
      <c r="BO40" s="45">
        <f t="shared" si="42"/>
        <v>-0.96646702609349999</v>
      </c>
      <c r="BP40" s="45">
        <f t="shared" si="42"/>
        <v>-0.9347143126741515</v>
      </c>
      <c r="BQ40" s="45">
        <f t="shared" si="42"/>
        <v>-0.80382093274401112</v>
      </c>
      <c r="BR40" s="45">
        <f t="shared" si="42"/>
        <v>-0.53180245430170081</v>
      </c>
      <c r="BS40" s="45">
        <f t="shared" si="42"/>
        <v>-0.31947464170031797</v>
      </c>
      <c r="BT40" s="45">
        <f t="shared" si="42"/>
        <v>0.16080023066515839</v>
      </c>
      <c r="BU40" s="45">
        <f t="shared" si="42"/>
        <v>0.36436164285872941</v>
      </c>
      <c r="BV40" s="45">
        <f t="shared" si="42"/>
        <v>0.43813942022164348</v>
      </c>
      <c r="BW40" s="45">
        <f t="shared" si="42"/>
        <v>0.45246322329397298</v>
      </c>
      <c r="BX40" s="45">
        <f t="shared" si="42"/>
        <v>0.38582323912068273</v>
      </c>
      <c r="BY40" s="45">
        <f t="shared" si="42"/>
        <v>0.34923291492328729</v>
      </c>
      <c r="BZ40" s="45">
        <f t="shared" si="42"/>
        <v>0.3814043218431592</v>
      </c>
      <c r="CA40" s="45">
        <f t="shared" si="42"/>
        <v>0.55748744273334649</v>
      </c>
      <c r="CB40" s="45">
        <f t="shared" si="42"/>
        <v>0.59998681347663052</v>
      </c>
      <c r="CC40" s="45">
        <f t="shared" si="42"/>
        <v>0.67274400666170042</v>
      </c>
      <c r="CD40" s="45">
        <f t="shared" si="42"/>
        <v>0.55893365937797057</v>
      </c>
      <c r="CE40" s="45">
        <f t="shared" si="42"/>
        <v>0.51942406954631815</v>
      </c>
      <c r="CF40" s="45">
        <f t="shared" si="42"/>
        <v>0.40551676280522059</v>
      </c>
      <c r="CG40" s="45">
        <f t="shared" si="42"/>
        <v>0.46484285698733518</v>
      </c>
      <c r="CH40" s="45">
        <f t="shared" si="42"/>
        <v>0.77427692172903739</v>
      </c>
      <c r="CI40" s="45">
        <f t="shared" si="42"/>
        <v>0.9353198793987485</v>
      </c>
      <c r="CJ40" s="45">
        <f t="shared" si="42"/>
        <v>1.3003844041735293</v>
      </c>
      <c r="CK40" s="45">
        <f t="shared" si="42"/>
        <v>1.3841209954264779</v>
      </c>
      <c r="CL40" s="45">
        <f t="shared" si="42"/>
        <v>1.1578705677829828</v>
      </c>
      <c r="CM40" s="45">
        <f t="shared" si="42"/>
        <v>0.79755402258829577</v>
      </c>
      <c r="CN40" s="45">
        <f t="shared" si="42"/>
        <v>0.67120633099132976</v>
      </c>
      <c r="CO40" s="45">
        <f t="shared" si="42"/>
        <v>0.80706776140924363</v>
      </c>
      <c r="CP40" s="45">
        <f t="shared" si="42"/>
        <v>0.9740886002700434</v>
      </c>
      <c r="CQ40" s="45">
        <f t="shared" si="42"/>
        <v>1.1771743542632571</v>
      </c>
      <c r="CR40" s="45">
        <f t="shared" si="42"/>
        <v>1.3556567665234038</v>
      </c>
      <c r="CS40" s="45">
        <f t="shared" si="42"/>
        <v>1.5818941893329559</v>
      </c>
      <c r="CT40" s="45">
        <f t="shared" si="42"/>
        <v>1.3795038967207114</v>
      </c>
      <c r="CU40" s="45">
        <f t="shared" si="42"/>
        <v>1.1930339771758081</v>
      </c>
      <c r="CV40" s="45">
        <f t="shared" si="42"/>
        <v>9.54751228303585E-2</v>
      </c>
      <c r="CW40" s="45">
        <f t="shared" si="42"/>
        <v>-1.2649317406143323</v>
      </c>
      <c r="CX40" s="45">
        <f t="shared" si="42"/>
        <v>-2.5456399146143278</v>
      </c>
      <c r="CY40" s="45">
        <f t="shared" si="42"/>
        <v>-3.9250376083225658</v>
      </c>
      <c r="CZ40" s="45">
        <f t="shared" si="42"/>
        <v>-4.5413664307103039</v>
      </c>
      <c r="DA40" s="45">
        <f>DA30*(DA35/100)*100</f>
        <v>-4.4449839554129396</v>
      </c>
      <c r="DB40" s="45">
        <f t="shared" ref="DB40:DU40" si="43">DB30*(DB35/100)*100</f>
        <v>-3.9245394189998244</v>
      </c>
      <c r="DC40" s="45">
        <f t="shared" si="43"/>
        <v>-3.7019568384533956</v>
      </c>
      <c r="DD40" s="45">
        <f t="shared" si="43"/>
        <v>-3.7543841281474108</v>
      </c>
      <c r="DE40" s="45">
        <f t="shared" si="43"/>
        <v>-3.9265364479300255</v>
      </c>
      <c r="DF40" s="45">
        <f t="shared" si="43"/>
        <v>-3.5881023301011887</v>
      </c>
      <c r="DG40" s="45">
        <f t="shared" si="43"/>
        <v>-3.5472265478172145</v>
      </c>
      <c r="DH40" s="45">
        <f t="shared" si="43"/>
        <v>-2.7181450047151499</v>
      </c>
      <c r="DI40" s="45">
        <f t="shared" si="43"/>
        <v>-1.2696765265525021</v>
      </c>
      <c r="DJ40" s="45">
        <f t="shared" si="43"/>
        <v>0.3236130444610944</v>
      </c>
      <c r="DK40" s="45">
        <f t="shared" si="43"/>
        <v>2.6364460562103393</v>
      </c>
      <c r="DL40" s="45">
        <f t="shared" si="43"/>
        <v>3.657827824191795</v>
      </c>
      <c r="DM40" s="45">
        <f t="shared" si="43"/>
        <v>4.2174017257909817</v>
      </c>
      <c r="DN40" s="45">
        <f t="shared" si="43"/>
        <v>3.7802218418028817</v>
      </c>
      <c r="DO40" s="45">
        <f t="shared" si="43"/>
        <v>3.8326036986127257</v>
      </c>
      <c r="DP40" s="45">
        <f t="shared" si="43"/>
        <v>4.1616509028374935</v>
      </c>
      <c r="DQ40" s="45">
        <f t="shared" si="43"/>
        <v>4.4064026417776994</v>
      </c>
      <c r="DR40" s="45">
        <f t="shared" si="43"/>
        <v>4.2526865705840553</v>
      </c>
      <c r="DS40" s="45">
        <f t="shared" si="43"/>
        <v>4.6426971969270641</v>
      </c>
      <c r="DT40" s="45">
        <f t="shared" si="43"/>
        <v>5.3180908831094538</v>
      </c>
      <c r="DU40" s="45">
        <f t="shared" si="43"/>
        <v>5.6846284741917126</v>
      </c>
      <c r="DV40" s="45">
        <f>DV30*(DV35/100)*100</f>
        <v>5.9965318565754924</v>
      </c>
      <c r="DW40" s="45">
        <f>DW30*(DW35/100)*100</f>
        <v>5.6624791820618325</v>
      </c>
      <c r="DX40" s="45">
        <f t="shared" ref="DX40:DY41" si="44">DX30*(DX35/100)*100</f>
        <v>5.6549468520032695</v>
      </c>
      <c r="DY40" s="45">
        <f t="shared" si="44"/>
        <v>5.2227970358260603</v>
      </c>
      <c r="DZ40" s="45"/>
      <c r="EA40" s="99"/>
      <c r="EB40" s="100"/>
      <c r="EC40" s="83"/>
      <c r="ED40" s="83"/>
      <c r="EE40" s="83"/>
      <c r="EF40" s="100"/>
      <c r="EG40" s="83"/>
      <c r="EH40" s="83"/>
    </row>
    <row r="41" spans="1:138" x14ac:dyDescent="0.25">
      <c r="B41" s="20" t="s">
        <v>45</v>
      </c>
      <c r="BH41" s="45">
        <f>BH31*(BH36/100)*100</f>
        <v>-0.172143127808154</v>
      </c>
      <c r="BI41" s="45">
        <f t="shared" si="42"/>
        <v>0.18626842260056714</v>
      </c>
      <c r="BJ41" s="45">
        <f t="shared" si="42"/>
        <v>0.11171348776080002</v>
      </c>
      <c r="BK41" s="45">
        <f t="shared" si="42"/>
        <v>0.14662433302465136</v>
      </c>
      <c r="BL41" s="45">
        <f t="shared" si="42"/>
        <v>0.37990480292438372</v>
      </c>
      <c r="BM41" s="45">
        <f t="shared" si="42"/>
        <v>0.52144770640178673</v>
      </c>
      <c r="BN41" s="45">
        <f t="shared" si="42"/>
        <v>0.90875002757129886</v>
      </c>
      <c r="BO41" s="45">
        <f t="shared" si="42"/>
        <v>1.2498754552801448</v>
      </c>
      <c r="BP41" s="45">
        <f t="shared" si="42"/>
        <v>1.9571274741621389</v>
      </c>
      <c r="BQ41" s="45">
        <f t="shared" si="42"/>
        <v>2.4148027744068763</v>
      </c>
      <c r="BR41" s="45">
        <f t="shared" si="42"/>
        <v>2.4454012438392145</v>
      </c>
      <c r="BS41" s="45">
        <f t="shared" si="42"/>
        <v>2.4016062475041005</v>
      </c>
      <c r="BT41" s="45">
        <f t="shared" si="42"/>
        <v>2.1170182092399106</v>
      </c>
      <c r="BU41" s="45">
        <f t="shared" si="42"/>
        <v>1.9900608383660541</v>
      </c>
      <c r="BV41" s="45">
        <f t="shared" si="42"/>
        <v>1.8814222162458996</v>
      </c>
      <c r="BW41" s="45">
        <f t="shared" si="42"/>
        <v>1.8334890317061876</v>
      </c>
      <c r="BX41" s="45">
        <f t="shared" si="42"/>
        <v>1.7339614176760905</v>
      </c>
      <c r="BY41" s="45">
        <f t="shared" si="42"/>
        <v>1.3824267782426771</v>
      </c>
      <c r="BZ41" s="45">
        <f t="shared" si="42"/>
        <v>1.0244697482066236</v>
      </c>
      <c r="CA41" s="45">
        <f t="shared" si="42"/>
        <v>0.90081139261466692</v>
      </c>
      <c r="CB41" s="45">
        <f t="shared" si="42"/>
        <v>0.9043757280059781</v>
      </c>
      <c r="CC41" s="45">
        <f t="shared" si="42"/>
        <v>1.1471709690143339</v>
      </c>
      <c r="CD41" s="45">
        <f t="shared" si="42"/>
        <v>1.3132757660775283</v>
      </c>
      <c r="CE41" s="45">
        <f t="shared" si="42"/>
        <v>1.2072806302635191</v>
      </c>
      <c r="CF41" s="45">
        <f t="shared" si="42"/>
        <v>1.0105390987552598</v>
      </c>
      <c r="CG41" s="45">
        <f t="shared" si="42"/>
        <v>0.83497534264470652</v>
      </c>
      <c r="CH41" s="45">
        <f t="shared" si="42"/>
        <v>0.68337878240299421</v>
      </c>
      <c r="CI41" s="45">
        <f t="shared" si="42"/>
        <v>0.98263606153303984</v>
      </c>
      <c r="CJ41" s="45">
        <f t="shared" si="42"/>
        <v>1.0807248764415147</v>
      </c>
      <c r="CK41" s="45">
        <f t="shared" si="42"/>
        <v>1.4488302971144027</v>
      </c>
      <c r="CL41" s="45">
        <f t="shared" si="42"/>
        <v>1.7942073670744925</v>
      </c>
      <c r="CM41" s="45">
        <f t="shared" si="42"/>
        <v>1.9095597675886249</v>
      </c>
      <c r="CN41" s="45">
        <f t="shared" si="42"/>
        <v>1.6433729200723144</v>
      </c>
      <c r="CO41" s="45">
        <f t="shared" si="42"/>
        <v>1.1374274984127641</v>
      </c>
      <c r="CP41" s="45">
        <f t="shared" si="42"/>
        <v>0.87442937053944925</v>
      </c>
      <c r="CQ41" s="45">
        <f t="shared" si="42"/>
        <v>0.74027389065738036</v>
      </c>
      <c r="CR41" s="45">
        <f t="shared" si="42"/>
        <v>0.76228964868389693</v>
      </c>
      <c r="CS41" s="45">
        <f t="shared" si="42"/>
        <v>0.6415698580378949</v>
      </c>
      <c r="CT41" s="45">
        <f t="shared" si="42"/>
        <v>0.81388571058483117</v>
      </c>
      <c r="CU41" s="45">
        <f t="shared" si="42"/>
        <v>-0.65967761090897337</v>
      </c>
      <c r="CV41" s="45">
        <f t="shared" si="42"/>
        <v>-3.4027762878414065</v>
      </c>
      <c r="CW41" s="45">
        <f t="shared" si="42"/>
        <v>-6.2489334470989766</v>
      </c>
      <c r="CX41" s="45">
        <f t="shared" si="42"/>
        <v>-8.1912893873259627</v>
      </c>
      <c r="CY41" s="45">
        <f t="shared" si="42"/>
        <v>-8.4369769264995647</v>
      </c>
      <c r="CZ41" s="45">
        <f t="shared" si="42"/>
        <v>-8.0701308870054689</v>
      </c>
      <c r="DA41" s="45">
        <f t="shared" ref="DA41:DW41" si="45">DA31*(DA36/100)*100</f>
        <v>-7.4786775882452288</v>
      </c>
      <c r="DB41" s="45">
        <f t="shared" si="45"/>
        <v>-6.3413402354723658</v>
      </c>
      <c r="DC41" s="45">
        <f t="shared" si="45"/>
        <v>-5.5592239725812043</v>
      </c>
      <c r="DD41" s="45">
        <f t="shared" si="45"/>
        <v>-4.9248809087577872</v>
      </c>
      <c r="DE41" s="45">
        <f t="shared" si="45"/>
        <v>-4.3869977502575663</v>
      </c>
      <c r="DF41" s="45">
        <f t="shared" si="45"/>
        <v>-4.215518516171282</v>
      </c>
      <c r="DG41" s="45">
        <f t="shared" si="45"/>
        <v>-2.9307845137732915</v>
      </c>
      <c r="DH41" s="45">
        <f t="shared" si="45"/>
        <v>-0.23298385754701129</v>
      </c>
      <c r="DI41" s="45">
        <f t="shared" si="45"/>
        <v>2.9245228622499004</v>
      </c>
      <c r="DJ41" s="45">
        <f t="shared" si="45"/>
        <v>6.0225339377282809</v>
      </c>
      <c r="DK41" s="45">
        <f t="shared" si="45"/>
        <v>6.9640374735569628</v>
      </c>
      <c r="DL41" s="45">
        <f t="shared" si="45"/>
        <v>7.4028332727933144</v>
      </c>
      <c r="DM41" s="45">
        <f t="shared" si="45"/>
        <v>7.2123681687440113</v>
      </c>
      <c r="DN41" s="45">
        <f t="shared" si="45"/>
        <v>6.3879182984311651</v>
      </c>
      <c r="DO41" s="45">
        <f t="shared" si="45"/>
        <v>5.8182112205884042</v>
      </c>
      <c r="DP41" s="45">
        <f t="shared" si="45"/>
        <v>5.6084838062482074</v>
      </c>
      <c r="DQ41" s="45">
        <f t="shared" si="45"/>
        <v>5.0129566354025723</v>
      </c>
      <c r="DR41" s="45">
        <f t="shared" si="45"/>
        <v>4.8530119377678025</v>
      </c>
      <c r="DS41" s="45">
        <f t="shared" si="45"/>
        <v>4.7632718211361595</v>
      </c>
      <c r="DT41" s="45">
        <f t="shared" si="45"/>
        <v>5.0140040011431841</v>
      </c>
      <c r="DU41" s="45">
        <f t="shared" si="45"/>
        <v>4.9393079977311425</v>
      </c>
      <c r="DV41" s="45">
        <f t="shared" si="45"/>
        <v>3.9424959445097079</v>
      </c>
      <c r="DW41" s="45">
        <f t="shared" si="45"/>
        <v>3.1599148532542163</v>
      </c>
      <c r="DX41" s="45">
        <f t="shared" si="44"/>
        <v>2.2927228127555224</v>
      </c>
      <c r="DY41" s="45">
        <f t="shared" si="44"/>
        <v>1.5433924518967077</v>
      </c>
      <c r="DZ41" s="45"/>
      <c r="EA41" s="99"/>
      <c r="EB41" s="100"/>
      <c r="EC41" s="83"/>
      <c r="ED41" s="83"/>
      <c r="EE41" s="83"/>
      <c r="EF41" s="100"/>
      <c r="EG41" s="83"/>
      <c r="EH41" s="83"/>
    </row>
    <row r="43" spans="1:138" x14ac:dyDescent="0.25">
      <c r="B43" s="20" t="s">
        <v>49</v>
      </c>
      <c r="BH43" s="23" t="b">
        <f>BH41&gt;BH40</f>
        <v>1</v>
      </c>
      <c r="BI43" s="23" t="b">
        <f t="shared" ref="BI43:DI43" si="46">BI41&gt;BI40</f>
        <v>1</v>
      </c>
      <c r="BJ43" s="23" t="b">
        <f t="shared" si="46"/>
        <v>1</v>
      </c>
      <c r="BK43" s="23" t="b">
        <f t="shared" si="46"/>
        <v>1</v>
      </c>
      <c r="BL43" s="23" t="b">
        <f t="shared" si="46"/>
        <v>1</v>
      </c>
      <c r="BM43" s="23" t="b">
        <f t="shared" si="46"/>
        <v>1</v>
      </c>
      <c r="BN43" s="23" t="b">
        <f t="shared" si="46"/>
        <v>1</v>
      </c>
      <c r="BO43" s="23" t="b">
        <f t="shared" si="46"/>
        <v>1</v>
      </c>
      <c r="BP43" s="23" t="b">
        <f t="shared" si="46"/>
        <v>1</v>
      </c>
      <c r="BQ43" s="23" t="b">
        <f t="shared" si="46"/>
        <v>1</v>
      </c>
      <c r="BR43" s="23" t="b">
        <f t="shared" si="46"/>
        <v>1</v>
      </c>
      <c r="BS43" s="23" t="b">
        <f t="shared" si="46"/>
        <v>1</v>
      </c>
      <c r="BT43" s="23" t="b">
        <f t="shared" si="46"/>
        <v>1</v>
      </c>
      <c r="BU43" s="23" t="b">
        <f t="shared" si="46"/>
        <v>1</v>
      </c>
      <c r="BV43" s="23" t="b">
        <f t="shared" si="46"/>
        <v>1</v>
      </c>
      <c r="BW43" s="23" t="b">
        <f t="shared" si="46"/>
        <v>1</v>
      </c>
      <c r="BX43" s="23" t="b">
        <f t="shared" si="46"/>
        <v>1</v>
      </c>
      <c r="BY43" s="23" t="b">
        <f t="shared" si="46"/>
        <v>1</v>
      </c>
      <c r="BZ43" s="23" t="b">
        <f t="shared" si="46"/>
        <v>1</v>
      </c>
      <c r="CA43" s="23" t="b">
        <f t="shared" si="46"/>
        <v>1</v>
      </c>
      <c r="CB43" s="23" t="b">
        <f t="shared" si="46"/>
        <v>1</v>
      </c>
      <c r="CC43" s="23" t="b">
        <f t="shared" si="46"/>
        <v>1</v>
      </c>
      <c r="CD43" s="23" t="b">
        <f t="shared" si="46"/>
        <v>1</v>
      </c>
      <c r="CE43" s="23" t="b">
        <f t="shared" si="46"/>
        <v>1</v>
      </c>
      <c r="CF43" s="23" t="b">
        <f t="shared" si="46"/>
        <v>1</v>
      </c>
      <c r="CG43" s="23" t="b">
        <f t="shared" si="46"/>
        <v>1</v>
      </c>
      <c r="CH43" s="23" t="b">
        <f t="shared" si="46"/>
        <v>0</v>
      </c>
      <c r="CI43" s="23" t="b">
        <f t="shared" si="46"/>
        <v>1</v>
      </c>
      <c r="CJ43" s="23" t="b">
        <f t="shared" si="46"/>
        <v>0</v>
      </c>
      <c r="CK43" s="23" t="b">
        <f t="shared" si="46"/>
        <v>1</v>
      </c>
      <c r="CL43" s="23" t="b">
        <f t="shared" si="46"/>
        <v>1</v>
      </c>
      <c r="CM43" s="23" t="b">
        <f t="shared" si="46"/>
        <v>1</v>
      </c>
      <c r="CN43" s="23" t="b">
        <f t="shared" si="46"/>
        <v>1</v>
      </c>
      <c r="CO43" s="23" t="b">
        <f t="shared" si="46"/>
        <v>1</v>
      </c>
      <c r="CP43" s="23" t="b">
        <f t="shared" si="46"/>
        <v>0</v>
      </c>
      <c r="CQ43" s="23" t="b">
        <f t="shared" si="46"/>
        <v>0</v>
      </c>
      <c r="CR43" s="23" t="b">
        <f t="shared" si="46"/>
        <v>0</v>
      </c>
      <c r="CS43" s="23" t="b">
        <f t="shared" si="46"/>
        <v>0</v>
      </c>
      <c r="CT43" s="23" t="b">
        <f t="shared" si="46"/>
        <v>0</v>
      </c>
      <c r="CU43" s="23" t="b">
        <f t="shared" si="46"/>
        <v>0</v>
      </c>
      <c r="CV43" s="23" t="b">
        <f t="shared" si="46"/>
        <v>0</v>
      </c>
      <c r="CW43" s="23" t="b">
        <f t="shared" si="46"/>
        <v>0</v>
      </c>
      <c r="CX43" s="23" t="b">
        <f t="shared" si="46"/>
        <v>0</v>
      </c>
      <c r="CY43" s="23" t="b">
        <f t="shared" si="46"/>
        <v>0</v>
      </c>
      <c r="CZ43" s="23" t="b">
        <f t="shared" si="46"/>
        <v>0</v>
      </c>
      <c r="DA43" s="23" t="b">
        <f t="shared" si="46"/>
        <v>0</v>
      </c>
      <c r="DB43" s="23" t="b">
        <f t="shared" si="46"/>
        <v>0</v>
      </c>
      <c r="DC43" s="23" t="b">
        <f t="shared" si="46"/>
        <v>0</v>
      </c>
      <c r="DD43" s="23" t="b">
        <f t="shared" si="46"/>
        <v>0</v>
      </c>
      <c r="DE43" s="23" t="b">
        <f t="shared" si="46"/>
        <v>0</v>
      </c>
      <c r="DF43" s="23" t="b">
        <f t="shared" si="46"/>
        <v>0</v>
      </c>
      <c r="DG43" s="23" t="b">
        <f t="shared" si="46"/>
        <v>1</v>
      </c>
      <c r="DH43" s="23" t="b">
        <f t="shared" si="46"/>
        <v>1</v>
      </c>
      <c r="DI43" s="23" t="b">
        <f t="shared" si="46"/>
        <v>1</v>
      </c>
      <c r="DJ43" s="23" t="b">
        <f>DJ41&gt;DJ40</f>
        <v>1</v>
      </c>
      <c r="DK43" s="23" t="b">
        <f t="shared" ref="DK43:DU43" si="47">DK41&gt;DK40</f>
        <v>1</v>
      </c>
      <c r="DL43" s="23" t="b">
        <f t="shared" si="47"/>
        <v>1</v>
      </c>
      <c r="DM43" s="23" t="b">
        <f t="shared" si="47"/>
        <v>1</v>
      </c>
      <c r="DN43" s="23" t="b">
        <f t="shared" si="47"/>
        <v>1</v>
      </c>
      <c r="DO43" s="23" t="b">
        <f t="shared" si="47"/>
        <v>1</v>
      </c>
      <c r="DP43" s="23" t="b">
        <f t="shared" si="47"/>
        <v>1</v>
      </c>
      <c r="DQ43" s="23" t="b">
        <f t="shared" si="47"/>
        <v>1</v>
      </c>
      <c r="DR43" s="23" t="b">
        <f t="shared" si="47"/>
        <v>1</v>
      </c>
      <c r="DS43" s="23" t="b">
        <f t="shared" si="47"/>
        <v>1</v>
      </c>
      <c r="DT43" s="23" t="b">
        <f t="shared" si="47"/>
        <v>0</v>
      </c>
      <c r="DU43" s="23" t="b">
        <f t="shared" si="47"/>
        <v>0</v>
      </c>
      <c r="DV43" s="23" t="b">
        <f>DV41&gt;DV40</f>
        <v>0</v>
      </c>
      <c r="DW43" s="23" t="b">
        <f>DW41&gt;DW40</f>
        <v>0</v>
      </c>
      <c r="DX43" s="23" t="b">
        <f t="shared" ref="DX43:DY43" si="48">DX41&gt;DX40</f>
        <v>0</v>
      </c>
      <c r="DY43" s="23" t="b">
        <f t="shared" si="48"/>
        <v>0</v>
      </c>
    </row>
    <row r="46" spans="1:138" x14ac:dyDescent="0.25">
      <c r="B46" s="44" t="s">
        <v>50</v>
      </c>
    </row>
    <row r="47" spans="1:138" x14ac:dyDescent="0.25">
      <c r="B47" s="44" t="s">
        <v>39</v>
      </c>
      <c r="CR47" s="23">
        <v>100</v>
      </c>
      <c r="CS47" s="101">
        <f>CR47*CS4/CR4</f>
        <v>99.588546301628014</v>
      </c>
      <c r="CT47" s="101">
        <f t="shared" ref="CT47:DV48" si="49">CS47*CT4/CS4</f>
        <v>99.119510024603457</v>
      </c>
      <c r="CU47" s="101">
        <f t="shared" si="49"/>
        <v>97.487305658797041</v>
      </c>
      <c r="CV47" s="101">
        <f t="shared" si="49"/>
        <v>94.367376851803385</v>
      </c>
      <c r="CW47" s="101">
        <f t="shared" si="49"/>
        <v>90.786787415589174</v>
      </c>
      <c r="CX47" s="101">
        <f t="shared" si="49"/>
        <v>87.997696696853907</v>
      </c>
      <c r="CY47" s="101">
        <f t="shared" si="49"/>
        <v>86.609433073339275</v>
      </c>
      <c r="CZ47" s="101">
        <f t="shared" si="49"/>
        <v>86.468094016646617</v>
      </c>
      <c r="DA47" s="101">
        <f t="shared" si="49"/>
        <v>87.358006595822658</v>
      </c>
      <c r="DB47" s="101">
        <f t="shared" si="49"/>
        <v>89.290687326597919</v>
      </c>
      <c r="DC47" s="101">
        <f t="shared" si="49"/>
        <v>90.638119667068011</v>
      </c>
      <c r="DD47" s="101">
        <f t="shared" si="49"/>
        <v>91.320734963094807</v>
      </c>
      <c r="DE47" s="101">
        <f t="shared" si="49"/>
        <v>91.309218447364287</v>
      </c>
      <c r="DF47" s="101">
        <f t="shared" si="49"/>
        <v>91.384599277600373</v>
      </c>
      <c r="DG47" s="101">
        <f t="shared" si="49"/>
        <v>91.172067214573616</v>
      </c>
      <c r="DH47" s="101">
        <f t="shared" si="49"/>
        <v>91.582473956970105</v>
      </c>
      <c r="DI47" s="101">
        <f t="shared" si="49"/>
        <v>92.289169240433438</v>
      </c>
      <c r="DJ47" s="101">
        <f t="shared" si="49"/>
        <v>93.582159870177463</v>
      </c>
      <c r="DK47" s="101">
        <f t="shared" si="49"/>
        <v>94.924357430770044</v>
      </c>
      <c r="DL47" s="101">
        <f t="shared" si="49"/>
        <v>96.032036852850339</v>
      </c>
      <c r="DM47" s="101">
        <f t="shared" si="49"/>
        <v>97.342825734177879</v>
      </c>
      <c r="DN47" s="101">
        <f t="shared" si="49"/>
        <v>98.369889546144577</v>
      </c>
      <c r="DO47" s="101">
        <f t="shared" si="49"/>
        <v>99.385436842380784</v>
      </c>
      <c r="DP47" s="101">
        <f t="shared" si="49"/>
        <v>100.2428937863163</v>
      </c>
      <c r="DQ47" s="101">
        <f t="shared" si="49"/>
        <v>99.909961786106905</v>
      </c>
      <c r="DR47" s="101">
        <f t="shared" si="49"/>
        <v>99.705805370884164</v>
      </c>
      <c r="DS47" s="101">
        <f t="shared" si="49"/>
        <v>99.747683609904215</v>
      </c>
      <c r="DT47" s="101">
        <f t="shared" si="49"/>
        <v>101.04486206355024</v>
      </c>
      <c r="DU47" s="101">
        <f t="shared" si="49"/>
        <v>102.09391195100248</v>
      </c>
      <c r="DV47" s="101">
        <f t="shared" si="49"/>
        <v>102.88331675653042</v>
      </c>
      <c r="DW47" s="101">
        <f>DV47*DW4/DV4</f>
        <v>103.29895827880441</v>
      </c>
      <c r="DX47" s="101">
        <f t="shared" ref="DX47:DY48" si="50">DW47*DX4/DW4</f>
        <v>103.66434591425433</v>
      </c>
      <c r="DY47" s="101">
        <f t="shared" si="50"/>
        <v>103.92922577605613</v>
      </c>
      <c r="DZ47" s="101"/>
    </row>
    <row r="48" spans="1:138" x14ac:dyDescent="0.25">
      <c r="B48" s="20" t="s">
        <v>44</v>
      </c>
      <c r="CR48" s="23">
        <v>100</v>
      </c>
      <c r="CS48" s="101">
        <f>CR48*CS5/CR5</f>
        <v>100.06694973484382</v>
      </c>
      <c r="CT48" s="101">
        <f t="shared" si="49"/>
        <v>99.707535368840198</v>
      </c>
      <c r="CU48" s="101">
        <f t="shared" si="49"/>
        <v>99.24769640057086</v>
      </c>
      <c r="CV48" s="101">
        <f t="shared" si="49"/>
        <v>97.915749044204475</v>
      </c>
      <c r="CW48" s="101">
        <f t="shared" si="49"/>
        <v>95.977730403988829</v>
      </c>
      <c r="CX48" s="101">
        <f t="shared" si="49"/>
        <v>93.995665885586462</v>
      </c>
      <c r="CY48" s="101">
        <f t="shared" si="49"/>
        <v>91.71585123064186</v>
      </c>
      <c r="CZ48" s="101">
        <f t="shared" si="49"/>
        <v>90.730985394386821</v>
      </c>
      <c r="DA48" s="101">
        <f t="shared" si="49"/>
        <v>91.173206011381467</v>
      </c>
      <c r="DB48" s="101">
        <f t="shared" si="49"/>
        <v>92.5368664000423</v>
      </c>
      <c r="DC48" s="101">
        <f t="shared" si="49"/>
        <v>93.433640479923909</v>
      </c>
      <c r="DD48" s="101">
        <f t="shared" si="49"/>
        <v>93.682059232897004</v>
      </c>
      <c r="DE48" s="101">
        <f t="shared" si="49"/>
        <v>93.48649553374797</v>
      </c>
      <c r="DF48" s="101">
        <f t="shared" si="49"/>
        <v>93.72258144082879</v>
      </c>
      <c r="DG48" s="101">
        <f t="shared" si="49"/>
        <v>93.428354974541492</v>
      </c>
      <c r="DH48" s="101">
        <f t="shared" si="49"/>
        <v>93.599252981905963</v>
      </c>
      <c r="DI48" s="101">
        <f t="shared" si="49"/>
        <v>94.037949928645688</v>
      </c>
      <c r="DJ48" s="101">
        <f t="shared" si="49"/>
        <v>94.474885040257931</v>
      </c>
      <c r="DK48" s="101">
        <f t="shared" si="49"/>
        <v>95.558413643651221</v>
      </c>
      <c r="DL48" s="101">
        <f t="shared" si="49"/>
        <v>96.053489314469942</v>
      </c>
      <c r="DM48" s="101">
        <f t="shared" si="49"/>
        <v>97.373103824944053</v>
      </c>
      <c r="DN48" s="101">
        <f t="shared" si="49"/>
        <v>98.217022851001587</v>
      </c>
      <c r="DO48" s="101">
        <f t="shared" si="49"/>
        <v>99.279409432865251</v>
      </c>
      <c r="DP48" s="101">
        <f t="shared" si="49"/>
        <v>100.07752074560861</v>
      </c>
      <c r="DQ48" s="101">
        <f t="shared" si="49"/>
        <v>100.25722792861042</v>
      </c>
      <c r="DR48" s="101">
        <f t="shared" si="49"/>
        <v>100.26251343399282</v>
      </c>
      <c r="DS48" s="101">
        <f t="shared" si="49"/>
        <v>100.5514543948977</v>
      </c>
      <c r="DT48" s="101">
        <f t="shared" si="49"/>
        <v>101.79530999489066</v>
      </c>
      <c r="DU48" s="101">
        <f t="shared" si="49"/>
        <v>102.86650575239167</v>
      </c>
      <c r="DV48" s="101">
        <f t="shared" si="49"/>
        <v>103.91832132349053</v>
      </c>
      <c r="DW48" s="101">
        <f>DV48*DW5/DV5</f>
        <v>104.60367518807588</v>
      </c>
      <c r="DX48" s="101">
        <f t="shared" si="50"/>
        <v>105.19212812065045</v>
      </c>
      <c r="DY48" s="101">
        <f t="shared" si="50"/>
        <v>105.9285752039324</v>
      </c>
      <c r="DZ48" s="101"/>
    </row>
    <row r="49" spans="2:130" x14ac:dyDescent="0.25">
      <c r="B49" s="20" t="s">
        <v>45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23">
        <v>100</v>
      </c>
      <c r="CS49" s="101">
        <f>CR49*CS13/CR13</f>
        <v>98.887914129425127</v>
      </c>
      <c r="CT49" s="101">
        <f t="shared" ref="CT49:DV49" si="51">CS49*CT13/CS13</f>
        <v>98.258334193415223</v>
      </c>
      <c r="CU49" s="101">
        <f t="shared" si="51"/>
        <v>94.909175353493666</v>
      </c>
      <c r="CV49" s="101">
        <f t="shared" si="51"/>
        <v>89.170709051501717</v>
      </c>
      <c r="CW49" s="101">
        <f t="shared" si="51"/>
        <v>83.184539168128822</v>
      </c>
      <c r="CX49" s="101">
        <f t="shared" si="51"/>
        <v>79.213541129115512</v>
      </c>
      <c r="CY49" s="101">
        <f t="shared" si="51"/>
        <v>79.130973268655197</v>
      </c>
      <c r="CZ49" s="101">
        <f t="shared" si="51"/>
        <v>80.224997419754388</v>
      </c>
      <c r="DA49" s="101">
        <f t="shared" si="51"/>
        <v>81.770564557745914</v>
      </c>
      <c r="DB49" s="101">
        <f t="shared" si="51"/>
        <v>84.536587883166504</v>
      </c>
      <c r="DC49" s="101">
        <f t="shared" si="51"/>
        <v>86.544018990607938</v>
      </c>
      <c r="DD49" s="101">
        <f t="shared" si="51"/>
        <v>87.862524512333607</v>
      </c>
      <c r="DE49" s="101">
        <f t="shared" si="51"/>
        <v>88.120549076272098</v>
      </c>
      <c r="DF49" s="101">
        <f t="shared" si="51"/>
        <v>87.96057384663024</v>
      </c>
      <c r="DG49" s="101">
        <f t="shared" si="51"/>
        <v>87.867685003612394</v>
      </c>
      <c r="DH49" s="101">
        <f t="shared" si="51"/>
        <v>88.62885746723093</v>
      </c>
      <c r="DI49" s="101">
        <f t="shared" si="51"/>
        <v>89.728042109608893</v>
      </c>
      <c r="DJ49" s="101">
        <f t="shared" si="51"/>
        <v>92.274744555681764</v>
      </c>
      <c r="DK49" s="101">
        <f t="shared" si="51"/>
        <v>93.99576839715148</v>
      </c>
      <c r="DL49" s="101">
        <f t="shared" si="51"/>
        <v>96.00061925895352</v>
      </c>
      <c r="DM49" s="101">
        <f t="shared" si="51"/>
        <v>97.298482815564114</v>
      </c>
      <c r="DN49" s="101">
        <f t="shared" si="51"/>
        <v>98.593766126535314</v>
      </c>
      <c r="DO49" s="101">
        <f t="shared" si="51"/>
        <v>99.540716276189571</v>
      </c>
      <c r="DP49" s="101">
        <f t="shared" si="51"/>
        <v>100.48508618020443</v>
      </c>
      <c r="DQ49" s="101">
        <f t="shared" si="51"/>
        <v>99.401383011662787</v>
      </c>
      <c r="DR49" s="101">
        <f t="shared" si="51"/>
        <v>98.890494375064577</v>
      </c>
      <c r="DS49" s="101">
        <f t="shared" si="51"/>
        <v>98.57054391578086</v>
      </c>
      <c r="DT49" s="101">
        <f t="shared" si="51"/>
        <v>99.945814841572997</v>
      </c>
      <c r="DU49" s="101">
        <f t="shared" si="51"/>
        <v>100.96243162349064</v>
      </c>
      <c r="DV49" s="101">
        <f t="shared" si="51"/>
        <v>101.36753018887407</v>
      </c>
      <c r="DW49" s="101">
        <f>DV49*DW13/DV13</f>
        <v>101.38817215398915</v>
      </c>
      <c r="DX49" s="101">
        <f t="shared" ref="DX49:DY49" si="52">DW49*DX13/DW13</f>
        <v>101.42687583857992</v>
      </c>
      <c r="DY49" s="101">
        <f t="shared" si="52"/>
        <v>101.00113530808142</v>
      </c>
      <c r="DZ49" s="10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DBBC-41C1-435E-8EE7-B712354491C6}">
  <sheetPr codeName="Planilha1"/>
  <dimension ref="B4:B8"/>
  <sheetViews>
    <sheetView workbookViewId="0">
      <selection activeCell="B4" sqref="B4"/>
    </sheetView>
  </sheetViews>
  <sheetFormatPr defaultRowHeight="12.75" x14ac:dyDescent="0.2"/>
  <sheetData>
    <row r="4" spans="2:2" x14ac:dyDescent="0.2">
      <c r="B4" s="187" t="s">
        <v>51</v>
      </c>
    </row>
    <row r="6" spans="2:2" x14ac:dyDescent="0.2">
      <c r="B6" s="187" t="s">
        <v>52</v>
      </c>
    </row>
    <row r="8" spans="2:2" x14ac:dyDescent="0.2">
      <c r="B8" t="s">
        <v>313</v>
      </c>
    </row>
  </sheetData>
  <hyperlinks>
    <hyperlink ref="B4" r:id="rId1" xr:uid="{47726852-8D39-4937-B6CF-9FB446B2D515}"/>
    <hyperlink ref="B6" r:id="rId2" xr:uid="{CDE002A3-4B3B-418B-A695-6404EBF1EE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B9C5-8B56-4610-AD56-07ABE0D9FFCA}">
  <sheetPr codeName="Planilha2"/>
  <dimension ref="A1:S196"/>
  <sheetViews>
    <sheetView tabSelected="1" zoomScaleNormal="100" workbookViewId="0">
      <pane xSplit="1" ySplit="2" topLeftCell="B150" activePane="bottomRight" state="frozen"/>
      <selection pane="topRight"/>
      <selection pane="bottomLeft"/>
      <selection pane="bottomRight" activeCell="N163" sqref="N163"/>
    </sheetView>
  </sheetViews>
  <sheetFormatPr defaultColWidth="9.140625" defaultRowHeight="12.75" x14ac:dyDescent="0.2"/>
  <cols>
    <col min="1" max="1" width="15.28515625" style="150" customWidth="1"/>
    <col min="2" max="8" width="11.42578125" style="150" customWidth="1"/>
    <col min="9" max="9" width="11.42578125" style="150" bestFit="1" customWidth="1"/>
    <col min="10" max="10" width="13.28515625" style="150" bestFit="1" customWidth="1"/>
    <col min="11" max="11" width="16.42578125" style="150" customWidth="1"/>
    <col min="12" max="16384" width="9.140625" style="150"/>
  </cols>
  <sheetData>
    <row r="1" spans="1:15" x14ac:dyDescent="0.2">
      <c r="A1" s="211" t="s">
        <v>122</v>
      </c>
      <c r="B1" s="185" t="s">
        <v>56</v>
      </c>
      <c r="C1" s="185" t="s">
        <v>57</v>
      </c>
      <c r="D1" s="185" t="s">
        <v>39</v>
      </c>
      <c r="E1" s="185" t="s">
        <v>58</v>
      </c>
      <c r="F1" s="185" t="s">
        <v>59</v>
      </c>
      <c r="G1" s="185" t="s">
        <v>60</v>
      </c>
      <c r="H1" s="185" t="s">
        <v>61</v>
      </c>
      <c r="I1" s="185"/>
      <c r="J1" s="185"/>
      <c r="K1" s="185"/>
    </row>
    <row r="2" spans="1:15" s="163" customFormat="1" ht="38.25" customHeight="1" x14ac:dyDescent="0.2">
      <c r="A2" s="211"/>
      <c r="B2" s="163" t="s">
        <v>62</v>
      </c>
      <c r="C2" s="163" t="s">
        <v>63</v>
      </c>
      <c r="D2" s="163" t="s">
        <v>64</v>
      </c>
      <c r="E2" s="163" t="s">
        <v>65</v>
      </c>
      <c r="F2" s="163" t="s">
        <v>66</v>
      </c>
      <c r="G2" s="163" t="s">
        <v>67</v>
      </c>
      <c r="H2" s="163" t="s">
        <v>68</v>
      </c>
      <c r="I2" s="164"/>
      <c r="J2" s="165"/>
    </row>
    <row r="3" spans="1:15" x14ac:dyDescent="0.2">
      <c r="A3" s="152">
        <v>40969</v>
      </c>
      <c r="B3" s="7">
        <v>153031</v>
      </c>
      <c r="C3" s="7">
        <v>95327</v>
      </c>
      <c r="D3" s="7">
        <v>87713</v>
      </c>
      <c r="E3" s="7">
        <v>7613</v>
      </c>
      <c r="F3" s="7">
        <v>57704</v>
      </c>
      <c r="G3">
        <v>62.3</v>
      </c>
      <c r="H3" s="8">
        <v>8</v>
      </c>
      <c r="I3" s="193">
        <f t="shared" ref="I3:I34" si="0">D3/B3</f>
        <v>0.5731714489221138</v>
      </c>
      <c r="J3" s="154" t="b">
        <f t="shared" ref="J3:J8" si="1">$I$164&lt;I2</f>
        <v>0</v>
      </c>
      <c r="K3" s="150" t="b">
        <f t="shared" ref="K3:K5" si="2">H3&gt;$H$163</f>
        <v>1</v>
      </c>
    </row>
    <row r="4" spans="1:15" x14ac:dyDescent="0.2">
      <c r="A4" s="152">
        <v>41000</v>
      </c>
      <c r="B4" s="7">
        <v>153203</v>
      </c>
      <c r="C4" s="7">
        <v>96029</v>
      </c>
      <c r="D4" s="7">
        <v>88535</v>
      </c>
      <c r="E4" s="7">
        <v>7493</v>
      </c>
      <c r="F4" s="7">
        <v>57174</v>
      </c>
      <c r="G4">
        <v>62.7</v>
      </c>
      <c r="H4">
        <v>7.8</v>
      </c>
      <c r="I4" s="193">
        <f t="shared" si="0"/>
        <v>0.57789338328883899</v>
      </c>
      <c r="J4" s="154" t="b">
        <f t="shared" si="1"/>
        <v>0</v>
      </c>
      <c r="K4" s="150" t="b">
        <f t="shared" si="2"/>
        <v>1</v>
      </c>
      <c r="M4" s="180"/>
      <c r="N4" s="180"/>
    </row>
    <row r="5" spans="1:15" x14ac:dyDescent="0.2">
      <c r="A5" s="152">
        <v>41030</v>
      </c>
      <c r="B5" s="7">
        <v>153386</v>
      </c>
      <c r="C5" s="7">
        <v>96461</v>
      </c>
      <c r="D5" s="7">
        <v>89059</v>
      </c>
      <c r="E5" s="7">
        <v>7403</v>
      </c>
      <c r="F5" s="7">
        <v>56925</v>
      </c>
      <c r="G5">
        <v>62.9</v>
      </c>
      <c r="H5">
        <v>7.7</v>
      </c>
      <c r="I5" s="193">
        <f t="shared" si="0"/>
        <v>0.58062013482325636</v>
      </c>
      <c r="J5" s="154" t="b">
        <f t="shared" si="1"/>
        <v>0</v>
      </c>
      <c r="K5" s="150" t="b">
        <f t="shared" si="2"/>
        <v>1</v>
      </c>
      <c r="M5" s="180"/>
      <c r="N5" s="180"/>
    </row>
    <row r="6" spans="1:15" x14ac:dyDescent="0.2">
      <c r="A6" s="152">
        <v>41061</v>
      </c>
      <c r="B6" s="7">
        <v>153563</v>
      </c>
      <c r="C6" s="7">
        <v>96637</v>
      </c>
      <c r="D6" s="7">
        <v>89318</v>
      </c>
      <c r="E6" s="7">
        <v>7319</v>
      </c>
      <c r="F6" s="7">
        <v>56926</v>
      </c>
      <c r="G6">
        <v>62.9</v>
      </c>
      <c r="H6">
        <v>7.6</v>
      </c>
      <c r="I6" s="193">
        <f t="shared" si="0"/>
        <v>0.58163750382579138</v>
      </c>
      <c r="J6" s="154" t="b">
        <f t="shared" si="1"/>
        <v>0</v>
      </c>
      <c r="K6" s="150" t="b">
        <f t="shared" ref="K6:K69" si="3">H6&gt;$H$163</f>
        <v>1</v>
      </c>
      <c r="M6" s="180"/>
      <c r="N6" s="180"/>
    </row>
    <row r="7" spans="1:15" x14ac:dyDescent="0.2">
      <c r="A7" s="152">
        <v>41091</v>
      </c>
      <c r="B7" s="7">
        <v>153746</v>
      </c>
      <c r="C7" s="7">
        <v>96691</v>
      </c>
      <c r="D7" s="7">
        <v>89445</v>
      </c>
      <c r="E7" s="7">
        <v>7245</v>
      </c>
      <c r="F7" s="7">
        <v>57055</v>
      </c>
      <c r="G7">
        <v>62.9</v>
      </c>
      <c r="H7">
        <v>7.5</v>
      </c>
      <c r="I7" s="193">
        <f t="shared" si="0"/>
        <v>0.58177123307273038</v>
      </c>
      <c r="J7" s="154" t="b">
        <f t="shared" si="1"/>
        <v>0</v>
      </c>
      <c r="K7" s="150" t="b">
        <f t="shared" si="3"/>
        <v>1</v>
      </c>
      <c r="M7" s="180"/>
      <c r="N7" s="180"/>
      <c r="O7" s="156"/>
    </row>
    <row r="8" spans="1:15" x14ac:dyDescent="0.2">
      <c r="A8" s="152">
        <v>41122</v>
      </c>
      <c r="B8" s="7">
        <v>153922</v>
      </c>
      <c r="C8" s="7">
        <v>96848</v>
      </c>
      <c r="D8" s="7">
        <v>89732</v>
      </c>
      <c r="E8" s="7">
        <v>7116</v>
      </c>
      <c r="F8" s="7">
        <v>57074</v>
      </c>
      <c r="G8">
        <v>62.9</v>
      </c>
      <c r="H8">
        <v>7.3</v>
      </c>
      <c r="I8" s="193">
        <f t="shared" si="0"/>
        <v>0.58297059549642027</v>
      </c>
      <c r="J8" s="154" t="b">
        <f t="shared" si="1"/>
        <v>0</v>
      </c>
      <c r="K8" s="150" t="b">
        <f t="shared" si="3"/>
        <v>1</v>
      </c>
      <c r="M8" s="180"/>
      <c r="N8" s="180"/>
    </row>
    <row r="9" spans="1:15" x14ac:dyDescent="0.2">
      <c r="A9" s="152">
        <v>41153</v>
      </c>
      <c r="B9" s="7">
        <v>154104</v>
      </c>
      <c r="C9" s="7">
        <v>96855</v>
      </c>
      <c r="D9" s="7">
        <v>89958</v>
      </c>
      <c r="E9" s="7">
        <v>6897</v>
      </c>
      <c r="F9" s="7">
        <v>57249</v>
      </c>
      <c r="G9">
        <v>62.9</v>
      </c>
      <c r="H9">
        <v>7.1</v>
      </c>
      <c r="I9" s="193">
        <f t="shared" si="0"/>
        <v>0.58374863728391213</v>
      </c>
      <c r="J9" s="154" t="b">
        <f t="shared" ref="J9:J72" si="4">I9&gt;$I$164</f>
        <v>0</v>
      </c>
      <c r="K9" s="150" t="b">
        <f t="shared" si="3"/>
        <v>1</v>
      </c>
      <c r="M9" s="180"/>
      <c r="N9" s="180"/>
    </row>
    <row r="10" spans="1:15" x14ac:dyDescent="0.2">
      <c r="A10" s="152">
        <v>41183</v>
      </c>
      <c r="B10" s="7">
        <v>154285</v>
      </c>
      <c r="C10" s="7">
        <v>96822</v>
      </c>
      <c r="D10" s="7">
        <v>90099</v>
      </c>
      <c r="E10" s="7">
        <v>6723</v>
      </c>
      <c r="F10" s="7">
        <v>57463</v>
      </c>
      <c r="G10">
        <v>62.8</v>
      </c>
      <c r="H10">
        <v>6.9</v>
      </c>
      <c r="I10" s="193">
        <f t="shared" si="0"/>
        <v>0.58397770360047963</v>
      </c>
      <c r="J10" s="154" t="b">
        <f t="shared" si="4"/>
        <v>0</v>
      </c>
      <c r="K10" s="150" t="b">
        <f t="shared" si="3"/>
        <v>1</v>
      </c>
      <c r="M10" s="180"/>
      <c r="N10" s="180"/>
    </row>
    <row r="11" spans="1:15" x14ac:dyDescent="0.2">
      <c r="A11" s="152">
        <v>41214</v>
      </c>
      <c r="B11" s="7">
        <v>154460</v>
      </c>
      <c r="C11" s="7">
        <v>96767</v>
      </c>
      <c r="D11" s="7">
        <v>90178</v>
      </c>
      <c r="E11" s="7">
        <v>6589</v>
      </c>
      <c r="F11" s="7">
        <v>57693</v>
      </c>
      <c r="G11">
        <v>62.6</v>
      </c>
      <c r="H11">
        <v>6.8</v>
      </c>
      <c r="I11" s="193">
        <f t="shared" si="0"/>
        <v>0.58382752816263106</v>
      </c>
      <c r="J11" s="154" t="b">
        <f t="shared" si="4"/>
        <v>0</v>
      </c>
      <c r="K11" s="150" t="b">
        <f t="shared" si="3"/>
        <v>1</v>
      </c>
      <c r="M11" s="180"/>
      <c r="N11" s="180"/>
    </row>
    <row r="12" spans="1:15" x14ac:dyDescent="0.2">
      <c r="A12" s="152">
        <v>41244</v>
      </c>
      <c r="B12" s="7">
        <v>154641</v>
      </c>
      <c r="C12" s="7">
        <v>96893</v>
      </c>
      <c r="D12" s="7">
        <v>90209</v>
      </c>
      <c r="E12" s="7">
        <v>6684</v>
      </c>
      <c r="F12" s="7">
        <v>57748</v>
      </c>
      <c r="G12">
        <v>62.7</v>
      </c>
      <c r="H12">
        <v>6.9</v>
      </c>
      <c r="I12" s="193">
        <f t="shared" si="0"/>
        <v>0.58334464986646495</v>
      </c>
      <c r="J12" s="154" t="b">
        <f t="shared" si="4"/>
        <v>0</v>
      </c>
      <c r="K12" s="150" t="b">
        <f t="shared" si="3"/>
        <v>1</v>
      </c>
      <c r="M12" s="180"/>
      <c r="N12" s="180"/>
    </row>
    <row r="13" spans="1:15" s="168" customFormat="1" x14ac:dyDescent="0.2">
      <c r="A13" s="166">
        <v>41275</v>
      </c>
      <c r="B13" s="7">
        <v>154815</v>
      </c>
      <c r="C13" s="7">
        <v>96923</v>
      </c>
      <c r="D13" s="7">
        <v>89898</v>
      </c>
      <c r="E13" s="7">
        <v>7025</v>
      </c>
      <c r="F13" s="7">
        <v>57892</v>
      </c>
      <c r="G13">
        <v>62.6</v>
      </c>
      <c r="H13">
        <v>7.2</v>
      </c>
      <c r="I13" s="193">
        <f t="shared" si="0"/>
        <v>0.58068016665051836</v>
      </c>
      <c r="J13" s="154" t="b">
        <f t="shared" si="4"/>
        <v>0</v>
      </c>
      <c r="K13" s="150" t="b">
        <f t="shared" si="3"/>
        <v>1</v>
      </c>
      <c r="M13" s="180"/>
      <c r="N13" s="180"/>
    </row>
    <row r="14" spans="1:15" x14ac:dyDescent="0.2">
      <c r="A14" s="152">
        <v>41306</v>
      </c>
      <c r="B14" s="7">
        <v>154995</v>
      </c>
      <c r="C14" s="7">
        <v>97046</v>
      </c>
      <c r="D14" s="7">
        <v>89513</v>
      </c>
      <c r="E14" s="7">
        <v>7532</v>
      </c>
      <c r="F14" s="7">
        <v>57949</v>
      </c>
      <c r="G14">
        <v>62.6</v>
      </c>
      <c r="H14">
        <v>7.8</v>
      </c>
      <c r="I14" s="193">
        <f t="shared" si="0"/>
        <v>0.57752185554372726</v>
      </c>
      <c r="J14" s="154" t="b">
        <f t="shared" si="4"/>
        <v>0</v>
      </c>
      <c r="K14" s="150" t="b">
        <f t="shared" si="3"/>
        <v>1</v>
      </c>
      <c r="M14" s="180"/>
      <c r="N14" s="180"/>
    </row>
    <row r="15" spans="1:15" x14ac:dyDescent="0.2">
      <c r="A15" s="152">
        <v>41334</v>
      </c>
      <c r="B15" s="7">
        <v>155174</v>
      </c>
      <c r="C15" s="7">
        <v>97105</v>
      </c>
      <c r="D15" s="7">
        <v>89298</v>
      </c>
      <c r="E15" s="7">
        <v>7807</v>
      </c>
      <c r="F15" s="7">
        <v>58069</v>
      </c>
      <c r="G15">
        <v>62.6</v>
      </c>
      <c r="H15">
        <v>8</v>
      </c>
      <c r="I15" s="193">
        <f t="shared" si="0"/>
        <v>0.5754701174165775</v>
      </c>
      <c r="J15" s="154" t="b">
        <f t="shared" si="4"/>
        <v>0</v>
      </c>
      <c r="K15" s="150" t="b">
        <f t="shared" si="3"/>
        <v>1</v>
      </c>
      <c r="M15" s="201">
        <f>B15/B3-1</f>
        <v>1.4003698597016223E-2</v>
      </c>
      <c r="N15" s="201"/>
    </row>
    <row r="16" spans="1:15" x14ac:dyDescent="0.2">
      <c r="A16" s="152">
        <v>41365</v>
      </c>
      <c r="B16" s="7">
        <v>155336</v>
      </c>
      <c r="C16" s="7">
        <v>97382</v>
      </c>
      <c r="D16" s="7">
        <v>89682</v>
      </c>
      <c r="E16" s="7">
        <v>7700</v>
      </c>
      <c r="F16" s="7">
        <v>57954</v>
      </c>
      <c r="G16">
        <v>62.7</v>
      </c>
      <c r="H16">
        <v>7.9</v>
      </c>
      <c r="I16" s="193">
        <f t="shared" si="0"/>
        <v>0.57734201987948708</v>
      </c>
      <c r="J16" s="154" t="b">
        <f t="shared" si="4"/>
        <v>0</v>
      </c>
      <c r="K16" s="150" t="b">
        <f t="shared" si="3"/>
        <v>1</v>
      </c>
      <c r="M16" s="201">
        <f t="shared" ref="M16:M79" si="5">B16/B4-1</f>
        <v>1.3922703863501473E-2</v>
      </c>
      <c r="N16" s="201"/>
    </row>
    <row r="17" spans="1:14" x14ac:dyDescent="0.2">
      <c r="A17" s="152">
        <v>41395</v>
      </c>
      <c r="B17" s="7">
        <v>155515</v>
      </c>
      <c r="C17" s="7">
        <v>97590</v>
      </c>
      <c r="D17" s="7">
        <v>90128</v>
      </c>
      <c r="E17" s="7">
        <v>7463</v>
      </c>
      <c r="F17" s="7">
        <v>57924</v>
      </c>
      <c r="G17">
        <v>62.8</v>
      </c>
      <c r="H17">
        <v>7.6</v>
      </c>
      <c r="I17" s="193">
        <f t="shared" si="0"/>
        <v>0.57954538147445589</v>
      </c>
      <c r="J17" s="154" t="b">
        <f t="shared" si="4"/>
        <v>0</v>
      </c>
      <c r="K17" s="150" t="b">
        <f t="shared" si="3"/>
        <v>1</v>
      </c>
      <c r="M17" s="201">
        <f t="shared" si="5"/>
        <v>1.388001512523962E-2</v>
      </c>
      <c r="N17" s="201">
        <f t="shared" ref="N17:N80" si="6">F17/F5-1</f>
        <v>1.7549407114624493E-2</v>
      </c>
    </row>
    <row r="18" spans="1:14" x14ac:dyDescent="0.2">
      <c r="A18" s="152">
        <v>41426</v>
      </c>
      <c r="B18" s="7">
        <v>155687</v>
      </c>
      <c r="C18" s="7">
        <v>97756</v>
      </c>
      <c r="D18" s="7">
        <v>90419</v>
      </c>
      <c r="E18" s="7">
        <v>7338</v>
      </c>
      <c r="F18" s="7">
        <v>57931</v>
      </c>
      <c r="G18">
        <v>62.8</v>
      </c>
      <c r="H18">
        <v>7.5</v>
      </c>
      <c r="I18" s="193">
        <f t="shared" si="0"/>
        <v>0.58077424576233083</v>
      </c>
      <c r="J18" s="154" t="b">
        <f t="shared" si="4"/>
        <v>0</v>
      </c>
      <c r="K18" s="150" t="b">
        <f t="shared" si="3"/>
        <v>1</v>
      </c>
      <c r="M18" s="201">
        <f t="shared" si="5"/>
        <v>1.3831456796233432E-2</v>
      </c>
      <c r="N18" s="201">
        <f t="shared" si="6"/>
        <v>1.7654498823033382E-2</v>
      </c>
    </row>
    <row r="19" spans="1:14" x14ac:dyDescent="0.2">
      <c r="A19" s="152">
        <v>41456</v>
      </c>
      <c r="B19" s="7">
        <v>155865</v>
      </c>
      <c r="C19" s="7">
        <v>97867</v>
      </c>
      <c r="D19" s="7">
        <v>90663</v>
      </c>
      <c r="E19" s="7">
        <v>7204</v>
      </c>
      <c r="F19" s="7">
        <v>57998</v>
      </c>
      <c r="G19">
        <v>62.8</v>
      </c>
      <c r="H19">
        <v>7.4</v>
      </c>
      <c r="I19" s="193">
        <f t="shared" si="0"/>
        <v>0.58167645077470886</v>
      </c>
      <c r="J19" s="154" t="b">
        <f t="shared" si="4"/>
        <v>0</v>
      </c>
      <c r="K19" s="150" t="b">
        <f t="shared" si="3"/>
        <v>1</v>
      </c>
      <c r="M19" s="201">
        <f t="shared" si="5"/>
        <v>1.378247238952568E-2</v>
      </c>
      <c r="N19" s="201">
        <f t="shared" si="6"/>
        <v>1.6527911664183659E-2</v>
      </c>
    </row>
    <row r="20" spans="1:14" x14ac:dyDescent="0.2">
      <c r="A20" s="152">
        <v>41487</v>
      </c>
      <c r="B20" s="7">
        <v>156034</v>
      </c>
      <c r="C20" s="7">
        <v>97807</v>
      </c>
      <c r="D20" s="7">
        <v>90782</v>
      </c>
      <c r="E20" s="7">
        <v>7024</v>
      </c>
      <c r="F20" s="7">
        <v>58227</v>
      </c>
      <c r="G20">
        <v>62.7</v>
      </c>
      <c r="H20">
        <v>7.2</v>
      </c>
      <c r="I20" s="193">
        <f t="shared" si="0"/>
        <v>0.58180909289001115</v>
      </c>
      <c r="J20" s="154" t="b">
        <f t="shared" si="4"/>
        <v>0</v>
      </c>
      <c r="K20" s="150" t="b">
        <f t="shared" si="3"/>
        <v>1</v>
      </c>
      <c r="M20" s="201">
        <f t="shared" si="5"/>
        <v>1.3721235430932621E-2</v>
      </c>
      <c r="N20" s="201">
        <f t="shared" si="6"/>
        <v>2.0201843221081317E-2</v>
      </c>
    </row>
    <row r="21" spans="1:14" x14ac:dyDescent="0.2">
      <c r="A21" s="152">
        <v>41518</v>
      </c>
      <c r="B21" s="7">
        <v>156205</v>
      </c>
      <c r="C21" s="7">
        <v>97843</v>
      </c>
      <c r="D21" s="7">
        <v>90982</v>
      </c>
      <c r="E21" s="7">
        <v>6861</v>
      </c>
      <c r="F21" s="7">
        <v>58362</v>
      </c>
      <c r="G21">
        <v>62.6</v>
      </c>
      <c r="H21">
        <v>7</v>
      </c>
      <c r="I21" s="193">
        <f t="shared" si="0"/>
        <v>0.58245254633334398</v>
      </c>
      <c r="J21" s="154" t="b">
        <f t="shared" si="4"/>
        <v>0</v>
      </c>
      <c r="K21" s="150" t="b">
        <f t="shared" si="3"/>
        <v>1</v>
      </c>
      <c r="M21" s="201">
        <f t="shared" si="5"/>
        <v>1.3633650002595754E-2</v>
      </c>
      <c r="N21" s="201">
        <f t="shared" si="6"/>
        <v>1.9441387622491257E-2</v>
      </c>
    </row>
    <row r="22" spans="1:14" x14ac:dyDescent="0.2">
      <c r="A22" s="152">
        <v>41548</v>
      </c>
      <c r="B22" s="7">
        <v>156376</v>
      </c>
      <c r="C22" s="7">
        <v>97763</v>
      </c>
      <c r="D22" s="7">
        <v>91139</v>
      </c>
      <c r="E22" s="7">
        <v>6624</v>
      </c>
      <c r="F22" s="7">
        <v>58613</v>
      </c>
      <c r="G22">
        <v>62.5</v>
      </c>
      <c r="H22">
        <v>6.8</v>
      </c>
      <c r="I22" s="193">
        <f t="shared" si="0"/>
        <v>0.58281961426305828</v>
      </c>
      <c r="J22" s="154" t="b">
        <f t="shared" si="4"/>
        <v>0</v>
      </c>
      <c r="K22" s="150" t="b">
        <f t="shared" si="3"/>
        <v>1</v>
      </c>
      <c r="M22" s="201">
        <f t="shared" si="5"/>
        <v>1.3552840522409904E-2</v>
      </c>
      <c r="N22" s="201">
        <f t="shared" si="6"/>
        <v>2.0012877851835142E-2</v>
      </c>
    </row>
    <row r="23" spans="1:14" x14ac:dyDescent="0.2">
      <c r="A23" s="152">
        <v>41579</v>
      </c>
      <c r="B23" s="7">
        <v>156541</v>
      </c>
      <c r="C23" s="7">
        <v>97933</v>
      </c>
      <c r="D23" s="7">
        <v>91521</v>
      </c>
      <c r="E23" s="7">
        <v>6413</v>
      </c>
      <c r="F23" s="7">
        <v>58608</v>
      </c>
      <c r="G23">
        <v>62.6</v>
      </c>
      <c r="H23">
        <v>6.5</v>
      </c>
      <c r="I23" s="193">
        <f t="shared" si="0"/>
        <v>0.58464555611628899</v>
      </c>
      <c r="J23" s="154" t="b">
        <f t="shared" si="4"/>
        <v>0</v>
      </c>
      <c r="K23" s="150" t="b">
        <f t="shared" si="3"/>
        <v>1</v>
      </c>
      <c r="M23" s="201">
        <f t="shared" si="5"/>
        <v>1.3472743752427796E-2</v>
      </c>
      <c r="N23" s="201">
        <f t="shared" si="6"/>
        <v>1.5859809682283732E-2</v>
      </c>
    </row>
    <row r="24" spans="1:14" x14ac:dyDescent="0.2">
      <c r="A24" s="152">
        <v>41609</v>
      </c>
      <c r="B24" s="7">
        <v>156711</v>
      </c>
      <c r="C24" s="7">
        <v>97783</v>
      </c>
      <c r="D24" s="7">
        <v>91683</v>
      </c>
      <c r="E24" s="7">
        <v>6100</v>
      </c>
      <c r="F24" s="7">
        <v>58928</v>
      </c>
      <c r="G24">
        <v>62.4</v>
      </c>
      <c r="H24">
        <v>6.2</v>
      </c>
      <c r="I24" s="193">
        <f t="shared" si="0"/>
        <v>0.58504508298715474</v>
      </c>
      <c r="J24" s="154" t="b">
        <f t="shared" si="4"/>
        <v>0</v>
      </c>
      <c r="K24" s="150" t="b">
        <f t="shared" si="3"/>
        <v>1</v>
      </c>
      <c r="M24" s="201">
        <f t="shared" si="5"/>
        <v>1.3385842047063834E-2</v>
      </c>
      <c r="N24" s="201">
        <f t="shared" si="6"/>
        <v>2.0433608090323574E-2</v>
      </c>
    </row>
    <row r="25" spans="1:14" s="168" customFormat="1" x14ac:dyDescent="0.2">
      <c r="A25" s="166">
        <v>41640</v>
      </c>
      <c r="B25" s="7">
        <v>156875</v>
      </c>
      <c r="C25" s="7">
        <v>97684</v>
      </c>
      <c r="D25" s="7">
        <v>91374</v>
      </c>
      <c r="E25" s="7">
        <v>6310</v>
      </c>
      <c r="F25" s="7">
        <v>59191</v>
      </c>
      <c r="G25">
        <v>62.3</v>
      </c>
      <c r="H25">
        <v>6.5</v>
      </c>
      <c r="I25" s="193">
        <f t="shared" si="0"/>
        <v>0.58246374501992026</v>
      </c>
      <c r="J25" s="154" t="b">
        <f t="shared" si="4"/>
        <v>0</v>
      </c>
      <c r="K25" s="150" t="b">
        <f t="shared" si="3"/>
        <v>1</v>
      </c>
      <c r="M25" s="201">
        <f t="shared" si="5"/>
        <v>1.3306204179181602E-2</v>
      </c>
      <c r="N25" s="201">
        <f t="shared" si="6"/>
        <v>2.2438333448490333E-2</v>
      </c>
    </row>
    <row r="26" spans="1:14" x14ac:dyDescent="0.2">
      <c r="A26" s="152">
        <v>41671</v>
      </c>
      <c r="B26" s="7">
        <v>157044</v>
      </c>
      <c r="C26" s="7">
        <v>97858</v>
      </c>
      <c r="D26" s="7">
        <v>91198</v>
      </c>
      <c r="E26" s="7">
        <v>6660</v>
      </c>
      <c r="F26" s="7">
        <v>59187</v>
      </c>
      <c r="G26">
        <v>62.3</v>
      </c>
      <c r="H26">
        <v>6.8</v>
      </c>
      <c r="I26" s="193">
        <f t="shared" si="0"/>
        <v>0.58071623239346937</v>
      </c>
      <c r="J26" s="154" t="b">
        <f t="shared" si="4"/>
        <v>0</v>
      </c>
      <c r="K26" s="150" t="b">
        <f t="shared" si="3"/>
        <v>1</v>
      </c>
      <c r="M26" s="201">
        <f t="shared" si="5"/>
        <v>1.3219781283267285E-2</v>
      </c>
      <c r="N26" s="201">
        <f t="shared" si="6"/>
        <v>2.1363612831972967E-2</v>
      </c>
    </row>
    <row r="27" spans="1:14" x14ac:dyDescent="0.2">
      <c r="A27" s="152">
        <v>41699</v>
      </c>
      <c r="B27" s="7">
        <v>157213</v>
      </c>
      <c r="C27" s="7">
        <v>98028</v>
      </c>
      <c r="D27" s="7">
        <v>90947</v>
      </c>
      <c r="E27" s="7">
        <v>7081</v>
      </c>
      <c r="F27" s="7">
        <v>59186</v>
      </c>
      <c r="G27">
        <v>62.4</v>
      </c>
      <c r="H27">
        <v>7.2</v>
      </c>
      <c r="I27" s="193">
        <f t="shared" si="0"/>
        <v>0.57849541704566421</v>
      </c>
      <c r="J27" s="154" t="b">
        <f t="shared" si="4"/>
        <v>0</v>
      </c>
      <c r="K27" s="150" t="b">
        <f t="shared" si="3"/>
        <v>1</v>
      </c>
      <c r="M27" s="201">
        <f t="shared" si="5"/>
        <v>1.3140087901323705E-2</v>
      </c>
      <c r="N27" s="201">
        <f t="shared" si="6"/>
        <v>1.9235736795880864E-2</v>
      </c>
    </row>
    <row r="28" spans="1:14" x14ac:dyDescent="0.2">
      <c r="A28" s="152">
        <v>41730</v>
      </c>
      <c r="B28" s="7">
        <v>157365</v>
      </c>
      <c r="C28" s="7">
        <v>98248</v>
      </c>
      <c r="D28" s="7">
        <v>91175</v>
      </c>
      <c r="E28" s="7">
        <v>7073</v>
      </c>
      <c r="F28" s="7">
        <v>59117</v>
      </c>
      <c r="G28">
        <v>62.4</v>
      </c>
      <c r="H28">
        <v>7.2</v>
      </c>
      <c r="I28" s="193">
        <f t="shared" si="0"/>
        <v>0.57938550503606268</v>
      </c>
      <c r="J28" s="154" t="b">
        <f t="shared" si="4"/>
        <v>0</v>
      </c>
      <c r="K28" s="150" t="b">
        <f t="shared" si="3"/>
        <v>1</v>
      </c>
      <c r="M28" s="201">
        <f t="shared" si="5"/>
        <v>1.3062007519184293E-2</v>
      </c>
      <c r="N28" s="201">
        <f t="shared" si="6"/>
        <v>2.0067639852296759E-2</v>
      </c>
    </row>
    <row r="29" spans="1:14" x14ac:dyDescent="0.2">
      <c r="A29" s="152">
        <v>41760</v>
      </c>
      <c r="B29" s="7">
        <v>157533</v>
      </c>
      <c r="C29" s="7">
        <v>98270</v>
      </c>
      <c r="D29" s="7">
        <v>91358</v>
      </c>
      <c r="E29" s="7">
        <v>6912</v>
      </c>
      <c r="F29" s="7">
        <v>59263</v>
      </c>
      <c r="G29">
        <v>62.4</v>
      </c>
      <c r="H29">
        <v>7</v>
      </c>
      <c r="I29" s="193">
        <f t="shared" si="0"/>
        <v>0.57992928465781768</v>
      </c>
      <c r="J29" s="154" t="b">
        <f t="shared" si="4"/>
        <v>0</v>
      </c>
      <c r="K29" s="150" t="b">
        <f t="shared" si="3"/>
        <v>1</v>
      </c>
      <c r="M29" s="201">
        <f t="shared" si="5"/>
        <v>1.2976240234060965E-2</v>
      </c>
      <c r="N29" s="201">
        <f t="shared" si="6"/>
        <v>2.3116497479455766E-2</v>
      </c>
    </row>
    <row r="30" spans="1:14" x14ac:dyDescent="0.2">
      <c r="A30" s="152">
        <v>41791</v>
      </c>
      <c r="B30" s="7">
        <v>157696</v>
      </c>
      <c r="C30" s="7">
        <v>98373</v>
      </c>
      <c r="D30" s="7">
        <v>91573</v>
      </c>
      <c r="E30" s="7">
        <v>6801</v>
      </c>
      <c r="F30" s="7">
        <v>59322</v>
      </c>
      <c r="G30">
        <v>62.4</v>
      </c>
      <c r="H30">
        <v>6.9</v>
      </c>
      <c r="I30" s="193">
        <f t="shared" si="0"/>
        <v>0.58069323254870131</v>
      </c>
      <c r="J30" s="154" t="b">
        <f t="shared" si="4"/>
        <v>0</v>
      </c>
      <c r="K30" s="150" t="b">
        <f t="shared" si="3"/>
        <v>1</v>
      </c>
      <c r="M30" s="201">
        <f t="shared" si="5"/>
        <v>1.2904096038847124E-2</v>
      </c>
      <c r="N30" s="201">
        <f t="shared" si="6"/>
        <v>2.4011323816264252E-2</v>
      </c>
    </row>
    <row r="31" spans="1:14" x14ac:dyDescent="0.2">
      <c r="A31" s="152">
        <v>41821</v>
      </c>
      <c r="B31" s="7">
        <v>157863</v>
      </c>
      <c r="C31" s="7">
        <v>98353</v>
      </c>
      <c r="D31" s="7">
        <v>91503</v>
      </c>
      <c r="E31" s="7">
        <v>6850</v>
      </c>
      <c r="F31" s="7">
        <v>59510</v>
      </c>
      <c r="G31">
        <v>62.3</v>
      </c>
      <c r="H31">
        <v>7</v>
      </c>
      <c r="I31" s="193">
        <f t="shared" si="0"/>
        <v>0.57963550673685416</v>
      </c>
      <c r="J31" s="154" t="b">
        <f t="shared" si="4"/>
        <v>0</v>
      </c>
      <c r="K31" s="150" t="b">
        <f t="shared" si="3"/>
        <v>1</v>
      </c>
      <c r="M31" s="201">
        <f t="shared" si="5"/>
        <v>1.2818785487441087E-2</v>
      </c>
      <c r="N31" s="201">
        <f t="shared" si="6"/>
        <v>2.6069864478085458E-2</v>
      </c>
    </row>
    <row r="32" spans="1:14" x14ac:dyDescent="0.2">
      <c r="A32" s="152">
        <v>41852</v>
      </c>
      <c r="B32" s="7">
        <v>158020</v>
      </c>
      <c r="C32" s="7">
        <v>98339</v>
      </c>
      <c r="D32" s="7">
        <v>91495</v>
      </c>
      <c r="E32" s="7">
        <v>6844</v>
      </c>
      <c r="F32" s="7">
        <v>59681</v>
      </c>
      <c r="G32">
        <v>62.2</v>
      </c>
      <c r="H32">
        <v>7</v>
      </c>
      <c r="I32" s="193">
        <f t="shared" si="0"/>
        <v>0.57900898620427799</v>
      </c>
      <c r="J32" s="154" t="b">
        <f t="shared" si="4"/>
        <v>0</v>
      </c>
      <c r="K32" s="150" t="b">
        <f t="shared" si="3"/>
        <v>1</v>
      </c>
      <c r="M32" s="201">
        <f t="shared" si="5"/>
        <v>1.2727995180537466E-2</v>
      </c>
      <c r="N32" s="201">
        <f t="shared" si="6"/>
        <v>2.4971233276658511E-2</v>
      </c>
    </row>
    <row r="33" spans="1:14" x14ac:dyDescent="0.2">
      <c r="A33" s="152">
        <v>41883</v>
      </c>
      <c r="B33" s="7">
        <v>158175</v>
      </c>
      <c r="C33" s="7">
        <v>98574</v>
      </c>
      <c r="D33" s="7">
        <v>91827</v>
      </c>
      <c r="E33" s="7">
        <v>6747</v>
      </c>
      <c r="F33" s="7">
        <v>59601</v>
      </c>
      <c r="G33">
        <v>62.3</v>
      </c>
      <c r="H33">
        <v>6.8</v>
      </c>
      <c r="I33" s="193">
        <f t="shared" si="0"/>
        <v>0.5805405405405405</v>
      </c>
      <c r="J33" s="154" t="b">
        <f t="shared" si="4"/>
        <v>0</v>
      </c>
      <c r="K33" s="150" t="b">
        <f t="shared" si="3"/>
        <v>1</v>
      </c>
      <c r="M33" s="201">
        <f t="shared" si="5"/>
        <v>1.2611632150059116E-2</v>
      </c>
      <c r="N33" s="201">
        <f t="shared" si="6"/>
        <v>2.1229567184126719E-2</v>
      </c>
    </row>
    <row r="34" spans="1:14" x14ac:dyDescent="0.2">
      <c r="A34" s="152">
        <v>41913</v>
      </c>
      <c r="B34" s="7">
        <v>158330</v>
      </c>
      <c r="C34" s="7">
        <v>98697</v>
      </c>
      <c r="D34" s="7">
        <v>92098</v>
      </c>
      <c r="E34" s="7">
        <v>6599</v>
      </c>
      <c r="F34" s="7">
        <v>59633</v>
      </c>
      <c r="G34">
        <v>62.3</v>
      </c>
      <c r="H34">
        <v>6.7</v>
      </c>
      <c r="I34" s="193">
        <f t="shared" si="0"/>
        <v>0.58168382492262993</v>
      </c>
      <c r="J34" s="154" t="b">
        <f t="shared" si="4"/>
        <v>0</v>
      </c>
      <c r="K34" s="150" t="b">
        <f t="shared" si="3"/>
        <v>1</v>
      </c>
      <c r="M34" s="201">
        <f t="shared" si="5"/>
        <v>1.2495523609761028E-2</v>
      </c>
      <c r="N34" s="201">
        <f t="shared" si="6"/>
        <v>1.7402282770033972E-2</v>
      </c>
    </row>
    <row r="35" spans="1:14" x14ac:dyDescent="0.2">
      <c r="A35" s="152">
        <v>41944</v>
      </c>
      <c r="B35" s="7">
        <v>158480</v>
      </c>
      <c r="C35" s="7">
        <v>98760</v>
      </c>
      <c r="D35" s="7">
        <v>92267</v>
      </c>
      <c r="E35" s="7">
        <v>6492</v>
      </c>
      <c r="F35" s="7">
        <v>59720</v>
      </c>
      <c r="G35">
        <v>62.3</v>
      </c>
      <c r="H35">
        <v>6.6</v>
      </c>
      <c r="I35" s="193">
        <f t="shared" ref="I35:I66" si="7">D35/B35</f>
        <v>0.58219964664310953</v>
      </c>
      <c r="J35" s="154" t="b">
        <f t="shared" si="4"/>
        <v>0</v>
      </c>
      <c r="K35" s="150" t="b">
        <f t="shared" si="3"/>
        <v>1</v>
      </c>
      <c r="M35" s="201">
        <f t="shared" si="5"/>
        <v>1.2386531324062089E-2</v>
      </c>
      <c r="N35" s="201">
        <f t="shared" si="6"/>
        <v>1.8973518973518955E-2</v>
      </c>
    </row>
    <row r="36" spans="1:14" x14ac:dyDescent="0.2">
      <c r="A36" s="152">
        <v>41974</v>
      </c>
      <c r="B36" s="7">
        <v>158634</v>
      </c>
      <c r="C36" s="7">
        <v>98828</v>
      </c>
      <c r="D36" s="7">
        <v>92340</v>
      </c>
      <c r="E36" s="7">
        <v>6488</v>
      </c>
      <c r="F36" s="7">
        <v>59806</v>
      </c>
      <c r="G36">
        <v>62.3</v>
      </c>
      <c r="H36">
        <v>6.6</v>
      </c>
      <c r="I36" s="193">
        <f t="shared" si="7"/>
        <v>0.58209463292862818</v>
      </c>
      <c r="J36" s="154" t="b">
        <f t="shared" si="4"/>
        <v>0</v>
      </c>
      <c r="K36" s="150" t="b">
        <f t="shared" si="3"/>
        <v>1</v>
      </c>
      <c r="M36" s="201">
        <f t="shared" si="5"/>
        <v>1.2270995654421135E-2</v>
      </c>
      <c r="N36" s="201">
        <f t="shared" si="6"/>
        <v>1.4899538419766545E-2</v>
      </c>
    </row>
    <row r="37" spans="1:14" s="168" customFormat="1" x14ac:dyDescent="0.2">
      <c r="A37" s="166">
        <v>42005</v>
      </c>
      <c r="B37" s="7">
        <v>158783</v>
      </c>
      <c r="C37" s="7">
        <v>98914</v>
      </c>
      <c r="D37" s="7">
        <v>92109</v>
      </c>
      <c r="E37" s="7">
        <v>6805</v>
      </c>
      <c r="F37" s="7">
        <v>59869</v>
      </c>
      <c r="G37">
        <v>62.3</v>
      </c>
      <c r="H37">
        <v>6.9</v>
      </c>
      <c r="I37" s="193">
        <f t="shared" si="7"/>
        <v>0.58009358684493928</v>
      </c>
      <c r="J37" s="154" t="b">
        <f t="shared" si="4"/>
        <v>0</v>
      </c>
      <c r="K37" s="150" t="b">
        <f t="shared" si="3"/>
        <v>1</v>
      </c>
      <c r="M37" s="201">
        <f t="shared" si="5"/>
        <v>1.2162549800796896E-2</v>
      </c>
      <c r="N37" s="201">
        <f t="shared" si="6"/>
        <v>1.1454444087783511E-2</v>
      </c>
    </row>
    <row r="38" spans="1:14" x14ac:dyDescent="0.2">
      <c r="A38" s="152">
        <v>42036</v>
      </c>
      <c r="B38" s="7">
        <v>158937</v>
      </c>
      <c r="C38" s="7">
        <v>99103</v>
      </c>
      <c r="D38" s="7">
        <v>91667</v>
      </c>
      <c r="E38" s="7">
        <v>7436</v>
      </c>
      <c r="F38" s="7">
        <v>59834</v>
      </c>
      <c r="G38">
        <v>62.4</v>
      </c>
      <c r="H38">
        <v>7.5</v>
      </c>
      <c r="I38" s="193">
        <f t="shared" si="7"/>
        <v>0.57675053637604834</v>
      </c>
      <c r="J38" s="154" t="b">
        <f t="shared" si="4"/>
        <v>0</v>
      </c>
      <c r="K38" s="150" t="b">
        <f t="shared" si="3"/>
        <v>1</v>
      </c>
      <c r="M38" s="201">
        <f t="shared" si="5"/>
        <v>1.2053946664629001E-2</v>
      </c>
      <c r="N38" s="201">
        <f t="shared" si="6"/>
        <v>1.0931454542382646E-2</v>
      </c>
    </row>
    <row r="39" spans="1:14" x14ac:dyDescent="0.2">
      <c r="A39" s="152">
        <v>42064</v>
      </c>
      <c r="B39" s="7">
        <v>159090</v>
      </c>
      <c r="C39" s="7">
        <v>99277</v>
      </c>
      <c r="D39" s="7">
        <v>91312</v>
      </c>
      <c r="E39" s="7">
        <v>7965</v>
      </c>
      <c r="F39" s="7">
        <v>59812</v>
      </c>
      <c r="G39">
        <v>62.4</v>
      </c>
      <c r="H39">
        <v>8</v>
      </c>
      <c r="I39" s="193">
        <f t="shared" si="7"/>
        <v>0.57396442265384373</v>
      </c>
      <c r="J39" s="154" t="b">
        <f t="shared" si="4"/>
        <v>0</v>
      </c>
      <c r="K39" s="150" t="b">
        <f t="shared" si="3"/>
        <v>1</v>
      </c>
      <c r="M39" s="201">
        <f t="shared" si="5"/>
        <v>1.1939216222577098E-2</v>
      </c>
      <c r="N39" s="201">
        <f t="shared" si="6"/>
        <v>1.0576825600648876E-2</v>
      </c>
    </row>
    <row r="40" spans="1:14" x14ac:dyDescent="0.2">
      <c r="A40" s="152">
        <v>42095</v>
      </c>
      <c r="B40" s="7">
        <v>159228</v>
      </c>
      <c r="C40" s="7">
        <v>99575</v>
      </c>
      <c r="D40" s="7">
        <v>91507</v>
      </c>
      <c r="E40" s="7">
        <v>8068</v>
      </c>
      <c r="F40" s="7">
        <v>59653</v>
      </c>
      <c r="G40">
        <v>62.5</v>
      </c>
      <c r="H40">
        <v>8.1</v>
      </c>
      <c r="I40" s="193">
        <f t="shared" si="7"/>
        <v>0.57469163714924509</v>
      </c>
      <c r="J40" s="154" t="b">
        <f t="shared" si="4"/>
        <v>0</v>
      </c>
      <c r="K40" s="150" t="b">
        <f t="shared" si="3"/>
        <v>1</v>
      </c>
      <c r="M40" s="201">
        <f t="shared" si="5"/>
        <v>1.1838718901916012E-2</v>
      </c>
      <c r="N40" s="201">
        <f t="shared" si="6"/>
        <v>9.066765904900409E-3</v>
      </c>
    </row>
    <row r="41" spans="1:14" x14ac:dyDescent="0.2">
      <c r="A41" s="152">
        <v>42125</v>
      </c>
      <c r="B41" s="7">
        <v>159380</v>
      </c>
      <c r="C41" s="7">
        <v>99669</v>
      </c>
      <c r="D41" s="7">
        <v>91466</v>
      </c>
      <c r="E41" s="7">
        <v>8203</v>
      </c>
      <c r="F41" s="7">
        <v>59711</v>
      </c>
      <c r="G41">
        <v>62.5</v>
      </c>
      <c r="H41">
        <v>8.1999999999999993</v>
      </c>
      <c r="I41" s="193">
        <f t="shared" si="7"/>
        <v>0.57388630944911534</v>
      </c>
      <c r="J41" s="154" t="b">
        <f t="shared" si="4"/>
        <v>0</v>
      </c>
      <c r="K41" s="150" t="b">
        <f t="shared" si="3"/>
        <v>1</v>
      </c>
      <c r="M41" s="201">
        <f t="shared" si="5"/>
        <v>1.1724527559304976E-2</v>
      </c>
      <c r="N41" s="201">
        <f t="shared" si="6"/>
        <v>7.5595228051228425E-3</v>
      </c>
    </row>
    <row r="42" spans="1:14" x14ac:dyDescent="0.2">
      <c r="A42" s="152">
        <v>42156</v>
      </c>
      <c r="B42" s="7">
        <v>159527</v>
      </c>
      <c r="C42" s="7">
        <v>99960</v>
      </c>
      <c r="D42" s="7">
        <v>91553</v>
      </c>
      <c r="E42" s="7">
        <v>8408</v>
      </c>
      <c r="F42" s="7">
        <v>59567</v>
      </c>
      <c r="G42">
        <v>62.7</v>
      </c>
      <c r="H42">
        <v>8.4</v>
      </c>
      <c r="I42" s="193">
        <f t="shared" si="7"/>
        <v>0.57390285030120292</v>
      </c>
      <c r="J42" s="154" t="b">
        <f t="shared" si="4"/>
        <v>0</v>
      </c>
      <c r="K42" s="150" t="b">
        <f t="shared" si="3"/>
        <v>1</v>
      </c>
      <c r="M42" s="201">
        <f t="shared" si="5"/>
        <v>1.1610947646103931E-2</v>
      </c>
      <c r="N42" s="201">
        <f t="shared" si="6"/>
        <v>4.1300023600012725E-3</v>
      </c>
    </row>
    <row r="43" spans="1:14" x14ac:dyDescent="0.2">
      <c r="A43" s="152">
        <v>42186</v>
      </c>
      <c r="B43" s="7">
        <v>159679</v>
      </c>
      <c r="C43" s="7">
        <v>100188</v>
      </c>
      <c r="D43" s="7">
        <v>91523</v>
      </c>
      <c r="E43" s="7">
        <v>8665</v>
      </c>
      <c r="F43" s="7">
        <v>59491</v>
      </c>
      <c r="G43">
        <v>62.7</v>
      </c>
      <c r="H43">
        <v>8.6</v>
      </c>
      <c r="I43" s="193">
        <f t="shared" si="7"/>
        <v>0.57316866964347224</v>
      </c>
      <c r="J43" s="154" t="b">
        <f t="shared" si="4"/>
        <v>0</v>
      </c>
      <c r="K43" s="150" t="b">
        <f t="shared" si="3"/>
        <v>1</v>
      </c>
      <c r="M43" s="201">
        <f t="shared" si="5"/>
        <v>1.150364556609218E-2</v>
      </c>
      <c r="N43" s="201">
        <f t="shared" si="6"/>
        <v>-3.1927407158460763E-4</v>
      </c>
    </row>
    <row r="44" spans="1:14" x14ac:dyDescent="0.2">
      <c r="A44" s="152">
        <v>42217</v>
      </c>
      <c r="B44" s="7">
        <v>159824</v>
      </c>
      <c r="C44" s="7">
        <v>100306</v>
      </c>
      <c r="D44" s="7">
        <v>91453</v>
      </c>
      <c r="E44" s="7">
        <v>8853</v>
      </c>
      <c r="F44" s="7">
        <v>59518</v>
      </c>
      <c r="G44">
        <v>62.8</v>
      </c>
      <c r="H44">
        <v>8.8000000000000007</v>
      </c>
      <c r="I44" s="193">
        <f t="shared" si="7"/>
        <v>0.57221068174992495</v>
      </c>
      <c r="J44" s="154" t="b">
        <f t="shared" si="4"/>
        <v>0</v>
      </c>
      <c r="K44" s="150" t="b">
        <f t="shared" si="3"/>
        <v>1</v>
      </c>
      <c r="M44" s="201">
        <f t="shared" si="5"/>
        <v>1.1416276420706195E-2</v>
      </c>
      <c r="N44" s="201">
        <f t="shared" si="6"/>
        <v>-2.7311874801025926E-3</v>
      </c>
    </row>
    <row r="45" spans="1:14" x14ac:dyDescent="0.2">
      <c r="A45" s="152">
        <v>42248</v>
      </c>
      <c r="B45" s="7">
        <v>159972</v>
      </c>
      <c r="C45" s="7">
        <v>100515</v>
      </c>
      <c r="D45" s="7">
        <v>91466</v>
      </c>
      <c r="E45" s="7">
        <v>9048</v>
      </c>
      <c r="F45" s="7">
        <v>59458</v>
      </c>
      <c r="G45">
        <v>62.8</v>
      </c>
      <c r="H45">
        <v>9</v>
      </c>
      <c r="I45" s="193">
        <f t="shared" si="7"/>
        <v>0.57176255844772839</v>
      </c>
      <c r="J45" s="154" t="b">
        <f t="shared" si="4"/>
        <v>0</v>
      </c>
      <c r="K45" s="150" t="b">
        <f t="shared" si="3"/>
        <v>1</v>
      </c>
      <c r="M45" s="201">
        <f t="shared" si="5"/>
        <v>1.1360834518729268E-2</v>
      </c>
      <c r="N45" s="201">
        <f t="shared" si="6"/>
        <v>-2.3992886025402393E-3</v>
      </c>
    </row>
    <row r="46" spans="1:14" x14ac:dyDescent="0.2">
      <c r="A46" s="152">
        <v>42278</v>
      </c>
      <c r="B46" s="7">
        <v>160120</v>
      </c>
      <c r="C46" s="7">
        <v>100787</v>
      </c>
      <c r="D46" s="7">
        <v>91636</v>
      </c>
      <c r="E46" s="7">
        <v>9150</v>
      </c>
      <c r="F46" s="7">
        <v>59334</v>
      </c>
      <c r="G46">
        <v>62.9</v>
      </c>
      <c r="H46">
        <v>9.1</v>
      </c>
      <c r="I46" s="193">
        <f t="shared" si="7"/>
        <v>0.57229577816637522</v>
      </c>
      <c r="J46" s="154" t="b">
        <f t="shared" si="4"/>
        <v>0</v>
      </c>
      <c r="K46" s="150" t="b">
        <f t="shared" si="3"/>
        <v>1</v>
      </c>
      <c r="M46" s="201">
        <f t="shared" si="5"/>
        <v>1.1305501168445753E-2</v>
      </c>
      <c r="N46" s="201">
        <f t="shared" si="6"/>
        <v>-5.0140023141549417E-3</v>
      </c>
    </row>
    <row r="47" spans="1:14" x14ac:dyDescent="0.2">
      <c r="A47" s="152">
        <v>42309</v>
      </c>
      <c r="B47" s="7">
        <v>160263</v>
      </c>
      <c r="C47" s="7">
        <v>100707</v>
      </c>
      <c r="D47" s="7">
        <v>91521</v>
      </c>
      <c r="E47" s="7">
        <v>9186</v>
      </c>
      <c r="F47" s="7">
        <v>59556</v>
      </c>
      <c r="G47">
        <v>62.8</v>
      </c>
      <c r="H47">
        <v>9.1</v>
      </c>
      <c r="I47" s="193">
        <f t="shared" si="7"/>
        <v>0.57106755770202733</v>
      </c>
      <c r="J47" s="154" t="b">
        <f t="shared" si="4"/>
        <v>0</v>
      </c>
      <c r="K47" s="150" t="b">
        <f t="shared" si="3"/>
        <v>1</v>
      </c>
      <c r="M47" s="201">
        <f t="shared" si="5"/>
        <v>1.1250630994447341E-2</v>
      </c>
      <c r="N47" s="201">
        <f t="shared" si="6"/>
        <v>-2.7461486939048818E-3</v>
      </c>
    </row>
    <row r="48" spans="1:14" x14ac:dyDescent="0.2">
      <c r="A48" s="152">
        <v>42339</v>
      </c>
      <c r="B48" s="7">
        <v>160410</v>
      </c>
      <c r="C48" s="7">
        <v>100707</v>
      </c>
      <c r="D48" s="7">
        <v>91585</v>
      </c>
      <c r="E48" s="7">
        <v>9122</v>
      </c>
      <c r="F48" s="7">
        <v>59703</v>
      </c>
      <c r="G48">
        <v>62.8</v>
      </c>
      <c r="H48">
        <v>9.1</v>
      </c>
      <c r="I48" s="193">
        <f t="shared" si="7"/>
        <v>0.57094320802942455</v>
      </c>
      <c r="J48" s="154" t="b">
        <f t="shared" si="4"/>
        <v>0</v>
      </c>
      <c r="K48" s="150" t="b">
        <f t="shared" si="3"/>
        <v>1</v>
      </c>
      <c r="M48" s="201">
        <f t="shared" si="5"/>
        <v>1.1195582283747507E-2</v>
      </c>
      <c r="N48" s="201">
        <f t="shared" si="6"/>
        <v>-1.7222352272346919E-3</v>
      </c>
    </row>
    <row r="49" spans="1:14" s="168" customFormat="1" x14ac:dyDescent="0.2">
      <c r="A49" s="166">
        <v>42370</v>
      </c>
      <c r="B49" s="7">
        <v>160552</v>
      </c>
      <c r="C49" s="7">
        <v>100678</v>
      </c>
      <c r="D49" s="7">
        <v>91014</v>
      </c>
      <c r="E49" s="7">
        <v>9665</v>
      </c>
      <c r="F49" s="7">
        <v>59874</v>
      </c>
      <c r="G49">
        <v>62.7</v>
      </c>
      <c r="H49">
        <v>9.6</v>
      </c>
      <c r="I49" s="193">
        <f t="shared" si="7"/>
        <v>0.56688175793512385</v>
      </c>
      <c r="J49" s="154" t="b">
        <f t="shared" si="4"/>
        <v>0</v>
      </c>
      <c r="K49" s="150" t="b">
        <f t="shared" si="3"/>
        <v>1</v>
      </c>
      <c r="M49" s="201">
        <f t="shared" si="5"/>
        <v>1.1140991164041436E-2</v>
      </c>
      <c r="N49" s="201">
        <f t="shared" si="6"/>
        <v>8.3515675892265051E-5</v>
      </c>
    </row>
    <row r="50" spans="1:14" x14ac:dyDescent="0.2">
      <c r="A50" s="152">
        <v>42401</v>
      </c>
      <c r="B50" s="7">
        <v>160699</v>
      </c>
      <c r="C50" s="7">
        <v>100929</v>
      </c>
      <c r="D50" s="7">
        <v>90508</v>
      </c>
      <c r="E50" s="7">
        <v>10422</v>
      </c>
      <c r="F50" s="7">
        <v>59770</v>
      </c>
      <c r="G50">
        <v>62.8</v>
      </c>
      <c r="H50">
        <v>10.3</v>
      </c>
      <c r="I50" s="193">
        <f t="shared" si="7"/>
        <v>0.56321445684167293</v>
      </c>
      <c r="J50" s="154" t="b">
        <f t="shared" si="4"/>
        <v>0</v>
      </c>
      <c r="K50" s="150" t="b">
        <f t="shared" si="3"/>
        <v>1</v>
      </c>
      <c r="M50" s="201">
        <f t="shared" si="5"/>
        <v>1.1086153633200535E-2</v>
      </c>
      <c r="N50" s="201">
        <f t="shared" si="6"/>
        <v>-1.069625965170351E-3</v>
      </c>
    </row>
    <row r="51" spans="1:14" x14ac:dyDescent="0.2">
      <c r="A51" s="152">
        <v>42430</v>
      </c>
      <c r="B51" s="7">
        <v>160845</v>
      </c>
      <c r="C51" s="7">
        <v>101062</v>
      </c>
      <c r="D51" s="7">
        <v>89909</v>
      </c>
      <c r="E51" s="7">
        <v>11153</v>
      </c>
      <c r="F51" s="7">
        <v>59783</v>
      </c>
      <c r="G51">
        <v>62.8</v>
      </c>
      <c r="H51">
        <v>11</v>
      </c>
      <c r="I51" s="193">
        <f t="shared" si="7"/>
        <v>0.55897914140943139</v>
      </c>
      <c r="J51" s="154" t="b">
        <f t="shared" si="4"/>
        <v>0</v>
      </c>
      <c r="K51" s="150" t="b">
        <f t="shared" si="3"/>
        <v>1</v>
      </c>
      <c r="M51" s="201">
        <f t="shared" si="5"/>
        <v>1.1031491608523458E-2</v>
      </c>
      <c r="N51" s="201">
        <f t="shared" si="6"/>
        <v>-4.848525379522739E-4</v>
      </c>
    </row>
    <row r="52" spans="1:14" x14ac:dyDescent="0.2">
      <c r="A52" s="152">
        <v>42461</v>
      </c>
      <c r="B52" s="7">
        <v>160981</v>
      </c>
      <c r="C52" s="7">
        <v>101182</v>
      </c>
      <c r="D52" s="7">
        <v>89737</v>
      </c>
      <c r="E52" s="7">
        <v>11445</v>
      </c>
      <c r="F52" s="7">
        <v>59799</v>
      </c>
      <c r="G52">
        <v>62.9</v>
      </c>
      <c r="H52">
        <v>11.3</v>
      </c>
      <c r="I52" s="193">
        <f t="shared" si="7"/>
        <v>0.55743845546990023</v>
      </c>
      <c r="J52" s="154" t="b">
        <f t="shared" si="4"/>
        <v>0</v>
      </c>
      <c r="K52" s="150" t="b">
        <f t="shared" si="3"/>
        <v>1</v>
      </c>
      <c r="M52" s="201">
        <f t="shared" si="5"/>
        <v>1.1009370211269465E-2</v>
      </c>
      <c r="N52" s="201">
        <f t="shared" si="6"/>
        <v>2.4474879721052556E-3</v>
      </c>
    </row>
    <row r="53" spans="1:14" x14ac:dyDescent="0.2">
      <c r="A53" s="152">
        <v>42491</v>
      </c>
      <c r="B53" s="7">
        <v>161126</v>
      </c>
      <c r="C53" s="7">
        <v>101326</v>
      </c>
      <c r="D53" s="7">
        <v>89879</v>
      </c>
      <c r="E53" s="7">
        <v>11447</v>
      </c>
      <c r="F53" s="7">
        <v>59800</v>
      </c>
      <c r="G53">
        <v>62.9</v>
      </c>
      <c r="H53">
        <v>11.3</v>
      </c>
      <c r="I53" s="193">
        <f t="shared" si="7"/>
        <v>0.55781810508546104</v>
      </c>
      <c r="J53" s="154" t="b">
        <f t="shared" si="4"/>
        <v>0</v>
      </c>
      <c r="K53" s="150" t="b">
        <f t="shared" si="3"/>
        <v>1</v>
      </c>
      <c r="M53" s="201">
        <f t="shared" si="5"/>
        <v>1.0954950432927602E-2</v>
      </c>
      <c r="N53" s="201">
        <f t="shared" si="6"/>
        <v>1.4905126358626397E-3</v>
      </c>
    </row>
    <row r="54" spans="1:14" x14ac:dyDescent="0.2">
      <c r="A54" s="152">
        <v>42522</v>
      </c>
      <c r="B54" s="7">
        <v>161266</v>
      </c>
      <c r="C54" s="7">
        <v>101409</v>
      </c>
      <c r="D54" s="7">
        <v>89827</v>
      </c>
      <c r="E54" s="7">
        <v>11583</v>
      </c>
      <c r="F54" s="7">
        <v>59857</v>
      </c>
      <c r="G54">
        <v>62.9</v>
      </c>
      <c r="H54">
        <v>11.4</v>
      </c>
      <c r="I54" s="193">
        <f t="shared" si="7"/>
        <v>0.55701139731871563</v>
      </c>
      <c r="J54" s="154" t="b">
        <f t="shared" si="4"/>
        <v>0</v>
      </c>
      <c r="K54" s="150" t="b">
        <f t="shared" si="3"/>
        <v>1</v>
      </c>
      <c r="M54" s="201">
        <f t="shared" si="5"/>
        <v>1.0900976010330465E-2</v>
      </c>
      <c r="N54" s="201">
        <f t="shared" si="6"/>
        <v>4.868467440025448E-3</v>
      </c>
    </row>
    <row r="55" spans="1:14" x14ac:dyDescent="0.2">
      <c r="A55" s="152">
        <v>42552</v>
      </c>
      <c r="B55" s="7">
        <v>161411</v>
      </c>
      <c r="C55" s="7">
        <v>101311</v>
      </c>
      <c r="D55" s="7">
        <v>89472</v>
      </c>
      <c r="E55" s="7">
        <v>11839</v>
      </c>
      <c r="F55" s="7">
        <v>60100</v>
      </c>
      <c r="G55">
        <v>62.8</v>
      </c>
      <c r="H55">
        <v>11.7</v>
      </c>
      <c r="I55" s="193">
        <f t="shared" si="7"/>
        <v>0.55431166401298548</v>
      </c>
      <c r="J55" s="154" t="b">
        <f t="shared" si="4"/>
        <v>0</v>
      </c>
      <c r="K55" s="150" t="b">
        <f t="shared" si="3"/>
        <v>1</v>
      </c>
      <c r="M55" s="201">
        <f t="shared" si="5"/>
        <v>1.0846761314887932E-2</v>
      </c>
      <c r="N55" s="201">
        <f t="shared" si="6"/>
        <v>1.0236842547612257E-2</v>
      </c>
    </row>
    <row r="56" spans="1:14" x14ac:dyDescent="0.2">
      <c r="A56" s="152">
        <v>42583</v>
      </c>
      <c r="B56" s="7">
        <v>161550</v>
      </c>
      <c r="C56" s="7">
        <v>101226</v>
      </c>
      <c r="D56" s="7">
        <v>89210</v>
      </c>
      <c r="E56" s="7">
        <v>12016</v>
      </c>
      <c r="F56" s="7">
        <v>60324</v>
      </c>
      <c r="G56">
        <v>62.7</v>
      </c>
      <c r="H56">
        <v>11.9</v>
      </c>
      <c r="I56" s="193">
        <f t="shared" si="7"/>
        <v>0.55221293717115449</v>
      </c>
      <c r="J56" s="154" t="b">
        <f t="shared" si="4"/>
        <v>0</v>
      </c>
      <c r="K56" s="150" t="b">
        <f t="shared" si="3"/>
        <v>1</v>
      </c>
      <c r="M56" s="201">
        <f t="shared" si="5"/>
        <v>1.0799379317248947E-2</v>
      </c>
      <c r="N56" s="201">
        <f t="shared" si="6"/>
        <v>1.3542121711078936E-2</v>
      </c>
    </row>
    <row r="57" spans="1:14" x14ac:dyDescent="0.2">
      <c r="A57" s="152">
        <v>42614</v>
      </c>
      <c r="B57" s="7">
        <v>161692</v>
      </c>
      <c r="C57" s="7">
        <v>100949</v>
      </c>
      <c r="D57" s="7">
        <v>88939</v>
      </c>
      <c r="E57" s="7">
        <v>12010</v>
      </c>
      <c r="F57" s="7">
        <v>60744</v>
      </c>
      <c r="G57">
        <v>62.4</v>
      </c>
      <c r="H57">
        <v>11.9</v>
      </c>
      <c r="I57" s="193">
        <f t="shared" si="7"/>
        <v>0.55005195062217049</v>
      </c>
      <c r="J57" s="154" t="b">
        <f t="shared" si="4"/>
        <v>0</v>
      </c>
      <c r="K57" s="150" t="b">
        <f t="shared" si="3"/>
        <v>1</v>
      </c>
      <c r="M57" s="201">
        <f t="shared" si="5"/>
        <v>1.0751881579276423E-2</v>
      </c>
      <c r="N57" s="201">
        <f t="shared" si="6"/>
        <v>2.1628712704766295E-2</v>
      </c>
    </row>
    <row r="58" spans="1:14" x14ac:dyDescent="0.2">
      <c r="A58" s="152">
        <v>42644</v>
      </c>
      <c r="B58" s="7">
        <v>161834</v>
      </c>
      <c r="C58" s="7">
        <v>101019</v>
      </c>
      <c r="D58" s="7">
        <v>88985</v>
      </c>
      <c r="E58" s="7">
        <v>12034</v>
      </c>
      <c r="F58" s="7">
        <v>60815</v>
      </c>
      <c r="G58">
        <v>62.4</v>
      </c>
      <c r="H58">
        <v>11.9</v>
      </c>
      <c r="I58" s="193">
        <f t="shared" si="7"/>
        <v>0.54985355364138566</v>
      </c>
      <c r="J58" s="154" t="b">
        <f t="shared" si="4"/>
        <v>0</v>
      </c>
      <c r="K58" s="150" t="b">
        <f t="shared" si="3"/>
        <v>1</v>
      </c>
      <c r="M58" s="201">
        <f t="shared" si="5"/>
        <v>1.0704471646265201E-2</v>
      </c>
      <c r="N58" s="201">
        <f t="shared" si="6"/>
        <v>2.4960393703441497E-2</v>
      </c>
    </row>
    <row r="59" spans="1:14" x14ac:dyDescent="0.2">
      <c r="A59" s="152">
        <v>42675</v>
      </c>
      <c r="B59" s="7">
        <v>161971</v>
      </c>
      <c r="C59" s="7">
        <v>101357</v>
      </c>
      <c r="D59" s="7">
        <v>89232</v>
      </c>
      <c r="E59" s="7">
        <v>12126</v>
      </c>
      <c r="F59" s="7">
        <v>60614</v>
      </c>
      <c r="G59">
        <v>62.6</v>
      </c>
      <c r="H59">
        <v>12</v>
      </c>
      <c r="I59" s="193">
        <f t="shared" si="7"/>
        <v>0.55091343512110191</v>
      </c>
      <c r="J59" s="154" t="b">
        <f t="shared" si="4"/>
        <v>0</v>
      </c>
      <c r="K59" s="150" t="b">
        <f t="shared" si="3"/>
        <v>1</v>
      </c>
      <c r="M59" s="201">
        <f t="shared" si="5"/>
        <v>1.0657481764349885E-2</v>
      </c>
      <c r="N59" s="201">
        <f t="shared" si="6"/>
        <v>1.7764792800053719E-2</v>
      </c>
    </row>
    <row r="60" spans="1:14" x14ac:dyDescent="0.2">
      <c r="A60" s="152">
        <v>42705</v>
      </c>
      <c r="B60" s="7">
        <v>162113</v>
      </c>
      <c r="C60" s="7">
        <v>101562</v>
      </c>
      <c r="D60" s="7">
        <v>89239</v>
      </c>
      <c r="E60" s="7">
        <v>12323</v>
      </c>
      <c r="F60" s="7">
        <v>60551</v>
      </c>
      <c r="G60">
        <v>62.6</v>
      </c>
      <c r="H60">
        <v>12.1</v>
      </c>
      <c r="I60" s="193">
        <f t="shared" si="7"/>
        <v>0.55047405205011324</v>
      </c>
      <c r="J60" s="154" t="b">
        <f t="shared" si="4"/>
        <v>0</v>
      </c>
      <c r="K60" s="150" t="b">
        <f t="shared" si="3"/>
        <v>1</v>
      </c>
      <c r="M60" s="201">
        <f t="shared" si="5"/>
        <v>1.0616545103173225E-2</v>
      </c>
      <c r="N60" s="201">
        <f t="shared" si="6"/>
        <v>1.4203641358055741E-2</v>
      </c>
    </row>
    <row r="61" spans="1:14" s="168" customFormat="1" x14ac:dyDescent="0.2">
      <c r="A61" s="166">
        <v>42736</v>
      </c>
      <c r="B61" s="7">
        <v>162249</v>
      </c>
      <c r="C61" s="7">
        <v>101669</v>
      </c>
      <c r="D61" s="7">
        <v>88798</v>
      </c>
      <c r="E61" s="7">
        <v>12871</v>
      </c>
      <c r="F61" s="7">
        <v>60580</v>
      </c>
      <c r="G61">
        <v>62.7</v>
      </c>
      <c r="H61">
        <v>12.7</v>
      </c>
      <c r="I61" s="193">
        <f t="shared" si="7"/>
        <v>0.54729459041350026</v>
      </c>
      <c r="J61" s="154" t="b">
        <f t="shared" si="4"/>
        <v>0</v>
      </c>
      <c r="K61" s="150" t="b">
        <f t="shared" si="3"/>
        <v>1</v>
      </c>
      <c r="M61" s="201">
        <f t="shared" si="5"/>
        <v>1.0569784244357061E-2</v>
      </c>
      <c r="N61" s="201">
        <f t="shared" si="6"/>
        <v>1.1791428666866999E-2</v>
      </c>
    </row>
    <row r="62" spans="1:14" x14ac:dyDescent="0.2">
      <c r="A62" s="152">
        <v>42767</v>
      </c>
      <c r="B62" s="7">
        <v>162390</v>
      </c>
      <c r="C62" s="7">
        <v>101783</v>
      </c>
      <c r="D62" s="7">
        <v>88282</v>
      </c>
      <c r="E62" s="7">
        <v>13501</v>
      </c>
      <c r="F62" s="7">
        <v>60606</v>
      </c>
      <c r="G62">
        <v>62.7</v>
      </c>
      <c r="H62">
        <v>13.3</v>
      </c>
      <c r="I62" s="193">
        <f t="shared" si="7"/>
        <v>0.54364184986760267</v>
      </c>
      <c r="J62" s="154" t="b">
        <f t="shared" si="4"/>
        <v>0</v>
      </c>
      <c r="K62" s="150" t="b">
        <f t="shared" si="3"/>
        <v>1</v>
      </c>
      <c r="M62" s="201">
        <f t="shared" si="5"/>
        <v>1.0522778610943417E-2</v>
      </c>
      <c r="N62" s="201">
        <f t="shared" si="6"/>
        <v>1.3986949974903906E-2</v>
      </c>
    </row>
    <row r="63" spans="1:14" x14ac:dyDescent="0.2">
      <c r="A63" s="152">
        <v>42795</v>
      </c>
      <c r="B63" s="7">
        <v>162530</v>
      </c>
      <c r="C63" s="7">
        <v>102010</v>
      </c>
      <c r="D63" s="7">
        <v>87880</v>
      </c>
      <c r="E63" s="7">
        <v>14130</v>
      </c>
      <c r="F63" s="7">
        <v>60519</v>
      </c>
      <c r="G63">
        <v>62.8</v>
      </c>
      <c r="H63">
        <v>13.9</v>
      </c>
      <c r="I63" s="193">
        <f t="shared" si="7"/>
        <v>0.54070017842859774</v>
      </c>
      <c r="J63" s="154" t="b">
        <f t="shared" si="4"/>
        <v>0</v>
      </c>
      <c r="K63" s="150" t="b">
        <f t="shared" si="3"/>
        <v>1</v>
      </c>
      <c r="M63" s="201">
        <f t="shared" si="5"/>
        <v>1.0475924026236427E-2</v>
      </c>
      <c r="N63" s="201">
        <f t="shared" si="6"/>
        <v>1.2311192144924155E-2</v>
      </c>
    </row>
    <row r="64" spans="1:14" x14ac:dyDescent="0.2">
      <c r="A64" s="152">
        <v>42826</v>
      </c>
      <c r="B64" s="7">
        <v>162656</v>
      </c>
      <c r="C64" s="7">
        <v>102168</v>
      </c>
      <c r="D64" s="7">
        <v>88171</v>
      </c>
      <c r="E64" s="7">
        <v>13998</v>
      </c>
      <c r="F64" s="7">
        <v>60488</v>
      </c>
      <c r="G64">
        <v>62.8</v>
      </c>
      <c r="H64">
        <v>13.7</v>
      </c>
      <c r="I64" s="193">
        <f t="shared" si="7"/>
        <v>0.54207038166437138</v>
      </c>
      <c r="J64" s="154" t="b">
        <f t="shared" si="4"/>
        <v>0</v>
      </c>
      <c r="K64" s="150" t="b">
        <f t="shared" si="3"/>
        <v>1</v>
      </c>
      <c r="M64" s="201">
        <f t="shared" si="5"/>
        <v>1.0404954621973994E-2</v>
      </c>
      <c r="N64" s="201">
        <f t="shared" si="6"/>
        <v>1.1521931804879593E-2</v>
      </c>
    </row>
    <row r="65" spans="1:14" x14ac:dyDescent="0.2">
      <c r="A65" s="152">
        <v>42856</v>
      </c>
      <c r="B65" s="7">
        <v>162796</v>
      </c>
      <c r="C65" s="7">
        <v>102332</v>
      </c>
      <c r="D65" s="7">
        <v>88615</v>
      </c>
      <c r="E65" s="7">
        <v>13717</v>
      </c>
      <c r="F65" s="7">
        <v>60464</v>
      </c>
      <c r="G65">
        <v>62.9</v>
      </c>
      <c r="H65">
        <v>13.4</v>
      </c>
      <c r="I65" s="193">
        <f t="shared" si="7"/>
        <v>0.54433155605788841</v>
      </c>
      <c r="J65" s="154" t="b">
        <f t="shared" si="4"/>
        <v>0</v>
      </c>
      <c r="K65" s="150" t="b">
        <f t="shared" si="3"/>
        <v>1</v>
      </c>
      <c r="M65" s="201">
        <f t="shared" si="5"/>
        <v>1.0364559413130081E-2</v>
      </c>
      <c r="N65" s="201">
        <f t="shared" si="6"/>
        <v>1.1103678929765826E-2</v>
      </c>
    </row>
    <row r="66" spans="1:14" x14ac:dyDescent="0.2">
      <c r="A66" s="152">
        <v>42887</v>
      </c>
      <c r="B66" s="7">
        <v>162930</v>
      </c>
      <c r="C66" s="7">
        <v>102588</v>
      </c>
      <c r="D66" s="7">
        <v>89163</v>
      </c>
      <c r="E66" s="7">
        <v>13425</v>
      </c>
      <c r="F66" s="7">
        <v>60343</v>
      </c>
      <c r="G66">
        <v>63</v>
      </c>
      <c r="H66">
        <v>13.1</v>
      </c>
      <c r="I66" s="193">
        <f t="shared" si="7"/>
        <v>0.54724728410974033</v>
      </c>
      <c r="J66" s="154" t="b">
        <f t="shared" si="4"/>
        <v>0</v>
      </c>
      <c r="K66" s="150" t="b">
        <f t="shared" si="3"/>
        <v>1</v>
      </c>
      <c r="M66" s="201">
        <f t="shared" si="5"/>
        <v>1.0318356008085949E-2</v>
      </c>
      <c r="N66" s="201">
        <f t="shared" si="6"/>
        <v>8.1193511201698154E-3</v>
      </c>
    </row>
    <row r="67" spans="1:14" x14ac:dyDescent="0.2">
      <c r="A67" s="152">
        <v>42917</v>
      </c>
      <c r="B67" s="7">
        <v>163069</v>
      </c>
      <c r="C67" s="7">
        <v>102788</v>
      </c>
      <c r="D67" s="7">
        <v>89535</v>
      </c>
      <c r="E67" s="7">
        <v>13253</v>
      </c>
      <c r="F67" s="7">
        <v>60281</v>
      </c>
      <c r="G67">
        <v>63</v>
      </c>
      <c r="H67">
        <v>12.9</v>
      </c>
      <c r="I67" s="193">
        <f t="shared" ref="I67:I98" si="8">D67/B67</f>
        <v>0.5490620534865609</v>
      </c>
      <c r="J67" s="154" t="b">
        <f t="shared" si="4"/>
        <v>0</v>
      </c>
      <c r="K67" s="150" t="b">
        <f t="shared" si="3"/>
        <v>1</v>
      </c>
      <c r="M67" s="201">
        <f t="shared" si="5"/>
        <v>1.0271914553531047E-2</v>
      </c>
      <c r="N67" s="201">
        <f t="shared" si="6"/>
        <v>3.0116472545758111E-3</v>
      </c>
    </row>
    <row r="68" spans="1:14" x14ac:dyDescent="0.2">
      <c r="A68" s="152">
        <v>42948</v>
      </c>
      <c r="B68" s="7">
        <v>163199</v>
      </c>
      <c r="C68" s="7">
        <v>102966</v>
      </c>
      <c r="D68" s="7">
        <v>89928</v>
      </c>
      <c r="E68" s="7">
        <v>13039</v>
      </c>
      <c r="F68" s="7">
        <v>60233</v>
      </c>
      <c r="G68">
        <v>63.1</v>
      </c>
      <c r="H68">
        <v>12.7</v>
      </c>
      <c r="I68" s="193">
        <f t="shared" si="8"/>
        <v>0.55103278819110413</v>
      </c>
      <c r="J68" s="154" t="b">
        <f t="shared" si="4"/>
        <v>0</v>
      </c>
      <c r="K68" s="150" t="b">
        <f t="shared" si="3"/>
        <v>1</v>
      </c>
      <c r="M68" s="201">
        <f t="shared" si="5"/>
        <v>1.0207366140513763E-2</v>
      </c>
      <c r="N68" s="201">
        <f t="shared" si="6"/>
        <v>-1.5085206551289643E-3</v>
      </c>
    </row>
    <row r="69" spans="1:14" x14ac:dyDescent="0.2">
      <c r="A69" s="152">
        <v>42979</v>
      </c>
      <c r="B69" s="7">
        <v>163330</v>
      </c>
      <c r="C69" s="7">
        <v>103070</v>
      </c>
      <c r="D69" s="7">
        <v>90176</v>
      </c>
      <c r="E69" s="7">
        <v>12894</v>
      </c>
      <c r="F69" s="7">
        <v>60260</v>
      </c>
      <c r="G69">
        <v>63.1</v>
      </c>
      <c r="H69">
        <v>12.5</v>
      </c>
      <c r="I69" s="193">
        <f t="shared" si="8"/>
        <v>0.5521092267189126</v>
      </c>
      <c r="J69" s="154" t="b">
        <f t="shared" si="4"/>
        <v>0</v>
      </c>
      <c r="K69" s="150" t="b">
        <f t="shared" si="3"/>
        <v>1</v>
      </c>
      <c r="M69" s="201">
        <f t="shared" si="5"/>
        <v>1.013037132325656E-2</v>
      </c>
      <c r="N69" s="201">
        <f t="shared" si="6"/>
        <v>-7.9678651389437638E-3</v>
      </c>
    </row>
    <row r="70" spans="1:14" x14ac:dyDescent="0.2">
      <c r="A70" s="152">
        <v>43009</v>
      </c>
      <c r="B70" s="7">
        <v>163461</v>
      </c>
      <c r="C70" s="7">
        <v>103166</v>
      </c>
      <c r="D70" s="7">
        <v>90484</v>
      </c>
      <c r="E70" s="7">
        <v>12682</v>
      </c>
      <c r="F70" s="7">
        <v>60295</v>
      </c>
      <c r="G70">
        <v>63.1</v>
      </c>
      <c r="H70">
        <v>12.3</v>
      </c>
      <c r="I70" s="193">
        <f t="shared" si="8"/>
        <v>0.55355099993270562</v>
      </c>
      <c r="J70" s="154" t="b">
        <f t="shared" si="4"/>
        <v>0</v>
      </c>
      <c r="K70" s="150" t="b">
        <f t="shared" ref="K70:K133" si="9">H70&gt;$H$163</f>
        <v>1</v>
      </c>
      <c r="M70" s="201">
        <f t="shared" si="5"/>
        <v>1.005351162302115E-2</v>
      </c>
      <c r="N70" s="201">
        <f t="shared" si="6"/>
        <v>-8.5505220751459499E-3</v>
      </c>
    </row>
    <row r="71" spans="1:14" x14ac:dyDescent="0.2">
      <c r="A71" s="152">
        <v>43040</v>
      </c>
      <c r="B71" s="7">
        <v>163586</v>
      </c>
      <c r="C71" s="7">
        <v>103415</v>
      </c>
      <c r="D71" s="7">
        <v>90882</v>
      </c>
      <c r="E71" s="7">
        <v>12533</v>
      </c>
      <c r="F71" s="7">
        <v>60171</v>
      </c>
      <c r="G71">
        <v>63.2</v>
      </c>
      <c r="H71">
        <v>12.1</v>
      </c>
      <c r="I71" s="193">
        <f t="shared" si="8"/>
        <v>0.55556098932671505</v>
      </c>
      <c r="J71" s="154" t="b">
        <f t="shared" si="4"/>
        <v>0</v>
      </c>
      <c r="K71" s="150" t="b">
        <f t="shared" si="9"/>
        <v>1</v>
      </c>
      <c r="M71" s="201">
        <f t="shared" si="5"/>
        <v>9.9709207203759753E-3</v>
      </c>
      <c r="N71" s="201">
        <f t="shared" si="6"/>
        <v>-7.3085425809219506E-3</v>
      </c>
    </row>
    <row r="72" spans="1:14" x14ac:dyDescent="0.2">
      <c r="A72" s="152">
        <v>43070</v>
      </c>
      <c r="B72" s="7">
        <v>163716</v>
      </c>
      <c r="C72" s="7">
        <v>103345</v>
      </c>
      <c r="D72" s="7">
        <v>91066</v>
      </c>
      <c r="E72" s="7">
        <v>12279</v>
      </c>
      <c r="F72" s="7">
        <v>60371</v>
      </c>
      <c r="G72">
        <v>63.1</v>
      </c>
      <c r="H72">
        <v>11.9</v>
      </c>
      <c r="I72" s="193">
        <f t="shared" si="8"/>
        <v>0.55624373915805414</v>
      </c>
      <c r="J72" s="154" t="b">
        <f t="shared" si="4"/>
        <v>0</v>
      </c>
      <c r="K72" s="150" t="b">
        <f t="shared" si="9"/>
        <v>1</v>
      </c>
      <c r="M72" s="201">
        <f t="shared" si="5"/>
        <v>9.888164428515811E-3</v>
      </c>
      <c r="N72" s="201">
        <f t="shared" si="6"/>
        <v>-2.9727006985846849E-3</v>
      </c>
    </row>
    <row r="73" spans="1:14" s="168" customFormat="1" x14ac:dyDescent="0.2">
      <c r="A73" s="166">
        <v>43101</v>
      </c>
      <c r="B73" s="7">
        <v>163841</v>
      </c>
      <c r="C73" s="7">
        <v>103352</v>
      </c>
      <c r="D73" s="7">
        <v>90684</v>
      </c>
      <c r="E73" s="7">
        <v>12668</v>
      </c>
      <c r="F73" s="7">
        <v>60489</v>
      </c>
      <c r="G73">
        <v>63.1</v>
      </c>
      <c r="H73">
        <v>12.3</v>
      </c>
      <c r="I73" s="193">
        <f t="shared" si="8"/>
        <v>0.55348783271586477</v>
      </c>
      <c r="J73" s="154" t="b">
        <f t="shared" ref="J73:J136" si="10">I73&gt;$I$164</f>
        <v>0</v>
      </c>
      <c r="K73" s="150" t="b">
        <f t="shared" si="9"/>
        <v>1</v>
      </c>
      <c r="M73" s="201">
        <f t="shared" si="5"/>
        <v>9.8120789650475437E-3</v>
      </c>
      <c r="N73" s="201">
        <f t="shared" si="6"/>
        <v>-1.5021459227467782E-3</v>
      </c>
    </row>
    <row r="74" spans="1:14" x14ac:dyDescent="0.2">
      <c r="A74" s="152">
        <v>43132</v>
      </c>
      <c r="B74" s="7">
        <v>163970</v>
      </c>
      <c r="C74" s="7">
        <v>103236</v>
      </c>
      <c r="D74" s="7">
        <v>90133</v>
      </c>
      <c r="E74" s="7">
        <v>13102</v>
      </c>
      <c r="F74" s="7">
        <v>60734</v>
      </c>
      <c r="G74">
        <v>63</v>
      </c>
      <c r="H74">
        <v>12.7</v>
      </c>
      <c r="I74" s="193">
        <f t="shared" si="8"/>
        <v>0.54969201683234736</v>
      </c>
      <c r="J74" s="154" t="b">
        <f t="shared" si="10"/>
        <v>0</v>
      </c>
      <c r="K74" s="150" t="b">
        <f t="shared" si="9"/>
        <v>1</v>
      </c>
      <c r="M74" s="201">
        <f t="shared" si="5"/>
        <v>9.7296631565984004E-3</v>
      </c>
      <c r="N74" s="201">
        <f t="shared" si="6"/>
        <v>2.1120021120020205E-3</v>
      </c>
    </row>
    <row r="75" spans="1:14" x14ac:dyDescent="0.2">
      <c r="A75" s="152">
        <v>43160</v>
      </c>
      <c r="B75" s="7">
        <v>164099</v>
      </c>
      <c r="C75" s="7">
        <v>103362</v>
      </c>
      <c r="D75" s="7">
        <v>89691</v>
      </c>
      <c r="E75" s="7">
        <v>13671</v>
      </c>
      <c r="F75" s="7">
        <v>60736</v>
      </c>
      <c r="G75">
        <v>63</v>
      </c>
      <c r="H75">
        <v>13.2</v>
      </c>
      <c r="I75" s="193">
        <f t="shared" si="8"/>
        <v>0.54656640198904316</v>
      </c>
      <c r="J75" s="154" t="b">
        <f t="shared" si="10"/>
        <v>0</v>
      </c>
      <c r="K75" s="150" t="b">
        <f t="shared" si="9"/>
        <v>1</v>
      </c>
      <c r="M75" s="201">
        <f t="shared" si="5"/>
        <v>9.6536024118625274E-3</v>
      </c>
      <c r="N75" s="201">
        <f t="shared" si="6"/>
        <v>3.585650787355954E-3</v>
      </c>
    </row>
    <row r="76" spans="1:14" x14ac:dyDescent="0.2">
      <c r="A76" s="152">
        <v>43191</v>
      </c>
      <c r="B76" s="7">
        <v>164214</v>
      </c>
      <c r="C76" s="7">
        <v>103245</v>
      </c>
      <c r="D76" s="7">
        <v>89844</v>
      </c>
      <c r="E76" s="7">
        <v>13401</v>
      </c>
      <c r="F76" s="7">
        <v>60970</v>
      </c>
      <c r="G76">
        <v>62.9</v>
      </c>
      <c r="H76">
        <v>13</v>
      </c>
      <c r="I76" s="193">
        <f t="shared" si="8"/>
        <v>0.54711534948299168</v>
      </c>
      <c r="J76" s="154" t="b">
        <f t="shared" si="10"/>
        <v>0</v>
      </c>
      <c r="K76" s="150" t="b">
        <f t="shared" si="9"/>
        <v>1</v>
      </c>
      <c r="M76" s="201">
        <f t="shared" si="5"/>
        <v>9.5784969506196305E-3</v>
      </c>
      <c r="N76" s="201">
        <f t="shared" si="6"/>
        <v>7.9685226821848421E-3</v>
      </c>
    </row>
    <row r="77" spans="1:14" x14ac:dyDescent="0.2">
      <c r="A77" s="152">
        <v>43221</v>
      </c>
      <c r="B77" s="7">
        <v>164342</v>
      </c>
      <c r="C77" s="7">
        <v>103165</v>
      </c>
      <c r="D77" s="7">
        <v>89951</v>
      </c>
      <c r="E77" s="7">
        <v>13214</v>
      </c>
      <c r="F77" s="7">
        <v>61177</v>
      </c>
      <c r="G77">
        <v>62.8</v>
      </c>
      <c r="H77">
        <v>12.8</v>
      </c>
      <c r="I77" s="193">
        <f t="shared" si="8"/>
        <v>0.54734030253982546</v>
      </c>
      <c r="J77" s="154" t="b">
        <f t="shared" si="10"/>
        <v>0</v>
      </c>
      <c r="K77" s="150" t="b">
        <f t="shared" si="9"/>
        <v>1</v>
      </c>
      <c r="M77" s="201">
        <f t="shared" si="5"/>
        <v>9.4965478267279302E-3</v>
      </c>
      <c r="N77" s="201">
        <f t="shared" si="6"/>
        <v>1.1792140777983517E-2</v>
      </c>
    </row>
    <row r="78" spans="1:14" x14ac:dyDescent="0.2">
      <c r="A78" s="152">
        <v>43252</v>
      </c>
      <c r="B78" s="7">
        <v>164466</v>
      </c>
      <c r="C78" s="7">
        <v>103160</v>
      </c>
      <c r="D78" s="7">
        <v>90212</v>
      </c>
      <c r="E78" s="7">
        <v>12948</v>
      </c>
      <c r="F78" s="7">
        <v>61306</v>
      </c>
      <c r="G78">
        <v>62.7</v>
      </c>
      <c r="H78">
        <v>12.6</v>
      </c>
      <c r="I78" s="193">
        <f t="shared" si="8"/>
        <v>0.548514586601486</v>
      </c>
      <c r="J78" s="154" t="b">
        <f t="shared" si="10"/>
        <v>0</v>
      </c>
      <c r="K78" s="150" t="b">
        <f t="shared" si="9"/>
        <v>1</v>
      </c>
      <c r="M78" s="201">
        <f t="shared" si="5"/>
        <v>9.427361443564708E-3</v>
      </c>
      <c r="N78" s="201">
        <f t="shared" si="6"/>
        <v>1.5958769037005105E-2</v>
      </c>
    </row>
    <row r="79" spans="1:14" x14ac:dyDescent="0.2">
      <c r="A79" s="152">
        <v>43282</v>
      </c>
      <c r="B79" s="7">
        <v>164593</v>
      </c>
      <c r="C79" s="7">
        <v>103491</v>
      </c>
      <c r="D79" s="7">
        <v>90632</v>
      </c>
      <c r="E79" s="7">
        <v>12860</v>
      </c>
      <c r="F79" s="7">
        <v>61101</v>
      </c>
      <c r="G79">
        <v>62.9</v>
      </c>
      <c r="H79">
        <v>12.4</v>
      </c>
      <c r="I79" s="193">
        <f t="shared" si="8"/>
        <v>0.55064310146847073</v>
      </c>
      <c r="J79" s="154" t="b">
        <f t="shared" si="10"/>
        <v>0</v>
      </c>
      <c r="K79" s="150" t="b">
        <f t="shared" si="9"/>
        <v>1</v>
      </c>
      <c r="M79" s="201">
        <f t="shared" si="5"/>
        <v>9.3457370806222517E-3</v>
      </c>
      <c r="N79" s="201">
        <f t="shared" si="6"/>
        <v>1.3602959473134169E-2</v>
      </c>
    </row>
    <row r="80" spans="1:14" x14ac:dyDescent="0.2">
      <c r="A80" s="152">
        <v>43313</v>
      </c>
      <c r="B80" s="7">
        <v>164715</v>
      </c>
      <c r="C80" s="7">
        <v>103785</v>
      </c>
      <c r="D80" s="7">
        <v>91073</v>
      </c>
      <c r="E80" s="7">
        <v>12712</v>
      </c>
      <c r="F80" s="7">
        <v>60930</v>
      </c>
      <c r="G80">
        <v>63</v>
      </c>
      <c r="H80">
        <v>12.2</v>
      </c>
      <c r="I80" s="193">
        <f t="shared" si="8"/>
        <v>0.5529126066235619</v>
      </c>
      <c r="J80" s="154" t="b">
        <f t="shared" si="10"/>
        <v>0</v>
      </c>
      <c r="K80" s="150" t="b">
        <f t="shared" si="9"/>
        <v>1</v>
      </c>
      <c r="M80" s="201">
        <f t="shared" ref="M80:M143" si="11">B80/B68-1</f>
        <v>9.2892726058371178E-3</v>
      </c>
      <c r="N80" s="201">
        <f t="shared" si="6"/>
        <v>1.1571729782677176E-2</v>
      </c>
    </row>
    <row r="81" spans="1:14" x14ac:dyDescent="0.2">
      <c r="A81" s="152">
        <v>43344</v>
      </c>
      <c r="B81" s="7">
        <v>164841</v>
      </c>
      <c r="C81" s="7">
        <v>104102</v>
      </c>
      <c r="D81" s="7">
        <v>91607</v>
      </c>
      <c r="E81" s="7">
        <v>12495</v>
      </c>
      <c r="F81" s="7">
        <v>60739</v>
      </c>
      <c r="G81">
        <v>63.2</v>
      </c>
      <c r="H81">
        <v>12</v>
      </c>
      <c r="I81" s="193">
        <f t="shared" si="8"/>
        <v>0.55572946051043126</v>
      </c>
      <c r="J81" s="154" t="b">
        <f t="shared" si="10"/>
        <v>0</v>
      </c>
      <c r="K81" s="150" t="b">
        <f t="shared" si="9"/>
        <v>1</v>
      </c>
      <c r="M81" s="201">
        <f t="shared" si="11"/>
        <v>9.2512092083512076E-3</v>
      </c>
      <c r="N81" s="201">
        <f t="shared" ref="N81:N144" si="12">F81/F69-1</f>
        <v>7.9488881513440912E-3</v>
      </c>
    </row>
    <row r="82" spans="1:14" x14ac:dyDescent="0.2">
      <c r="A82" s="152">
        <v>43374</v>
      </c>
      <c r="B82" s="7">
        <v>164967</v>
      </c>
      <c r="C82" s="7">
        <v>104333</v>
      </c>
      <c r="D82" s="7">
        <v>91973</v>
      </c>
      <c r="E82" s="7">
        <v>12361</v>
      </c>
      <c r="F82" s="7">
        <v>60633</v>
      </c>
      <c r="G82">
        <v>63.2</v>
      </c>
      <c r="H82">
        <v>11.8</v>
      </c>
      <c r="I82" s="193">
        <f t="shared" si="8"/>
        <v>0.55752362593730864</v>
      </c>
      <c r="J82" s="154" t="b">
        <f t="shared" si="10"/>
        <v>0</v>
      </c>
      <c r="K82" s="150" t="b">
        <f t="shared" si="9"/>
        <v>1</v>
      </c>
      <c r="M82" s="201">
        <f t="shared" si="11"/>
        <v>9.2132068199755057E-3</v>
      </c>
      <c r="N82" s="201">
        <f t="shared" si="12"/>
        <v>5.6057716228543608E-3</v>
      </c>
    </row>
    <row r="83" spans="1:14" x14ac:dyDescent="0.2">
      <c r="A83" s="152">
        <v>43405</v>
      </c>
      <c r="B83" s="7">
        <v>165088</v>
      </c>
      <c r="C83" s="7">
        <v>104466</v>
      </c>
      <c r="D83" s="7">
        <v>92247</v>
      </c>
      <c r="E83" s="7">
        <v>12219</v>
      </c>
      <c r="F83" s="7">
        <v>60622</v>
      </c>
      <c r="G83">
        <v>63.3</v>
      </c>
      <c r="H83">
        <v>11.7</v>
      </c>
      <c r="I83" s="193">
        <f t="shared" si="8"/>
        <v>0.55877471409187829</v>
      </c>
      <c r="J83" s="154" t="b">
        <f t="shared" si="10"/>
        <v>0</v>
      </c>
      <c r="K83" s="150" t="b">
        <f t="shared" si="9"/>
        <v>1</v>
      </c>
      <c r="M83" s="201">
        <f t="shared" si="11"/>
        <v>9.1817148166712936E-3</v>
      </c>
      <c r="N83" s="201">
        <f t="shared" si="12"/>
        <v>7.4953050472819083E-3</v>
      </c>
    </row>
    <row r="84" spans="1:14" x14ac:dyDescent="0.2">
      <c r="A84" s="152">
        <v>43435</v>
      </c>
      <c r="B84" s="7">
        <v>165213</v>
      </c>
      <c r="C84" s="7">
        <v>104367</v>
      </c>
      <c r="D84" s="7">
        <v>92152</v>
      </c>
      <c r="E84" s="7">
        <v>12215</v>
      </c>
      <c r="F84" s="7">
        <v>60845</v>
      </c>
      <c r="G84">
        <v>63.2</v>
      </c>
      <c r="H84">
        <v>11.7</v>
      </c>
      <c r="I84" s="193">
        <f t="shared" si="8"/>
        <v>0.55777693038683396</v>
      </c>
      <c r="J84" s="154" t="b">
        <f t="shared" si="10"/>
        <v>0</v>
      </c>
      <c r="K84" s="150" t="b">
        <f t="shared" si="9"/>
        <v>1</v>
      </c>
      <c r="M84" s="201">
        <f t="shared" si="11"/>
        <v>9.1438833101225026E-3</v>
      </c>
      <c r="N84" s="201">
        <f t="shared" si="12"/>
        <v>7.8514518560235391E-3</v>
      </c>
    </row>
    <row r="85" spans="1:14" s="168" customFormat="1" x14ac:dyDescent="0.2">
      <c r="A85" s="166">
        <v>43466</v>
      </c>
      <c r="B85" s="7">
        <v>165333</v>
      </c>
      <c r="C85" s="7">
        <v>104344</v>
      </c>
      <c r="D85" s="7">
        <v>91658</v>
      </c>
      <c r="E85" s="7">
        <v>12686</v>
      </c>
      <c r="F85" s="7">
        <v>60989</v>
      </c>
      <c r="G85">
        <v>63.1</v>
      </c>
      <c r="H85">
        <v>12.2</v>
      </c>
      <c r="I85" s="193">
        <f t="shared" si="8"/>
        <v>0.55438418222617381</v>
      </c>
      <c r="J85" s="154" t="b">
        <f t="shared" si="10"/>
        <v>0</v>
      </c>
      <c r="K85" s="150" t="b">
        <f t="shared" si="9"/>
        <v>1</v>
      </c>
      <c r="M85" s="201">
        <f t="shared" si="11"/>
        <v>9.1063897315080133E-3</v>
      </c>
      <c r="N85" s="201">
        <f t="shared" si="12"/>
        <v>8.2659657127741593E-3</v>
      </c>
    </row>
    <row r="86" spans="1:14" x14ac:dyDescent="0.2">
      <c r="A86" s="152">
        <v>43497</v>
      </c>
      <c r="B86" s="7">
        <v>165457</v>
      </c>
      <c r="C86" s="7">
        <v>104327</v>
      </c>
      <c r="D86" s="7">
        <v>91237</v>
      </c>
      <c r="E86" s="7">
        <v>13090</v>
      </c>
      <c r="F86" s="7">
        <v>61130</v>
      </c>
      <c r="G86">
        <v>63.1</v>
      </c>
      <c r="H86">
        <v>12.5</v>
      </c>
      <c r="I86" s="193">
        <f t="shared" si="8"/>
        <v>0.55142423711296595</v>
      </c>
      <c r="J86" s="154" t="b">
        <f t="shared" si="10"/>
        <v>0</v>
      </c>
      <c r="K86" s="150" t="b">
        <f t="shared" si="9"/>
        <v>1</v>
      </c>
      <c r="M86" s="201">
        <f t="shared" si="11"/>
        <v>9.0687320851374764E-3</v>
      </c>
      <c r="N86" s="201">
        <f t="shared" si="12"/>
        <v>6.5202357822635726E-3</v>
      </c>
    </row>
    <row r="87" spans="1:14" x14ac:dyDescent="0.2">
      <c r="A87" s="152">
        <v>43525</v>
      </c>
      <c r="B87" s="7">
        <v>165581</v>
      </c>
      <c r="C87" s="7">
        <v>104641</v>
      </c>
      <c r="D87" s="7">
        <v>91203</v>
      </c>
      <c r="E87" s="7">
        <v>13439</v>
      </c>
      <c r="F87" s="7">
        <v>60939</v>
      </c>
      <c r="G87">
        <v>63.2</v>
      </c>
      <c r="H87">
        <v>12.8</v>
      </c>
      <c r="I87" s="193">
        <f t="shared" si="8"/>
        <v>0.55080594995802656</v>
      </c>
      <c r="J87" s="154" t="b">
        <f t="shared" si="10"/>
        <v>0</v>
      </c>
      <c r="K87" s="150" t="b">
        <f t="shared" si="9"/>
        <v>1</v>
      </c>
      <c r="M87" s="201">
        <f t="shared" si="11"/>
        <v>9.0311336449337976E-3</v>
      </c>
      <c r="N87" s="201">
        <f t="shared" si="12"/>
        <v>3.3423340358271769E-3</v>
      </c>
    </row>
    <row r="88" spans="1:14" x14ac:dyDescent="0.2">
      <c r="A88" s="152">
        <v>43556</v>
      </c>
      <c r="B88" s="7">
        <v>165692</v>
      </c>
      <c r="C88" s="7">
        <v>105015</v>
      </c>
      <c r="D88" s="7">
        <v>91773</v>
      </c>
      <c r="E88" s="7">
        <v>13242</v>
      </c>
      <c r="F88" s="7">
        <v>60677</v>
      </c>
      <c r="G88">
        <v>63.4</v>
      </c>
      <c r="H88">
        <v>12.6</v>
      </c>
      <c r="I88" s="193">
        <f t="shared" si="8"/>
        <v>0.553877073123627</v>
      </c>
      <c r="J88" s="154" t="b">
        <f t="shared" si="10"/>
        <v>0</v>
      </c>
      <c r="K88" s="150" t="b">
        <f t="shared" si="9"/>
        <v>1</v>
      </c>
      <c r="M88" s="201">
        <f t="shared" si="11"/>
        <v>9.0004506314931287E-3</v>
      </c>
      <c r="N88" s="201">
        <f t="shared" si="12"/>
        <v>-4.805642119074971E-3</v>
      </c>
    </row>
    <row r="89" spans="1:14" x14ac:dyDescent="0.2">
      <c r="A89" s="152">
        <v>43586</v>
      </c>
      <c r="B89" s="7">
        <v>165815</v>
      </c>
      <c r="C89" s="7">
        <v>105341</v>
      </c>
      <c r="D89" s="7">
        <v>92293</v>
      </c>
      <c r="E89" s="7">
        <v>13049</v>
      </c>
      <c r="F89" s="7">
        <v>60474</v>
      </c>
      <c r="G89">
        <v>63.5</v>
      </c>
      <c r="H89">
        <v>12.4</v>
      </c>
      <c r="I89" s="193">
        <f t="shared" si="8"/>
        <v>0.55660223743328407</v>
      </c>
      <c r="J89" s="154" t="b">
        <f t="shared" si="10"/>
        <v>0</v>
      </c>
      <c r="K89" s="150" t="b">
        <f t="shared" si="9"/>
        <v>1</v>
      </c>
      <c r="M89" s="201">
        <f t="shared" si="11"/>
        <v>8.9630161492497695E-3</v>
      </c>
      <c r="N89" s="201">
        <f t="shared" si="12"/>
        <v>-1.1491246710365055E-2</v>
      </c>
    </row>
    <row r="90" spans="1:14" x14ac:dyDescent="0.2">
      <c r="A90" s="152">
        <v>43617</v>
      </c>
      <c r="B90" s="7">
        <v>165934</v>
      </c>
      <c r="C90" s="7">
        <v>105460</v>
      </c>
      <c r="D90" s="7">
        <v>92662</v>
      </c>
      <c r="E90" s="7">
        <v>12797</v>
      </c>
      <c r="F90" s="7">
        <v>60475</v>
      </c>
      <c r="G90">
        <v>63.6</v>
      </c>
      <c r="H90">
        <v>12.1</v>
      </c>
      <c r="I90" s="193">
        <f t="shared" si="8"/>
        <v>0.5584268444080176</v>
      </c>
      <c r="J90" s="154" t="b">
        <f t="shared" si="10"/>
        <v>0</v>
      </c>
      <c r="K90" s="150" t="b">
        <f t="shared" si="9"/>
        <v>1</v>
      </c>
      <c r="M90" s="201">
        <f t="shared" si="11"/>
        <v>8.9258570160397621E-3</v>
      </c>
      <c r="N90" s="201">
        <f t="shared" si="12"/>
        <v>-1.3554953838123551E-2</v>
      </c>
    </row>
    <row r="91" spans="1:14" x14ac:dyDescent="0.2">
      <c r="A91" s="152">
        <v>43647</v>
      </c>
      <c r="B91" s="7">
        <v>166056</v>
      </c>
      <c r="C91" s="7">
        <v>105476</v>
      </c>
      <c r="D91" s="7">
        <v>92875</v>
      </c>
      <c r="E91" s="7">
        <v>12600</v>
      </c>
      <c r="F91" s="7">
        <v>60581</v>
      </c>
      <c r="G91">
        <v>63.5</v>
      </c>
      <c r="H91">
        <v>11.9</v>
      </c>
      <c r="I91" s="193">
        <f t="shared" si="8"/>
        <v>0.55929927253456668</v>
      </c>
      <c r="J91" s="154" t="b">
        <f t="shared" si="10"/>
        <v>0</v>
      </c>
      <c r="K91" s="150" t="b">
        <f t="shared" si="9"/>
        <v>1</v>
      </c>
      <c r="M91" s="201">
        <f t="shared" si="11"/>
        <v>8.88859185992108E-3</v>
      </c>
      <c r="N91" s="201">
        <f t="shared" si="12"/>
        <v>-8.5104990098361366E-3</v>
      </c>
    </row>
    <row r="92" spans="1:14" x14ac:dyDescent="0.2">
      <c r="A92" s="152">
        <v>43678</v>
      </c>
      <c r="B92" s="7">
        <v>166176</v>
      </c>
      <c r="C92" s="7">
        <v>105584</v>
      </c>
      <c r="D92" s="7">
        <v>92972</v>
      </c>
      <c r="E92" s="7">
        <v>12612</v>
      </c>
      <c r="F92" s="7">
        <v>60592</v>
      </c>
      <c r="G92">
        <v>63.5</v>
      </c>
      <c r="H92">
        <v>11.9</v>
      </c>
      <c r="I92" s="193">
        <f t="shared" si="8"/>
        <v>0.55947910648950505</v>
      </c>
      <c r="J92" s="154" t="b">
        <f t="shared" si="10"/>
        <v>0</v>
      </c>
      <c r="K92" s="150" t="b">
        <f t="shared" si="9"/>
        <v>1</v>
      </c>
      <c r="M92" s="201">
        <f t="shared" si="11"/>
        <v>8.8698661324104755E-3</v>
      </c>
      <c r="N92" s="201">
        <f t="shared" si="12"/>
        <v>-5.5473494173642335E-3</v>
      </c>
    </row>
    <row r="93" spans="1:14" x14ac:dyDescent="0.2">
      <c r="A93" s="152">
        <v>43709</v>
      </c>
      <c r="B93" s="7">
        <v>166301</v>
      </c>
      <c r="C93" s="7">
        <v>105771</v>
      </c>
      <c r="D93" s="7">
        <v>93191</v>
      </c>
      <c r="E93" s="7">
        <v>12581</v>
      </c>
      <c r="F93" s="7">
        <v>60530</v>
      </c>
      <c r="G93">
        <v>63.6</v>
      </c>
      <c r="H93">
        <v>11.9</v>
      </c>
      <c r="I93" s="193">
        <f t="shared" si="8"/>
        <v>0.56037546376750591</v>
      </c>
      <c r="J93" s="154" t="b">
        <f t="shared" si="10"/>
        <v>0</v>
      </c>
      <c r="K93" s="150" t="b">
        <f t="shared" si="9"/>
        <v>1</v>
      </c>
      <c r="M93" s="201">
        <f t="shared" si="11"/>
        <v>8.8570197948325546E-3</v>
      </c>
      <c r="N93" s="201">
        <f t="shared" si="12"/>
        <v>-3.4409522711931206E-3</v>
      </c>
    </row>
    <row r="94" spans="1:14" x14ac:dyDescent="0.2">
      <c r="A94" s="152">
        <v>43739</v>
      </c>
      <c r="B94" s="7">
        <v>166426</v>
      </c>
      <c r="C94" s="7">
        <v>105922</v>
      </c>
      <c r="D94" s="7">
        <v>93479</v>
      </c>
      <c r="E94" s="7">
        <v>12443</v>
      </c>
      <c r="F94" s="7">
        <v>60504</v>
      </c>
      <c r="G94">
        <v>63.6</v>
      </c>
      <c r="H94">
        <v>11.7</v>
      </c>
      <c r="I94" s="193">
        <f t="shared" si="8"/>
        <v>0.56168507324576689</v>
      </c>
      <c r="J94" s="154" t="b">
        <f t="shared" si="10"/>
        <v>0</v>
      </c>
      <c r="K94" s="150" t="b">
        <f t="shared" si="9"/>
        <v>1</v>
      </c>
      <c r="M94" s="201">
        <f t="shared" si="11"/>
        <v>8.8441930810403413E-3</v>
      </c>
      <c r="N94" s="201">
        <f t="shared" si="12"/>
        <v>-2.1275543021127552E-3</v>
      </c>
    </row>
    <row r="95" spans="1:14" x14ac:dyDescent="0.2">
      <c r="A95" s="152">
        <v>43770</v>
      </c>
      <c r="B95" s="7">
        <v>166546</v>
      </c>
      <c r="C95" s="7">
        <v>105759</v>
      </c>
      <c r="D95" s="7">
        <v>93828</v>
      </c>
      <c r="E95" s="7">
        <v>11931</v>
      </c>
      <c r="F95" s="7">
        <v>60788</v>
      </c>
      <c r="G95">
        <v>63.5</v>
      </c>
      <c r="H95">
        <v>11.3</v>
      </c>
      <c r="I95" s="193">
        <f t="shared" si="8"/>
        <v>0.56337588414011741</v>
      </c>
      <c r="J95" s="154" t="b">
        <f t="shared" si="10"/>
        <v>0</v>
      </c>
      <c r="K95" s="150" t="b">
        <f t="shared" si="9"/>
        <v>1</v>
      </c>
      <c r="M95" s="201">
        <f t="shared" si="11"/>
        <v>8.8316534212056208E-3</v>
      </c>
      <c r="N95" s="201">
        <f t="shared" si="12"/>
        <v>2.7382798324040447E-3</v>
      </c>
    </row>
    <row r="96" spans="1:14" x14ac:dyDescent="0.2">
      <c r="A96" s="152">
        <v>43800</v>
      </c>
      <c r="B96" s="7">
        <v>166670</v>
      </c>
      <c r="C96" s="7">
        <v>105617</v>
      </c>
      <c r="D96" s="7">
        <v>93920</v>
      </c>
      <c r="E96" s="7">
        <v>11698</v>
      </c>
      <c r="F96" s="7">
        <v>61053</v>
      </c>
      <c r="G96">
        <v>63.4</v>
      </c>
      <c r="H96">
        <v>11.1</v>
      </c>
      <c r="I96" s="193">
        <f t="shared" si="8"/>
        <v>0.56350872982540345</v>
      </c>
      <c r="J96" s="154" t="b">
        <f t="shared" si="10"/>
        <v>0</v>
      </c>
      <c r="K96" s="150" t="b">
        <f t="shared" si="9"/>
        <v>1</v>
      </c>
      <c r="M96" s="201">
        <f t="shared" si="11"/>
        <v>8.8189186080998017E-3</v>
      </c>
      <c r="N96" s="201">
        <f t="shared" si="12"/>
        <v>3.4185224751417387E-3</v>
      </c>
    </row>
    <row r="97" spans="1:14" s="168" customFormat="1" x14ac:dyDescent="0.2">
      <c r="A97" s="166">
        <v>43831</v>
      </c>
      <c r="B97" s="7">
        <v>166790</v>
      </c>
      <c r="C97" s="7">
        <v>105497</v>
      </c>
      <c r="D97" s="7">
        <v>93524</v>
      </c>
      <c r="E97" s="7">
        <v>11973</v>
      </c>
      <c r="F97" s="7">
        <v>61293</v>
      </c>
      <c r="G97">
        <v>63.3</v>
      </c>
      <c r="H97">
        <v>11.3</v>
      </c>
      <c r="I97" s="193">
        <f t="shared" si="8"/>
        <v>0.56072906049523352</v>
      </c>
      <c r="J97" s="154" t="b">
        <f t="shared" si="10"/>
        <v>0</v>
      </c>
      <c r="K97" s="150" t="b">
        <f t="shared" si="9"/>
        <v>1</v>
      </c>
      <c r="M97" s="201">
        <f t="shared" si="11"/>
        <v>8.812517767172956E-3</v>
      </c>
      <c r="N97" s="201">
        <f t="shared" si="12"/>
        <v>4.9845054026136371E-3</v>
      </c>
    </row>
    <row r="98" spans="1:14" x14ac:dyDescent="0.2">
      <c r="A98" s="152">
        <v>43862</v>
      </c>
      <c r="B98" s="7">
        <v>166913</v>
      </c>
      <c r="C98" s="7">
        <v>105468</v>
      </c>
      <c r="D98" s="7">
        <v>93076</v>
      </c>
      <c r="E98" s="7">
        <v>12392</v>
      </c>
      <c r="F98" s="7">
        <v>61445</v>
      </c>
      <c r="G98">
        <v>63.2</v>
      </c>
      <c r="H98">
        <v>11.7</v>
      </c>
      <c r="I98" s="193">
        <f t="shared" si="8"/>
        <v>0.55763182016978907</v>
      </c>
      <c r="J98" s="154" t="b">
        <f t="shared" si="10"/>
        <v>0</v>
      </c>
      <c r="K98" s="150" t="b">
        <f t="shared" si="9"/>
        <v>1</v>
      </c>
      <c r="M98" s="201">
        <f t="shared" si="11"/>
        <v>8.7998694524862309E-3</v>
      </c>
      <c r="N98" s="201">
        <f t="shared" si="12"/>
        <v>5.15295272370353E-3</v>
      </c>
    </row>
    <row r="99" spans="1:14" x14ac:dyDescent="0.2">
      <c r="A99" s="152">
        <v>43891</v>
      </c>
      <c r="B99" s="7">
        <v>167036</v>
      </c>
      <c r="C99" s="7">
        <v>104448</v>
      </c>
      <c r="D99" s="7">
        <v>91523</v>
      </c>
      <c r="E99" s="7">
        <v>12925</v>
      </c>
      <c r="F99" s="7">
        <v>62588</v>
      </c>
      <c r="G99">
        <v>62.5</v>
      </c>
      <c r="H99">
        <v>12.4</v>
      </c>
      <c r="I99" s="193">
        <f t="shared" ref="I99:I130" si="13">D99/B99</f>
        <v>0.54792380085730019</v>
      </c>
      <c r="J99" s="154" t="b">
        <f t="shared" si="10"/>
        <v>0</v>
      </c>
      <c r="K99" s="150" t="b">
        <f t="shared" si="9"/>
        <v>1</v>
      </c>
      <c r="M99" s="201">
        <f t="shared" si="11"/>
        <v>8.7872400818933549E-3</v>
      </c>
      <c r="N99" s="201">
        <f t="shared" si="12"/>
        <v>2.705984673197781E-2</v>
      </c>
    </row>
    <row r="100" spans="1:14" x14ac:dyDescent="0.2">
      <c r="A100" s="152">
        <v>43922</v>
      </c>
      <c r="B100" s="7">
        <v>167151</v>
      </c>
      <c r="C100" s="7">
        <v>101515</v>
      </c>
      <c r="D100" s="7">
        <v>88585</v>
      </c>
      <c r="E100" s="7">
        <v>12930</v>
      </c>
      <c r="F100" s="7">
        <v>65636</v>
      </c>
      <c r="G100">
        <v>60.7</v>
      </c>
      <c r="H100">
        <v>12.7</v>
      </c>
      <c r="I100" s="193">
        <f t="shared" si="13"/>
        <v>0.52996990744895334</v>
      </c>
      <c r="J100" s="154" t="b">
        <f t="shared" si="10"/>
        <v>0</v>
      </c>
      <c r="K100" s="150" t="b">
        <f t="shared" si="9"/>
        <v>1</v>
      </c>
      <c r="M100" s="201">
        <f t="shared" si="11"/>
        <v>8.8054945320232836E-3</v>
      </c>
      <c r="N100" s="201">
        <f t="shared" si="12"/>
        <v>8.172783756612878E-2</v>
      </c>
    </row>
    <row r="101" spans="1:14" x14ac:dyDescent="0.2">
      <c r="A101" s="152">
        <v>43952</v>
      </c>
      <c r="B101" s="7">
        <v>167273</v>
      </c>
      <c r="C101" s="7">
        <v>98076</v>
      </c>
      <c r="D101" s="7">
        <v>85226</v>
      </c>
      <c r="E101" s="7">
        <v>12850</v>
      </c>
      <c r="F101" s="7">
        <v>69197</v>
      </c>
      <c r="G101">
        <v>58.6</v>
      </c>
      <c r="H101">
        <v>13.1</v>
      </c>
      <c r="I101" s="193">
        <f t="shared" si="13"/>
        <v>0.50950243015908125</v>
      </c>
      <c r="J101" s="154" t="b">
        <f t="shared" si="10"/>
        <v>0</v>
      </c>
      <c r="K101" s="150" t="b">
        <f t="shared" si="9"/>
        <v>1</v>
      </c>
      <c r="M101" s="201">
        <f t="shared" si="11"/>
        <v>8.7929318819166546E-3</v>
      </c>
      <c r="N101" s="201">
        <f t="shared" si="12"/>
        <v>0.14424380725601083</v>
      </c>
    </row>
    <row r="102" spans="1:14" x14ac:dyDescent="0.2">
      <c r="A102" s="152">
        <v>43983</v>
      </c>
      <c r="B102" s="7">
        <v>167391</v>
      </c>
      <c r="C102" s="7">
        <v>95589</v>
      </c>
      <c r="D102" s="7">
        <v>82610</v>
      </c>
      <c r="E102" s="7">
        <v>12979</v>
      </c>
      <c r="F102" s="7">
        <v>71802</v>
      </c>
      <c r="G102">
        <v>57.1</v>
      </c>
      <c r="H102">
        <v>13.6</v>
      </c>
      <c r="I102" s="193">
        <f t="shared" si="13"/>
        <v>0.49351518301461844</v>
      </c>
      <c r="J102" s="154" t="b">
        <f t="shared" si="10"/>
        <v>0</v>
      </c>
      <c r="K102" s="150" t="b">
        <f t="shared" si="9"/>
        <v>1</v>
      </c>
      <c r="M102" s="201">
        <f t="shared" si="11"/>
        <v>8.7805995154699445E-3</v>
      </c>
      <c r="N102" s="201">
        <f t="shared" si="12"/>
        <v>0.18730053741215369</v>
      </c>
    </row>
    <row r="103" spans="1:14" x14ac:dyDescent="0.2">
      <c r="A103" s="152">
        <v>44013</v>
      </c>
      <c r="B103" s="7">
        <v>167513</v>
      </c>
      <c r="C103" s="7">
        <v>94612</v>
      </c>
      <c r="D103" s="7">
        <v>81285</v>
      </c>
      <c r="E103" s="7">
        <v>13327</v>
      </c>
      <c r="F103" s="7">
        <v>72901</v>
      </c>
      <c r="G103">
        <v>56.5</v>
      </c>
      <c r="H103">
        <v>14.1</v>
      </c>
      <c r="I103" s="193">
        <f t="shared" si="13"/>
        <v>0.48524592121208504</v>
      </c>
      <c r="J103" s="154" t="b">
        <f t="shared" si="10"/>
        <v>0</v>
      </c>
      <c r="K103" s="150" t="b">
        <f t="shared" si="9"/>
        <v>1</v>
      </c>
      <c r="M103" s="201">
        <f t="shared" si="11"/>
        <v>8.7741484800307745E-3</v>
      </c>
      <c r="N103" s="201">
        <f t="shared" si="12"/>
        <v>0.20336409105164988</v>
      </c>
    </row>
    <row r="104" spans="1:14" x14ac:dyDescent="0.2">
      <c r="A104" s="152">
        <v>44044</v>
      </c>
      <c r="B104" s="7">
        <v>167628</v>
      </c>
      <c r="C104" s="7">
        <v>95172</v>
      </c>
      <c r="D104" s="7">
        <v>81129</v>
      </c>
      <c r="E104" s="7">
        <v>14043</v>
      </c>
      <c r="F104" s="7">
        <v>72456</v>
      </c>
      <c r="G104">
        <v>56.8</v>
      </c>
      <c r="H104">
        <v>14.8</v>
      </c>
      <c r="I104" s="193">
        <f t="shared" si="13"/>
        <v>0.4839823895769203</v>
      </c>
      <c r="J104" s="154" t="b">
        <f t="shared" si="10"/>
        <v>0</v>
      </c>
      <c r="K104" s="150" t="b">
        <f t="shared" si="9"/>
        <v>1</v>
      </c>
      <c r="M104" s="201">
        <f t="shared" si="11"/>
        <v>8.7377238590409245E-3</v>
      </c>
      <c r="N104" s="201">
        <f t="shared" si="12"/>
        <v>0.19580142593081584</v>
      </c>
    </row>
    <row r="105" spans="1:14" x14ac:dyDescent="0.2">
      <c r="A105" s="152">
        <v>44075</v>
      </c>
      <c r="B105" s="7">
        <v>167744</v>
      </c>
      <c r="C105" s="7">
        <v>96267</v>
      </c>
      <c r="D105" s="7">
        <v>81954</v>
      </c>
      <c r="E105" s="7">
        <v>14313</v>
      </c>
      <c r="F105" s="7">
        <v>71476</v>
      </c>
      <c r="G105">
        <v>57.4</v>
      </c>
      <c r="H105">
        <v>14.9</v>
      </c>
      <c r="I105" s="193">
        <f t="shared" si="13"/>
        <v>0.48856590995803129</v>
      </c>
      <c r="J105" s="154" t="b">
        <f t="shared" si="10"/>
        <v>0</v>
      </c>
      <c r="K105" s="150" t="b">
        <f t="shared" si="9"/>
        <v>1</v>
      </c>
      <c r="M105" s="201">
        <f t="shared" si="11"/>
        <v>8.6770374200997313E-3</v>
      </c>
      <c r="N105" s="201">
        <f t="shared" si="12"/>
        <v>0.18083594911614065</v>
      </c>
    </row>
    <row r="106" spans="1:14" x14ac:dyDescent="0.2">
      <c r="A106" s="152">
        <v>44105</v>
      </c>
      <c r="B106" s="7">
        <v>167860</v>
      </c>
      <c r="C106" s="7">
        <v>98046</v>
      </c>
      <c r="D106" s="7">
        <v>83767</v>
      </c>
      <c r="E106" s="7">
        <v>14279</v>
      </c>
      <c r="F106" s="7">
        <v>69813</v>
      </c>
      <c r="G106">
        <v>58.4</v>
      </c>
      <c r="H106">
        <v>14.6</v>
      </c>
      <c r="I106" s="193">
        <f t="shared" si="13"/>
        <v>0.49902895269867747</v>
      </c>
      <c r="J106" s="154" t="b">
        <f t="shared" si="10"/>
        <v>0</v>
      </c>
      <c r="K106" s="150" t="b">
        <f t="shared" si="9"/>
        <v>1</v>
      </c>
      <c r="M106" s="201">
        <f t="shared" si="11"/>
        <v>8.6164421424537174E-3</v>
      </c>
      <c r="N106" s="201">
        <f t="shared" si="12"/>
        <v>0.15385759619198724</v>
      </c>
    </row>
    <row r="107" spans="1:14" x14ac:dyDescent="0.2">
      <c r="A107" s="152">
        <v>44136</v>
      </c>
      <c r="B107" s="7">
        <v>167971</v>
      </c>
      <c r="C107" s="7">
        <v>99260</v>
      </c>
      <c r="D107" s="7">
        <v>85025</v>
      </c>
      <c r="E107" s="7">
        <v>14235</v>
      </c>
      <c r="F107" s="7">
        <v>68711</v>
      </c>
      <c r="G107">
        <v>59.1</v>
      </c>
      <c r="H107">
        <v>14.3</v>
      </c>
      <c r="I107" s="193">
        <f t="shared" si="13"/>
        <v>0.50618856826476</v>
      </c>
      <c r="J107" s="154" t="b">
        <f t="shared" si="10"/>
        <v>0</v>
      </c>
      <c r="K107" s="150" t="b">
        <f t="shared" si="9"/>
        <v>1</v>
      </c>
      <c r="M107" s="201">
        <f t="shared" si="11"/>
        <v>8.5561946849519455E-3</v>
      </c>
      <c r="N107" s="201">
        <f t="shared" si="12"/>
        <v>0.13033822464960187</v>
      </c>
    </row>
    <row r="108" spans="1:14" x14ac:dyDescent="0.2">
      <c r="A108" s="152">
        <v>44166</v>
      </c>
      <c r="B108" s="7">
        <v>168086</v>
      </c>
      <c r="C108" s="7">
        <v>99804</v>
      </c>
      <c r="D108" s="7">
        <v>85669</v>
      </c>
      <c r="E108" s="7">
        <v>14135</v>
      </c>
      <c r="F108" s="7">
        <v>68283</v>
      </c>
      <c r="G108">
        <v>59.4</v>
      </c>
      <c r="H108">
        <v>14.2</v>
      </c>
      <c r="I108" s="193">
        <f t="shared" si="13"/>
        <v>0.50967361945670664</v>
      </c>
      <c r="J108" s="154" t="b">
        <f t="shared" si="10"/>
        <v>0</v>
      </c>
      <c r="K108" s="150" t="b">
        <f t="shared" si="9"/>
        <v>1</v>
      </c>
      <c r="M108" s="201">
        <f t="shared" si="11"/>
        <v>8.4958300833983813E-3</v>
      </c>
      <c r="N108" s="201">
        <f t="shared" si="12"/>
        <v>0.1184216991794016</v>
      </c>
    </row>
    <row r="109" spans="1:14" s="168" customFormat="1" x14ac:dyDescent="0.2">
      <c r="A109" s="166">
        <v>44197</v>
      </c>
      <c r="B109" s="7">
        <v>168197</v>
      </c>
      <c r="C109" s="7">
        <v>100114</v>
      </c>
      <c r="D109" s="7">
        <v>85648</v>
      </c>
      <c r="E109" s="7">
        <v>14466</v>
      </c>
      <c r="F109" s="7">
        <v>68083</v>
      </c>
      <c r="G109">
        <v>59.5</v>
      </c>
      <c r="H109">
        <v>14.4</v>
      </c>
      <c r="I109" s="193">
        <f t="shared" si="13"/>
        <v>0.509212411636355</v>
      </c>
      <c r="J109" s="154" t="b">
        <f t="shared" si="10"/>
        <v>0</v>
      </c>
      <c r="K109" s="150" t="b">
        <f t="shared" si="9"/>
        <v>1</v>
      </c>
      <c r="M109" s="201">
        <f t="shared" si="11"/>
        <v>8.4357575394207185E-3</v>
      </c>
      <c r="N109" s="201">
        <f t="shared" si="12"/>
        <v>0.11077937121694159</v>
      </c>
    </row>
    <row r="110" spans="1:14" x14ac:dyDescent="0.2">
      <c r="A110" s="152">
        <v>44228</v>
      </c>
      <c r="B110" s="7">
        <v>168312</v>
      </c>
      <c r="C110" s="7">
        <v>100357</v>
      </c>
      <c r="D110" s="7">
        <v>85709</v>
      </c>
      <c r="E110" s="7">
        <v>14648</v>
      </c>
      <c r="F110" s="7">
        <v>67954</v>
      </c>
      <c r="G110">
        <v>59.6</v>
      </c>
      <c r="H110">
        <v>14.6</v>
      </c>
      <c r="I110" s="193">
        <f t="shared" si="13"/>
        <v>0.50922691192547176</v>
      </c>
      <c r="J110" s="154" t="b">
        <f t="shared" si="10"/>
        <v>0</v>
      </c>
      <c r="K110" s="150" t="b">
        <f t="shared" si="9"/>
        <v>1</v>
      </c>
      <c r="M110" s="201">
        <f t="shared" si="11"/>
        <v>8.3816119774973163E-3</v>
      </c>
      <c r="N110" s="201">
        <f t="shared" si="12"/>
        <v>0.10593213442916438</v>
      </c>
    </row>
    <row r="111" spans="1:14" x14ac:dyDescent="0.2">
      <c r="A111" s="152">
        <v>44256</v>
      </c>
      <c r="B111" s="7">
        <v>168426</v>
      </c>
      <c r="C111" s="7">
        <v>100476</v>
      </c>
      <c r="D111" s="7">
        <v>85497</v>
      </c>
      <c r="E111" s="7">
        <v>14979</v>
      </c>
      <c r="F111" s="7">
        <v>67950</v>
      </c>
      <c r="G111">
        <v>59.7</v>
      </c>
      <c r="H111">
        <v>14.9</v>
      </c>
      <c r="I111" s="193">
        <f t="shared" si="13"/>
        <v>0.50762352605892203</v>
      </c>
      <c r="J111" s="154" t="b">
        <f t="shared" si="10"/>
        <v>0</v>
      </c>
      <c r="K111" s="150" t="b">
        <f t="shared" si="9"/>
        <v>1</v>
      </c>
      <c r="M111" s="201">
        <f t="shared" si="11"/>
        <v>8.3215594243157831E-3</v>
      </c>
      <c r="N111" s="201">
        <f t="shared" si="12"/>
        <v>8.5671374704416214E-2</v>
      </c>
    </row>
    <row r="112" spans="1:14" x14ac:dyDescent="0.2">
      <c r="A112" s="152">
        <v>44287</v>
      </c>
      <c r="B112" s="7">
        <v>168528</v>
      </c>
      <c r="C112" s="7">
        <v>100795</v>
      </c>
      <c r="D112" s="7">
        <v>85880</v>
      </c>
      <c r="E112" s="7">
        <v>14915</v>
      </c>
      <c r="F112" s="7">
        <v>67733</v>
      </c>
      <c r="G112">
        <v>59.8</v>
      </c>
      <c r="H112">
        <v>14.8</v>
      </c>
      <c r="I112" s="193">
        <f t="shared" si="13"/>
        <v>0.50958891104148862</v>
      </c>
      <c r="J112" s="154" t="b">
        <f t="shared" si="10"/>
        <v>0</v>
      </c>
      <c r="K112" s="150" t="b">
        <f t="shared" si="9"/>
        <v>1</v>
      </c>
      <c r="M112" s="201">
        <f t="shared" si="11"/>
        <v>8.2380601970672984E-3</v>
      </c>
      <c r="N112" s="201">
        <f t="shared" si="12"/>
        <v>3.1948930464988701E-2</v>
      </c>
    </row>
    <row r="113" spans="1:14" x14ac:dyDescent="0.2">
      <c r="A113" s="152">
        <v>44317</v>
      </c>
      <c r="B113" s="7">
        <v>168642</v>
      </c>
      <c r="C113" s="7">
        <v>101491</v>
      </c>
      <c r="D113" s="7">
        <v>86536</v>
      </c>
      <c r="E113" s="7">
        <v>14955</v>
      </c>
      <c r="F113" s="7">
        <v>67151</v>
      </c>
      <c r="G113">
        <v>60.2</v>
      </c>
      <c r="H113">
        <v>14.7</v>
      </c>
      <c r="I113" s="193">
        <f t="shared" si="13"/>
        <v>0.5131343318983409</v>
      </c>
      <c r="J113" s="154" t="b">
        <f t="shared" si="10"/>
        <v>0</v>
      </c>
      <c r="K113" s="150" t="b">
        <f t="shared" si="9"/>
        <v>1</v>
      </c>
      <c r="M113" s="201">
        <f t="shared" si="11"/>
        <v>8.1842257865882839E-3</v>
      </c>
      <c r="N113" s="201">
        <f t="shared" si="12"/>
        <v>-2.9567755827564768E-2</v>
      </c>
    </row>
    <row r="114" spans="1:14" x14ac:dyDescent="0.2">
      <c r="A114" s="152">
        <v>44348</v>
      </c>
      <c r="B114" s="7">
        <v>168751</v>
      </c>
      <c r="C114" s="7">
        <v>102315</v>
      </c>
      <c r="D114" s="7">
        <v>87743</v>
      </c>
      <c r="E114" s="7">
        <v>14572</v>
      </c>
      <c r="F114" s="7">
        <v>66436</v>
      </c>
      <c r="G114">
        <v>60.6</v>
      </c>
      <c r="H114">
        <v>14.2</v>
      </c>
      <c r="I114" s="193">
        <f t="shared" si="13"/>
        <v>0.51995543730111227</v>
      </c>
      <c r="J114" s="154" t="b">
        <f t="shared" si="10"/>
        <v>0</v>
      </c>
      <c r="K114" s="150" t="b">
        <f t="shared" si="9"/>
        <v>1</v>
      </c>
      <c r="M114" s="201">
        <f t="shared" si="11"/>
        <v>8.1246900968390268E-3</v>
      </c>
      <c r="N114" s="201">
        <f t="shared" si="12"/>
        <v>-7.4733294337205103E-2</v>
      </c>
    </row>
    <row r="115" spans="1:14" x14ac:dyDescent="0.2">
      <c r="A115" s="152">
        <v>44378</v>
      </c>
      <c r="B115" s="7">
        <v>168864</v>
      </c>
      <c r="C115" s="7">
        <v>103150</v>
      </c>
      <c r="D115" s="7">
        <v>88992</v>
      </c>
      <c r="E115" s="7">
        <v>14157</v>
      </c>
      <c r="F115" s="7">
        <v>65714</v>
      </c>
      <c r="G115">
        <v>61.1</v>
      </c>
      <c r="H115">
        <v>13.7</v>
      </c>
      <c r="I115" s="193">
        <f t="shared" si="13"/>
        <v>0.52700397953382605</v>
      </c>
      <c r="J115" s="154" t="b">
        <f t="shared" si="10"/>
        <v>0</v>
      </c>
      <c r="K115" s="150" t="b">
        <f t="shared" si="9"/>
        <v>1</v>
      </c>
      <c r="M115" s="201">
        <f t="shared" si="11"/>
        <v>8.0650456979458607E-3</v>
      </c>
      <c r="N115" s="201">
        <f t="shared" si="12"/>
        <v>-9.8585753281847932E-2</v>
      </c>
    </row>
    <row r="116" spans="1:14" x14ac:dyDescent="0.2">
      <c r="A116" s="152">
        <v>44409</v>
      </c>
      <c r="B116" s="7">
        <v>168974</v>
      </c>
      <c r="C116" s="7">
        <v>103667</v>
      </c>
      <c r="D116" s="7">
        <v>90033</v>
      </c>
      <c r="E116" s="7">
        <v>13634</v>
      </c>
      <c r="F116" s="7">
        <v>65307</v>
      </c>
      <c r="G116">
        <v>61.4</v>
      </c>
      <c r="H116">
        <v>13.2</v>
      </c>
      <c r="I116" s="193">
        <f t="shared" si="13"/>
        <v>0.53282161752695678</v>
      </c>
      <c r="J116" s="154" t="b">
        <f t="shared" si="10"/>
        <v>0</v>
      </c>
      <c r="K116" s="150" t="b">
        <f t="shared" si="9"/>
        <v>1</v>
      </c>
      <c r="M116" s="201">
        <f t="shared" si="11"/>
        <v>8.0296847781993197E-3</v>
      </c>
      <c r="N116" s="201">
        <f t="shared" si="12"/>
        <v>-9.8666777078502799E-2</v>
      </c>
    </row>
    <row r="117" spans="1:14" x14ac:dyDescent="0.2">
      <c r="A117" s="152">
        <v>44440</v>
      </c>
      <c r="B117" s="7">
        <v>169089</v>
      </c>
      <c r="C117" s="7">
        <v>104483</v>
      </c>
      <c r="D117" s="7">
        <v>91265</v>
      </c>
      <c r="E117" s="7">
        <v>13218</v>
      </c>
      <c r="F117" s="7">
        <v>64606</v>
      </c>
      <c r="G117">
        <v>61.8</v>
      </c>
      <c r="H117">
        <v>12.7</v>
      </c>
      <c r="I117" s="193">
        <f t="shared" si="13"/>
        <v>0.53974534121084161</v>
      </c>
      <c r="J117" s="154" t="b">
        <f t="shared" si="10"/>
        <v>0</v>
      </c>
      <c r="K117" s="150" t="b">
        <f t="shared" si="9"/>
        <v>1</v>
      </c>
      <c r="M117" s="201">
        <f t="shared" si="11"/>
        <v>8.0181705455932839E-3</v>
      </c>
      <c r="N117" s="201">
        <f t="shared" si="12"/>
        <v>-9.6116178857238777E-2</v>
      </c>
    </row>
    <row r="118" spans="1:14" x14ac:dyDescent="0.2">
      <c r="A118" s="169">
        <v>44470</v>
      </c>
      <c r="B118" s="7">
        <v>169203</v>
      </c>
      <c r="C118" s="7">
        <v>104904</v>
      </c>
      <c r="D118" s="7">
        <v>92230</v>
      </c>
      <c r="E118" s="7">
        <v>12675</v>
      </c>
      <c r="F118" s="7">
        <v>64299</v>
      </c>
      <c r="G118">
        <v>62</v>
      </c>
      <c r="H118">
        <v>12.1</v>
      </c>
      <c r="I118" s="193">
        <f t="shared" si="13"/>
        <v>0.54508489802190263</v>
      </c>
      <c r="J118" s="154" t="b">
        <f t="shared" si="10"/>
        <v>0</v>
      </c>
      <c r="K118" s="150" t="b">
        <f t="shared" si="9"/>
        <v>1</v>
      </c>
      <c r="M118" s="201">
        <f t="shared" si="11"/>
        <v>8.0007148814489337E-3</v>
      </c>
      <c r="N118" s="201">
        <f t="shared" si="12"/>
        <v>-7.8982424476816693E-2</v>
      </c>
    </row>
    <row r="119" spans="1:14" x14ac:dyDescent="0.2">
      <c r="A119" s="152">
        <v>44501</v>
      </c>
      <c r="B119" s="7">
        <v>169314</v>
      </c>
      <c r="C119" s="7">
        <v>105368</v>
      </c>
      <c r="D119" s="7">
        <v>93184</v>
      </c>
      <c r="E119" s="7">
        <v>12183</v>
      </c>
      <c r="F119" s="7">
        <v>63946</v>
      </c>
      <c r="G119">
        <v>62.2</v>
      </c>
      <c r="H119">
        <v>11.6</v>
      </c>
      <c r="I119" s="193">
        <f t="shared" si="13"/>
        <v>0.55036204921034293</v>
      </c>
      <c r="J119" s="154" t="b">
        <f t="shared" si="10"/>
        <v>0</v>
      </c>
      <c r="K119" s="150" t="b">
        <f t="shared" si="9"/>
        <v>1</v>
      </c>
      <c r="M119" s="201">
        <f t="shared" si="11"/>
        <v>7.9954277821767672E-3</v>
      </c>
      <c r="N119" s="201">
        <f t="shared" si="12"/>
        <v>-6.9348430382325965E-2</v>
      </c>
    </row>
    <row r="120" spans="1:14" x14ac:dyDescent="0.2">
      <c r="A120" s="152">
        <v>44531</v>
      </c>
      <c r="B120" s="7">
        <v>169428</v>
      </c>
      <c r="C120" s="7">
        <v>105781</v>
      </c>
      <c r="D120" s="7">
        <v>93988</v>
      </c>
      <c r="E120" s="7">
        <v>11793</v>
      </c>
      <c r="F120" s="7">
        <v>63647</v>
      </c>
      <c r="G120">
        <v>62.4</v>
      </c>
      <c r="H120">
        <v>11.1</v>
      </c>
      <c r="I120" s="193">
        <f t="shared" si="13"/>
        <v>0.55473711547087845</v>
      </c>
      <c r="J120" s="154" t="b">
        <f t="shared" si="10"/>
        <v>0</v>
      </c>
      <c r="K120" s="150" t="b">
        <f t="shared" si="9"/>
        <v>1</v>
      </c>
      <c r="L120" s="156"/>
      <c r="M120" s="201">
        <f t="shared" si="11"/>
        <v>7.9840081862856405E-3</v>
      </c>
      <c r="N120" s="201">
        <f t="shared" si="12"/>
        <v>-6.7893912101108622E-2</v>
      </c>
    </row>
    <row r="121" spans="1:14" x14ac:dyDescent="0.2">
      <c r="A121" s="152">
        <v>44562</v>
      </c>
      <c r="B121" s="7">
        <v>169538</v>
      </c>
      <c r="C121" s="7">
        <v>105504</v>
      </c>
      <c r="D121" s="7">
        <v>93679</v>
      </c>
      <c r="E121" s="7">
        <v>11824</v>
      </c>
      <c r="F121" s="7">
        <v>64034</v>
      </c>
      <c r="G121">
        <v>62.2</v>
      </c>
      <c r="H121">
        <v>11.2</v>
      </c>
      <c r="I121" s="193">
        <f t="shared" si="13"/>
        <v>0.55255458953155046</v>
      </c>
      <c r="J121" s="154" t="b">
        <f t="shared" si="10"/>
        <v>0</v>
      </c>
      <c r="K121" s="150" t="b">
        <f t="shared" si="9"/>
        <v>1</v>
      </c>
      <c r="L121" s="156"/>
      <c r="M121" s="201">
        <f t="shared" si="11"/>
        <v>7.972793807261791E-3</v>
      </c>
      <c r="N121" s="201">
        <f t="shared" si="12"/>
        <v>-5.9471527400378976E-2</v>
      </c>
    </row>
    <row r="122" spans="1:14" s="168" customFormat="1" x14ac:dyDescent="0.2">
      <c r="A122" s="166">
        <v>44593</v>
      </c>
      <c r="B122" s="7">
        <v>169651</v>
      </c>
      <c r="C122" s="7">
        <v>105281</v>
      </c>
      <c r="D122" s="7">
        <v>93490</v>
      </c>
      <c r="E122" s="7">
        <v>11791</v>
      </c>
      <c r="F122" s="7">
        <v>64370</v>
      </c>
      <c r="G122">
        <v>62.1</v>
      </c>
      <c r="H122">
        <v>11.2</v>
      </c>
      <c r="I122" s="193">
        <f t="shared" si="13"/>
        <v>0.5510724958886184</v>
      </c>
      <c r="J122" s="154" t="b">
        <f t="shared" si="10"/>
        <v>0</v>
      </c>
      <c r="K122" s="150" t="b">
        <f t="shared" si="9"/>
        <v>1</v>
      </c>
      <c r="L122" s="167"/>
      <c r="M122" s="201">
        <f t="shared" si="11"/>
        <v>7.9554636627217068E-3</v>
      </c>
      <c r="N122" s="201">
        <f t="shared" si="12"/>
        <v>-5.2741560467374993E-2</v>
      </c>
    </row>
    <row r="123" spans="1:14" x14ac:dyDescent="0.2">
      <c r="A123" s="152">
        <v>44621</v>
      </c>
      <c r="B123" s="7">
        <v>169764</v>
      </c>
      <c r="C123" s="7">
        <v>105248</v>
      </c>
      <c r="D123" s="7">
        <v>93523</v>
      </c>
      <c r="E123" s="7">
        <v>11725</v>
      </c>
      <c r="F123" s="7">
        <v>64516</v>
      </c>
      <c r="G123">
        <v>62</v>
      </c>
      <c r="H123">
        <v>11.1</v>
      </c>
      <c r="I123" s="193">
        <f t="shared" si="13"/>
        <v>0.55090007304257671</v>
      </c>
      <c r="J123" s="154" t="b">
        <f t="shared" si="10"/>
        <v>0</v>
      </c>
      <c r="K123" s="150" t="b">
        <f t="shared" si="9"/>
        <v>1</v>
      </c>
      <c r="L123" s="156"/>
      <c r="M123" s="201">
        <f t="shared" si="11"/>
        <v>7.9441416408392307E-3</v>
      </c>
      <c r="N123" s="201">
        <f t="shared" si="12"/>
        <v>-5.0537159676232513E-2</v>
      </c>
    </row>
    <row r="124" spans="1:14" x14ac:dyDescent="0.2">
      <c r="A124" s="152">
        <v>44652</v>
      </c>
      <c r="B124" s="7">
        <v>169866</v>
      </c>
      <c r="C124" s="7">
        <v>105866</v>
      </c>
      <c r="D124" s="7">
        <v>94729</v>
      </c>
      <c r="E124" s="7">
        <v>11137</v>
      </c>
      <c r="F124" s="7">
        <v>64000</v>
      </c>
      <c r="G124">
        <v>62.3</v>
      </c>
      <c r="H124">
        <v>10.5</v>
      </c>
      <c r="I124" s="193">
        <f t="shared" si="13"/>
        <v>0.55766898614201788</v>
      </c>
      <c r="J124" s="154" t="b">
        <f t="shared" si="10"/>
        <v>0</v>
      </c>
      <c r="K124" s="150" t="b">
        <f t="shared" si="9"/>
        <v>1</v>
      </c>
      <c r="L124" s="156"/>
      <c r="M124" s="201">
        <f t="shared" si="11"/>
        <v>7.9393335232127438E-3</v>
      </c>
      <c r="N124" s="201">
        <f t="shared" si="12"/>
        <v>-5.5113460204036402E-2</v>
      </c>
    </row>
    <row r="125" spans="1:14" x14ac:dyDescent="0.2">
      <c r="A125" s="152">
        <v>44682</v>
      </c>
      <c r="B125" s="7">
        <v>169978</v>
      </c>
      <c r="C125" s="7">
        <v>106143</v>
      </c>
      <c r="D125" s="7">
        <v>95709</v>
      </c>
      <c r="E125" s="7">
        <v>10434</v>
      </c>
      <c r="F125" s="7">
        <v>63835</v>
      </c>
      <c r="G125">
        <v>62.4</v>
      </c>
      <c r="H125">
        <v>9.8000000000000007</v>
      </c>
      <c r="I125" s="193">
        <f t="shared" si="13"/>
        <v>0.56306698513925335</v>
      </c>
      <c r="J125" s="154" t="b">
        <f t="shared" si="10"/>
        <v>0</v>
      </c>
      <c r="K125" s="150" t="b">
        <f t="shared" si="9"/>
        <v>1</v>
      </c>
      <c r="L125" s="156"/>
      <c r="M125" s="201">
        <f t="shared" si="11"/>
        <v>7.9221071856359071E-3</v>
      </c>
      <c r="N125" s="201">
        <f t="shared" si="12"/>
        <v>-4.9381245253235284E-2</v>
      </c>
    </row>
    <row r="126" spans="1:14" x14ac:dyDescent="0.2">
      <c r="A126" s="152">
        <v>44713</v>
      </c>
      <c r="B126" s="7">
        <v>170087</v>
      </c>
      <c r="C126" s="7">
        <v>106340</v>
      </c>
      <c r="D126" s="7">
        <v>96445</v>
      </c>
      <c r="E126" s="7">
        <v>9895</v>
      </c>
      <c r="F126" s="7">
        <v>63747</v>
      </c>
      <c r="G126">
        <v>62.5</v>
      </c>
      <c r="H126">
        <v>9.3000000000000007</v>
      </c>
      <c r="I126" s="193">
        <f t="shared" si="13"/>
        <v>0.56703334176039322</v>
      </c>
      <c r="J126" s="154" t="b">
        <f t="shared" si="10"/>
        <v>0</v>
      </c>
      <c r="K126" s="150" t="b">
        <f t="shared" si="9"/>
        <v>1</v>
      </c>
      <c r="L126" s="156"/>
      <c r="M126" s="201">
        <f t="shared" si="11"/>
        <v>7.9169901215401239E-3</v>
      </c>
      <c r="N126" s="201">
        <f t="shared" si="12"/>
        <v>-4.0475043651032605E-2</v>
      </c>
    </row>
    <row r="127" spans="1:14" x14ac:dyDescent="0.2">
      <c r="A127" s="152">
        <v>44743</v>
      </c>
      <c r="B127" s="7">
        <v>170199</v>
      </c>
      <c r="C127" s="7">
        <v>106533</v>
      </c>
      <c r="D127" s="7">
        <v>96833</v>
      </c>
      <c r="E127" s="7">
        <v>9700</v>
      </c>
      <c r="F127" s="7">
        <v>63666</v>
      </c>
      <c r="G127">
        <v>62.6</v>
      </c>
      <c r="H127">
        <v>9.1</v>
      </c>
      <c r="I127" s="193">
        <f t="shared" si="13"/>
        <v>0.56893988801344308</v>
      </c>
      <c r="J127" s="154" t="b">
        <f t="shared" si="10"/>
        <v>0</v>
      </c>
      <c r="K127" s="150" t="b">
        <f t="shared" si="9"/>
        <v>1</v>
      </c>
      <c r="L127" s="156"/>
      <c r="M127" s="201">
        <f t="shared" si="11"/>
        <v>7.9057703240477117E-3</v>
      </c>
      <c r="N127" s="201">
        <f t="shared" si="12"/>
        <v>-3.1165352892838616E-2</v>
      </c>
    </row>
    <row r="128" spans="1:14" x14ac:dyDescent="0.2">
      <c r="A128" s="152">
        <v>44774</v>
      </c>
      <c r="B128" s="7">
        <v>170309</v>
      </c>
      <c r="C128" s="7">
        <v>106685</v>
      </c>
      <c r="D128" s="7">
        <v>97179</v>
      </c>
      <c r="E128" s="7">
        <v>9506</v>
      </c>
      <c r="F128" s="7">
        <v>63624</v>
      </c>
      <c r="G128">
        <v>62.6</v>
      </c>
      <c r="H128">
        <v>8.9</v>
      </c>
      <c r="I128" s="193">
        <f t="shared" si="13"/>
        <v>0.57060401975233255</v>
      </c>
      <c r="J128" s="154" t="b">
        <f t="shared" si="10"/>
        <v>0</v>
      </c>
      <c r="K128" s="150" t="b">
        <f t="shared" si="9"/>
        <v>1</v>
      </c>
      <c r="L128" s="156"/>
      <c r="M128" s="201">
        <f t="shared" si="11"/>
        <v>7.9006237646028765E-3</v>
      </c>
      <c r="N128" s="201">
        <f t="shared" si="12"/>
        <v>-2.577059120768066E-2</v>
      </c>
    </row>
    <row r="129" spans="1:17" x14ac:dyDescent="0.2">
      <c r="A129" s="152">
        <v>44805</v>
      </c>
      <c r="B129" s="7">
        <v>170426</v>
      </c>
      <c r="C129" s="7">
        <v>106708</v>
      </c>
      <c r="D129" s="7">
        <v>97435</v>
      </c>
      <c r="E129" s="7">
        <v>9273</v>
      </c>
      <c r="F129" s="7">
        <v>63719</v>
      </c>
      <c r="G129">
        <v>62.6</v>
      </c>
      <c r="H129">
        <v>8.6999999999999993</v>
      </c>
      <c r="I129" s="193">
        <f t="shared" si="13"/>
        <v>0.57171440977315668</v>
      </c>
      <c r="J129" s="154" t="b">
        <f t="shared" si="10"/>
        <v>0</v>
      </c>
      <c r="K129" s="150" t="b">
        <f t="shared" si="9"/>
        <v>1</v>
      </c>
      <c r="L129" s="156"/>
      <c r="M129" s="201">
        <f t="shared" si="11"/>
        <v>7.9070785207790983E-3</v>
      </c>
      <c r="N129" s="201">
        <f t="shared" si="12"/>
        <v>-1.3729374980651965E-2</v>
      </c>
    </row>
    <row r="130" spans="1:17" x14ac:dyDescent="0.2">
      <c r="A130" s="152">
        <v>44835</v>
      </c>
      <c r="B130" s="7">
        <v>170543</v>
      </c>
      <c r="C130" s="7">
        <v>106663</v>
      </c>
      <c r="D130" s="7">
        <v>97821</v>
      </c>
      <c r="E130" s="7">
        <v>8841</v>
      </c>
      <c r="F130" s="7">
        <v>63880</v>
      </c>
      <c r="G130">
        <v>62.5</v>
      </c>
      <c r="H130">
        <v>8.3000000000000007</v>
      </c>
      <c r="I130" s="193">
        <f t="shared" si="13"/>
        <v>0.57358554733996703</v>
      </c>
      <c r="J130" s="154" t="b">
        <f t="shared" si="10"/>
        <v>0</v>
      </c>
      <c r="K130" s="150" t="b">
        <f t="shared" si="9"/>
        <v>1</v>
      </c>
      <c r="L130" s="156"/>
      <c r="M130" s="201">
        <f t="shared" si="11"/>
        <v>7.9194813330731861E-3</v>
      </c>
      <c r="N130" s="201">
        <f t="shared" si="12"/>
        <v>-6.5164310486943711E-3</v>
      </c>
    </row>
    <row r="131" spans="1:17" x14ac:dyDescent="0.2">
      <c r="A131" s="152">
        <v>44866</v>
      </c>
      <c r="B131" s="7">
        <v>170656</v>
      </c>
      <c r="C131" s="7">
        <v>106415</v>
      </c>
      <c r="D131" s="7">
        <v>97843</v>
      </c>
      <c r="E131" s="7">
        <v>8572</v>
      </c>
      <c r="F131" s="7">
        <v>64241</v>
      </c>
      <c r="G131">
        <v>62.4</v>
      </c>
      <c r="H131">
        <v>8.1</v>
      </c>
      <c r="I131" s="193">
        <f t="shared" ref="I131:I165" si="14">D131/B131</f>
        <v>0.57333466154134638</v>
      </c>
      <c r="J131" s="154" t="b">
        <f t="shared" si="10"/>
        <v>0</v>
      </c>
      <c r="K131" s="150" t="b">
        <f t="shared" si="9"/>
        <v>1</v>
      </c>
      <c r="L131" s="156"/>
      <c r="M131" s="201">
        <f t="shared" si="11"/>
        <v>7.9261017990241989E-3</v>
      </c>
      <c r="N131" s="201">
        <f t="shared" si="12"/>
        <v>4.613267444406155E-3</v>
      </c>
    </row>
    <row r="132" spans="1:17" x14ac:dyDescent="0.2">
      <c r="A132" s="152">
        <v>44896</v>
      </c>
      <c r="B132" s="7">
        <v>170772</v>
      </c>
      <c r="C132" s="7">
        <v>105927</v>
      </c>
      <c r="D132" s="7">
        <v>97517</v>
      </c>
      <c r="E132" s="7">
        <v>8410</v>
      </c>
      <c r="F132" s="7">
        <v>64845</v>
      </c>
      <c r="G132">
        <v>62</v>
      </c>
      <c r="H132">
        <v>7.9</v>
      </c>
      <c r="I132" s="193">
        <f t="shared" si="14"/>
        <v>0.57103623544843418</v>
      </c>
      <c r="J132" s="154" t="b">
        <f t="shared" si="10"/>
        <v>0</v>
      </c>
      <c r="K132" s="150" t="b">
        <f t="shared" si="9"/>
        <v>1</v>
      </c>
      <c r="L132" s="156"/>
      <c r="M132" s="201">
        <f t="shared" si="11"/>
        <v>7.9325731284085599E-3</v>
      </c>
      <c r="N132" s="201">
        <f t="shared" si="12"/>
        <v>1.8822568227881975E-2</v>
      </c>
    </row>
    <row r="133" spans="1:17" s="168" customFormat="1" x14ac:dyDescent="0.2">
      <c r="A133" s="166">
        <v>44927</v>
      </c>
      <c r="B133" s="7">
        <v>170885</v>
      </c>
      <c r="C133" s="7">
        <v>105612</v>
      </c>
      <c r="D133" s="7">
        <v>96788</v>
      </c>
      <c r="E133" s="7">
        <v>8823</v>
      </c>
      <c r="F133" s="7">
        <v>65273</v>
      </c>
      <c r="G133">
        <v>61.8</v>
      </c>
      <c r="H133">
        <v>8.4</v>
      </c>
      <c r="I133" s="193">
        <f t="shared" si="14"/>
        <v>0.56639260321268692</v>
      </c>
      <c r="J133" s="154" t="b">
        <f t="shared" si="10"/>
        <v>0</v>
      </c>
      <c r="K133" s="150" t="b">
        <f t="shared" si="9"/>
        <v>1</v>
      </c>
      <c r="M133" s="201">
        <f t="shared" si="11"/>
        <v>7.9451214476990994E-3</v>
      </c>
      <c r="N133" s="201">
        <f t="shared" si="12"/>
        <v>1.9349095792860149E-2</v>
      </c>
    </row>
    <row r="134" spans="1:17" x14ac:dyDescent="0.2">
      <c r="A134" s="152">
        <v>44958</v>
      </c>
      <c r="B134" s="7">
        <v>171000</v>
      </c>
      <c r="C134" s="7">
        <v>105321</v>
      </c>
      <c r="D134" s="7">
        <v>96274</v>
      </c>
      <c r="E134" s="7">
        <v>9047</v>
      </c>
      <c r="F134" s="7">
        <v>65680</v>
      </c>
      <c r="G134">
        <v>61.6</v>
      </c>
      <c r="H134">
        <v>8.6</v>
      </c>
      <c r="I134" s="193">
        <f t="shared" si="14"/>
        <v>0.5630058479532164</v>
      </c>
      <c r="J134" s="154" t="b">
        <f t="shared" si="10"/>
        <v>0</v>
      </c>
      <c r="K134" s="150" t="b">
        <f t="shared" ref="K134:K162" si="15">H134&gt;$H$163</f>
        <v>1</v>
      </c>
      <c r="M134" s="201">
        <f t="shared" si="11"/>
        <v>7.9516183223204973E-3</v>
      </c>
      <c r="N134" s="201">
        <f t="shared" si="12"/>
        <v>2.0351095230697558E-2</v>
      </c>
    </row>
    <row r="135" spans="1:17" x14ac:dyDescent="0.2">
      <c r="A135" s="152">
        <v>44986</v>
      </c>
      <c r="B135" s="7">
        <v>171116</v>
      </c>
      <c r="C135" s="7">
        <v>105225</v>
      </c>
      <c r="D135" s="7">
        <v>95978</v>
      </c>
      <c r="E135" s="7">
        <v>9247</v>
      </c>
      <c r="F135" s="7">
        <v>65891</v>
      </c>
      <c r="G135">
        <v>61.5</v>
      </c>
      <c r="H135">
        <v>8.8000000000000007</v>
      </c>
      <c r="I135" s="193">
        <f t="shared" si="14"/>
        <v>0.56089436405713089</v>
      </c>
      <c r="J135" s="154" t="b">
        <f t="shared" si="10"/>
        <v>0</v>
      </c>
      <c r="K135" s="150" t="b">
        <f t="shared" si="15"/>
        <v>1</v>
      </c>
      <c r="M135" s="201">
        <f t="shared" si="11"/>
        <v>7.9639970782969804E-3</v>
      </c>
      <c r="N135" s="201">
        <f t="shared" si="12"/>
        <v>2.1312542625085307E-2</v>
      </c>
    </row>
    <row r="136" spans="1:17" x14ac:dyDescent="0.2">
      <c r="A136" s="152">
        <v>45017</v>
      </c>
      <c r="B136" s="7">
        <v>171220</v>
      </c>
      <c r="C136" s="7">
        <v>105092</v>
      </c>
      <c r="D136" s="7">
        <v>96176</v>
      </c>
      <c r="E136" s="7">
        <v>8916</v>
      </c>
      <c r="F136" s="7">
        <v>66128</v>
      </c>
      <c r="G136">
        <v>61.4</v>
      </c>
      <c r="H136">
        <v>8.5</v>
      </c>
      <c r="I136" s="193">
        <f t="shared" si="14"/>
        <v>0.56171008059806093</v>
      </c>
      <c r="J136" s="154" t="b">
        <f t="shared" si="10"/>
        <v>0</v>
      </c>
      <c r="K136" s="150" t="b">
        <f t="shared" si="15"/>
        <v>1</v>
      </c>
      <c r="M136" s="201">
        <f t="shared" si="11"/>
        <v>7.9709888971306597E-3</v>
      </c>
      <c r="N136" s="201">
        <f t="shared" si="12"/>
        <v>3.3250000000000002E-2</v>
      </c>
    </row>
    <row r="137" spans="1:17" x14ac:dyDescent="0.2">
      <c r="A137" s="152">
        <v>45047</v>
      </c>
      <c r="B137" s="7">
        <v>171334</v>
      </c>
      <c r="C137" s="7">
        <v>105301</v>
      </c>
      <c r="D137" s="7">
        <v>96535</v>
      </c>
      <c r="E137" s="7">
        <v>8767</v>
      </c>
      <c r="F137" s="7">
        <v>66033</v>
      </c>
      <c r="G137">
        <v>61.5</v>
      </c>
      <c r="H137">
        <v>8.3000000000000007</v>
      </c>
      <c r="I137" s="193">
        <f t="shared" si="14"/>
        <v>0.56343165979898913</v>
      </c>
      <c r="J137" s="154" t="b">
        <f t="shared" ref="J137:J163" si="16">I137&gt;$I$164</f>
        <v>0</v>
      </c>
      <c r="K137" s="150" t="b">
        <f t="shared" si="15"/>
        <v>1</v>
      </c>
      <c r="M137" s="201">
        <f t="shared" si="11"/>
        <v>7.9775029709727718E-3</v>
      </c>
      <c r="N137" s="201">
        <f t="shared" si="12"/>
        <v>3.4432521344090139E-2</v>
      </c>
      <c r="Q137" s="150" t="s">
        <v>69</v>
      </c>
    </row>
    <row r="138" spans="1:17" x14ac:dyDescent="0.2">
      <c r="A138" s="169">
        <v>45078</v>
      </c>
      <c r="B138" s="7">
        <v>171445</v>
      </c>
      <c r="C138" s="7">
        <v>105505</v>
      </c>
      <c r="D138" s="7">
        <v>97038</v>
      </c>
      <c r="E138" s="7">
        <v>8468</v>
      </c>
      <c r="F138" s="7">
        <v>65940</v>
      </c>
      <c r="G138">
        <v>61.5</v>
      </c>
      <c r="H138">
        <v>8</v>
      </c>
      <c r="I138" s="193">
        <f t="shared" si="14"/>
        <v>0.56600075826066665</v>
      </c>
      <c r="J138" s="154" t="b">
        <f t="shared" si="16"/>
        <v>0</v>
      </c>
      <c r="K138" s="150" t="b">
        <f t="shared" si="15"/>
        <v>1</v>
      </c>
      <c r="M138" s="201">
        <f t="shared" si="11"/>
        <v>7.9841492883054865E-3</v>
      </c>
      <c r="N138" s="201">
        <f t="shared" si="12"/>
        <v>3.4401618899712938E-2</v>
      </c>
      <c r="P138" s="185">
        <v>2012</v>
      </c>
      <c r="Q138" s="156">
        <v>7.4106246283052197</v>
      </c>
    </row>
    <row r="139" spans="1:17" x14ac:dyDescent="0.2">
      <c r="A139" s="152">
        <v>45108</v>
      </c>
      <c r="B139" s="7">
        <v>171559</v>
      </c>
      <c r="C139" s="7">
        <v>105808</v>
      </c>
      <c r="D139" s="7">
        <v>97463</v>
      </c>
      <c r="E139" s="7">
        <v>8345</v>
      </c>
      <c r="F139" s="7">
        <v>65751</v>
      </c>
      <c r="G139">
        <v>61.7</v>
      </c>
      <c r="H139">
        <v>7.9</v>
      </c>
      <c r="I139" s="193">
        <f t="shared" si="14"/>
        <v>0.56810193577719614</v>
      </c>
      <c r="J139" s="154" t="b">
        <f t="shared" si="16"/>
        <v>0</v>
      </c>
      <c r="K139" s="150" t="b">
        <f t="shared" si="15"/>
        <v>1</v>
      </c>
      <c r="M139" s="201">
        <f t="shared" si="11"/>
        <v>7.9906462435148651E-3</v>
      </c>
      <c r="N139" s="201">
        <f t="shared" si="12"/>
        <v>3.2749034021298584E-2</v>
      </c>
      <c r="P139" s="185">
        <v>2013</v>
      </c>
      <c r="Q139" s="156">
        <v>7.3</v>
      </c>
    </row>
    <row r="140" spans="1:17" x14ac:dyDescent="0.2">
      <c r="A140" s="152">
        <v>45139</v>
      </c>
      <c r="B140" s="7">
        <v>171669</v>
      </c>
      <c r="C140" s="7">
        <v>106000</v>
      </c>
      <c r="D140" s="7">
        <v>97760</v>
      </c>
      <c r="E140" s="7">
        <v>8240</v>
      </c>
      <c r="F140" s="7">
        <v>65669</v>
      </c>
      <c r="G140">
        <v>61.7</v>
      </c>
      <c r="H140">
        <v>7.8</v>
      </c>
      <c r="I140" s="193">
        <f t="shared" si="14"/>
        <v>0.56946798781375785</v>
      </c>
      <c r="J140" s="154" t="b">
        <f t="shared" si="16"/>
        <v>0</v>
      </c>
      <c r="K140" s="150" t="b">
        <f t="shared" si="15"/>
        <v>1</v>
      </c>
      <c r="M140" s="201">
        <f t="shared" si="11"/>
        <v>7.9854852063014903E-3</v>
      </c>
      <c r="N140" s="201">
        <f t="shared" si="12"/>
        <v>3.2141959009178933E-2</v>
      </c>
      <c r="P140" s="185">
        <v>2014</v>
      </c>
      <c r="Q140" s="156">
        <v>7</v>
      </c>
    </row>
    <row r="141" spans="1:17" x14ac:dyDescent="0.2">
      <c r="A141" s="152">
        <v>45170</v>
      </c>
      <c r="B141" s="7">
        <v>171782</v>
      </c>
      <c r="C141" s="7">
        <v>106087</v>
      </c>
      <c r="D141" s="7">
        <v>97938</v>
      </c>
      <c r="E141" s="7">
        <v>8150</v>
      </c>
      <c r="F141" s="7">
        <v>65694</v>
      </c>
      <c r="G141">
        <v>61.8</v>
      </c>
      <c r="H141">
        <v>7.7</v>
      </c>
      <c r="I141" s="193">
        <f t="shared" si="14"/>
        <v>0.57012958284337123</v>
      </c>
      <c r="J141" s="154" t="b">
        <f t="shared" si="16"/>
        <v>0</v>
      </c>
      <c r="K141" s="150" t="b">
        <f t="shared" si="15"/>
        <v>1</v>
      </c>
      <c r="M141" s="201">
        <f t="shared" si="11"/>
        <v>7.9565324539683235E-3</v>
      </c>
      <c r="N141" s="201">
        <f t="shared" si="12"/>
        <v>3.0995464461149647E-2</v>
      </c>
      <c r="P141" s="185">
        <v>2015</v>
      </c>
      <c r="Q141" s="156">
        <v>8.9</v>
      </c>
    </row>
    <row r="142" spans="1:17" x14ac:dyDescent="0.2">
      <c r="A142" s="152">
        <v>45200</v>
      </c>
      <c r="B142" s="7">
        <v>171894</v>
      </c>
      <c r="C142" s="7">
        <v>106396</v>
      </c>
      <c r="D142" s="7">
        <v>98302</v>
      </c>
      <c r="E142" s="7">
        <v>8094</v>
      </c>
      <c r="F142" s="7">
        <v>65498</v>
      </c>
      <c r="G142">
        <v>61.9</v>
      </c>
      <c r="H142">
        <v>7.6</v>
      </c>
      <c r="I142" s="193">
        <f t="shared" si="14"/>
        <v>0.57187569083272249</v>
      </c>
      <c r="J142" s="154" t="b">
        <f t="shared" si="16"/>
        <v>0</v>
      </c>
      <c r="K142" s="150" t="b">
        <f t="shared" si="15"/>
        <v>1</v>
      </c>
      <c r="M142" s="201">
        <f t="shared" si="11"/>
        <v>7.9217558035216129E-3</v>
      </c>
      <c r="N142" s="201">
        <f t="shared" si="12"/>
        <v>2.5328741390106435E-2</v>
      </c>
      <c r="P142" s="185">
        <v>2016</v>
      </c>
      <c r="Q142" s="156">
        <v>11.7</v>
      </c>
    </row>
    <row r="143" spans="1:17" x14ac:dyDescent="0.2">
      <c r="A143" s="152">
        <v>45231</v>
      </c>
      <c r="B143" s="7">
        <v>172003</v>
      </c>
      <c r="C143" s="7">
        <v>106635</v>
      </c>
      <c r="D143" s="7">
        <v>98599</v>
      </c>
      <c r="E143" s="7">
        <v>8037</v>
      </c>
      <c r="F143" s="7">
        <v>65367</v>
      </c>
      <c r="G143">
        <v>62</v>
      </c>
      <c r="H143">
        <v>7.5</v>
      </c>
      <c r="I143" s="193">
        <f t="shared" si="14"/>
        <v>0.57324000162787858</v>
      </c>
      <c r="J143" s="154" t="b">
        <f t="shared" si="16"/>
        <v>0</v>
      </c>
      <c r="K143" s="150" t="b">
        <f t="shared" si="15"/>
        <v>1</v>
      </c>
      <c r="M143" s="201">
        <f t="shared" si="11"/>
        <v>7.8930714419651604E-3</v>
      </c>
      <c r="N143" s="201">
        <f t="shared" si="12"/>
        <v>1.752774707741156E-2</v>
      </c>
      <c r="P143" s="185">
        <v>2017</v>
      </c>
      <c r="Q143" s="156">
        <v>12.6</v>
      </c>
    </row>
    <row r="144" spans="1:17" x14ac:dyDescent="0.2">
      <c r="A144" s="152">
        <v>45261</v>
      </c>
      <c r="B144" s="7">
        <v>172115</v>
      </c>
      <c r="C144" s="7">
        <v>106988</v>
      </c>
      <c r="D144" s="7">
        <v>99062</v>
      </c>
      <c r="E144" s="7">
        <v>7926</v>
      </c>
      <c r="F144" s="7">
        <v>65127</v>
      </c>
      <c r="G144">
        <v>62.2</v>
      </c>
      <c r="H144">
        <v>7.4</v>
      </c>
      <c r="I144" s="193">
        <f t="shared" si="14"/>
        <v>0.57555704035092814</v>
      </c>
      <c r="J144" s="154" t="b">
        <f t="shared" si="16"/>
        <v>0</v>
      </c>
      <c r="K144" s="150" t="b">
        <f t="shared" si="15"/>
        <v>1</v>
      </c>
      <c r="M144" s="201">
        <f t="shared" ref="M144:M166" si="17">B144/B132-1</f>
        <v>7.8642868854379433E-3</v>
      </c>
      <c r="N144" s="201">
        <f t="shared" si="12"/>
        <v>4.3488318297477679E-3</v>
      </c>
      <c r="P144" s="185">
        <v>2018</v>
      </c>
      <c r="Q144" s="156">
        <v>12.2</v>
      </c>
    </row>
    <row r="145" spans="1:18" x14ac:dyDescent="0.2">
      <c r="A145" s="152">
        <v>45292</v>
      </c>
      <c r="B145" s="7">
        <v>172223</v>
      </c>
      <c r="C145" s="7">
        <v>106809</v>
      </c>
      <c r="D145" s="7">
        <v>98677</v>
      </c>
      <c r="E145" s="7">
        <v>8133</v>
      </c>
      <c r="F145" s="7">
        <v>65413</v>
      </c>
      <c r="G145">
        <v>62</v>
      </c>
      <c r="H145">
        <v>7.6</v>
      </c>
      <c r="I145" s="193">
        <f t="shared" si="14"/>
        <v>0.57296063824227894</v>
      </c>
      <c r="J145" s="154" t="b">
        <f t="shared" si="16"/>
        <v>0</v>
      </c>
      <c r="K145" s="150" t="b">
        <f t="shared" si="15"/>
        <v>1</v>
      </c>
      <c r="M145" s="201">
        <f t="shared" si="17"/>
        <v>7.8298270766889999E-3</v>
      </c>
      <c r="N145" s="201">
        <f t="shared" ref="N145:N165" si="18">F145/F133-1</f>
        <v>2.1448378349393504E-3</v>
      </c>
      <c r="P145" s="185">
        <v>2019</v>
      </c>
      <c r="Q145" s="156">
        <v>11.8</v>
      </c>
    </row>
    <row r="146" spans="1:18" x14ac:dyDescent="0.2">
      <c r="A146" s="152">
        <v>45323</v>
      </c>
      <c r="B146" s="7">
        <v>172334</v>
      </c>
      <c r="C146" s="7">
        <v>106708</v>
      </c>
      <c r="D146" s="7">
        <v>98334</v>
      </c>
      <c r="E146" s="7">
        <v>8374</v>
      </c>
      <c r="F146" s="7">
        <v>65626</v>
      </c>
      <c r="G146">
        <v>61.9</v>
      </c>
      <c r="H146">
        <v>7.8</v>
      </c>
      <c r="I146" s="193">
        <f t="shared" si="14"/>
        <v>0.57060127426973206</v>
      </c>
      <c r="J146" s="154" t="b">
        <f t="shared" si="16"/>
        <v>0</v>
      </c>
      <c r="K146" s="150" t="b">
        <f t="shared" si="15"/>
        <v>1</v>
      </c>
      <c r="M146" s="201">
        <f t="shared" si="17"/>
        <v>7.8011695906432532E-3</v>
      </c>
      <c r="N146" s="201">
        <f t="shared" si="18"/>
        <v>-8.2216808769797201E-4</v>
      </c>
      <c r="P146" s="185">
        <v>2020</v>
      </c>
      <c r="Q146" s="156">
        <v>13.760311984303501</v>
      </c>
    </row>
    <row r="147" spans="1:18" x14ac:dyDescent="0.2">
      <c r="A147" s="152">
        <v>45352</v>
      </c>
      <c r="B147" s="7">
        <v>172445</v>
      </c>
      <c r="C147" s="7">
        <v>106743</v>
      </c>
      <c r="D147" s="7">
        <v>98290</v>
      </c>
      <c r="E147" s="7">
        <v>8453</v>
      </c>
      <c r="F147" s="7">
        <v>65702</v>
      </c>
      <c r="G147">
        <v>61.9</v>
      </c>
      <c r="H147">
        <v>7.9</v>
      </c>
      <c r="I147" s="193">
        <f t="shared" si="14"/>
        <v>0.56997883383107661</v>
      </c>
      <c r="J147" s="154" t="b">
        <f t="shared" si="16"/>
        <v>0</v>
      </c>
      <c r="K147" s="150" t="b">
        <f t="shared" si="15"/>
        <v>1</v>
      </c>
      <c r="M147" s="201">
        <f t="shared" si="17"/>
        <v>7.7666612122770928E-3</v>
      </c>
      <c r="N147" s="201">
        <f t="shared" si="18"/>
        <v>-2.8683735259746879E-3</v>
      </c>
      <c r="P147" s="185">
        <v>2021</v>
      </c>
      <c r="Q147" s="156">
        <v>14</v>
      </c>
    </row>
    <row r="148" spans="1:18" x14ac:dyDescent="0.2">
      <c r="A148" s="152">
        <v>45383</v>
      </c>
      <c r="B148" s="7">
        <v>172548</v>
      </c>
      <c r="C148" s="7">
        <v>106923</v>
      </c>
      <c r="D148" s="7">
        <v>98877</v>
      </c>
      <c r="E148" s="7">
        <v>8046</v>
      </c>
      <c r="F148" s="7">
        <v>65625</v>
      </c>
      <c r="G148">
        <v>62</v>
      </c>
      <c r="H148">
        <v>7.5</v>
      </c>
      <c r="I148" s="193">
        <f t="shared" si="14"/>
        <v>0.57304054523958547</v>
      </c>
      <c r="J148" s="154" t="b">
        <f t="shared" si="16"/>
        <v>0</v>
      </c>
      <c r="K148" s="150" t="b">
        <f t="shared" si="15"/>
        <v>1</v>
      </c>
      <c r="M148" s="201">
        <f t="shared" si="17"/>
        <v>7.7561032589650303E-3</v>
      </c>
      <c r="N148" s="201">
        <f t="shared" si="18"/>
        <v>-7.6064601984030533E-3</v>
      </c>
      <c r="P148" s="185">
        <v>2022</v>
      </c>
      <c r="Q148" s="156">
        <v>9.6</v>
      </c>
    </row>
    <row r="149" spans="1:18" x14ac:dyDescent="0.2">
      <c r="A149" s="169">
        <v>45413</v>
      </c>
      <c r="B149" s="7">
        <v>172658</v>
      </c>
      <c r="C149" s="7">
        <v>107016</v>
      </c>
      <c r="D149" s="7">
        <v>99393</v>
      </c>
      <c r="E149" s="7">
        <v>7623</v>
      </c>
      <c r="F149" s="7">
        <v>65642</v>
      </c>
      <c r="G149">
        <v>62</v>
      </c>
      <c r="H149">
        <v>7.1</v>
      </c>
      <c r="I149" s="193">
        <f t="shared" si="14"/>
        <v>0.57566402946866058</v>
      </c>
      <c r="J149" s="154" t="b">
        <f t="shared" si="16"/>
        <v>0</v>
      </c>
      <c r="K149" s="150" t="b">
        <f t="shared" si="15"/>
        <v>1</v>
      </c>
      <c r="M149" s="201">
        <f t="shared" si="17"/>
        <v>7.7275963906755507E-3</v>
      </c>
      <c r="N149" s="201">
        <f t="shared" si="18"/>
        <v>-5.9212817833507181E-3</v>
      </c>
      <c r="P149" s="185">
        <v>2023</v>
      </c>
      <c r="Q149" s="156">
        <v>7.8</v>
      </c>
    </row>
    <row r="150" spans="1:18" x14ac:dyDescent="0.2">
      <c r="A150" s="152">
        <v>45444</v>
      </c>
      <c r="B150" s="7">
        <v>172765</v>
      </c>
      <c r="C150" s="7">
        <v>107272</v>
      </c>
      <c r="D150" s="7">
        <v>99883</v>
      </c>
      <c r="E150" s="7">
        <v>7388</v>
      </c>
      <c r="F150" s="7">
        <v>65493</v>
      </c>
      <c r="G150">
        <v>62.1</v>
      </c>
      <c r="H150">
        <v>6.9</v>
      </c>
      <c r="I150" s="193">
        <f t="shared" si="14"/>
        <v>0.57814372123983448</v>
      </c>
      <c r="J150" s="154" t="b">
        <f t="shared" si="16"/>
        <v>0</v>
      </c>
      <c r="K150" s="150" t="b">
        <f t="shared" si="15"/>
        <v>1</v>
      </c>
      <c r="M150" s="201">
        <f t="shared" si="17"/>
        <v>7.6992621540434847E-3</v>
      </c>
      <c r="N150" s="201">
        <f t="shared" si="18"/>
        <v>-6.7788898999090463E-3</v>
      </c>
      <c r="P150" s="185">
        <v>2024</v>
      </c>
      <c r="Q150" s="156">
        <v>6.6</v>
      </c>
    </row>
    <row r="151" spans="1:18" x14ac:dyDescent="0.2">
      <c r="A151" s="152">
        <v>45474</v>
      </c>
      <c r="B151" s="7">
        <v>172874</v>
      </c>
      <c r="C151" s="7">
        <v>107360</v>
      </c>
      <c r="D151" s="7">
        <v>100081</v>
      </c>
      <c r="E151" s="7">
        <v>7279</v>
      </c>
      <c r="F151" s="7">
        <v>65514</v>
      </c>
      <c r="G151">
        <v>62.1</v>
      </c>
      <c r="H151">
        <v>6.8</v>
      </c>
      <c r="I151" s="193">
        <f t="shared" si="14"/>
        <v>0.57892453463215987</v>
      </c>
      <c r="J151" s="154" t="b">
        <f t="shared" si="16"/>
        <v>0</v>
      </c>
      <c r="K151" s="150" t="b">
        <f t="shared" si="15"/>
        <v>1</v>
      </c>
      <c r="M151" s="201">
        <f t="shared" si="17"/>
        <v>7.665001544658212E-3</v>
      </c>
      <c r="N151" s="201">
        <f t="shared" si="18"/>
        <v>-3.6045079162294602E-3</v>
      </c>
      <c r="P151" s="185">
        <v>2025</v>
      </c>
      <c r="Q151" s="150">
        <v>5.6</v>
      </c>
      <c r="R151" s="150" t="s">
        <v>120</v>
      </c>
    </row>
    <row r="152" spans="1:18" x14ac:dyDescent="0.2">
      <c r="A152" s="152">
        <v>45505</v>
      </c>
      <c r="B152" s="7">
        <v>172982</v>
      </c>
      <c r="C152" s="7">
        <v>107687</v>
      </c>
      <c r="D152" s="7">
        <v>100559</v>
      </c>
      <c r="E152" s="7">
        <v>7128</v>
      </c>
      <c r="F152" s="7">
        <v>65294</v>
      </c>
      <c r="G152">
        <v>62.3</v>
      </c>
      <c r="H152">
        <v>6.6</v>
      </c>
      <c r="I152" s="193">
        <f t="shared" si="14"/>
        <v>0.58132638077950305</v>
      </c>
      <c r="J152" s="154" t="b">
        <f t="shared" si="16"/>
        <v>0</v>
      </c>
      <c r="K152" s="150" t="b">
        <f t="shared" si="15"/>
        <v>1</v>
      </c>
      <c r="M152" s="201">
        <f t="shared" si="17"/>
        <v>7.6484397299454443E-3</v>
      </c>
      <c r="N152" s="201">
        <f t="shared" si="18"/>
        <v>-5.7104569888379864E-3</v>
      </c>
    </row>
    <row r="153" spans="1:18" x14ac:dyDescent="0.2">
      <c r="A153" s="152">
        <v>45536</v>
      </c>
      <c r="B153" s="7">
        <v>173095</v>
      </c>
      <c r="C153" s="7">
        <v>107912</v>
      </c>
      <c r="D153" s="7">
        <v>101058</v>
      </c>
      <c r="E153" s="7">
        <v>6854</v>
      </c>
      <c r="F153" s="7">
        <v>65183</v>
      </c>
      <c r="G153">
        <v>62.3</v>
      </c>
      <c r="H153">
        <v>6.4</v>
      </c>
      <c r="I153" s="193">
        <f t="shared" si="14"/>
        <v>0.58382968889915943</v>
      </c>
      <c r="J153" s="154" t="b">
        <f t="shared" si="16"/>
        <v>0</v>
      </c>
      <c r="K153" s="150" t="b">
        <f t="shared" si="15"/>
        <v>1</v>
      </c>
      <c r="M153" s="201">
        <f t="shared" si="17"/>
        <v>7.6434085061298784E-3</v>
      </c>
      <c r="N153" s="201">
        <f t="shared" si="18"/>
        <v>-7.7784881419916685E-3</v>
      </c>
      <c r="O153" s="156"/>
    </row>
    <row r="154" spans="1:18" x14ac:dyDescent="0.2">
      <c r="A154" s="152">
        <v>45566</v>
      </c>
      <c r="B154" s="7">
        <v>173208</v>
      </c>
      <c r="C154" s="7">
        <v>108327</v>
      </c>
      <c r="D154" s="7">
        <v>101628</v>
      </c>
      <c r="E154" s="7">
        <v>6699</v>
      </c>
      <c r="F154" s="7">
        <v>64881</v>
      </c>
      <c r="G154">
        <v>62.5</v>
      </c>
      <c r="H154">
        <v>6.2</v>
      </c>
      <c r="I154" s="193">
        <f t="shared" si="14"/>
        <v>0.58673964251073851</v>
      </c>
      <c r="J154" s="154" t="b">
        <f t="shared" si="16"/>
        <v>0</v>
      </c>
      <c r="K154" s="150" t="b">
        <f t="shared" si="15"/>
        <v>1</v>
      </c>
      <c r="M154" s="201">
        <f t="shared" si="17"/>
        <v>7.6442458724563789E-3</v>
      </c>
      <c r="N154" s="201">
        <f t="shared" si="18"/>
        <v>-9.4201349659531752E-3</v>
      </c>
    </row>
    <row r="155" spans="1:18" x14ac:dyDescent="0.2">
      <c r="A155" s="152">
        <v>45597</v>
      </c>
      <c r="B155" s="7">
        <v>173317</v>
      </c>
      <c r="C155" s="7">
        <v>108548</v>
      </c>
      <c r="D155" s="7">
        <v>101916</v>
      </c>
      <c r="E155" s="7">
        <v>6632</v>
      </c>
      <c r="F155" s="7">
        <v>64769</v>
      </c>
      <c r="G155">
        <v>62.6</v>
      </c>
      <c r="H155" s="18">
        <v>6.1</v>
      </c>
      <c r="I155" s="193">
        <f t="shared" si="14"/>
        <v>0.58803233381607112</v>
      </c>
      <c r="J155" s="154" t="b">
        <f t="shared" si="16"/>
        <v>1</v>
      </c>
      <c r="K155" s="150" t="b">
        <f t="shared" si="15"/>
        <v>1</v>
      </c>
      <c r="M155" s="201">
        <f t="shared" si="17"/>
        <v>7.6394016383434238E-3</v>
      </c>
      <c r="N155" s="201">
        <f t="shared" si="18"/>
        <v>-9.1483470252573529E-3</v>
      </c>
    </row>
    <row r="156" spans="1:18" x14ac:dyDescent="0.2">
      <c r="A156" s="152">
        <v>45627</v>
      </c>
      <c r="B156" s="7">
        <v>173430</v>
      </c>
      <c r="C156" s="7">
        <v>108516</v>
      </c>
      <c r="D156" s="7">
        <v>101832</v>
      </c>
      <c r="E156" s="7">
        <v>6684</v>
      </c>
      <c r="F156" s="7">
        <v>64913</v>
      </c>
      <c r="G156">
        <v>62.6</v>
      </c>
      <c r="H156" s="18">
        <v>6.2</v>
      </c>
      <c r="I156" s="193">
        <f t="shared" si="14"/>
        <v>0.58716485037190802</v>
      </c>
      <c r="J156" s="154" t="b">
        <f t="shared" si="16"/>
        <v>0</v>
      </c>
      <c r="K156" s="150" t="b">
        <f t="shared" si="15"/>
        <v>1</v>
      </c>
      <c r="M156" s="201">
        <f t="shared" si="17"/>
        <v>7.6402405368503068E-3</v>
      </c>
      <c r="N156" s="201">
        <f t="shared" si="18"/>
        <v>-3.2858875735102266E-3</v>
      </c>
    </row>
    <row r="157" spans="1:18" x14ac:dyDescent="0.2">
      <c r="A157" s="152">
        <v>45658</v>
      </c>
      <c r="B157" s="7">
        <v>173538</v>
      </c>
      <c r="C157" s="7">
        <v>108050</v>
      </c>
      <c r="D157" s="7">
        <v>100988</v>
      </c>
      <c r="E157" s="7">
        <v>7062</v>
      </c>
      <c r="F157" s="7">
        <v>65488</v>
      </c>
      <c r="G157">
        <v>62.3</v>
      </c>
      <c r="H157" s="18">
        <v>6.5</v>
      </c>
      <c r="I157" s="193">
        <f t="shared" si="14"/>
        <v>0.58193594486510158</v>
      </c>
      <c r="J157" s="154" t="b">
        <f t="shared" si="16"/>
        <v>0</v>
      </c>
      <c r="K157" s="150" t="b">
        <f t="shared" si="15"/>
        <v>1</v>
      </c>
      <c r="L157" s="180">
        <f t="shared" ref="L157:L163" si="19">D157/D145-1</f>
        <v>2.3419844543308033E-2</v>
      </c>
      <c r="M157" s="201">
        <f t="shared" si="17"/>
        <v>7.6354493882930807E-3</v>
      </c>
      <c r="N157" s="201">
        <f t="shared" si="18"/>
        <v>1.1465610811307592E-3</v>
      </c>
    </row>
    <row r="158" spans="1:18" x14ac:dyDescent="0.2">
      <c r="A158" s="152">
        <v>45689</v>
      </c>
      <c r="B158" s="7">
        <v>173650</v>
      </c>
      <c r="C158" s="7">
        <v>108011</v>
      </c>
      <c r="D158" s="7">
        <v>100683</v>
      </c>
      <c r="E158" s="7">
        <v>7328</v>
      </c>
      <c r="F158" s="7">
        <v>65639</v>
      </c>
      <c r="G158">
        <v>62.2</v>
      </c>
      <c r="H158" s="18">
        <v>6.8</v>
      </c>
      <c r="I158" s="193">
        <f t="shared" si="14"/>
        <v>0.57980420385833575</v>
      </c>
      <c r="J158" s="154" t="b">
        <f t="shared" si="16"/>
        <v>0</v>
      </c>
      <c r="K158" s="150" t="b">
        <f t="shared" si="15"/>
        <v>1</v>
      </c>
      <c r="L158" s="180">
        <f t="shared" si="19"/>
        <v>2.3887973640856597E-2</v>
      </c>
      <c r="M158" s="201">
        <f t="shared" si="17"/>
        <v>7.636334095419306E-3</v>
      </c>
      <c r="N158" s="201">
        <f t="shared" si="18"/>
        <v>1.9809221954703027E-4</v>
      </c>
    </row>
    <row r="159" spans="1:18" x14ac:dyDescent="0.2">
      <c r="A159" s="152">
        <v>45717</v>
      </c>
      <c r="B159" s="7">
        <v>173761</v>
      </c>
      <c r="C159" s="7">
        <v>108077</v>
      </c>
      <c r="D159" s="7">
        <v>100511</v>
      </c>
      <c r="E159" s="7">
        <v>7566</v>
      </c>
      <c r="F159" s="7">
        <v>65684</v>
      </c>
      <c r="G159">
        <v>62.2</v>
      </c>
      <c r="H159" s="18">
        <v>7</v>
      </c>
      <c r="I159" s="193">
        <f t="shared" si="14"/>
        <v>0.578443954627333</v>
      </c>
      <c r="J159" s="154" t="b">
        <f t="shared" si="16"/>
        <v>0</v>
      </c>
      <c r="K159" s="150" t="b">
        <f t="shared" si="15"/>
        <v>1</v>
      </c>
      <c r="L159" s="180">
        <f t="shared" si="19"/>
        <v>2.2596398412859875E-2</v>
      </c>
      <c r="M159" s="201">
        <f t="shared" si="17"/>
        <v>7.6314187132129341E-3</v>
      </c>
      <c r="N159" s="201">
        <f t="shared" si="18"/>
        <v>-2.7396426288395226E-4</v>
      </c>
    </row>
    <row r="160" spans="1:18" x14ac:dyDescent="0.2">
      <c r="A160" s="152">
        <v>45748</v>
      </c>
      <c r="B160" s="7">
        <v>173862</v>
      </c>
      <c r="C160" s="7">
        <v>108391</v>
      </c>
      <c r="D160" s="7">
        <v>101260</v>
      </c>
      <c r="E160" s="7">
        <v>7130</v>
      </c>
      <c r="F160" s="7">
        <v>65471</v>
      </c>
      <c r="G160">
        <v>62.3</v>
      </c>
      <c r="H160" s="18">
        <v>6.6</v>
      </c>
      <c r="I160" s="193">
        <f t="shared" si="14"/>
        <v>0.58241593907811939</v>
      </c>
      <c r="J160" s="154" t="b">
        <f t="shared" si="16"/>
        <v>0</v>
      </c>
      <c r="K160" s="150" t="b">
        <f t="shared" si="15"/>
        <v>1</v>
      </c>
      <c r="L160" s="180">
        <f t="shared" si="19"/>
        <v>2.4100650302901538E-2</v>
      </c>
      <c r="M160" s="201">
        <f t="shared" si="17"/>
        <v>7.6152722720634891E-3</v>
      </c>
      <c r="N160" s="201">
        <f t="shared" si="18"/>
        <v>-2.3466666666667191E-3</v>
      </c>
    </row>
    <row r="161" spans="1:19" x14ac:dyDescent="0.2">
      <c r="A161" s="152">
        <v>45778</v>
      </c>
      <c r="B161" s="7">
        <v>173972</v>
      </c>
      <c r="C161" s="7">
        <v>108553</v>
      </c>
      <c r="D161" s="7">
        <v>101863</v>
      </c>
      <c r="E161" s="7">
        <v>6690</v>
      </c>
      <c r="F161" s="7">
        <v>65420</v>
      </c>
      <c r="G161">
        <v>62.4</v>
      </c>
      <c r="H161" s="18">
        <v>6.2</v>
      </c>
      <c r="I161" s="193">
        <f t="shared" si="14"/>
        <v>0.58551376083507689</v>
      </c>
      <c r="J161" s="154" t="b">
        <f t="shared" si="16"/>
        <v>0</v>
      </c>
      <c r="K161" s="150" t="b">
        <f t="shared" si="15"/>
        <v>1</v>
      </c>
      <c r="L161" s="180">
        <f t="shared" si="19"/>
        <v>2.4850844626885138E-2</v>
      </c>
      <c r="M161" s="201">
        <f t="shared" si="17"/>
        <v>7.6104206002618469E-3</v>
      </c>
      <c r="N161" s="201">
        <f t="shared" si="18"/>
        <v>-3.3819810487187851E-3</v>
      </c>
    </row>
    <row r="162" spans="1:19" x14ac:dyDescent="0.2">
      <c r="A162" s="152">
        <v>45809</v>
      </c>
      <c r="B162" s="7">
        <v>174079</v>
      </c>
      <c r="C162" s="7">
        <v>108569</v>
      </c>
      <c r="D162" s="7">
        <v>102316</v>
      </c>
      <c r="E162" s="7">
        <v>6253</v>
      </c>
      <c r="F162" s="7">
        <v>65510</v>
      </c>
      <c r="G162">
        <v>62.4</v>
      </c>
      <c r="H162" s="18">
        <v>5.8</v>
      </c>
      <c r="I162" s="193">
        <f t="shared" si="14"/>
        <v>0.58775613370940782</v>
      </c>
      <c r="J162" s="154" t="b">
        <f t="shared" si="16"/>
        <v>1</v>
      </c>
      <c r="K162" s="150" t="b">
        <f t="shared" si="15"/>
        <v>1</v>
      </c>
      <c r="L162" s="180">
        <f t="shared" si="19"/>
        <v>2.4358499444349979E-2</v>
      </c>
      <c r="M162" s="201">
        <f t="shared" si="17"/>
        <v>7.6057071744854987E-3</v>
      </c>
      <c r="N162" s="201">
        <f t="shared" si="18"/>
        <v>2.5956972500873476E-4</v>
      </c>
    </row>
    <row r="163" spans="1:19" x14ac:dyDescent="0.2">
      <c r="A163" s="152">
        <v>45839</v>
      </c>
      <c r="B163" s="7">
        <v>174189</v>
      </c>
      <c r="C163" s="7">
        <v>108554</v>
      </c>
      <c r="D163" s="7">
        <v>102437</v>
      </c>
      <c r="E163" s="7">
        <v>6118</v>
      </c>
      <c r="F163" s="7">
        <v>65635</v>
      </c>
      <c r="G163" s="194">
        <v>62.3</v>
      </c>
      <c r="H163" s="18">
        <v>5.6</v>
      </c>
      <c r="I163" s="193">
        <f t="shared" si="14"/>
        <v>0.58807961467142011</v>
      </c>
      <c r="J163" s="154" t="b">
        <f t="shared" si="16"/>
        <v>1</v>
      </c>
      <c r="K163" s="150" t="b">
        <f>H163&gt;$H$163</f>
        <v>0</v>
      </c>
      <c r="L163" s="180">
        <f t="shared" si="19"/>
        <v>2.3540931845205337E-2</v>
      </c>
      <c r="M163" s="201">
        <f t="shared" si="17"/>
        <v>7.6066962064855748E-3</v>
      </c>
      <c r="N163" s="201">
        <f t="shared" si="18"/>
        <v>1.8469334798669745E-3</v>
      </c>
    </row>
    <row r="164" spans="1:19" x14ac:dyDescent="0.2">
      <c r="A164" s="152">
        <v>45870</v>
      </c>
      <c r="B164" s="7">
        <v>174298</v>
      </c>
      <c r="C164" s="7">
        <v>108502</v>
      </c>
      <c r="D164" s="7">
        <v>102418</v>
      </c>
      <c r="E164" s="7">
        <v>6084</v>
      </c>
      <c r="F164" s="7">
        <v>65796</v>
      </c>
      <c r="G164" s="195">
        <v>62.3</v>
      </c>
      <c r="H164" s="18">
        <v>5.6</v>
      </c>
      <c r="I164" s="193">
        <f t="shared" si="14"/>
        <v>0.58760284111120031</v>
      </c>
      <c r="J164" s="154" t="b">
        <f t="shared" ref="J164:J170" si="20">I164&gt;$I$164</f>
        <v>0</v>
      </c>
      <c r="K164" s="150" t="b">
        <f>H164&gt;$H$163</f>
        <v>0</v>
      </c>
      <c r="L164" s="180">
        <f>D164/D152-1</f>
        <v>1.8486659572986897E-2</v>
      </c>
      <c r="M164" s="201">
        <f t="shared" si="17"/>
        <v>7.6077279716963986E-3</v>
      </c>
      <c r="N164" s="201">
        <f t="shared" si="18"/>
        <v>7.6883021410849572E-3</v>
      </c>
    </row>
    <row r="165" spans="1:19" x14ac:dyDescent="0.2">
      <c r="A165" s="152">
        <v>45901</v>
      </c>
      <c r="B165" s="7">
        <v>174411</v>
      </c>
      <c r="C165" s="7">
        <v>108478</v>
      </c>
      <c r="D165" s="7">
        <v>102433</v>
      </c>
      <c r="E165" s="7">
        <v>6045</v>
      </c>
      <c r="F165" s="7">
        <v>65933</v>
      </c>
      <c r="G165" s="18">
        <v>62.2</v>
      </c>
      <c r="H165" s="18">
        <v>5.6</v>
      </c>
      <c r="I165" s="193">
        <f t="shared" si="14"/>
        <v>0.58730813996823594</v>
      </c>
      <c r="J165" s="154" t="b">
        <f t="shared" si="20"/>
        <v>0</v>
      </c>
      <c r="K165" s="150" t="b">
        <f>H165&gt;$H$163</f>
        <v>0</v>
      </c>
      <c r="L165" s="180">
        <f>D165/D153-1</f>
        <v>1.3606048012032801E-2</v>
      </c>
      <c r="M165" s="201">
        <f t="shared" si="17"/>
        <v>7.6027614893554585E-3</v>
      </c>
      <c r="N165" s="201">
        <f t="shared" si="18"/>
        <v>1.1506067532945696E-2</v>
      </c>
      <c r="O165" s="199"/>
      <c r="P165" s="199"/>
      <c r="Q165" s="199"/>
      <c r="R165" s="199"/>
    </row>
    <row r="166" spans="1:19" x14ac:dyDescent="0.2">
      <c r="A166" s="152">
        <v>45931</v>
      </c>
      <c r="B166" s="7">
        <v>174525</v>
      </c>
      <c r="C166" s="7">
        <v>108465</v>
      </c>
      <c r="D166" s="7">
        <v>102555</v>
      </c>
      <c r="E166" s="7">
        <v>5910</v>
      </c>
      <c r="F166" s="7">
        <v>66060</v>
      </c>
      <c r="G166" s="18">
        <v>62.1</v>
      </c>
      <c r="H166" s="18">
        <v>5.4</v>
      </c>
      <c r="I166" s="193">
        <f>D166/B166</f>
        <v>0.58762354963472285</v>
      </c>
      <c r="J166" s="154" t="b">
        <f t="shared" si="20"/>
        <v>1</v>
      </c>
      <c r="K166" s="150" t="b">
        <f>H166&gt;$H$163</f>
        <v>0</v>
      </c>
      <c r="L166" s="180">
        <f>D166/D154-1</f>
        <v>9.1215019482819848E-3</v>
      </c>
      <c r="M166" s="201">
        <f t="shared" si="17"/>
        <v>7.6035748926146507E-3</v>
      </c>
      <c r="N166" s="201">
        <f>F166/F154-1</f>
        <v>1.8171729782216595E-2</v>
      </c>
      <c r="O166" s="199"/>
      <c r="P166" s="199"/>
      <c r="Q166" s="199"/>
      <c r="R166" s="199"/>
    </row>
    <row r="167" spans="1:19" x14ac:dyDescent="0.2">
      <c r="A167" s="152">
        <v>45962</v>
      </c>
      <c r="B167" s="7">
        <v>174634</v>
      </c>
      <c r="C167" s="7">
        <v>108662</v>
      </c>
      <c r="D167" s="7">
        <v>103019</v>
      </c>
      <c r="E167" s="7">
        <v>5664</v>
      </c>
      <c r="F167" s="7">
        <v>65972</v>
      </c>
      <c r="G167" s="18">
        <v>62.2</v>
      </c>
      <c r="H167" s="18">
        <v>5.2</v>
      </c>
      <c r="I167" s="193">
        <f>D167/B167</f>
        <v>0.58991376249756633</v>
      </c>
      <c r="J167" s="154" t="b">
        <f t="shared" si="20"/>
        <v>1</v>
      </c>
      <c r="K167" s="150" t="b">
        <f t="shared" ref="K167:K170" si="21">H167&gt;$H$163</f>
        <v>0</v>
      </c>
      <c r="L167" s="180">
        <f t="shared" ref="L167:L170" si="22">D167/D155-1</f>
        <v>1.082263825110874E-2</v>
      </c>
      <c r="M167" s="201">
        <f t="shared" ref="M167:M170" si="23">B167/B155-1</f>
        <v>7.5987929631831097E-3</v>
      </c>
      <c r="N167" s="201">
        <f t="shared" ref="N167:N170" si="24">F167/F155-1</f>
        <v>1.8573700381355307E-2</v>
      </c>
      <c r="O167" s="199"/>
      <c r="P167" s="199"/>
      <c r="Q167" s="199"/>
      <c r="R167" s="199"/>
    </row>
    <row r="168" spans="1:19" x14ac:dyDescent="0.2">
      <c r="A168" s="152">
        <v>45992</v>
      </c>
      <c r="B168" s="7">
        <v>174747</v>
      </c>
      <c r="C168" s="7">
        <v>108501</v>
      </c>
      <c r="D168" s="7">
        <v>102998</v>
      </c>
      <c r="E168" s="7">
        <v>5503</v>
      </c>
      <c r="F168" s="7">
        <v>66246</v>
      </c>
      <c r="G168" s="18">
        <v>62.1</v>
      </c>
      <c r="H168" s="18">
        <v>5.0999999999999996</v>
      </c>
      <c r="I168" s="193">
        <f>D168/B168</f>
        <v>0.58941212152426081</v>
      </c>
      <c r="J168" s="154" t="b">
        <f t="shared" si="20"/>
        <v>1</v>
      </c>
      <c r="K168" s="150" t="b">
        <f t="shared" si="21"/>
        <v>0</v>
      </c>
      <c r="L168" s="180">
        <f t="shared" si="22"/>
        <v>1.1450231754261964E-2</v>
      </c>
      <c r="M168" s="201">
        <f t="shared" si="23"/>
        <v>7.5938418958658715E-3</v>
      </c>
      <c r="N168" s="201">
        <f t="shared" si="24"/>
        <v>2.0535177853434616E-2</v>
      </c>
      <c r="O168" s="199"/>
      <c r="P168" s="199"/>
      <c r="Q168" s="199"/>
      <c r="R168" s="199"/>
    </row>
    <row r="169" spans="1:19" x14ac:dyDescent="0.2">
      <c r="A169" s="152">
        <v>46023</v>
      </c>
      <c r="B169" s="7">
        <v>174856</v>
      </c>
      <c r="C169" s="7">
        <v>108522</v>
      </c>
      <c r="D169" s="7">
        <v>102671</v>
      </c>
      <c r="E169" s="7">
        <v>5851</v>
      </c>
      <c r="F169" s="7">
        <v>66334</v>
      </c>
      <c r="G169" s="18">
        <v>62.1</v>
      </c>
      <c r="H169" s="18">
        <v>5.4</v>
      </c>
      <c r="I169" s="193">
        <f>D169/B169</f>
        <v>0.5871745893764011</v>
      </c>
      <c r="J169" s="154" t="b">
        <f t="shared" si="20"/>
        <v>0</v>
      </c>
      <c r="K169" s="150" t="b">
        <f t="shared" si="21"/>
        <v>0</v>
      </c>
      <c r="L169" s="180">
        <f t="shared" si="22"/>
        <v>1.6665346377787493E-2</v>
      </c>
      <c r="M169" s="201">
        <f t="shared" si="23"/>
        <v>7.5948783551729182E-3</v>
      </c>
      <c r="N169" s="201">
        <f t="shared" si="24"/>
        <v>1.2918397263620873E-2</v>
      </c>
    </row>
    <row r="170" spans="1:19" x14ac:dyDescent="0.2">
      <c r="A170" s="152">
        <v>46054</v>
      </c>
      <c r="B170" s="153">
        <v>174968</v>
      </c>
      <c r="C170" s="153">
        <v>108388</v>
      </c>
      <c r="D170" s="153">
        <v>102145</v>
      </c>
      <c r="E170" s="153">
        <v>6243</v>
      </c>
      <c r="F170" s="153">
        <v>66580</v>
      </c>
      <c r="G170" s="156">
        <v>61.9</v>
      </c>
      <c r="H170" s="150">
        <v>5.8</v>
      </c>
      <c r="I170" s="193">
        <f>D170/B170</f>
        <v>0.58379246490786885</v>
      </c>
      <c r="J170" s="154" t="b">
        <f t="shared" si="20"/>
        <v>0</v>
      </c>
      <c r="K170" s="150" t="b">
        <f t="shared" si="21"/>
        <v>1</v>
      </c>
      <c r="L170" s="180">
        <f t="shared" si="22"/>
        <v>1.4520822780409892E-2</v>
      </c>
      <c r="M170" s="201">
        <f t="shared" si="23"/>
        <v>7.5899798445149269E-3</v>
      </c>
      <c r="N170" s="201">
        <f t="shared" si="24"/>
        <v>1.4335989274669059E-2</v>
      </c>
    </row>
    <row r="171" spans="1:19" x14ac:dyDescent="0.2">
      <c r="A171" s="152"/>
      <c r="I171"/>
      <c r="J171" s="154"/>
    </row>
    <row r="172" spans="1:19" x14ac:dyDescent="0.2">
      <c r="A172" s="152"/>
      <c r="C172" s="180">
        <f>C170/C158-1</f>
        <v>3.4903852385406164E-3</v>
      </c>
      <c r="D172" s="180">
        <f>D170/D158-1</f>
        <v>1.4520822780409892E-2</v>
      </c>
      <c r="E172" s="180">
        <f>E170/E158-1</f>
        <v>-0.14806222707423577</v>
      </c>
      <c r="F172" s="180">
        <f>F170/F158-1</f>
        <v>1.4335989274669059E-2</v>
      </c>
      <c r="G172" s="154">
        <f>G170-G158</f>
        <v>-0.30000000000000426</v>
      </c>
      <c r="H172" s="154">
        <f>AVERAGE(H157:H165)</f>
        <v>6.1888888888888891</v>
      </c>
      <c r="I172"/>
      <c r="J172" s="154"/>
    </row>
    <row r="173" spans="1:19" x14ac:dyDescent="0.2">
      <c r="A173" s="152"/>
      <c r="E173" s="154"/>
      <c r="G173" s="156"/>
      <c r="H173" s="154">
        <f>AVERAGE(H158:H166)</f>
        <v>6.0666666666666664</v>
      </c>
      <c r="I173"/>
      <c r="J173" s="154"/>
    </row>
    <row r="174" spans="1:19" x14ac:dyDescent="0.2">
      <c r="A174" s="152"/>
      <c r="I174"/>
      <c r="J174" s="154"/>
    </row>
    <row r="175" spans="1:19" x14ac:dyDescent="0.2">
      <c r="A175" s="152"/>
      <c r="C175" s="150">
        <f>E169/C169</f>
        <v>5.3915335139418735E-2</v>
      </c>
      <c r="D175" s="202">
        <f>D169/1000</f>
        <v>102.67100000000001</v>
      </c>
      <c r="I175"/>
      <c r="J175" s="154"/>
    </row>
    <row r="176" spans="1:19" x14ac:dyDescent="0.2">
      <c r="D176" s="171"/>
      <c r="O176" s="212"/>
      <c r="P176" s="212"/>
      <c r="Q176" s="212"/>
      <c r="R176" s="212"/>
      <c r="S176" s="212"/>
    </row>
    <row r="179" spans="2:18" x14ac:dyDescent="0.2">
      <c r="C179" s="156"/>
    </row>
    <row r="180" spans="2:18" x14ac:dyDescent="0.2">
      <c r="B180" s="156"/>
    </row>
    <row r="181" spans="2:18" x14ac:dyDescent="0.2">
      <c r="D181" s="156"/>
    </row>
    <row r="183" spans="2:18" x14ac:dyDescent="0.2">
      <c r="C183" s="152"/>
    </row>
    <row r="184" spans="2:18" x14ac:dyDescent="0.2">
      <c r="B184" s="180"/>
      <c r="C184" s="156"/>
    </row>
    <row r="186" spans="2:18" x14ac:dyDescent="0.2">
      <c r="Q186" s="156"/>
      <c r="R186" s="156"/>
    </row>
    <row r="187" spans="2:18" x14ac:dyDescent="0.2">
      <c r="B187" s="180"/>
      <c r="C187" s="154"/>
      <c r="Q187" s="156"/>
      <c r="R187" s="156"/>
    </row>
    <row r="188" spans="2:18" x14ac:dyDescent="0.2">
      <c r="B188" s="179"/>
      <c r="C188" s="154"/>
      <c r="Q188" s="156"/>
      <c r="R188" s="156"/>
    </row>
    <row r="189" spans="2:18" x14ac:dyDescent="0.2">
      <c r="B189" s="181"/>
      <c r="Q189" s="156"/>
      <c r="R189" s="156"/>
    </row>
    <row r="190" spans="2:18" x14ac:dyDescent="0.2">
      <c r="B190" s="180"/>
      <c r="Q190" s="156"/>
      <c r="R190" s="156"/>
    </row>
    <row r="191" spans="2:18" x14ac:dyDescent="0.2">
      <c r="B191" s="180"/>
      <c r="Q191" s="156"/>
      <c r="R191" s="156"/>
    </row>
    <row r="192" spans="2:18" x14ac:dyDescent="0.2">
      <c r="M192" s="156"/>
      <c r="N192" s="156"/>
    </row>
    <row r="193" spans="2:14" x14ac:dyDescent="0.2">
      <c r="B193" s="156"/>
      <c r="M193" s="156"/>
      <c r="N193" s="156"/>
    </row>
    <row r="194" spans="2:14" x14ac:dyDescent="0.2">
      <c r="H194" s="156"/>
      <c r="M194" s="156"/>
      <c r="N194" s="156"/>
    </row>
    <row r="195" spans="2:14" x14ac:dyDescent="0.2">
      <c r="M195" s="156"/>
      <c r="N195" s="156"/>
    </row>
    <row r="196" spans="2:14" x14ac:dyDescent="0.2">
      <c r="M196" s="156"/>
      <c r="N196" s="156"/>
    </row>
  </sheetData>
  <autoFilter ref="A1:H161" xr:uid="{97980B58-C81F-4F23-BDD8-7F5D853D3320}"/>
  <mergeCells count="2">
    <mergeCell ref="A1:A2"/>
    <mergeCell ref="O176:S17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03FC-7F73-489E-816C-D6B38C65A62C}">
  <sheetPr codeName="Planilha6"/>
  <dimension ref="A1:V190"/>
  <sheetViews>
    <sheetView zoomScale="60" zoomScaleNormal="60" workbookViewId="0">
      <pane xSplit="1" ySplit="4" topLeftCell="B11" activePane="bottomRight" state="frozen"/>
      <selection pane="topRight"/>
      <selection pane="bottomLeft"/>
      <selection pane="bottomRight" activeCell="V165" sqref="V165"/>
    </sheetView>
  </sheetViews>
  <sheetFormatPr defaultColWidth="9.140625" defaultRowHeight="12.75" x14ac:dyDescent="0.2"/>
  <cols>
    <col min="1" max="1" width="17.42578125" style="150" bestFit="1" customWidth="1"/>
    <col min="2" max="2" width="12.140625" style="150" bestFit="1" customWidth="1"/>
    <col min="3" max="3" width="10.140625" style="150" bestFit="1" customWidth="1"/>
    <col min="4" max="4" width="2.140625" style="150" customWidth="1"/>
    <col min="5" max="6" width="9.42578125" style="150" bestFit="1" customWidth="1"/>
    <col min="7" max="8" width="9.140625" style="150"/>
    <col min="9" max="9" width="2" style="151" customWidth="1"/>
    <col min="10" max="10" width="11.140625" style="150" bestFit="1" customWidth="1"/>
    <col min="11" max="14" width="9.140625" style="150"/>
    <col min="15" max="15" width="10.7109375" style="150" bestFit="1" customWidth="1"/>
    <col min="16" max="16384" width="9.140625" style="150"/>
  </cols>
  <sheetData>
    <row r="1" spans="1:13" x14ac:dyDescent="0.2">
      <c r="A1" s="150" t="s">
        <v>75</v>
      </c>
      <c r="J1" s="150" t="s">
        <v>76</v>
      </c>
    </row>
    <row r="2" spans="1:13" x14ac:dyDescent="0.2">
      <c r="A2" s="150" t="s">
        <v>0</v>
      </c>
      <c r="J2" s="150" t="s">
        <v>0</v>
      </c>
    </row>
    <row r="3" spans="1:13" x14ac:dyDescent="0.2">
      <c r="B3" s="150" t="s">
        <v>1</v>
      </c>
      <c r="E3" s="150" t="s">
        <v>2</v>
      </c>
      <c r="K3" s="150" t="s">
        <v>3</v>
      </c>
    </row>
    <row r="4" spans="1:13" x14ac:dyDescent="0.2">
      <c r="B4" s="150" t="s">
        <v>4</v>
      </c>
      <c r="C4" s="150" t="s">
        <v>5</v>
      </c>
      <c r="E4" s="150" t="s">
        <v>4</v>
      </c>
      <c r="F4" s="150" t="s">
        <v>5</v>
      </c>
      <c r="K4" s="150" t="s">
        <v>4</v>
      </c>
      <c r="L4" s="150" t="s">
        <v>5</v>
      </c>
    </row>
    <row r="5" spans="1:13" x14ac:dyDescent="0.2">
      <c r="A5" s="152">
        <v>40969</v>
      </c>
      <c r="B5" s="7">
        <v>121368</v>
      </c>
      <c r="C5" s="204">
        <v>262414</v>
      </c>
      <c r="D5" s="153"/>
      <c r="E5" s="153">
        <f>B5/1000</f>
        <v>121.36799999999999</v>
      </c>
      <c r="F5" s="153">
        <f>C5/1000</f>
        <v>262.41399999999999</v>
      </c>
      <c r="G5" s="153"/>
      <c r="H5" s="154"/>
      <c r="I5" s="155"/>
      <c r="J5" s="152">
        <v>40969</v>
      </c>
      <c r="K5" s="7">
        <v>1427</v>
      </c>
      <c r="L5" s="204">
        <v>3086</v>
      </c>
      <c r="M5" s="156"/>
    </row>
    <row r="6" spans="1:13" x14ac:dyDescent="0.2">
      <c r="A6" s="152">
        <v>41000</v>
      </c>
      <c r="B6" s="7">
        <v>123179</v>
      </c>
      <c r="C6" s="204">
        <v>265204</v>
      </c>
      <c r="D6" s="153"/>
      <c r="E6" s="153">
        <f t="shared" ref="E6:F69" si="0">B6/1000</f>
        <v>123.179</v>
      </c>
      <c r="F6" s="153">
        <f t="shared" si="0"/>
        <v>265.20400000000001</v>
      </c>
      <c r="G6" s="153"/>
      <c r="H6" s="154"/>
      <c r="I6" s="155"/>
      <c r="J6" s="152">
        <v>41000</v>
      </c>
      <c r="K6" s="7">
        <v>1438</v>
      </c>
      <c r="L6" s="204">
        <v>3097</v>
      </c>
      <c r="M6" s="156"/>
    </row>
    <row r="7" spans="1:13" x14ac:dyDescent="0.2">
      <c r="A7" s="152">
        <v>41030</v>
      </c>
      <c r="B7" s="7">
        <v>123793</v>
      </c>
      <c r="C7" s="204">
        <v>265466</v>
      </c>
      <c r="D7" s="153"/>
      <c r="E7" s="153">
        <f t="shared" si="0"/>
        <v>123.79300000000001</v>
      </c>
      <c r="F7" s="153">
        <f t="shared" si="0"/>
        <v>265.46600000000001</v>
      </c>
      <c r="G7" s="153"/>
      <c r="H7" s="154"/>
      <c r="I7" s="155"/>
      <c r="J7" s="152">
        <v>41030</v>
      </c>
      <c r="K7" s="7">
        <v>1440</v>
      </c>
      <c r="L7" s="204">
        <v>3089</v>
      </c>
      <c r="M7" s="156"/>
    </row>
    <row r="8" spans="1:13" x14ac:dyDescent="0.2">
      <c r="A8" s="152">
        <v>41061</v>
      </c>
      <c r="B8" s="7">
        <v>124695</v>
      </c>
      <c r="C8" s="204">
        <v>266434</v>
      </c>
      <c r="D8" s="153"/>
      <c r="E8" s="153">
        <f t="shared" si="0"/>
        <v>124.69499999999999</v>
      </c>
      <c r="F8" s="153">
        <f t="shared" si="0"/>
        <v>266.43400000000003</v>
      </c>
      <c r="G8" s="153"/>
      <c r="H8" s="154"/>
      <c r="I8" s="155"/>
      <c r="J8" s="152">
        <v>41061</v>
      </c>
      <c r="K8" s="7">
        <v>1449</v>
      </c>
      <c r="L8" s="204">
        <v>3095</v>
      </c>
      <c r="M8" s="156"/>
    </row>
    <row r="9" spans="1:13" x14ac:dyDescent="0.2">
      <c r="A9" s="152">
        <v>41091</v>
      </c>
      <c r="B9" s="7">
        <v>125873</v>
      </c>
      <c r="C9" s="204">
        <v>268159</v>
      </c>
      <c r="D9" s="153"/>
      <c r="E9" s="153">
        <f t="shared" si="0"/>
        <v>125.873</v>
      </c>
      <c r="F9" s="153">
        <f t="shared" si="0"/>
        <v>268.15899999999999</v>
      </c>
      <c r="G9" s="153"/>
      <c r="H9" s="154"/>
      <c r="I9" s="155"/>
      <c r="J9" s="152">
        <v>41091</v>
      </c>
      <c r="K9" s="7">
        <v>1460</v>
      </c>
      <c r="L9" s="204">
        <v>3111</v>
      </c>
      <c r="M9" s="156"/>
    </row>
    <row r="10" spans="1:13" x14ac:dyDescent="0.2">
      <c r="A10" s="152">
        <v>41122</v>
      </c>
      <c r="B10" s="7">
        <v>127058</v>
      </c>
      <c r="C10" s="204">
        <v>269898</v>
      </c>
      <c r="D10" s="153"/>
      <c r="E10" s="153">
        <f t="shared" si="0"/>
        <v>127.05800000000001</v>
      </c>
      <c r="F10" s="153">
        <f t="shared" si="0"/>
        <v>269.89800000000002</v>
      </c>
      <c r="G10" s="153"/>
      <c r="H10" s="154"/>
      <c r="I10" s="155"/>
      <c r="J10" s="152">
        <v>41122</v>
      </c>
      <c r="K10" s="7">
        <v>1469</v>
      </c>
      <c r="L10" s="204">
        <v>3121</v>
      </c>
      <c r="M10" s="156"/>
    </row>
    <row r="11" spans="1:13" x14ac:dyDescent="0.2">
      <c r="A11" s="152">
        <v>41153</v>
      </c>
      <c r="B11" s="7">
        <v>127855</v>
      </c>
      <c r="C11" s="204">
        <v>270314</v>
      </c>
      <c r="D11" s="153"/>
      <c r="E11" s="153">
        <f t="shared" si="0"/>
        <v>127.855</v>
      </c>
      <c r="F11" s="153">
        <f t="shared" si="0"/>
        <v>270.31400000000002</v>
      </c>
      <c r="G11" s="153"/>
      <c r="H11" s="154"/>
      <c r="I11" s="155"/>
      <c r="J11" s="152">
        <v>41153</v>
      </c>
      <c r="K11" s="7">
        <v>1473</v>
      </c>
      <c r="L11" s="204">
        <v>3115</v>
      </c>
      <c r="M11" s="156"/>
    </row>
    <row r="12" spans="1:13" x14ac:dyDescent="0.2">
      <c r="A12" s="152">
        <v>41183</v>
      </c>
      <c r="B12" s="7">
        <v>128705</v>
      </c>
      <c r="C12" s="204">
        <v>270679</v>
      </c>
      <c r="D12" s="153"/>
      <c r="E12" s="153">
        <f t="shared" si="0"/>
        <v>128.70500000000001</v>
      </c>
      <c r="F12" s="153">
        <f t="shared" si="0"/>
        <v>270.67899999999997</v>
      </c>
      <c r="G12" s="153"/>
      <c r="H12" s="154"/>
      <c r="I12" s="155"/>
      <c r="J12" s="152">
        <v>41183</v>
      </c>
      <c r="K12" s="7">
        <v>1479</v>
      </c>
      <c r="L12" s="204">
        <v>3111</v>
      </c>
      <c r="M12" s="156"/>
    </row>
    <row r="13" spans="1:13" x14ac:dyDescent="0.2">
      <c r="A13" s="152">
        <v>41214</v>
      </c>
      <c r="B13" s="7">
        <v>129543</v>
      </c>
      <c r="C13" s="204">
        <v>270826</v>
      </c>
      <c r="D13" s="153"/>
      <c r="E13" s="153">
        <f t="shared" si="0"/>
        <v>129.54300000000001</v>
      </c>
      <c r="F13" s="153">
        <f t="shared" si="0"/>
        <v>270.82600000000002</v>
      </c>
      <c r="G13" s="153"/>
      <c r="H13" s="154"/>
      <c r="I13" s="155"/>
      <c r="J13" s="152">
        <v>41214</v>
      </c>
      <c r="K13" s="7">
        <v>1487</v>
      </c>
      <c r="L13" s="204">
        <v>3109</v>
      </c>
      <c r="M13" s="156"/>
    </row>
    <row r="14" spans="1:13" x14ac:dyDescent="0.2">
      <c r="A14" s="152">
        <v>41244</v>
      </c>
      <c r="B14" s="7">
        <v>130122</v>
      </c>
      <c r="C14" s="204">
        <v>270233</v>
      </c>
      <c r="D14" s="153"/>
      <c r="E14" s="153">
        <f t="shared" si="0"/>
        <v>130.12200000000001</v>
      </c>
      <c r="F14" s="153">
        <f t="shared" si="0"/>
        <v>270.233</v>
      </c>
      <c r="G14" s="153"/>
      <c r="H14" s="154"/>
      <c r="I14" s="155"/>
      <c r="J14" s="152">
        <v>41244</v>
      </c>
      <c r="K14" s="7">
        <v>1493</v>
      </c>
      <c r="L14" s="204">
        <v>3101</v>
      </c>
      <c r="M14" s="156"/>
    </row>
    <row r="15" spans="1:13" x14ac:dyDescent="0.2">
      <c r="A15" s="152">
        <v>41275</v>
      </c>
      <c r="B15" s="7">
        <v>131178</v>
      </c>
      <c r="C15" s="204">
        <v>270411</v>
      </c>
      <c r="D15" s="153"/>
      <c r="E15" s="153">
        <f t="shared" si="0"/>
        <v>131.178</v>
      </c>
      <c r="F15" s="153">
        <f t="shared" si="0"/>
        <v>270.411</v>
      </c>
      <c r="G15" s="153"/>
      <c r="H15" s="154"/>
      <c r="I15" s="155"/>
      <c r="J15" s="152">
        <v>41275</v>
      </c>
      <c r="K15" s="7">
        <v>1511</v>
      </c>
      <c r="L15" s="204">
        <v>3114</v>
      </c>
      <c r="M15" s="156"/>
    </row>
    <row r="16" spans="1:13" x14ac:dyDescent="0.2">
      <c r="A16" s="152">
        <v>41306</v>
      </c>
      <c r="B16" s="7">
        <v>132389</v>
      </c>
      <c r="C16" s="204">
        <v>270867</v>
      </c>
      <c r="D16" s="153"/>
      <c r="E16" s="153">
        <f t="shared" si="0"/>
        <v>132.38900000000001</v>
      </c>
      <c r="F16" s="153">
        <f t="shared" si="0"/>
        <v>270.86700000000002</v>
      </c>
      <c r="G16" s="153"/>
      <c r="H16" s="154"/>
      <c r="I16" s="155"/>
      <c r="J16" s="152">
        <v>41306</v>
      </c>
      <c r="K16" s="7">
        <v>1531</v>
      </c>
      <c r="L16" s="204">
        <v>3132</v>
      </c>
      <c r="M16" s="156"/>
    </row>
    <row r="17" spans="1:13" x14ac:dyDescent="0.2">
      <c r="A17" s="152">
        <v>41334</v>
      </c>
      <c r="B17" s="7">
        <v>133676</v>
      </c>
      <c r="C17" s="204">
        <v>271748</v>
      </c>
      <c r="D17" s="153"/>
      <c r="E17" s="153">
        <f t="shared" si="0"/>
        <v>133.67599999999999</v>
      </c>
      <c r="F17" s="153">
        <f t="shared" si="0"/>
        <v>271.74799999999999</v>
      </c>
      <c r="G17" s="154">
        <f>(F17/F5-1)*100</f>
        <v>3.5569748565244197</v>
      </c>
      <c r="H17" s="154"/>
      <c r="I17" s="155"/>
      <c r="J17" s="152">
        <v>41334</v>
      </c>
      <c r="K17" s="7">
        <v>1550</v>
      </c>
      <c r="L17" s="204">
        <v>3150</v>
      </c>
      <c r="M17" s="156">
        <f>(L17/L5-1)*100</f>
        <v>2.0738820479585307</v>
      </c>
    </row>
    <row r="18" spans="1:13" x14ac:dyDescent="0.2">
      <c r="A18" s="152">
        <v>41365</v>
      </c>
      <c r="B18" s="7">
        <v>135271</v>
      </c>
      <c r="C18" s="204">
        <v>273527</v>
      </c>
      <c r="D18" s="153"/>
      <c r="E18" s="153">
        <f t="shared" si="0"/>
        <v>135.27099999999999</v>
      </c>
      <c r="F18" s="153">
        <f t="shared" si="0"/>
        <v>273.52699999999999</v>
      </c>
      <c r="G18" s="154">
        <f t="shared" ref="G18:G81" si="1">(F18/F6-1)*100</f>
        <v>3.1383387882535585</v>
      </c>
      <c r="H18" s="154"/>
      <c r="I18" s="155"/>
      <c r="J18" s="152">
        <v>41365</v>
      </c>
      <c r="K18" s="7">
        <v>1561</v>
      </c>
      <c r="L18" s="204">
        <v>3157</v>
      </c>
      <c r="M18" s="156">
        <f t="shared" ref="M18:M21" si="2">(L18/L6-1)*100</f>
        <v>1.9373587342589538</v>
      </c>
    </row>
    <row r="19" spans="1:13" x14ac:dyDescent="0.2">
      <c r="A19" s="152">
        <v>41395</v>
      </c>
      <c r="B19" s="7">
        <v>136609</v>
      </c>
      <c r="C19" s="204">
        <v>274962</v>
      </c>
      <c r="D19" s="153"/>
      <c r="E19" s="153">
        <f t="shared" si="0"/>
        <v>136.60900000000001</v>
      </c>
      <c r="F19" s="153">
        <f t="shared" si="0"/>
        <v>274.96199999999999</v>
      </c>
      <c r="G19" s="154">
        <f t="shared" si="1"/>
        <v>3.5771059194021015</v>
      </c>
      <c r="H19" s="154"/>
      <c r="I19" s="155"/>
      <c r="J19" s="152">
        <v>41395</v>
      </c>
      <c r="K19" s="7">
        <v>1570</v>
      </c>
      <c r="L19" s="204">
        <v>3159</v>
      </c>
      <c r="M19" s="156">
        <f t="shared" si="2"/>
        <v>2.2661055357720894</v>
      </c>
    </row>
    <row r="20" spans="1:13" x14ac:dyDescent="0.2">
      <c r="A20" s="152">
        <v>41426</v>
      </c>
      <c r="B20" s="7">
        <v>138681</v>
      </c>
      <c r="C20" s="204">
        <v>278097</v>
      </c>
      <c r="D20" s="153"/>
      <c r="E20" s="153">
        <f t="shared" si="0"/>
        <v>138.68100000000001</v>
      </c>
      <c r="F20" s="153">
        <f t="shared" si="0"/>
        <v>278.09699999999998</v>
      </c>
      <c r="G20" s="154">
        <f t="shared" si="1"/>
        <v>4.3774443201693325</v>
      </c>
      <c r="H20" s="154"/>
      <c r="I20" s="155"/>
      <c r="J20" s="152">
        <v>41426</v>
      </c>
      <c r="K20" s="7">
        <v>1588</v>
      </c>
      <c r="L20" s="204">
        <v>3185</v>
      </c>
      <c r="M20" s="156">
        <f t="shared" si="2"/>
        <v>2.9079159935379684</v>
      </c>
    </row>
    <row r="21" spans="1:13" x14ac:dyDescent="0.2">
      <c r="A21" s="152">
        <v>41456</v>
      </c>
      <c r="B21" s="7">
        <v>140309</v>
      </c>
      <c r="C21" s="204">
        <v>280781</v>
      </c>
      <c r="D21" s="153"/>
      <c r="E21" s="153">
        <f t="shared" si="0"/>
        <v>140.309</v>
      </c>
      <c r="F21" s="153">
        <f t="shared" si="0"/>
        <v>280.78100000000001</v>
      </c>
      <c r="G21" s="154">
        <f t="shared" si="1"/>
        <v>4.7069089607285175</v>
      </c>
      <c r="H21" s="154"/>
      <c r="I21" s="155"/>
      <c r="J21" s="152">
        <v>41456</v>
      </c>
      <c r="K21" s="7">
        <v>1602</v>
      </c>
      <c r="L21" s="204">
        <v>3206</v>
      </c>
      <c r="M21" s="156">
        <f t="shared" si="2"/>
        <v>3.0536804885888724</v>
      </c>
    </row>
    <row r="22" spans="1:13" x14ac:dyDescent="0.2">
      <c r="A22" s="152">
        <v>41487</v>
      </c>
      <c r="B22" s="7">
        <v>141788</v>
      </c>
      <c r="C22" s="204">
        <v>283211</v>
      </c>
      <c r="D22" s="153"/>
      <c r="E22" s="153">
        <f t="shared" si="0"/>
        <v>141.78800000000001</v>
      </c>
      <c r="F22" s="153">
        <f t="shared" si="0"/>
        <v>283.21100000000001</v>
      </c>
      <c r="G22" s="154">
        <f t="shared" si="1"/>
        <v>4.9326041689823574</v>
      </c>
      <c r="H22" s="154"/>
      <c r="I22" s="155"/>
      <c r="J22" s="152">
        <v>41487</v>
      </c>
      <c r="K22" s="7">
        <v>1616</v>
      </c>
      <c r="L22" s="204">
        <v>3227</v>
      </c>
      <c r="M22" s="156">
        <f>(L22/L10-1)*100</f>
        <v>3.396347324575455</v>
      </c>
    </row>
    <row r="23" spans="1:13" x14ac:dyDescent="0.2">
      <c r="A23" s="152">
        <v>41518</v>
      </c>
      <c r="B23" s="7">
        <v>142449</v>
      </c>
      <c r="C23" s="204">
        <v>283908</v>
      </c>
      <c r="D23" s="153"/>
      <c r="E23" s="153">
        <f t="shared" si="0"/>
        <v>142.44900000000001</v>
      </c>
      <c r="F23" s="153">
        <f t="shared" si="0"/>
        <v>283.90800000000002</v>
      </c>
      <c r="G23" s="154">
        <f t="shared" si="1"/>
        <v>5.0289663132505158</v>
      </c>
      <c r="H23" s="154"/>
      <c r="I23" s="155"/>
      <c r="J23" s="152">
        <v>41518</v>
      </c>
      <c r="K23" s="7">
        <v>1619</v>
      </c>
      <c r="L23" s="204">
        <v>3227</v>
      </c>
      <c r="M23" s="156">
        <f t="shared" ref="M23:M85" si="3">(L23/L11-1)*100</f>
        <v>3.5955056179775235</v>
      </c>
    </row>
    <row r="24" spans="1:13" x14ac:dyDescent="0.2">
      <c r="A24" s="152">
        <v>41548</v>
      </c>
      <c r="B24" s="7">
        <v>143719</v>
      </c>
      <c r="C24" s="204">
        <v>285284</v>
      </c>
      <c r="D24" s="153"/>
      <c r="E24" s="153">
        <f t="shared" si="0"/>
        <v>143.71899999999999</v>
      </c>
      <c r="F24" s="153">
        <f t="shared" si="0"/>
        <v>285.28399999999999</v>
      </c>
      <c r="G24" s="154">
        <f t="shared" si="1"/>
        <v>5.3956900978650024</v>
      </c>
      <c r="H24" s="154"/>
      <c r="I24" s="155"/>
      <c r="J24" s="152">
        <v>41548</v>
      </c>
      <c r="K24" s="7">
        <v>1631</v>
      </c>
      <c r="L24" s="204">
        <v>3237</v>
      </c>
      <c r="M24" s="156">
        <f t="shared" si="3"/>
        <v>4.0501446480231351</v>
      </c>
    </row>
    <row r="25" spans="1:13" x14ac:dyDescent="0.2">
      <c r="A25" s="152">
        <v>41579</v>
      </c>
      <c r="B25" s="7">
        <v>144382</v>
      </c>
      <c r="C25" s="204">
        <v>285183</v>
      </c>
      <c r="D25" s="153"/>
      <c r="E25" s="153">
        <f t="shared" si="0"/>
        <v>144.38200000000001</v>
      </c>
      <c r="F25" s="153">
        <f t="shared" si="0"/>
        <v>285.18299999999999</v>
      </c>
      <c r="G25" s="154">
        <f t="shared" si="1"/>
        <v>5.3011896937517067</v>
      </c>
      <c r="H25" s="154"/>
      <c r="I25" s="155"/>
      <c r="J25" s="152">
        <v>41579</v>
      </c>
      <c r="K25" s="7">
        <v>1632</v>
      </c>
      <c r="L25" s="204">
        <v>3223</v>
      </c>
      <c r="M25" s="156">
        <f t="shared" si="3"/>
        <v>3.6667738822772522</v>
      </c>
    </row>
    <row r="26" spans="1:13" x14ac:dyDescent="0.2">
      <c r="A26" s="152">
        <v>41609</v>
      </c>
      <c r="B26" s="7">
        <v>144432</v>
      </c>
      <c r="C26" s="204">
        <v>283323</v>
      </c>
      <c r="D26" s="153"/>
      <c r="E26" s="153">
        <f t="shared" si="0"/>
        <v>144.43199999999999</v>
      </c>
      <c r="F26" s="153">
        <f t="shared" si="0"/>
        <v>283.32299999999998</v>
      </c>
      <c r="G26" s="154">
        <f t="shared" si="1"/>
        <v>4.8439679831848714</v>
      </c>
      <c r="H26" s="154"/>
      <c r="I26" s="155"/>
      <c r="J26" s="152">
        <v>41609</v>
      </c>
      <c r="K26" s="7">
        <v>1630</v>
      </c>
      <c r="L26" s="204">
        <v>3198</v>
      </c>
      <c r="M26" s="156">
        <f t="shared" si="3"/>
        <v>3.1280232183166667</v>
      </c>
    </row>
    <row r="27" spans="1:13" x14ac:dyDescent="0.2">
      <c r="A27" s="152">
        <v>41640</v>
      </c>
      <c r="B27" s="7">
        <v>144716</v>
      </c>
      <c r="C27" s="204">
        <v>282016</v>
      </c>
      <c r="D27" s="153"/>
      <c r="E27" s="153">
        <f t="shared" si="0"/>
        <v>144.71600000000001</v>
      </c>
      <c r="F27" s="153">
        <f t="shared" si="0"/>
        <v>282.01600000000002</v>
      </c>
      <c r="G27" s="154">
        <f t="shared" si="1"/>
        <v>4.2916153558842041</v>
      </c>
      <c r="H27" s="154"/>
      <c r="I27" s="155"/>
      <c r="J27" s="152">
        <v>41640</v>
      </c>
      <c r="K27" s="7">
        <v>1639</v>
      </c>
      <c r="L27" s="204">
        <v>3195</v>
      </c>
      <c r="M27" s="156">
        <f t="shared" si="3"/>
        <v>2.6011560693641522</v>
      </c>
    </row>
    <row r="28" spans="1:13" x14ac:dyDescent="0.2">
      <c r="A28" s="152">
        <v>41671</v>
      </c>
      <c r="B28" s="7">
        <v>146912</v>
      </c>
      <c r="C28" s="204">
        <v>284323</v>
      </c>
      <c r="D28" s="153"/>
      <c r="E28" s="153">
        <f t="shared" si="0"/>
        <v>146.91200000000001</v>
      </c>
      <c r="F28" s="153">
        <f t="shared" si="0"/>
        <v>284.32299999999998</v>
      </c>
      <c r="G28" s="154">
        <f t="shared" si="1"/>
        <v>4.9677517010193073</v>
      </c>
      <c r="H28" s="154"/>
      <c r="I28" s="155"/>
      <c r="J28" s="152">
        <v>41671</v>
      </c>
      <c r="K28" s="7">
        <v>1667</v>
      </c>
      <c r="L28" s="204">
        <v>3226</v>
      </c>
      <c r="M28" s="156">
        <f t="shared" si="3"/>
        <v>3.0012771392081694</v>
      </c>
    </row>
    <row r="29" spans="1:13" x14ac:dyDescent="0.2">
      <c r="A29" s="152">
        <v>41699</v>
      </c>
      <c r="B29" s="7">
        <v>149418</v>
      </c>
      <c r="C29" s="204">
        <v>287169</v>
      </c>
      <c r="D29" s="153"/>
      <c r="E29" s="153">
        <f t="shared" si="0"/>
        <v>149.41800000000001</v>
      </c>
      <c r="F29" s="153">
        <f>C29/1000</f>
        <v>287.16899999999998</v>
      </c>
      <c r="G29" s="154">
        <f t="shared" si="1"/>
        <v>5.6747427763957692</v>
      </c>
      <c r="H29" s="154"/>
      <c r="I29" s="155"/>
      <c r="J29" s="152">
        <v>41699</v>
      </c>
      <c r="K29" s="7">
        <v>1697</v>
      </c>
      <c r="L29" s="204">
        <v>3262</v>
      </c>
      <c r="M29" s="156">
        <f t="shared" si="3"/>
        <v>3.5555555555555562</v>
      </c>
    </row>
    <row r="30" spans="1:13" x14ac:dyDescent="0.2">
      <c r="A30" s="152">
        <v>41730</v>
      </c>
      <c r="B30" s="7">
        <v>150869</v>
      </c>
      <c r="C30" s="204">
        <v>287793</v>
      </c>
      <c r="D30" s="153"/>
      <c r="E30" s="153">
        <f t="shared" si="0"/>
        <v>150.869</v>
      </c>
      <c r="F30" s="153">
        <f t="shared" si="0"/>
        <v>287.79300000000001</v>
      </c>
      <c r="G30" s="154">
        <f t="shared" si="1"/>
        <v>5.2155728684919689</v>
      </c>
      <c r="H30" s="154"/>
      <c r="I30" s="155"/>
      <c r="J30" s="152">
        <v>41730</v>
      </c>
      <c r="K30" s="7">
        <v>1709</v>
      </c>
      <c r="L30" s="204">
        <v>3260</v>
      </c>
      <c r="M30" s="156">
        <f t="shared" si="3"/>
        <v>3.2625910674691116</v>
      </c>
    </row>
    <row r="31" spans="1:13" x14ac:dyDescent="0.2">
      <c r="A31" s="152">
        <v>41760</v>
      </c>
      <c r="B31" s="7">
        <v>151980</v>
      </c>
      <c r="C31" s="204">
        <v>287963</v>
      </c>
      <c r="D31" s="153"/>
      <c r="E31" s="153">
        <f t="shared" si="0"/>
        <v>151.97999999999999</v>
      </c>
      <c r="F31" s="153">
        <f t="shared" si="0"/>
        <v>287.96300000000002</v>
      </c>
      <c r="G31" s="154">
        <f t="shared" si="1"/>
        <v>4.7282897273077884</v>
      </c>
      <c r="H31" s="154"/>
      <c r="I31" s="155"/>
      <c r="J31" s="152">
        <v>41760</v>
      </c>
      <c r="K31" s="7">
        <v>1717</v>
      </c>
      <c r="L31" s="204">
        <v>3254</v>
      </c>
      <c r="M31" s="156">
        <f t="shared" si="3"/>
        <v>3.0072807850585637</v>
      </c>
    </row>
    <row r="32" spans="1:13" x14ac:dyDescent="0.2">
      <c r="A32" s="152">
        <v>41791</v>
      </c>
      <c r="B32" s="7">
        <v>152220</v>
      </c>
      <c r="C32" s="204">
        <v>286984</v>
      </c>
      <c r="D32" s="153"/>
      <c r="E32" s="153">
        <f t="shared" si="0"/>
        <v>152.22</v>
      </c>
      <c r="F32" s="153">
        <f t="shared" si="0"/>
        <v>286.98399999999998</v>
      </c>
      <c r="G32" s="154">
        <f t="shared" si="1"/>
        <v>3.1956475618219571</v>
      </c>
      <c r="H32" s="154"/>
      <c r="I32" s="155"/>
      <c r="J32" s="152">
        <v>41791</v>
      </c>
      <c r="K32" s="7">
        <v>1717</v>
      </c>
      <c r="L32" s="204">
        <v>3236</v>
      </c>
      <c r="M32" s="156">
        <f t="shared" si="3"/>
        <v>1.6012558869701765</v>
      </c>
    </row>
    <row r="33" spans="1:13" x14ac:dyDescent="0.2">
      <c r="A33" s="152">
        <v>41821</v>
      </c>
      <c r="B33" s="7">
        <v>152296</v>
      </c>
      <c r="C33" s="204">
        <v>286304</v>
      </c>
      <c r="D33" s="153"/>
      <c r="E33" s="153">
        <f t="shared" si="0"/>
        <v>152.29599999999999</v>
      </c>
      <c r="F33" s="153">
        <f t="shared" si="0"/>
        <v>286.30399999999997</v>
      </c>
      <c r="G33" s="154">
        <f t="shared" si="1"/>
        <v>1.9670134375189052</v>
      </c>
      <c r="H33" s="154"/>
      <c r="I33" s="155"/>
      <c r="J33" s="152">
        <v>41821</v>
      </c>
      <c r="K33" s="7">
        <v>1718</v>
      </c>
      <c r="L33" s="204">
        <v>3230</v>
      </c>
      <c r="M33" s="156">
        <f t="shared" si="3"/>
        <v>0.74859638178415011</v>
      </c>
    </row>
    <row r="34" spans="1:13" x14ac:dyDescent="0.2">
      <c r="A34" s="152">
        <v>41852</v>
      </c>
      <c r="B34" s="7">
        <v>153699</v>
      </c>
      <c r="C34" s="204">
        <v>288299</v>
      </c>
      <c r="D34" s="153"/>
      <c r="E34" s="153">
        <f t="shared" si="0"/>
        <v>153.69900000000001</v>
      </c>
      <c r="F34" s="153">
        <f t="shared" si="0"/>
        <v>288.29899999999998</v>
      </c>
      <c r="G34" s="154">
        <f t="shared" si="1"/>
        <v>1.7965403886148312</v>
      </c>
      <c r="H34" s="154"/>
      <c r="I34" s="155"/>
      <c r="J34" s="152">
        <v>41852</v>
      </c>
      <c r="K34" s="7">
        <v>1734</v>
      </c>
      <c r="L34" s="204">
        <v>3253</v>
      </c>
      <c r="M34" s="156">
        <f t="shared" si="3"/>
        <v>0.80570189030058081</v>
      </c>
    </row>
    <row r="35" spans="1:13" x14ac:dyDescent="0.2">
      <c r="A35" s="152">
        <v>41883</v>
      </c>
      <c r="B35" s="7">
        <v>155308</v>
      </c>
      <c r="C35" s="204">
        <v>290495</v>
      </c>
      <c r="D35" s="153"/>
      <c r="E35" s="153">
        <f t="shared" si="0"/>
        <v>155.30799999999999</v>
      </c>
      <c r="F35" s="153">
        <f t="shared" si="0"/>
        <v>290.495</v>
      </c>
      <c r="G35" s="154">
        <f t="shared" si="1"/>
        <v>2.3201177846344567</v>
      </c>
      <c r="H35" s="154"/>
      <c r="I35" s="155"/>
      <c r="J35" s="152">
        <v>41883</v>
      </c>
      <c r="K35" s="7">
        <v>1745</v>
      </c>
      <c r="L35" s="204">
        <v>3264</v>
      </c>
      <c r="M35" s="156">
        <f t="shared" si="3"/>
        <v>1.146575766966218</v>
      </c>
    </row>
    <row r="36" spans="1:13" x14ac:dyDescent="0.2">
      <c r="A36" s="152">
        <v>41913</v>
      </c>
      <c r="B36" s="7">
        <v>157114</v>
      </c>
      <c r="C36" s="204">
        <v>292657</v>
      </c>
      <c r="D36" s="153"/>
      <c r="E36" s="153">
        <f t="shared" si="0"/>
        <v>157.114</v>
      </c>
      <c r="F36" s="153">
        <f t="shared" si="0"/>
        <v>292.65699999999998</v>
      </c>
      <c r="G36" s="154">
        <f t="shared" si="1"/>
        <v>2.5844421699078746</v>
      </c>
      <c r="H36" s="154"/>
      <c r="I36" s="155"/>
      <c r="J36" s="152">
        <v>41913</v>
      </c>
      <c r="K36" s="7">
        <v>1759</v>
      </c>
      <c r="L36" s="204">
        <v>3277</v>
      </c>
      <c r="M36" s="156">
        <f t="shared" si="3"/>
        <v>1.2357120790855713</v>
      </c>
    </row>
    <row r="37" spans="1:13" x14ac:dyDescent="0.2">
      <c r="A37" s="152">
        <v>41944</v>
      </c>
      <c r="B37" s="7">
        <v>157196</v>
      </c>
      <c r="C37" s="204">
        <v>291319</v>
      </c>
      <c r="D37" s="153"/>
      <c r="E37" s="153">
        <f t="shared" si="0"/>
        <v>157.196</v>
      </c>
      <c r="F37" s="153">
        <f t="shared" si="0"/>
        <v>291.31900000000002</v>
      </c>
      <c r="G37" s="154">
        <f t="shared" si="1"/>
        <v>2.1516009018770488</v>
      </c>
      <c r="H37" s="154"/>
      <c r="I37" s="155"/>
      <c r="J37" s="152">
        <v>41944</v>
      </c>
      <c r="K37" s="7">
        <v>1756</v>
      </c>
      <c r="L37" s="204">
        <v>3255</v>
      </c>
      <c r="M37" s="156">
        <f t="shared" si="3"/>
        <v>0.99286379149861048</v>
      </c>
    </row>
    <row r="38" spans="1:13" x14ac:dyDescent="0.2">
      <c r="A38" s="152">
        <v>41974</v>
      </c>
      <c r="B38" s="7">
        <v>158230</v>
      </c>
      <c r="C38" s="204">
        <v>291576</v>
      </c>
      <c r="D38" s="153"/>
      <c r="E38" s="153">
        <f t="shared" si="0"/>
        <v>158.22999999999999</v>
      </c>
      <c r="F38" s="153">
        <f t="shared" si="0"/>
        <v>291.57600000000002</v>
      </c>
      <c r="G38" s="154">
        <f t="shared" si="1"/>
        <v>2.9129297656738329</v>
      </c>
      <c r="H38" s="154"/>
      <c r="I38" s="155"/>
      <c r="J38" s="152">
        <v>41974</v>
      </c>
      <c r="K38" s="7">
        <v>1767</v>
      </c>
      <c r="L38" s="204">
        <v>3256</v>
      </c>
      <c r="M38" s="156">
        <f t="shared" si="3"/>
        <v>1.8136335209505861</v>
      </c>
    </row>
    <row r="39" spans="1:13" x14ac:dyDescent="0.2">
      <c r="A39" s="152">
        <v>42005</v>
      </c>
      <c r="B39" s="7">
        <v>159263</v>
      </c>
      <c r="C39" s="204">
        <v>291039</v>
      </c>
      <c r="D39" s="153"/>
      <c r="E39" s="153">
        <f t="shared" si="0"/>
        <v>159.26300000000001</v>
      </c>
      <c r="F39" s="153">
        <f t="shared" si="0"/>
        <v>291.03899999999999</v>
      </c>
      <c r="G39" s="154">
        <f t="shared" si="1"/>
        <v>3.1994638602065084</v>
      </c>
      <c r="H39" s="154"/>
      <c r="I39" s="155"/>
      <c r="J39" s="152">
        <v>42005</v>
      </c>
      <c r="K39" s="7">
        <v>1784</v>
      </c>
      <c r="L39" s="204">
        <v>3261</v>
      </c>
      <c r="M39" s="156">
        <f t="shared" si="3"/>
        <v>2.0657276995305063</v>
      </c>
    </row>
    <row r="40" spans="1:13" x14ac:dyDescent="0.2">
      <c r="A40" s="152">
        <v>42036</v>
      </c>
      <c r="B40" s="7">
        <v>159833</v>
      </c>
      <c r="C40" s="204">
        <v>288988</v>
      </c>
      <c r="D40" s="153"/>
      <c r="E40" s="153">
        <f t="shared" si="0"/>
        <v>159.833</v>
      </c>
      <c r="F40" s="153">
        <f t="shared" si="0"/>
        <v>288.988</v>
      </c>
      <c r="G40" s="154">
        <f t="shared" si="1"/>
        <v>1.6407395813915926</v>
      </c>
      <c r="H40" s="154"/>
      <c r="I40" s="155"/>
      <c r="J40" s="152">
        <v>42036</v>
      </c>
      <c r="K40" s="7">
        <v>1800</v>
      </c>
      <c r="L40" s="204">
        <v>3255</v>
      </c>
      <c r="M40" s="156">
        <f t="shared" si="3"/>
        <v>0.89894606323621673</v>
      </c>
    </row>
    <row r="41" spans="1:13" x14ac:dyDescent="0.2">
      <c r="A41" s="152">
        <v>42064</v>
      </c>
      <c r="B41" s="7">
        <v>161227</v>
      </c>
      <c r="C41" s="204">
        <v>287920</v>
      </c>
      <c r="D41" s="153"/>
      <c r="E41" s="153">
        <f t="shared" si="0"/>
        <v>161.227</v>
      </c>
      <c r="F41" s="153">
        <f t="shared" si="0"/>
        <v>287.92</v>
      </c>
      <c r="G41" s="154">
        <f t="shared" si="1"/>
        <v>0.26151847866588973</v>
      </c>
      <c r="H41" s="154"/>
      <c r="I41" s="155"/>
      <c r="J41" s="152">
        <v>42064</v>
      </c>
      <c r="K41" s="7">
        <v>1823</v>
      </c>
      <c r="L41" s="204">
        <v>3256</v>
      </c>
      <c r="M41" s="156">
        <f t="shared" si="3"/>
        <v>-0.18393623543838666</v>
      </c>
    </row>
    <row r="42" spans="1:13" x14ac:dyDescent="0.2">
      <c r="A42" s="152">
        <v>42095</v>
      </c>
      <c r="B42" s="7">
        <v>162966</v>
      </c>
      <c r="C42" s="204">
        <v>287906</v>
      </c>
      <c r="D42" s="153"/>
      <c r="E42" s="153">
        <f t="shared" si="0"/>
        <v>162.96600000000001</v>
      </c>
      <c r="F42" s="153">
        <f t="shared" si="0"/>
        <v>287.90600000000001</v>
      </c>
      <c r="G42" s="154">
        <f t="shared" si="1"/>
        <v>3.9264332349997488E-2</v>
      </c>
      <c r="H42" s="154"/>
      <c r="I42" s="155"/>
      <c r="J42" s="152">
        <v>42095</v>
      </c>
      <c r="K42" s="7">
        <v>1839</v>
      </c>
      <c r="L42" s="204">
        <v>3248</v>
      </c>
      <c r="M42" s="156">
        <f t="shared" si="3"/>
        <v>-0.36809815950920033</v>
      </c>
    </row>
    <row r="43" spans="1:13" x14ac:dyDescent="0.2">
      <c r="A43" s="152">
        <v>42125</v>
      </c>
      <c r="B43" s="7">
        <v>163688</v>
      </c>
      <c r="C43" s="204">
        <v>286557</v>
      </c>
      <c r="D43" s="153"/>
      <c r="E43" s="153">
        <f t="shared" si="0"/>
        <v>163.68799999999999</v>
      </c>
      <c r="F43" s="153">
        <f t="shared" si="0"/>
        <v>286.55700000000002</v>
      </c>
      <c r="G43" s="154">
        <f t="shared" si="1"/>
        <v>-0.48825717192834128</v>
      </c>
      <c r="H43" s="154"/>
      <c r="I43" s="155"/>
      <c r="J43" s="152">
        <v>42125</v>
      </c>
      <c r="K43" s="7">
        <v>1847</v>
      </c>
      <c r="L43" s="204">
        <v>3233</v>
      </c>
      <c r="M43" s="156">
        <f t="shared" si="3"/>
        <v>-0.64535955746772844</v>
      </c>
    </row>
    <row r="44" spans="1:13" x14ac:dyDescent="0.2">
      <c r="A44" s="152">
        <v>42156</v>
      </c>
      <c r="B44" s="7">
        <v>165441</v>
      </c>
      <c r="C44" s="204">
        <v>287482</v>
      </c>
      <c r="D44" s="153"/>
      <c r="E44" s="153">
        <f t="shared" si="0"/>
        <v>165.441</v>
      </c>
      <c r="F44" s="153">
        <f t="shared" si="0"/>
        <v>287.48200000000003</v>
      </c>
      <c r="G44" s="154">
        <f t="shared" si="1"/>
        <v>0.17352883784462758</v>
      </c>
      <c r="H44" s="154"/>
      <c r="I44" s="155"/>
      <c r="J44" s="152">
        <v>42156</v>
      </c>
      <c r="K44" s="7">
        <v>1866</v>
      </c>
      <c r="L44" s="204">
        <v>3242</v>
      </c>
      <c r="M44" s="156">
        <f t="shared" si="3"/>
        <v>0.18541409147094789</v>
      </c>
    </row>
    <row r="45" spans="1:13" x14ac:dyDescent="0.2">
      <c r="A45" s="152">
        <v>42186</v>
      </c>
      <c r="B45" s="7">
        <v>165444</v>
      </c>
      <c r="C45" s="204">
        <v>285429</v>
      </c>
      <c r="D45" s="153"/>
      <c r="E45" s="153">
        <f t="shared" si="0"/>
        <v>165.44399999999999</v>
      </c>
      <c r="F45" s="153">
        <f t="shared" si="0"/>
        <v>285.42899999999997</v>
      </c>
      <c r="G45" s="154">
        <f t="shared" si="1"/>
        <v>-0.30561920196714443</v>
      </c>
      <c r="H45" s="154"/>
      <c r="I45" s="155"/>
      <c r="J45" s="152">
        <v>42186</v>
      </c>
      <c r="K45" s="7">
        <v>1866</v>
      </c>
      <c r="L45" s="204">
        <v>3220</v>
      </c>
      <c r="M45" s="156">
        <f t="shared" si="3"/>
        <v>-0.30959752321981782</v>
      </c>
    </row>
    <row r="46" spans="1:13" x14ac:dyDescent="0.2">
      <c r="A46" s="152">
        <v>42217</v>
      </c>
      <c r="B46" s="7">
        <v>165475</v>
      </c>
      <c r="C46" s="204">
        <v>283892</v>
      </c>
      <c r="D46" s="153"/>
      <c r="E46" s="153">
        <f t="shared" si="0"/>
        <v>165.47499999999999</v>
      </c>
      <c r="F46" s="153">
        <f t="shared" si="0"/>
        <v>283.892</v>
      </c>
      <c r="G46" s="154">
        <f t="shared" si="1"/>
        <v>-1.5286213271638038</v>
      </c>
      <c r="H46" s="154"/>
      <c r="I46" s="155"/>
      <c r="J46" s="152">
        <v>42217</v>
      </c>
      <c r="K46" s="7">
        <v>1868</v>
      </c>
      <c r="L46" s="204">
        <v>3204</v>
      </c>
      <c r="M46" s="156">
        <f t="shared" si="3"/>
        <v>-1.5063018751921287</v>
      </c>
    </row>
    <row r="47" spans="1:13" x14ac:dyDescent="0.2">
      <c r="A47" s="152">
        <v>42248</v>
      </c>
      <c r="B47" s="7">
        <v>166361</v>
      </c>
      <c r="C47" s="204">
        <v>284095</v>
      </c>
      <c r="D47" s="153"/>
      <c r="E47" s="153">
        <f t="shared" si="0"/>
        <v>166.36099999999999</v>
      </c>
      <c r="F47" s="153">
        <f t="shared" si="0"/>
        <v>284.09500000000003</v>
      </c>
      <c r="G47" s="154">
        <f t="shared" si="1"/>
        <v>-2.2031360264376243</v>
      </c>
      <c r="H47" s="154"/>
      <c r="I47" s="155"/>
      <c r="J47" s="152">
        <v>42248</v>
      </c>
      <c r="K47" s="7">
        <v>1875</v>
      </c>
      <c r="L47" s="204">
        <v>3203</v>
      </c>
      <c r="M47" s="156">
        <f t="shared" si="3"/>
        <v>-1.8688725490196068</v>
      </c>
    </row>
    <row r="48" spans="1:13" x14ac:dyDescent="0.2">
      <c r="A48" s="152">
        <v>42278</v>
      </c>
      <c r="B48" s="7">
        <v>167024</v>
      </c>
      <c r="C48" s="204">
        <v>283713</v>
      </c>
      <c r="D48" s="153"/>
      <c r="E48" s="153">
        <f t="shared" si="0"/>
        <v>167.024</v>
      </c>
      <c r="F48" s="153">
        <f t="shared" si="0"/>
        <v>283.71300000000002</v>
      </c>
      <c r="G48" s="154">
        <f t="shared" si="1"/>
        <v>-3.0561373895037436</v>
      </c>
      <c r="H48" s="154"/>
      <c r="I48" s="155"/>
      <c r="J48" s="152">
        <v>42278</v>
      </c>
      <c r="K48" s="7">
        <v>1878</v>
      </c>
      <c r="L48" s="204">
        <v>3190</v>
      </c>
      <c r="M48" s="156">
        <f t="shared" si="3"/>
        <v>-2.6548672566371723</v>
      </c>
    </row>
    <row r="49" spans="1:13" x14ac:dyDescent="0.2">
      <c r="A49" s="152">
        <v>42309</v>
      </c>
      <c r="B49" s="7">
        <v>167095</v>
      </c>
      <c r="C49" s="204">
        <v>281575</v>
      </c>
      <c r="D49" s="153"/>
      <c r="E49" s="153">
        <f t="shared" si="0"/>
        <v>167.095</v>
      </c>
      <c r="F49" s="153">
        <f t="shared" si="0"/>
        <v>281.57499999999999</v>
      </c>
      <c r="G49" s="154">
        <f t="shared" si="1"/>
        <v>-3.3447869860874224</v>
      </c>
      <c r="H49" s="154"/>
      <c r="I49" s="155"/>
      <c r="J49" s="152">
        <v>42309</v>
      </c>
      <c r="K49" s="7">
        <v>1879</v>
      </c>
      <c r="L49" s="204">
        <v>3166</v>
      </c>
      <c r="M49" s="156">
        <f t="shared" si="3"/>
        <v>-2.734254992319507</v>
      </c>
    </row>
    <row r="50" spans="1:13" x14ac:dyDescent="0.2">
      <c r="A50" s="152">
        <v>42339</v>
      </c>
      <c r="B50" s="7">
        <v>168040</v>
      </c>
      <c r="C50" s="204">
        <v>280535</v>
      </c>
      <c r="D50" s="153"/>
      <c r="E50" s="153">
        <f t="shared" si="0"/>
        <v>168.04</v>
      </c>
      <c r="F50" s="153">
        <f t="shared" si="0"/>
        <v>280.53500000000003</v>
      </c>
      <c r="G50" s="154">
        <f t="shared" si="1"/>
        <v>-3.7866628254725976</v>
      </c>
      <c r="H50" s="154"/>
      <c r="I50" s="155"/>
      <c r="J50" s="152">
        <v>42339</v>
      </c>
      <c r="K50" s="7">
        <v>1887</v>
      </c>
      <c r="L50" s="204">
        <v>3150</v>
      </c>
      <c r="M50" s="156">
        <f t="shared" si="3"/>
        <v>-3.2555282555282505</v>
      </c>
    </row>
    <row r="51" spans="1:13" x14ac:dyDescent="0.2">
      <c r="A51" s="152">
        <v>42370</v>
      </c>
      <c r="B51" s="7">
        <v>169402</v>
      </c>
      <c r="C51" s="204">
        <v>279819</v>
      </c>
      <c r="D51" s="153"/>
      <c r="E51" s="153">
        <f t="shared" si="0"/>
        <v>169.40199999999999</v>
      </c>
      <c r="F51" s="153">
        <f t="shared" si="0"/>
        <v>279.81900000000002</v>
      </c>
      <c r="G51" s="154">
        <f t="shared" si="1"/>
        <v>-3.8551534330450443</v>
      </c>
      <c r="H51" s="154"/>
      <c r="I51" s="155"/>
      <c r="J51" s="152">
        <v>42370</v>
      </c>
      <c r="K51" s="7">
        <v>1913</v>
      </c>
      <c r="L51" s="204">
        <v>3160</v>
      </c>
      <c r="M51" s="156">
        <f t="shared" si="3"/>
        <v>-3.0972094449555398</v>
      </c>
    </row>
    <row r="52" spans="1:13" x14ac:dyDescent="0.2">
      <c r="A52" s="152">
        <v>42401</v>
      </c>
      <c r="B52" s="7">
        <v>169242</v>
      </c>
      <c r="C52" s="204">
        <v>276672</v>
      </c>
      <c r="D52" s="153"/>
      <c r="E52" s="153">
        <f t="shared" si="0"/>
        <v>169.24199999999999</v>
      </c>
      <c r="F52" s="153">
        <f t="shared" si="0"/>
        <v>276.67200000000003</v>
      </c>
      <c r="G52" s="154">
        <f t="shared" si="1"/>
        <v>-4.2617686547538174</v>
      </c>
      <c r="H52" s="154"/>
      <c r="I52" s="155"/>
      <c r="J52" s="152">
        <v>42401</v>
      </c>
      <c r="K52" s="7">
        <v>1921</v>
      </c>
      <c r="L52" s="204">
        <v>3141</v>
      </c>
      <c r="M52" s="156">
        <f t="shared" si="3"/>
        <v>-3.5023041474654404</v>
      </c>
    </row>
    <row r="53" spans="1:13" x14ac:dyDescent="0.2">
      <c r="A53" s="152">
        <v>42430</v>
      </c>
      <c r="B53" s="7">
        <v>170566</v>
      </c>
      <c r="C53" s="204">
        <v>276459</v>
      </c>
      <c r="D53" s="153"/>
      <c r="E53" s="153">
        <f t="shared" si="0"/>
        <v>170.566</v>
      </c>
      <c r="F53" s="153">
        <f t="shared" si="0"/>
        <v>276.459</v>
      </c>
      <c r="G53" s="154">
        <f t="shared" si="1"/>
        <v>-3.9806196165601548</v>
      </c>
      <c r="H53" s="154"/>
      <c r="I53" s="155"/>
      <c r="J53" s="152">
        <v>42430</v>
      </c>
      <c r="K53" s="7">
        <v>1947</v>
      </c>
      <c r="L53" s="204">
        <v>3156</v>
      </c>
      <c r="M53" s="156">
        <f t="shared" si="3"/>
        <v>-3.0712530712530661</v>
      </c>
    </row>
    <row r="54" spans="1:13" x14ac:dyDescent="0.2">
      <c r="A54" s="152">
        <v>42461</v>
      </c>
      <c r="B54" s="7">
        <v>170626</v>
      </c>
      <c r="C54" s="204">
        <v>274764</v>
      </c>
      <c r="D54" s="153"/>
      <c r="E54" s="153">
        <f t="shared" si="0"/>
        <v>170.626</v>
      </c>
      <c r="F54" s="153">
        <f t="shared" si="0"/>
        <v>274.76400000000001</v>
      </c>
      <c r="G54" s="154">
        <f t="shared" si="1"/>
        <v>-4.5646843066834304</v>
      </c>
      <c r="H54" s="154"/>
      <c r="I54" s="155"/>
      <c r="J54" s="152">
        <v>42461</v>
      </c>
      <c r="K54" s="7">
        <v>1950</v>
      </c>
      <c r="L54" s="204">
        <v>3140</v>
      </c>
      <c r="M54" s="156">
        <f t="shared" si="3"/>
        <v>-3.3251231527093639</v>
      </c>
    </row>
    <row r="55" spans="1:13" x14ac:dyDescent="0.2">
      <c r="A55" s="152">
        <v>42491</v>
      </c>
      <c r="B55" s="7">
        <v>172641</v>
      </c>
      <c r="C55" s="204">
        <v>276337</v>
      </c>
      <c r="D55" s="153"/>
      <c r="E55" s="153">
        <f t="shared" si="0"/>
        <v>172.64099999999999</v>
      </c>
      <c r="F55" s="153">
        <f t="shared" si="0"/>
        <v>276.33699999999999</v>
      </c>
      <c r="G55" s="154">
        <f t="shared" si="1"/>
        <v>-3.5664806652777714</v>
      </c>
      <c r="H55" s="154"/>
      <c r="I55" s="155"/>
      <c r="J55" s="152">
        <v>42491</v>
      </c>
      <c r="K55" s="7">
        <v>1968</v>
      </c>
      <c r="L55" s="204">
        <v>3151</v>
      </c>
      <c r="M55" s="156">
        <f t="shared" si="3"/>
        <v>-2.5363439529848431</v>
      </c>
    </row>
    <row r="56" spans="1:13" x14ac:dyDescent="0.2">
      <c r="A56" s="152">
        <v>42522</v>
      </c>
      <c r="B56" s="7">
        <v>171767</v>
      </c>
      <c r="C56" s="204">
        <v>273301</v>
      </c>
      <c r="D56" s="153"/>
      <c r="E56" s="153">
        <f t="shared" si="0"/>
        <v>171.767</v>
      </c>
      <c r="F56" s="153">
        <f t="shared" si="0"/>
        <v>273.30099999999999</v>
      </c>
      <c r="G56" s="154">
        <f t="shared" si="1"/>
        <v>-4.9328305772187608</v>
      </c>
      <c r="H56" s="154"/>
      <c r="I56" s="155"/>
      <c r="J56" s="152">
        <v>42522</v>
      </c>
      <c r="K56" s="7">
        <v>1959</v>
      </c>
      <c r="L56" s="204">
        <v>3117</v>
      </c>
      <c r="M56" s="156">
        <f t="shared" si="3"/>
        <v>-3.8556446637877828</v>
      </c>
    </row>
    <row r="57" spans="1:13" x14ac:dyDescent="0.2">
      <c r="A57" s="152">
        <v>42552</v>
      </c>
      <c r="B57" s="7">
        <v>172207</v>
      </c>
      <c r="C57" s="204">
        <v>272529</v>
      </c>
      <c r="D57" s="153"/>
      <c r="E57" s="153">
        <f t="shared" si="0"/>
        <v>172.20699999999999</v>
      </c>
      <c r="F57" s="153">
        <f t="shared" si="0"/>
        <v>272.529</v>
      </c>
      <c r="G57" s="154">
        <f t="shared" si="1"/>
        <v>-4.5195127334643592</v>
      </c>
      <c r="H57" s="154"/>
      <c r="I57" s="155"/>
      <c r="J57" s="152">
        <v>42552</v>
      </c>
      <c r="K57" s="7">
        <v>1971</v>
      </c>
      <c r="L57" s="204">
        <v>3119</v>
      </c>
      <c r="M57" s="156">
        <f t="shared" si="3"/>
        <v>-3.1366459627329202</v>
      </c>
    </row>
    <row r="58" spans="1:13" x14ac:dyDescent="0.2">
      <c r="A58" s="152">
        <v>42583</v>
      </c>
      <c r="B58" s="7">
        <v>173974</v>
      </c>
      <c r="C58" s="204">
        <v>274173</v>
      </c>
      <c r="D58" s="153"/>
      <c r="E58" s="153">
        <f t="shared" si="0"/>
        <v>173.97399999999999</v>
      </c>
      <c r="F58" s="153">
        <f t="shared" si="0"/>
        <v>274.173</v>
      </c>
      <c r="G58" s="154">
        <f t="shared" si="1"/>
        <v>-3.4234849872486706</v>
      </c>
      <c r="H58" s="154"/>
      <c r="I58" s="155"/>
      <c r="J58" s="152">
        <v>42583</v>
      </c>
      <c r="K58" s="7">
        <v>1996</v>
      </c>
      <c r="L58" s="204">
        <v>3146</v>
      </c>
      <c r="M58" s="156">
        <f t="shared" si="3"/>
        <v>-1.8102372034956349</v>
      </c>
    </row>
    <row r="59" spans="1:13" x14ac:dyDescent="0.2">
      <c r="A59" s="152">
        <v>42614</v>
      </c>
      <c r="B59" s="7">
        <v>173891</v>
      </c>
      <c r="C59" s="204">
        <v>273111</v>
      </c>
      <c r="D59" s="153"/>
      <c r="E59" s="153">
        <f t="shared" si="0"/>
        <v>173.89099999999999</v>
      </c>
      <c r="F59" s="153">
        <f t="shared" si="0"/>
        <v>273.11099999999999</v>
      </c>
      <c r="G59" s="154">
        <f t="shared" si="1"/>
        <v>-3.8663123251025278</v>
      </c>
      <c r="H59" s="154"/>
      <c r="I59" s="155"/>
      <c r="J59" s="152">
        <v>42614</v>
      </c>
      <c r="K59" s="7">
        <v>2001</v>
      </c>
      <c r="L59" s="204">
        <v>3143</v>
      </c>
      <c r="M59" s="156">
        <f t="shared" si="3"/>
        <v>-1.8732438339057134</v>
      </c>
    </row>
    <row r="60" spans="1:13" x14ac:dyDescent="0.2">
      <c r="A60" s="152">
        <v>42644</v>
      </c>
      <c r="B60" s="7">
        <v>174700</v>
      </c>
      <c r="C60" s="204">
        <v>273670</v>
      </c>
      <c r="D60" s="153"/>
      <c r="E60" s="153">
        <f t="shared" si="0"/>
        <v>174.7</v>
      </c>
      <c r="F60" s="153">
        <f t="shared" si="0"/>
        <v>273.67</v>
      </c>
      <c r="G60" s="154">
        <f t="shared" si="1"/>
        <v>-3.5398448432042207</v>
      </c>
      <c r="H60" s="154"/>
      <c r="I60" s="155"/>
      <c r="J60" s="152">
        <v>42644</v>
      </c>
      <c r="K60" s="7">
        <v>2010</v>
      </c>
      <c r="L60" s="204">
        <v>3148</v>
      </c>
      <c r="M60" s="156">
        <f t="shared" si="3"/>
        <v>-1.3166144200627006</v>
      </c>
    </row>
    <row r="61" spans="1:13" x14ac:dyDescent="0.2">
      <c r="A61" s="152">
        <v>42675</v>
      </c>
      <c r="B61" s="7">
        <v>175758</v>
      </c>
      <c r="C61" s="204">
        <v>274861</v>
      </c>
      <c r="D61" s="153"/>
      <c r="E61" s="153">
        <f t="shared" si="0"/>
        <v>175.75800000000001</v>
      </c>
      <c r="F61" s="153">
        <f t="shared" si="0"/>
        <v>274.86099999999999</v>
      </c>
      <c r="G61" s="154">
        <f t="shared" si="1"/>
        <v>-2.3844446417473186</v>
      </c>
      <c r="H61" s="154"/>
      <c r="I61" s="155"/>
      <c r="J61" s="152">
        <v>42675</v>
      </c>
      <c r="K61" s="7">
        <v>2017</v>
      </c>
      <c r="L61" s="204">
        <v>3154</v>
      </c>
      <c r="M61" s="156">
        <f t="shared" si="3"/>
        <v>-0.37902716361338795</v>
      </c>
    </row>
    <row r="62" spans="1:13" x14ac:dyDescent="0.2">
      <c r="A62" s="152">
        <v>42705</v>
      </c>
      <c r="B62" s="7">
        <v>177075</v>
      </c>
      <c r="C62" s="204">
        <v>276246</v>
      </c>
      <c r="D62" s="153"/>
      <c r="E62" s="153">
        <f t="shared" si="0"/>
        <v>177.07499999999999</v>
      </c>
      <c r="F62" s="153">
        <f t="shared" si="0"/>
        <v>276.24599999999998</v>
      </c>
      <c r="G62" s="154">
        <f t="shared" si="1"/>
        <v>-1.5288644910617322</v>
      </c>
      <c r="H62" s="154"/>
      <c r="I62" s="155"/>
      <c r="J62" s="152">
        <v>42705</v>
      </c>
      <c r="K62" s="7">
        <v>2032</v>
      </c>
      <c r="L62" s="204">
        <v>3170</v>
      </c>
      <c r="M62" s="156">
        <f t="shared" si="3"/>
        <v>0.63492063492063266</v>
      </c>
    </row>
    <row r="63" spans="1:13" x14ac:dyDescent="0.2">
      <c r="A63" s="152">
        <v>42736</v>
      </c>
      <c r="B63" s="7">
        <v>177219</v>
      </c>
      <c r="C63" s="204">
        <v>275679</v>
      </c>
      <c r="D63" s="153"/>
      <c r="E63" s="153">
        <f t="shared" si="0"/>
        <v>177.21899999999999</v>
      </c>
      <c r="F63" s="153">
        <f t="shared" si="0"/>
        <v>275.67899999999997</v>
      </c>
      <c r="G63" s="154">
        <f t="shared" si="1"/>
        <v>-1.4795278376379173</v>
      </c>
      <c r="H63" s="154"/>
      <c r="I63" s="155"/>
      <c r="J63" s="152">
        <v>42736</v>
      </c>
      <c r="K63" s="7">
        <v>2045</v>
      </c>
      <c r="L63" s="204">
        <v>3181</v>
      </c>
      <c r="M63" s="156">
        <f t="shared" si="3"/>
        <v>0.66455696202532</v>
      </c>
    </row>
    <row r="64" spans="1:13" x14ac:dyDescent="0.2">
      <c r="A64" s="152">
        <v>42767</v>
      </c>
      <c r="B64" s="7">
        <v>177289</v>
      </c>
      <c r="C64" s="204">
        <v>274876</v>
      </c>
      <c r="D64" s="153"/>
      <c r="E64" s="153">
        <f t="shared" si="0"/>
        <v>177.28899999999999</v>
      </c>
      <c r="F64" s="153">
        <f t="shared" si="0"/>
        <v>274.87599999999998</v>
      </c>
      <c r="G64" s="154">
        <f t="shared" si="1"/>
        <v>-0.64914411288459206</v>
      </c>
      <c r="H64" s="154"/>
      <c r="I64" s="155"/>
      <c r="J64" s="152">
        <v>42767</v>
      </c>
      <c r="K64" s="7">
        <v>2059</v>
      </c>
      <c r="L64" s="204">
        <v>3192</v>
      </c>
      <c r="M64" s="156">
        <f t="shared" si="3"/>
        <v>1.6236867239732611</v>
      </c>
    </row>
    <row r="65" spans="1:13" x14ac:dyDescent="0.2">
      <c r="A65" s="152">
        <v>42795</v>
      </c>
      <c r="B65" s="7">
        <v>178002</v>
      </c>
      <c r="C65" s="204">
        <v>275110</v>
      </c>
      <c r="D65" s="153"/>
      <c r="E65" s="153">
        <f t="shared" si="0"/>
        <v>178.00200000000001</v>
      </c>
      <c r="F65" s="153">
        <f t="shared" si="0"/>
        <v>275.11</v>
      </c>
      <c r="G65" s="154">
        <f t="shared" si="1"/>
        <v>-0.48795662286269526</v>
      </c>
      <c r="H65" s="154"/>
      <c r="I65" s="155"/>
      <c r="J65" s="152">
        <v>42795</v>
      </c>
      <c r="K65" s="7">
        <v>2077</v>
      </c>
      <c r="L65" s="204">
        <v>3209</v>
      </c>
      <c r="M65" s="156">
        <f t="shared" si="3"/>
        <v>1.6793409378960789</v>
      </c>
    </row>
    <row r="66" spans="1:13" x14ac:dyDescent="0.2">
      <c r="A66" s="152">
        <v>42826</v>
      </c>
      <c r="B66" s="7">
        <v>178235</v>
      </c>
      <c r="C66" s="204">
        <v>274803</v>
      </c>
      <c r="D66" s="153"/>
      <c r="E66" s="153">
        <f t="shared" si="0"/>
        <v>178.23500000000001</v>
      </c>
      <c r="F66" s="153">
        <f t="shared" si="0"/>
        <v>274.803</v>
      </c>
      <c r="G66" s="154">
        <f t="shared" si="1"/>
        <v>1.4193999213873987E-2</v>
      </c>
      <c r="H66" s="154"/>
      <c r="I66" s="155"/>
      <c r="J66" s="152">
        <v>42826</v>
      </c>
      <c r="K66" s="7">
        <v>2072</v>
      </c>
      <c r="L66" s="204">
        <v>3195</v>
      </c>
      <c r="M66" s="156">
        <f t="shared" si="3"/>
        <v>1.7515923566878921</v>
      </c>
    </row>
    <row r="67" spans="1:13" x14ac:dyDescent="0.2">
      <c r="A67" s="152">
        <v>42856</v>
      </c>
      <c r="B67" s="7">
        <v>179294</v>
      </c>
      <c r="C67" s="204">
        <v>275775</v>
      </c>
      <c r="D67" s="153"/>
      <c r="E67" s="153">
        <f t="shared" si="0"/>
        <v>179.29400000000001</v>
      </c>
      <c r="F67" s="153">
        <f t="shared" si="0"/>
        <v>275.77499999999998</v>
      </c>
      <c r="G67" s="154">
        <f t="shared" si="1"/>
        <v>-0.20337486474848454</v>
      </c>
      <c r="H67" s="154"/>
      <c r="I67" s="155"/>
      <c r="J67" s="152">
        <v>42856</v>
      </c>
      <c r="K67" s="7">
        <v>2074</v>
      </c>
      <c r="L67" s="204">
        <v>3190</v>
      </c>
      <c r="M67" s="156">
        <f t="shared" si="3"/>
        <v>1.2377023167248424</v>
      </c>
    </row>
    <row r="68" spans="1:13" x14ac:dyDescent="0.2">
      <c r="A68" s="152">
        <v>42887</v>
      </c>
      <c r="B68" s="7">
        <v>179822</v>
      </c>
      <c r="C68" s="204">
        <v>276415</v>
      </c>
      <c r="D68" s="153"/>
      <c r="E68" s="153">
        <f t="shared" si="0"/>
        <v>179.822</v>
      </c>
      <c r="F68" s="153">
        <f t="shared" si="0"/>
        <v>276.41500000000002</v>
      </c>
      <c r="G68" s="154">
        <f t="shared" si="1"/>
        <v>1.1394030757297058</v>
      </c>
      <c r="H68" s="154"/>
      <c r="I68" s="155"/>
      <c r="J68" s="152">
        <v>42887</v>
      </c>
      <c r="K68" s="7">
        <v>2067</v>
      </c>
      <c r="L68" s="204">
        <v>3177</v>
      </c>
      <c r="M68" s="156">
        <f t="shared" si="3"/>
        <v>1.9249278152069227</v>
      </c>
    </row>
    <row r="69" spans="1:13" x14ac:dyDescent="0.2">
      <c r="A69" s="152">
        <v>42917</v>
      </c>
      <c r="B69" s="7">
        <v>180777</v>
      </c>
      <c r="C69" s="204">
        <v>277577</v>
      </c>
      <c r="D69" s="153"/>
      <c r="E69" s="153">
        <f t="shared" si="0"/>
        <v>180.77699999999999</v>
      </c>
      <c r="F69" s="153">
        <f t="shared" si="0"/>
        <v>277.577</v>
      </c>
      <c r="G69" s="154">
        <f t="shared" si="1"/>
        <v>1.8522799408503321</v>
      </c>
      <c r="H69" s="154"/>
      <c r="I69" s="155"/>
      <c r="J69" s="152">
        <v>42917</v>
      </c>
      <c r="K69" s="7">
        <v>2070</v>
      </c>
      <c r="L69" s="204">
        <v>3179</v>
      </c>
      <c r="M69" s="156">
        <f t="shared" si="3"/>
        <v>1.9236934915036974</v>
      </c>
    </row>
    <row r="70" spans="1:13" x14ac:dyDescent="0.2">
      <c r="A70" s="152">
        <v>42948</v>
      </c>
      <c r="B70" s="7">
        <v>181359</v>
      </c>
      <c r="C70" s="204">
        <v>278285</v>
      </c>
      <c r="D70" s="153"/>
      <c r="E70" s="153">
        <f t="shared" ref="E70:F118" si="4">B70/1000</f>
        <v>181.35900000000001</v>
      </c>
      <c r="F70" s="153">
        <f t="shared" si="4"/>
        <v>278.28500000000003</v>
      </c>
      <c r="G70" s="154">
        <f t="shared" si="1"/>
        <v>1.4997829837365639</v>
      </c>
      <c r="H70" s="154"/>
      <c r="I70" s="155"/>
      <c r="J70" s="152">
        <v>42948</v>
      </c>
      <c r="K70" s="7">
        <v>2068</v>
      </c>
      <c r="L70" s="204">
        <v>3174</v>
      </c>
      <c r="M70" s="156">
        <f t="shared" si="3"/>
        <v>0.89001907183725582</v>
      </c>
    </row>
    <row r="71" spans="1:13" x14ac:dyDescent="0.2">
      <c r="A71" s="152">
        <v>42979</v>
      </c>
      <c r="B71" s="7">
        <v>183140</v>
      </c>
      <c r="C71" s="204">
        <v>280439</v>
      </c>
      <c r="D71" s="153"/>
      <c r="E71" s="153">
        <f t="shared" si="4"/>
        <v>183.14</v>
      </c>
      <c r="F71" s="153">
        <f t="shared" si="4"/>
        <v>280.43900000000002</v>
      </c>
      <c r="G71" s="154">
        <f t="shared" si="1"/>
        <v>2.6831581298446538</v>
      </c>
      <c r="H71" s="154"/>
      <c r="I71" s="155"/>
      <c r="J71" s="152">
        <v>42979</v>
      </c>
      <c r="K71" s="7">
        <v>2083</v>
      </c>
      <c r="L71" s="204">
        <v>3190</v>
      </c>
      <c r="M71" s="156">
        <f>(L71/L59-1)*100</f>
        <v>1.4953865733375649</v>
      </c>
    </row>
    <row r="72" spans="1:13" x14ac:dyDescent="0.2">
      <c r="A72" s="152">
        <v>43009</v>
      </c>
      <c r="B72" s="7">
        <v>184967</v>
      </c>
      <c r="C72" s="204">
        <v>282479</v>
      </c>
      <c r="D72" s="153"/>
      <c r="E72" s="153">
        <f t="shared" si="4"/>
        <v>184.96700000000001</v>
      </c>
      <c r="F72" s="153">
        <f t="shared" si="4"/>
        <v>282.47899999999998</v>
      </c>
      <c r="G72" s="154">
        <f t="shared" si="1"/>
        <v>3.2188402090108426</v>
      </c>
      <c r="H72" s="154"/>
      <c r="I72" s="155"/>
      <c r="J72" s="152">
        <v>43009</v>
      </c>
      <c r="K72" s="7">
        <v>2095</v>
      </c>
      <c r="L72" s="204">
        <v>3200</v>
      </c>
      <c r="M72" s="156">
        <f t="shared" si="3"/>
        <v>1.6518424396442244</v>
      </c>
    </row>
    <row r="73" spans="1:13" x14ac:dyDescent="0.2">
      <c r="A73" s="152">
        <v>43040</v>
      </c>
      <c r="B73" s="7">
        <v>187083</v>
      </c>
      <c r="C73" s="204">
        <v>284849</v>
      </c>
      <c r="D73" s="153"/>
      <c r="E73" s="153">
        <f t="shared" si="4"/>
        <v>187.083</v>
      </c>
      <c r="F73" s="153">
        <f t="shared" si="4"/>
        <v>284.84899999999999</v>
      </c>
      <c r="G73" s="154">
        <f t="shared" si="1"/>
        <v>3.6338367392973137</v>
      </c>
      <c r="H73" s="154"/>
      <c r="I73" s="155"/>
      <c r="J73" s="152">
        <v>43040</v>
      </c>
      <c r="K73" s="7">
        <v>2111</v>
      </c>
      <c r="L73" s="204">
        <v>3214</v>
      </c>
      <c r="M73" s="156">
        <f t="shared" si="3"/>
        <v>1.9023462270133074</v>
      </c>
    </row>
    <row r="74" spans="1:13" x14ac:dyDescent="0.2">
      <c r="A74" s="152">
        <v>43070</v>
      </c>
      <c r="B74" s="7">
        <v>188285</v>
      </c>
      <c r="C74" s="204">
        <v>285582</v>
      </c>
      <c r="D74" s="153"/>
      <c r="E74" s="153">
        <f t="shared" si="4"/>
        <v>188.285</v>
      </c>
      <c r="F74" s="153">
        <f t="shared" si="4"/>
        <v>285.58199999999999</v>
      </c>
      <c r="G74" s="154">
        <f t="shared" si="1"/>
        <v>3.3795964466453832</v>
      </c>
      <c r="H74" s="154"/>
      <c r="I74" s="155"/>
      <c r="J74" s="152">
        <v>43070</v>
      </c>
      <c r="K74" s="7">
        <v>2120</v>
      </c>
      <c r="L74" s="204">
        <v>3215</v>
      </c>
      <c r="M74" s="156">
        <f t="shared" si="3"/>
        <v>1.4195583596214423</v>
      </c>
    </row>
    <row r="75" spans="1:13" x14ac:dyDescent="0.2">
      <c r="A75" s="152">
        <v>43101</v>
      </c>
      <c r="B75" s="7">
        <v>188768</v>
      </c>
      <c r="C75" s="204">
        <v>285371</v>
      </c>
      <c r="D75" s="153"/>
      <c r="E75" s="153">
        <f t="shared" si="4"/>
        <v>188.768</v>
      </c>
      <c r="F75" s="153">
        <f t="shared" si="4"/>
        <v>285.37099999999998</v>
      </c>
      <c r="G75" s="154">
        <f t="shared" si="1"/>
        <v>3.5156830951940554</v>
      </c>
      <c r="H75" s="154"/>
      <c r="I75" s="155"/>
      <c r="J75" s="152">
        <v>43101</v>
      </c>
      <c r="K75" s="7">
        <v>2134</v>
      </c>
      <c r="L75" s="204">
        <v>3227</v>
      </c>
      <c r="M75" s="156">
        <f t="shared" si="3"/>
        <v>1.4460861364350874</v>
      </c>
    </row>
    <row r="76" spans="1:13" x14ac:dyDescent="0.2">
      <c r="A76" s="152">
        <v>43132</v>
      </c>
      <c r="B76" s="7">
        <v>189012</v>
      </c>
      <c r="C76" s="204">
        <v>284781</v>
      </c>
      <c r="D76" s="153"/>
      <c r="E76" s="153">
        <f t="shared" si="4"/>
        <v>189.012</v>
      </c>
      <c r="F76" s="153">
        <f t="shared" si="4"/>
        <v>284.78100000000001</v>
      </c>
      <c r="G76" s="154">
        <f t="shared" si="1"/>
        <v>3.6034430070286394</v>
      </c>
      <c r="H76" s="154"/>
      <c r="I76" s="155"/>
      <c r="J76" s="152">
        <v>43132</v>
      </c>
      <c r="K76" s="7">
        <v>2150</v>
      </c>
      <c r="L76" s="204">
        <v>3239</v>
      </c>
      <c r="M76" s="156">
        <f t="shared" si="3"/>
        <v>1.4724310776942362</v>
      </c>
    </row>
    <row r="77" spans="1:13" x14ac:dyDescent="0.2">
      <c r="A77" s="152">
        <v>43160</v>
      </c>
      <c r="B77" s="7">
        <v>188430</v>
      </c>
      <c r="C77" s="204">
        <v>283273</v>
      </c>
      <c r="D77" s="153"/>
      <c r="E77" s="153">
        <f t="shared" si="4"/>
        <v>188.43</v>
      </c>
      <c r="F77" s="153">
        <f t="shared" si="4"/>
        <v>283.27300000000002</v>
      </c>
      <c r="G77" s="154">
        <f t="shared" si="1"/>
        <v>2.9671767656573866</v>
      </c>
      <c r="H77" s="154"/>
      <c r="I77" s="155"/>
      <c r="J77" s="152">
        <v>43160</v>
      </c>
      <c r="K77" s="7">
        <v>2154</v>
      </c>
      <c r="L77" s="204">
        <v>3239</v>
      </c>
      <c r="M77" s="156">
        <f t="shared" si="3"/>
        <v>0.9348706762231318</v>
      </c>
    </row>
    <row r="78" spans="1:13" x14ac:dyDescent="0.2">
      <c r="A78" s="152">
        <v>43191</v>
      </c>
      <c r="B78" s="7">
        <v>189816</v>
      </c>
      <c r="C78" s="204">
        <v>284782</v>
      </c>
      <c r="D78" s="153"/>
      <c r="E78" s="153">
        <f t="shared" si="4"/>
        <v>189.816</v>
      </c>
      <c r="F78" s="153">
        <f t="shared" si="4"/>
        <v>284.78199999999998</v>
      </c>
      <c r="G78" s="154">
        <f t="shared" si="1"/>
        <v>3.6313286245055476</v>
      </c>
      <c r="H78" s="154"/>
      <c r="I78" s="155"/>
      <c r="J78" s="152">
        <v>43191</v>
      </c>
      <c r="K78" s="7">
        <v>2165</v>
      </c>
      <c r="L78" s="204">
        <v>3249</v>
      </c>
      <c r="M78" s="156">
        <f t="shared" si="3"/>
        <v>1.6901408450704203</v>
      </c>
    </row>
    <row r="79" spans="1:13" x14ac:dyDescent="0.2">
      <c r="A79" s="152">
        <v>43221</v>
      </c>
      <c r="B79" s="7">
        <v>190641</v>
      </c>
      <c r="C79" s="204">
        <v>285345</v>
      </c>
      <c r="D79" s="153"/>
      <c r="E79" s="153">
        <f t="shared" si="4"/>
        <v>190.64099999999999</v>
      </c>
      <c r="F79" s="153">
        <f t="shared" si="4"/>
        <v>285.34500000000003</v>
      </c>
      <c r="G79" s="154">
        <f t="shared" si="1"/>
        <v>3.4702202882785027</v>
      </c>
      <c r="H79" s="154"/>
      <c r="I79" s="155"/>
      <c r="J79" s="152">
        <v>43221</v>
      </c>
      <c r="K79" s="7">
        <v>2171</v>
      </c>
      <c r="L79" s="204">
        <v>3250</v>
      </c>
      <c r="M79" s="156">
        <f t="shared" si="3"/>
        <v>1.8808777429467183</v>
      </c>
    </row>
    <row r="80" spans="1:13" x14ac:dyDescent="0.2">
      <c r="A80" s="152">
        <v>43252</v>
      </c>
      <c r="B80" s="7">
        <v>192105</v>
      </c>
      <c r="C80" s="204">
        <v>285754</v>
      </c>
      <c r="D80" s="153"/>
      <c r="E80" s="153">
        <f t="shared" si="4"/>
        <v>192.10499999999999</v>
      </c>
      <c r="F80" s="153">
        <f t="shared" si="4"/>
        <v>285.75400000000002</v>
      </c>
      <c r="G80" s="154">
        <f t="shared" si="1"/>
        <v>3.3786154875820706</v>
      </c>
      <c r="H80" s="154"/>
      <c r="I80" s="155"/>
      <c r="J80" s="152">
        <v>43252</v>
      </c>
      <c r="K80" s="7">
        <v>2182</v>
      </c>
      <c r="L80" s="204">
        <v>3245</v>
      </c>
      <c r="M80" s="156">
        <f t="shared" si="3"/>
        <v>2.1403840100723937</v>
      </c>
    </row>
    <row r="81" spans="1:13" x14ac:dyDescent="0.2">
      <c r="A81" s="152">
        <v>43282</v>
      </c>
      <c r="B81" s="7">
        <v>193640</v>
      </c>
      <c r="C81" s="204">
        <v>286163</v>
      </c>
      <c r="D81" s="153"/>
      <c r="E81" s="153">
        <f t="shared" si="4"/>
        <v>193.64</v>
      </c>
      <c r="F81" s="153">
        <f t="shared" si="4"/>
        <v>286.16300000000001</v>
      </c>
      <c r="G81" s="154">
        <f t="shared" si="1"/>
        <v>3.0931957618967054</v>
      </c>
      <c r="H81" s="154"/>
      <c r="I81" s="155"/>
      <c r="J81" s="152">
        <v>43282</v>
      </c>
      <c r="K81" s="7">
        <v>2188</v>
      </c>
      <c r="L81" s="204">
        <v>3234</v>
      </c>
      <c r="M81" s="156">
        <f t="shared" si="3"/>
        <v>1.730103806228378</v>
      </c>
    </row>
    <row r="82" spans="1:13" x14ac:dyDescent="0.2">
      <c r="A82" s="152">
        <v>43313</v>
      </c>
      <c r="B82" s="7">
        <v>196288</v>
      </c>
      <c r="C82" s="204">
        <v>288690</v>
      </c>
      <c r="D82" s="153"/>
      <c r="E82" s="153">
        <f t="shared" si="4"/>
        <v>196.28800000000001</v>
      </c>
      <c r="F82" s="153">
        <f t="shared" si="4"/>
        <v>288.69</v>
      </c>
      <c r="G82" s="154">
        <f t="shared" ref="G82:G145" si="5">(F82/F70-1)*100</f>
        <v>3.7389726359667197</v>
      </c>
      <c r="H82" s="154"/>
      <c r="I82" s="155"/>
      <c r="J82" s="152">
        <v>43313</v>
      </c>
      <c r="K82" s="7">
        <v>2208</v>
      </c>
      <c r="L82" s="204">
        <v>3248</v>
      </c>
      <c r="M82" s="156">
        <f t="shared" si="3"/>
        <v>2.3314429741650988</v>
      </c>
    </row>
    <row r="83" spans="1:13" x14ac:dyDescent="0.2">
      <c r="A83" s="152">
        <v>43344</v>
      </c>
      <c r="B83" s="7">
        <v>197027</v>
      </c>
      <c r="C83" s="204">
        <v>289071</v>
      </c>
      <c r="D83" s="153"/>
      <c r="E83" s="153">
        <f t="shared" si="4"/>
        <v>197.02699999999999</v>
      </c>
      <c r="F83" s="153">
        <f t="shared" si="4"/>
        <v>289.07100000000003</v>
      </c>
      <c r="G83" s="154">
        <f t="shared" si="5"/>
        <v>3.0780312296078582</v>
      </c>
      <c r="H83" s="154"/>
      <c r="I83" s="155"/>
      <c r="J83" s="152">
        <v>43344</v>
      </c>
      <c r="K83" s="7">
        <v>2204</v>
      </c>
      <c r="L83" s="204">
        <v>3234</v>
      </c>
      <c r="M83" s="156">
        <f t="shared" si="3"/>
        <v>1.379310344827589</v>
      </c>
    </row>
    <row r="84" spans="1:13" x14ac:dyDescent="0.2">
      <c r="A84" s="152">
        <v>43374</v>
      </c>
      <c r="B84" s="7">
        <v>198536</v>
      </c>
      <c r="C84" s="204">
        <v>290456</v>
      </c>
      <c r="D84" s="153"/>
      <c r="E84" s="153">
        <f t="shared" si="4"/>
        <v>198.536</v>
      </c>
      <c r="F84" s="153">
        <f t="shared" si="4"/>
        <v>290.45600000000002</v>
      </c>
      <c r="G84" s="154">
        <f t="shared" si="5"/>
        <v>2.8239267343767249</v>
      </c>
      <c r="H84" s="154"/>
      <c r="I84" s="155"/>
      <c r="J84" s="152">
        <v>43374</v>
      </c>
      <c r="K84" s="7">
        <v>2213</v>
      </c>
      <c r="L84" s="204">
        <v>3237</v>
      </c>
      <c r="M84" s="156">
        <f t="shared" si="3"/>
        <v>1.156249999999992</v>
      </c>
    </row>
    <row r="85" spans="1:13" x14ac:dyDescent="0.2">
      <c r="A85" s="152">
        <v>43405</v>
      </c>
      <c r="B85" s="7">
        <v>199863</v>
      </c>
      <c r="C85" s="204">
        <v>291683</v>
      </c>
      <c r="D85" s="153"/>
      <c r="E85" s="153">
        <f t="shared" si="4"/>
        <v>199.863</v>
      </c>
      <c r="F85" s="153">
        <f t="shared" si="4"/>
        <v>291.68299999999999</v>
      </c>
      <c r="G85" s="154">
        <f t="shared" si="5"/>
        <v>2.399165873848963</v>
      </c>
      <c r="H85" s="154"/>
      <c r="I85" s="155"/>
      <c r="J85" s="152">
        <v>43405</v>
      </c>
      <c r="K85" s="7">
        <v>2220</v>
      </c>
      <c r="L85" s="204">
        <v>3240</v>
      </c>
      <c r="M85" s="156">
        <f t="shared" si="3"/>
        <v>0.80896079651524566</v>
      </c>
    </row>
    <row r="86" spans="1:13" x14ac:dyDescent="0.2">
      <c r="A86" s="152">
        <v>43435</v>
      </c>
      <c r="B86" s="7">
        <v>201183</v>
      </c>
      <c r="C86" s="204">
        <v>293203</v>
      </c>
      <c r="D86" s="153"/>
      <c r="E86" s="153">
        <f t="shared" si="4"/>
        <v>201.18299999999999</v>
      </c>
      <c r="F86" s="153">
        <f t="shared" si="4"/>
        <v>293.20299999999997</v>
      </c>
      <c r="G86" s="154">
        <f t="shared" si="5"/>
        <v>2.6685855551120019</v>
      </c>
      <c r="H86" s="154"/>
      <c r="I86" s="155"/>
      <c r="J86" s="152">
        <v>43435</v>
      </c>
      <c r="K86" s="7">
        <v>2236</v>
      </c>
      <c r="L86" s="204">
        <v>3258</v>
      </c>
      <c r="M86" s="156">
        <f t="shared" ref="M86:M149" si="6">(L86/L74-1)*100</f>
        <v>1.3374805598755923</v>
      </c>
    </row>
    <row r="87" spans="1:13" x14ac:dyDescent="0.2">
      <c r="A87" s="152">
        <v>43466</v>
      </c>
      <c r="B87" s="7">
        <v>201464</v>
      </c>
      <c r="C87" s="204">
        <v>293376</v>
      </c>
      <c r="D87" s="153"/>
      <c r="E87" s="153">
        <f t="shared" si="4"/>
        <v>201.464</v>
      </c>
      <c r="F87" s="153">
        <f t="shared" si="4"/>
        <v>293.37599999999998</v>
      </c>
      <c r="G87" s="154">
        <f t="shared" si="5"/>
        <v>2.8051203521030521</v>
      </c>
      <c r="H87" s="154"/>
      <c r="I87" s="155"/>
      <c r="J87" s="152">
        <v>43466</v>
      </c>
      <c r="K87" s="7">
        <v>2251</v>
      </c>
      <c r="L87" s="204">
        <v>3278</v>
      </c>
      <c r="M87" s="156">
        <f t="shared" si="6"/>
        <v>1.5804152463588572</v>
      </c>
    </row>
    <row r="88" spans="1:13" x14ac:dyDescent="0.2">
      <c r="A88" s="152">
        <v>43497</v>
      </c>
      <c r="B88" s="7">
        <v>201843</v>
      </c>
      <c r="C88" s="204">
        <v>293059</v>
      </c>
      <c r="D88" s="153"/>
      <c r="E88" s="153">
        <f t="shared" si="4"/>
        <v>201.84299999999999</v>
      </c>
      <c r="F88" s="153">
        <f t="shared" si="4"/>
        <v>293.05900000000003</v>
      </c>
      <c r="G88" s="154">
        <f t="shared" si="5"/>
        <v>2.9067950460178293</v>
      </c>
      <c r="H88" s="154"/>
      <c r="I88" s="155"/>
      <c r="J88" s="152">
        <v>43497</v>
      </c>
      <c r="K88" s="7">
        <v>2266</v>
      </c>
      <c r="L88" s="204">
        <v>3290</v>
      </c>
      <c r="M88" s="156">
        <f t="shared" si="6"/>
        <v>1.574560049397955</v>
      </c>
    </row>
    <row r="89" spans="1:13" x14ac:dyDescent="0.2">
      <c r="A89" s="152">
        <v>43525</v>
      </c>
      <c r="B89" s="7">
        <v>201873</v>
      </c>
      <c r="C89" s="204">
        <v>291651</v>
      </c>
      <c r="D89" s="153"/>
      <c r="E89" s="153">
        <f t="shared" si="4"/>
        <v>201.87299999999999</v>
      </c>
      <c r="F89" s="153">
        <f t="shared" si="4"/>
        <v>291.65100000000001</v>
      </c>
      <c r="G89" s="154">
        <f t="shared" si="5"/>
        <v>2.9575709651114002</v>
      </c>
      <c r="H89" s="154"/>
      <c r="I89" s="155"/>
      <c r="J89" s="152">
        <v>43525</v>
      </c>
      <c r="K89" s="7">
        <v>2268</v>
      </c>
      <c r="L89" s="204">
        <v>3276</v>
      </c>
      <c r="M89" s="156">
        <f t="shared" si="6"/>
        <v>1.1423278789749913</v>
      </c>
    </row>
    <row r="90" spans="1:13" x14ac:dyDescent="0.2">
      <c r="A90" s="152">
        <v>43556</v>
      </c>
      <c r="B90" s="7">
        <v>203307</v>
      </c>
      <c r="C90" s="204">
        <v>292014</v>
      </c>
      <c r="D90" s="153"/>
      <c r="E90" s="153">
        <f t="shared" si="4"/>
        <v>203.30699999999999</v>
      </c>
      <c r="F90" s="153">
        <f t="shared" si="4"/>
        <v>292.01400000000001</v>
      </c>
      <c r="G90" s="154">
        <f t="shared" si="5"/>
        <v>2.5394863439402782</v>
      </c>
      <c r="H90" s="154"/>
      <c r="I90" s="155"/>
      <c r="J90" s="152">
        <v>43556</v>
      </c>
      <c r="K90" s="7">
        <v>2269</v>
      </c>
      <c r="L90" s="204">
        <v>3259</v>
      </c>
      <c r="M90" s="156">
        <f t="shared" si="6"/>
        <v>0.30778701138811648</v>
      </c>
    </row>
    <row r="91" spans="1:13" x14ac:dyDescent="0.2">
      <c r="A91" s="152">
        <v>43586</v>
      </c>
      <c r="B91" s="7">
        <v>203930</v>
      </c>
      <c r="C91" s="204">
        <v>291495</v>
      </c>
      <c r="D91" s="153"/>
      <c r="E91" s="153">
        <f t="shared" si="4"/>
        <v>203.93</v>
      </c>
      <c r="F91" s="153">
        <f t="shared" si="4"/>
        <v>291.495</v>
      </c>
      <c r="G91" s="154">
        <f t="shared" si="5"/>
        <v>2.155285706775989</v>
      </c>
      <c r="H91" s="154"/>
      <c r="I91" s="155"/>
      <c r="J91" s="152">
        <v>43586</v>
      </c>
      <c r="K91" s="7">
        <v>2264</v>
      </c>
      <c r="L91" s="204">
        <v>3236</v>
      </c>
      <c r="M91" s="156">
        <f t="shared" si="6"/>
        <v>-0.43076923076923457</v>
      </c>
    </row>
    <row r="92" spans="1:13" x14ac:dyDescent="0.2">
      <c r="A92" s="152">
        <v>43617</v>
      </c>
      <c r="B92" s="7">
        <v>205185</v>
      </c>
      <c r="C92" s="204">
        <v>292593</v>
      </c>
      <c r="D92" s="153"/>
      <c r="E92" s="153">
        <f t="shared" si="4"/>
        <v>205.185</v>
      </c>
      <c r="F92" s="153">
        <f t="shared" si="4"/>
        <v>292.59300000000002</v>
      </c>
      <c r="G92" s="154">
        <f t="shared" si="5"/>
        <v>2.3933173288912757</v>
      </c>
      <c r="H92" s="154"/>
      <c r="I92" s="155"/>
      <c r="J92" s="152">
        <v>43617</v>
      </c>
      <c r="K92" s="7">
        <v>2270</v>
      </c>
      <c r="L92" s="204">
        <v>3236</v>
      </c>
      <c r="M92" s="156">
        <f t="shared" si="6"/>
        <v>-0.27734976887519025</v>
      </c>
    </row>
    <row r="93" spans="1:13" x14ac:dyDescent="0.2">
      <c r="A93" s="152">
        <v>43647</v>
      </c>
      <c r="B93" s="7">
        <v>205352</v>
      </c>
      <c r="C93" s="204">
        <v>292505</v>
      </c>
      <c r="D93" s="153"/>
      <c r="E93" s="153">
        <f t="shared" si="4"/>
        <v>205.352</v>
      </c>
      <c r="F93" s="153">
        <f t="shared" si="4"/>
        <v>292.505</v>
      </c>
      <c r="G93" s="154">
        <f t="shared" si="5"/>
        <v>2.2162194273892766</v>
      </c>
      <c r="H93" s="154"/>
      <c r="I93" s="155"/>
      <c r="J93" s="152">
        <v>43647</v>
      </c>
      <c r="K93" s="7">
        <v>2267</v>
      </c>
      <c r="L93" s="204">
        <v>3229</v>
      </c>
      <c r="M93" s="156">
        <f t="shared" si="6"/>
        <v>-0.15460729746443747</v>
      </c>
    </row>
    <row r="94" spans="1:13" x14ac:dyDescent="0.2">
      <c r="A94" s="152">
        <v>43678</v>
      </c>
      <c r="B94" s="7">
        <v>206712</v>
      </c>
      <c r="C94" s="204">
        <v>294149</v>
      </c>
      <c r="D94" s="153"/>
      <c r="E94" s="153">
        <f t="shared" si="4"/>
        <v>206.71199999999999</v>
      </c>
      <c r="F94" s="153">
        <f t="shared" si="4"/>
        <v>294.149</v>
      </c>
      <c r="G94" s="154">
        <f t="shared" si="5"/>
        <v>1.89095569642177</v>
      </c>
      <c r="H94" s="154"/>
      <c r="I94" s="155"/>
      <c r="J94" s="152">
        <v>43678</v>
      </c>
      <c r="K94" s="7">
        <v>2278</v>
      </c>
      <c r="L94" s="204">
        <v>3242</v>
      </c>
      <c r="M94" s="156">
        <f t="shared" si="6"/>
        <v>-0.1847290640394128</v>
      </c>
    </row>
    <row r="95" spans="1:13" x14ac:dyDescent="0.2">
      <c r="A95" s="152">
        <v>43709</v>
      </c>
      <c r="B95" s="7">
        <v>207483</v>
      </c>
      <c r="C95" s="204">
        <v>294994</v>
      </c>
      <c r="D95" s="153"/>
      <c r="E95" s="153">
        <f t="shared" si="4"/>
        <v>207.483</v>
      </c>
      <c r="F95" s="153">
        <f t="shared" si="4"/>
        <v>294.99400000000003</v>
      </c>
      <c r="G95" s="154">
        <f t="shared" si="5"/>
        <v>2.0489775868212323</v>
      </c>
      <c r="H95" s="154"/>
      <c r="I95" s="155"/>
      <c r="J95" s="152">
        <v>43709</v>
      </c>
      <c r="K95" s="7">
        <v>2279</v>
      </c>
      <c r="L95" s="204">
        <v>3241</v>
      </c>
      <c r="M95" s="156">
        <f t="shared" si="6"/>
        <v>0.21645021645022577</v>
      </c>
    </row>
    <row r="96" spans="1:13" x14ac:dyDescent="0.2">
      <c r="A96" s="152">
        <v>43739</v>
      </c>
      <c r="B96" s="7">
        <v>209811</v>
      </c>
      <c r="C96" s="204">
        <v>298135</v>
      </c>
      <c r="D96" s="153"/>
      <c r="E96" s="153">
        <f t="shared" si="4"/>
        <v>209.81100000000001</v>
      </c>
      <c r="F96" s="153">
        <f t="shared" si="4"/>
        <v>298.13499999999999</v>
      </c>
      <c r="G96" s="154">
        <f t="shared" si="5"/>
        <v>2.6437739278926786</v>
      </c>
      <c r="H96" s="154"/>
      <c r="I96" s="155"/>
      <c r="J96" s="152">
        <v>43739</v>
      </c>
      <c r="K96" s="7">
        <v>2297</v>
      </c>
      <c r="L96" s="204">
        <v>3265</v>
      </c>
      <c r="M96" s="156">
        <f t="shared" si="6"/>
        <v>0.86499845535989994</v>
      </c>
    </row>
    <row r="97" spans="1:13" x14ac:dyDescent="0.2">
      <c r="A97" s="152">
        <v>43770</v>
      </c>
      <c r="B97" s="7">
        <v>212056</v>
      </c>
      <c r="C97" s="204">
        <v>300742</v>
      </c>
      <c r="D97" s="153"/>
      <c r="E97" s="153">
        <f t="shared" si="4"/>
        <v>212.05600000000001</v>
      </c>
      <c r="F97" s="153">
        <f t="shared" si="4"/>
        <v>300.74200000000002</v>
      </c>
      <c r="G97" s="154">
        <f t="shared" si="5"/>
        <v>3.1057689340825645</v>
      </c>
      <c r="H97" s="154"/>
      <c r="I97" s="155"/>
      <c r="J97" s="152">
        <v>43770</v>
      </c>
      <c r="K97" s="7">
        <v>2312</v>
      </c>
      <c r="L97" s="204">
        <v>3279</v>
      </c>
      <c r="M97" s="156">
        <f t="shared" si="6"/>
        <v>1.2037037037037068</v>
      </c>
    </row>
    <row r="98" spans="1:13" x14ac:dyDescent="0.2">
      <c r="A98" s="152">
        <v>43800</v>
      </c>
      <c r="B98" s="7">
        <v>212946</v>
      </c>
      <c r="C98" s="204">
        <v>300191</v>
      </c>
      <c r="D98" s="153"/>
      <c r="E98" s="153">
        <f t="shared" si="4"/>
        <v>212.946</v>
      </c>
      <c r="F98" s="153">
        <f t="shared" si="4"/>
        <v>300.19099999999997</v>
      </c>
      <c r="G98" s="154">
        <f t="shared" si="5"/>
        <v>2.383331684873613</v>
      </c>
      <c r="H98" s="154"/>
      <c r="I98" s="155"/>
      <c r="J98" s="152">
        <v>43800</v>
      </c>
      <c r="K98" s="7">
        <v>2319</v>
      </c>
      <c r="L98" s="204">
        <v>3268</v>
      </c>
      <c r="M98" s="156">
        <f t="shared" si="6"/>
        <v>0.30693677102517913</v>
      </c>
    </row>
    <row r="99" spans="1:13" x14ac:dyDescent="0.2">
      <c r="A99" s="152">
        <v>43831</v>
      </c>
      <c r="B99" s="7">
        <v>213983</v>
      </c>
      <c r="C99" s="204">
        <v>299774</v>
      </c>
      <c r="D99" s="153"/>
      <c r="E99" s="153">
        <f t="shared" si="4"/>
        <v>213.983</v>
      </c>
      <c r="F99" s="153">
        <f t="shared" si="4"/>
        <v>299.774</v>
      </c>
      <c r="G99" s="154">
        <f t="shared" si="5"/>
        <v>2.1808191535776622</v>
      </c>
      <c r="H99" s="154"/>
      <c r="I99" s="155"/>
      <c r="J99" s="152">
        <v>43831</v>
      </c>
      <c r="K99" s="7">
        <v>2338</v>
      </c>
      <c r="L99" s="204">
        <v>3276</v>
      </c>
      <c r="M99" s="156">
        <f t="shared" si="6"/>
        <v>-6.1012812690663942E-2</v>
      </c>
    </row>
    <row r="100" spans="1:13" x14ac:dyDescent="0.2">
      <c r="A100" s="152">
        <v>43862</v>
      </c>
      <c r="B100" s="7">
        <v>214297</v>
      </c>
      <c r="C100" s="204">
        <v>298616</v>
      </c>
      <c r="D100" s="153"/>
      <c r="E100" s="153">
        <f t="shared" si="4"/>
        <v>214.297</v>
      </c>
      <c r="F100" s="153">
        <f t="shared" si="4"/>
        <v>298.61599999999999</v>
      </c>
      <c r="G100" s="154">
        <f t="shared" si="5"/>
        <v>1.8962052010004671</v>
      </c>
      <c r="H100" s="154"/>
      <c r="I100" s="155"/>
      <c r="J100" s="152">
        <v>43862</v>
      </c>
      <c r="K100" s="7">
        <v>2353</v>
      </c>
      <c r="L100" s="204">
        <v>3279</v>
      </c>
      <c r="M100" s="156">
        <f t="shared" si="6"/>
        <v>-0.33434650455926862</v>
      </c>
    </row>
    <row r="101" spans="1:13" x14ac:dyDescent="0.2">
      <c r="A101" s="152">
        <v>43891</v>
      </c>
      <c r="B101" s="7">
        <v>212834</v>
      </c>
      <c r="C101" s="204">
        <v>296072</v>
      </c>
      <c r="D101" s="153"/>
      <c r="E101" s="153">
        <f t="shared" si="4"/>
        <v>212.834</v>
      </c>
      <c r="F101" s="153">
        <f t="shared" si="4"/>
        <v>296.072</v>
      </c>
      <c r="G101" s="154">
        <f t="shared" si="5"/>
        <v>1.5158528515246017</v>
      </c>
      <c r="H101" s="154"/>
      <c r="I101" s="155"/>
      <c r="J101" s="152">
        <v>43891</v>
      </c>
      <c r="K101" s="7">
        <v>2376</v>
      </c>
      <c r="L101" s="204">
        <v>3306</v>
      </c>
      <c r="M101" s="156">
        <f t="shared" si="6"/>
        <v>0.9157509157509125</v>
      </c>
    </row>
    <row r="102" spans="1:13" x14ac:dyDescent="0.2">
      <c r="A102" s="152">
        <v>43922</v>
      </c>
      <c r="B102" s="7">
        <v>208167</v>
      </c>
      <c r="C102" s="204">
        <v>289583</v>
      </c>
      <c r="D102" s="153"/>
      <c r="E102" s="153">
        <f t="shared" si="4"/>
        <v>208.167</v>
      </c>
      <c r="F102" s="153">
        <f t="shared" si="4"/>
        <v>289.58300000000003</v>
      </c>
      <c r="G102" s="154">
        <f t="shared" si="5"/>
        <v>-0.83249433246350701</v>
      </c>
      <c r="H102" s="154"/>
      <c r="I102" s="155"/>
      <c r="J102" s="152">
        <v>43922</v>
      </c>
      <c r="K102" s="7">
        <v>2402</v>
      </c>
      <c r="L102" s="204">
        <v>3342</v>
      </c>
      <c r="M102" s="156">
        <f t="shared" si="6"/>
        <v>2.5467934949370941</v>
      </c>
    </row>
    <row r="103" spans="1:13" x14ac:dyDescent="0.2">
      <c r="A103" s="152">
        <v>43952</v>
      </c>
      <c r="B103" s="7">
        <v>203048</v>
      </c>
      <c r="C103" s="204">
        <v>283032</v>
      </c>
      <c r="D103" s="153"/>
      <c r="E103" s="153">
        <f t="shared" si="4"/>
        <v>203.048</v>
      </c>
      <c r="F103" s="153">
        <f t="shared" si="4"/>
        <v>283.03199999999998</v>
      </c>
      <c r="G103" s="154">
        <f t="shared" si="5"/>
        <v>-2.9033088046107158</v>
      </c>
      <c r="H103" s="154"/>
      <c r="I103" s="155"/>
      <c r="J103" s="152">
        <v>43952</v>
      </c>
      <c r="K103" s="7">
        <v>2437</v>
      </c>
      <c r="L103" s="204">
        <v>3396</v>
      </c>
      <c r="M103" s="156">
        <f t="shared" si="6"/>
        <v>4.9443757725587067</v>
      </c>
    </row>
    <row r="104" spans="1:13" x14ac:dyDescent="0.2">
      <c r="A104" s="152">
        <v>43983</v>
      </c>
      <c r="B104" s="7">
        <v>199491</v>
      </c>
      <c r="C104" s="204">
        <v>278449</v>
      </c>
      <c r="D104" s="153"/>
      <c r="E104" s="153">
        <f t="shared" si="4"/>
        <v>199.49100000000001</v>
      </c>
      <c r="F104" s="153">
        <f t="shared" si="4"/>
        <v>278.44900000000001</v>
      </c>
      <c r="G104" s="154">
        <f t="shared" si="5"/>
        <v>-4.8340185855437419</v>
      </c>
      <c r="H104" s="154"/>
      <c r="I104" s="155"/>
      <c r="J104" s="152">
        <v>43983</v>
      </c>
      <c r="K104" s="7">
        <v>2471</v>
      </c>
      <c r="L104" s="204">
        <v>3449</v>
      </c>
      <c r="M104" s="156">
        <f t="shared" si="6"/>
        <v>6.5822002472187835</v>
      </c>
    </row>
    <row r="105" spans="1:13" x14ac:dyDescent="0.2">
      <c r="A105" s="152">
        <v>44013</v>
      </c>
      <c r="B105" s="7">
        <v>198626</v>
      </c>
      <c r="C105" s="204">
        <v>277020</v>
      </c>
      <c r="D105" s="153"/>
      <c r="E105" s="153">
        <f t="shared" si="4"/>
        <v>198.626</v>
      </c>
      <c r="F105" s="153">
        <f t="shared" si="4"/>
        <v>277.02</v>
      </c>
      <c r="G105" s="154">
        <f t="shared" si="5"/>
        <v>-5.2939265995453066</v>
      </c>
      <c r="H105" s="154"/>
      <c r="I105" s="155"/>
      <c r="J105" s="152">
        <v>44013</v>
      </c>
      <c r="K105" s="7">
        <v>2502</v>
      </c>
      <c r="L105" s="204">
        <v>3490</v>
      </c>
      <c r="M105" s="156">
        <f t="shared" si="6"/>
        <v>8.082997832146166</v>
      </c>
    </row>
    <row r="106" spans="1:13" x14ac:dyDescent="0.2">
      <c r="A106" s="152">
        <v>44044</v>
      </c>
      <c r="B106" s="7">
        <v>198377</v>
      </c>
      <c r="C106" s="204">
        <v>275894</v>
      </c>
      <c r="D106" s="153"/>
      <c r="E106" s="153">
        <f t="shared" si="4"/>
        <v>198.37700000000001</v>
      </c>
      <c r="F106" s="153">
        <f t="shared" si="4"/>
        <v>275.89400000000001</v>
      </c>
      <c r="G106" s="154">
        <f t="shared" si="5"/>
        <v>-6.2060384363026859</v>
      </c>
      <c r="H106" s="154"/>
      <c r="I106" s="155"/>
      <c r="J106" s="152">
        <v>44044</v>
      </c>
      <c r="K106" s="7">
        <v>2506</v>
      </c>
      <c r="L106" s="204">
        <v>3485</v>
      </c>
      <c r="M106" s="156">
        <f t="shared" si="6"/>
        <v>7.4953732264034567</v>
      </c>
    </row>
    <row r="107" spans="1:13" x14ac:dyDescent="0.2">
      <c r="A107" s="152">
        <v>44075</v>
      </c>
      <c r="B107" s="7">
        <v>201266</v>
      </c>
      <c r="C107" s="204">
        <v>278782</v>
      </c>
      <c r="D107" s="153"/>
      <c r="E107" s="153">
        <f t="shared" si="4"/>
        <v>201.26599999999999</v>
      </c>
      <c r="F107" s="153">
        <f t="shared" si="4"/>
        <v>278.78199999999998</v>
      </c>
      <c r="G107" s="154">
        <f t="shared" si="5"/>
        <v>-5.4957049973897938</v>
      </c>
      <c r="H107" s="154"/>
      <c r="I107" s="158"/>
      <c r="J107" s="152">
        <v>44075</v>
      </c>
      <c r="K107" s="7">
        <v>2517</v>
      </c>
      <c r="L107" s="204">
        <v>3487</v>
      </c>
      <c r="M107" s="156">
        <f t="shared" si="6"/>
        <v>7.5902499228633236</v>
      </c>
    </row>
    <row r="108" spans="1:13" x14ac:dyDescent="0.2">
      <c r="A108" s="152">
        <v>44105</v>
      </c>
      <c r="B108" s="7">
        <v>203934</v>
      </c>
      <c r="C108" s="204">
        <v>280821</v>
      </c>
      <c r="D108" s="153"/>
      <c r="E108" s="153">
        <f t="shared" si="4"/>
        <v>203.934</v>
      </c>
      <c r="F108" s="153">
        <f t="shared" si="4"/>
        <v>280.82100000000003</v>
      </c>
      <c r="G108" s="154">
        <f t="shared" si="5"/>
        <v>-5.8074362285541632</v>
      </c>
      <c r="H108" s="154"/>
      <c r="I108" s="155"/>
      <c r="J108" s="152">
        <v>44105</v>
      </c>
      <c r="K108" s="7">
        <v>2495</v>
      </c>
      <c r="L108" s="204">
        <v>3436</v>
      </c>
      <c r="M108" s="156">
        <f t="shared" si="6"/>
        <v>5.2373660030627933</v>
      </c>
    </row>
    <row r="109" spans="1:13" x14ac:dyDescent="0.2">
      <c r="A109" s="152">
        <v>44136</v>
      </c>
      <c r="B109" s="7">
        <v>206461</v>
      </c>
      <c r="C109" s="204">
        <v>282027</v>
      </c>
      <c r="D109" s="153"/>
      <c r="E109" s="153">
        <f t="shared" si="4"/>
        <v>206.46100000000001</v>
      </c>
      <c r="F109" s="153">
        <f t="shared" si="4"/>
        <v>282.02699999999999</v>
      </c>
      <c r="G109" s="154">
        <f t="shared" si="5"/>
        <v>-6.2229419236421997</v>
      </c>
      <c r="H109" s="154"/>
      <c r="I109" s="155"/>
      <c r="J109" s="152">
        <v>44136</v>
      </c>
      <c r="K109" s="7">
        <v>2488</v>
      </c>
      <c r="L109" s="204">
        <v>3399</v>
      </c>
      <c r="M109" s="156">
        <f t="shared" si="6"/>
        <v>3.6596523330283626</v>
      </c>
    </row>
    <row r="110" spans="1:13" x14ac:dyDescent="0.2">
      <c r="A110" s="152">
        <v>44166</v>
      </c>
      <c r="B110" s="7">
        <v>207071</v>
      </c>
      <c r="C110" s="204">
        <v>279941</v>
      </c>
      <c r="D110" s="153"/>
      <c r="E110" s="153">
        <f t="shared" si="4"/>
        <v>207.071</v>
      </c>
      <c r="F110" s="153">
        <f t="shared" si="4"/>
        <v>279.94099999999997</v>
      </c>
      <c r="G110" s="154">
        <f t="shared" si="5"/>
        <v>-6.7457052343341424</v>
      </c>
      <c r="H110" s="154"/>
      <c r="I110" s="155"/>
      <c r="J110" s="152">
        <v>44166</v>
      </c>
      <c r="K110" s="7">
        <v>2476</v>
      </c>
      <c r="L110" s="204">
        <v>3347</v>
      </c>
      <c r="M110" s="156">
        <f t="shared" si="6"/>
        <v>2.4173806609547155</v>
      </c>
    </row>
    <row r="111" spans="1:13" x14ac:dyDescent="0.2">
      <c r="A111" s="152">
        <v>44197</v>
      </c>
      <c r="B111" s="7">
        <v>208194</v>
      </c>
      <c r="C111" s="204">
        <v>279144</v>
      </c>
      <c r="D111" s="153"/>
      <c r="E111" s="153">
        <f t="shared" si="4"/>
        <v>208.19399999999999</v>
      </c>
      <c r="F111" s="153">
        <f t="shared" si="4"/>
        <v>279.14400000000001</v>
      </c>
      <c r="G111" s="154">
        <f t="shared" si="5"/>
        <v>-6.8818509944157942</v>
      </c>
      <c r="H111" s="154"/>
      <c r="I111" s="155"/>
      <c r="J111" s="152">
        <v>44197</v>
      </c>
      <c r="K111" s="7">
        <v>2491</v>
      </c>
      <c r="L111" s="204">
        <v>3339</v>
      </c>
      <c r="M111" s="156">
        <f t="shared" si="6"/>
        <v>1.9230769230769162</v>
      </c>
    </row>
    <row r="112" spans="1:13" x14ac:dyDescent="0.2">
      <c r="A112" s="152">
        <v>44228</v>
      </c>
      <c r="B112" s="7">
        <v>208289</v>
      </c>
      <c r="C112" s="204">
        <v>276971</v>
      </c>
      <c r="D112" s="153"/>
      <c r="E112" s="153">
        <f t="shared" si="4"/>
        <v>208.28899999999999</v>
      </c>
      <c r="F112" s="153">
        <f t="shared" si="4"/>
        <v>276.971</v>
      </c>
      <c r="G112" s="154">
        <f t="shared" si="5"/>
        <v>-7.2484394674096393</v>
      </c>
      <c r="H112" s="154"/>
      <c r="I112" s="155"/>
      <c r="J112" s="152">
        <v>44228</v>
      </c>
      <c r="K112" s="7">
        <v>2488</v>
      </c>
      <c r="L112" s="204">
        <v>3309</v>
      </c>
      <c r="M112" s="156">
        <f t="shared" si="6"/>
        <v>0.91491308325708509</v>
      </c>
    </row>
    <row r="113" spans="1:17" x14ac:dyDescent="0.2">
      <c r="A113" s="152">
        <v>44256</v>
      </c>
      <c r="B113" s="7">
        <v>209737</v>
      </c>
      <c r="C113" s="204">
        <v>277019</v>
      </c>
      <c r="D113" s="153"/>
      <c r="E113" s="153">
        <f t="shared" si="4"/>
        <v>209.73699999999999</v>
      </c>
      <c r="F113" s="153">
        <f t="shared" si="4"/>
        <v>277.01900000000001</v>
      </c>
      <c r="G113" s="154">
        <f t="shared" si="5"/>
        <v>-6.4352589910562248</v>
      </c>
      <c r="H113" s="154"/>
      <c r="I113" s="155"/>
      <c r="J113" s="152">
        <v>44256</v>
      </c>
      <c r="K113" s="7">
        <v>2512</v>
      </c>
      <c r="L113" s="204">
        <v>3318</v>
      </c>
      <c r="M113" s="156">
        <f t="shared" si="6"/>
        <v>0.36297640653357721</v>
      </c>
    </row>
    <row r="114" spans="1:17" x14ac:dyDescent="0.2">
      <c r="A114" s="152">
        <v>44287</v>
      </c>
      <c r="B114" s="7">
        <v>209760</v>
      </c>
      <c r="C114" s="204">
        <v>275082</v>
      </c>
      <c r="D114" s="153"/>
      <c r="E114" s="153">
        <f t="shared" si="4"/>
        <v>209.76</v>
      </c>
      <c r="F114" s="153">
        <f t="shared" si="4"/>
        <v>275.08199999999999</v>
      </c>
      <c r="G114" s="154">
        <f t="shared" si="5"/>
        <v>-5.0075453324262886</v>
      </c>
      <c r="H114" s="154"/>
      <c r="I114" s="155"/>
      <c r="J114" s="152">
        <v>44287</v>
      </c>
      <c r="K114" s="7">
        <v>2500</v>
      </c>
      <c r="L114" s="204">
        <v>3279</v>
      </c>
      <c r="M114" s="156">
        <f t="shared" si="6"/>
        <v>-1.8850987432674993</v>
      </c>
    </row>
    <row r="115" spans="1:17" x14ac:dyDescent="0.2">
      <c r="A115" s="152">
        <v>44317</v>
      </c>
      <c r="B115" s="7">
        <v>212579</v>
      </c>
      <c r="C115" s="204">
        <v>276854</v>
      </c>
      <c r="D115" s="153"/>
      <c r="E115" s="153">
        <f t="shared" si="4"/>
        <v>212.57900000000001</v>
      </c>
      <c r="F115" s="153">
        <f t="shared" si="4"/>
        <v>276.85399999999998</v>
      </c>
      <c r="G115" s="154">
        <f t="shared" si="5"/>
        <v>-2.1827920517821342</v>
      </c>
      <c r="H115" s="154"/>
      <c r="I115" s="155"/>
      <c r="J115" s="152">
        <v>44317</v>
      </c>
      <c r="K115" s="7">
        <v>2515</v>
      </c>
      <c r="L115" s="204">
        <v>3276</v>
      </c>
      <c r="M115" s="156">
        <f t="shared" si="6"/>
        <v>-3.5335689045936425</v>
      </c>
    </row>
    <row r="116" spans="1:17" x14ac:dyDescent="0.2">
      <c r="A116" s="152">
        <v>44348</v>
      </c>
      <c r="B116" s="7">
        <v>213381</v>
      </c>
      <c r="C116" s="204">
        <v>276368</v>
      </c>
      <c r="D116" s="153"/>
      <c r="E116" s="153">
        <f t="shared" si="4"/>
        <v>213.381</v>
      </c>
      <c r="F116" s="153">
        <f t="shared" si="4"/>
        <v>276.36799999999999</v>
      </c>
      <c r="G116" s="154">
        <f t="shared" si="5"/>
        <v>-0.74735409356830873</v>
      </c>
      <c r="H116" s="154"/>
      <c r="I116" s="155"/>
      <c r="J116" s="152">
        <v>44348</v>
      </c>
      <c r="K116" s="7">
        <v>2490</v>
      </c>
      <c r="L116" s="204">
        <v>3224</v>
      </c>
      <c r="M116" s="156">
        <f t="shared" si="6"/>
        <v>-6.5236300376920848</v>
      </c>
    </row>
    <row r="117" spans="1:17" x14ac:dyDescent="0.2">
      <c r="A117" s="152">
        <v>44378</v>
      </c>
      <c r="B117" s="7">
        <v>216104</v>
      </c>
      <c r="C117" s="204">
        <v>277764</v>
      </c>
      <c r="D117" s="153"/>
      <c r="E117" s="153">
        <f t="shared" si="4"/>
        <v>216.10400000000001</v>
      </c>
      <c r="F117" s="153">
        <f t="shared" si="4"/>
        <v>277.76400000000001</v>
      </c>
      <c r="G117" s="154">
        <f t="shared" si="5"/>
        <v>0.26857266623350196</v>
      </c>
      <c r="H117" s="154"/>
      <c r="I117" s="155"/>
      <c r="J117" s="152">
        <v>44378</v>
      </c>
      <c r="K117" s="7">
        <v>2485</v>
      </c>
      <c r="L117" s="204">
        <v>3194</v>
      </c>
      <c r="M117" s="156">
        <f t="shared" si="6"/>
        <v>-8.4813753581661881</v>
      </c>
    </row>
    <row r="118" spans="1:17" x14ac:dyDescent="0.2">
      <c r="A118" s="152">
        <v>44409</v>
      </c>
      <c r="B118" s="7">
        <v>217222</v>
      </c>
      <c r="C118" s="204">
        <v>277044</v>
      </c>
      <c r="D118" s="153"/>
      <c r="E118" s="153">
        <f t="shared" si="4"/>
        <v>217.22200000000001</v>
      </c>
      <c r="F118" s="153">
        <f t="shared" si="4"/>
        <v>277.04399999999998</v>
      </c>
      <c r="G118" s="154">
        <f t="shared" si="5"/>
        <v>0.41682675230341193</v>
      </c>
      <c r="H118" s="154"/>
      <c r="I118" s="158"/>
      <c r="J118" s="152">
        <v>44409</v>
      </c>
      <c r="K118" s="7">
        <v>2469</v>
      </c>
      <c r="L118" s="204">
        <v>3149</v>
      </c>
      <c r="M118" s="156">
        <f t="shared" si="6"/>
        <v>-9.6413199426111937</v>
      </c>
    </row>
    <row r="119" spans="1:17" x14ac:dyDescent="0.2">
      <c r="A119" s="152">
        <v>44440</v>
      </c>
      <c r="B119" s="7">
        <v>218511</v>
      </c>
      <c r="C119" s="204">
        <v>275909</v>
      </c>
      <c r="D119" s="153"/>
      <c r="E119" s="153">
        <f t="shared" ref="E119:F134" si="7">B119/1000</f>
        <v>218.511</v>
      </c>
      <c r="F119" s="153">
        <f t="shared" si="7"/>
        <v>275.90899999999999</v>
      </c>
      <c r="G119" s="154">
        <f t="shared" si="5"/>
        <v>-1.0305543399502071</v>
      </c>
      <c r="H119" s="154"/>
      <c r="I119" s="158"/>
      <c r="J119" s="152">
        <v>44440</v>
      </c>
      <c r="K119" s="7">
        <v>2450</v>
      </c>
      <c r="L119" s="204">
        <v>3093</v>
      </c>
      <c r="M119" s="156">
        <f t="shared" si="6"/>
        <v>-11.29911098365357</v>
      </c>
      <c r="O119" s="159"/>
      <c r="Q119" s="159"/>
    </row>
    <row r="120" spans="1:17" x14ac:dyDescent="0.2">
      <c r="A120" s="152">
        <v>44470</v>
      </c>
      <c r="B120" s="7">
        <v>220068</v>
      </c>
      <c r="C120" s="204">
        <v>274870</v>
      </c>
      <c r="D120" s="153"/>
      <c r="E120" s="153">
        <f t="shared" si="7"/>
        <v>220.06800000000001</v>
      </c>
      <c r="F120" s="153">
        <f t="shared" si="7"/>
        <v>274.87</v>
      </c>
      <c r="G120" s="154">
        <f t="shared" si="5"/>
        <v>-2.119143511347088</v>
      </c>
      <c r="H120" s="154"/>
      <c r="I120" s="158"/>
      <c r="J120" s="152">
        <v>44470</v>
      </c>
      <c r="K120" s="7">
        <v>2440</v>
      </c>
      <c r="L120" s="204">
        <v>3048</v>
      </c>
      <c r="M120" s="156">
        <f t="shared" si="6"/>
        <v>-11.292200232828876</v>
      </c>
      <c r="O120" s="159"/>
      <c r="Q120" s="159"/>
    </row>
    <row r="121" spans="1:17" x14ac:dyDescent="0.2">
      <c r="A121" s="152">
        <v>44501</v>
      </c>
      <c r="B121" s="7">
        <v>221991</v>
      </c>
      <c r="C121" s="204">
        <v>274197</v>
      </c>
      <c r="D121" s="153"/>
      <c r="E121" s="153">
        <f t="shared" si="7"/>
        <v>221.99100000000001</v>
      </c>
      <c r="F121" s="157">
        <f t="shared" si="7"/>
        <v>274.197</v>
      </c>
      <c r="G121" s="154">
        <f t="shared" si="5"/>
        <v>-2.7763299258581564</v>
      </c>
      <c r="H121" s="154"/>
      <c r="I121" s="158"/>
      <c r="J121" s="152">
        <v>44501</v>
      </c>
      <c r="K121" s="7">
        <v>2435</v>
      </c>
      <c r="L121" s="204">
        <v>3008</v>
      </c>
      <c r="M121" s="156">
        <f t="shared" si="6"/>
        <v>-11.503383348043538</v>
      </c>
      <c r="O121" s="159"/>
      <c r="Q121" s="159"/>
    </row>
    <row r="122" spans="1:17" x14ac:dyDescent="0.2">
      <c r="A122" s="152">
        <v>44531</v>
      </c>
      <c r="B122" s="7">
        <v>224335</v>
      </c>
      <c r="C122" s="204">
        <v>274437</v>
      </c>
      <c r="D122" s="153"/>
      <c r="E122" s="153">
        <f t="shared" si="7"/>
        <v>224.33500000000001</v>
      </c>
      <c r="F122" s="153">
        <f t="shared" si="7"/>
        <v>274.43700000000001</v>
      </c>
      <c r="G122" s="154">
        <f t="shared" si="5"/>
        <v>-1.9661285770930181</v>
      </c>
      <c r="H122" s="154"/>
      <c r="I122" s="158"/>
      <c r="J122" s="152">
        <v>44531</v>
      </c>
      <c r="K122" s="7">
        <v>2439</v>
      </c>
      <c r="L122" s="204">
        <v>2984</v>
      </c>
      <c r="M122" s="156">
        <f t="shared" si="6"/>
        <v>-10.845533313415</v>
      </c>
      <c r="O122" s="159"/>
      <c r="Q122" s="159"/>
    </row>
    <row r="123" spans="1:17" x14ac:dyDescent="0.2">
      <c r="A123" s="152">
        <v>44562</v>
      </c>
      <c r="B123" s="7">
        <v>227356</v>
      </c>
      <c r="C123" s="204">
        <v>276120</v>
      </c>
      <c r="D123" s="153"/>
      <c r="E123" s="153">
        <f t="shared" si="7"/>
        <v>227.35599999999999</v>
      </c>
      <c r="F123" s="153">
        <f t="shared" si="7"/>
        <v>276.12</v>
      </c>
      <c r="G123" s="154">
        <f t="shared" si="5"/>
        <v>-1.0833118390508156</v>
      </c>
      <c r="H123" s="154"/>
      <c r="I123" s="158"/>
      <c r="J123" s="152">
        <v>44562</v>
      </c>
      <c r="K123" s="7">
        <v>2480</v>
      </c>
      <c r="L123" s="204">
        <v>3011</v>
      </c>
      <c r="M123" s="156">
        <f t="shared" si="6"/>
        <v>-9.8233003893381294</v>
      </c>
      <c r="O123" s="159"/>
      <c r="Q123" s="159"/>
    </row>
    <row r="124" spans="1:17" x14ac:dyDescent="0.2">
      <c r="A124" s="152">
        <v>44593</v>
      </c>
      <c r="B124" s="7">
        <v>228872</v>
      </c>
      <c r="C124" s="204">
        <v>275870</v>
      </c>
      <c r="D124" s="153"/>
      <c r="E124" s="153">
        <f t="shared" si="7"/>
        <v>228.87200000000001</v>
      </c>
      <c r="F124" s="153">
        <f t="shared" si="7"/>
        <v>275.87</v>
      </c>
      <c r="G124" s="154">
        <f t="shared" si="5"/>
        <v>-0.39751454123355678</v>
      </c>
      <c r="H124" s="154"/>
      <c r="I124" s="158"/>
      <c r="J124" s="152">
        <v>44593</v>
      </c>
      <c r="K124" s="7">
        <v>2501</v>
      </c>
      <c r="L124" s="204">
        <v>3015</v>
      </c>
      <c r="M124" s="156">
        <f t="shared" si="6"/>
        <v>-8.8848594741613773</v>
      </c>
      <c r="O124" s="159"/>
      <c r="Q124" s="159"/>
    </row>
    <row r="125" spans="1:17" x14ac:dyDescent="0.2">
      <c r="A125" s="152">
        <v>44621</v>
      </c>
      <c r="B125" s="7">
        <v>232320</v>
      </c>
      <c r="C125" s="204">
        <v>277100</v>
      </c>
      <c r="D125" s="153"/>
      <c r="E125" s="153">
        <f t="shared" si="7"/>
        <v>232.32</v>
      </c>
      <c r="F125" s="153">
        <f t="shared" si="7"/>
        <v>277.10000000000002</v>
      </c>
      <c r="G125" s="154">
        <f t="shared" si="5"/>
        <v>2.9239871633368608E-2</v>
      </c>
      <c r="H125" s="154"/>
      <c r="I125" s="158"/>
      <c r="J125" s="152">
        <v>44621</v>
      </c>
      <c r="K125" s="7">
        <v>2538</v>
      </c>
      <c r="L125" s="204">
        <v>3027</v>
      </c>
      <c r="M125" s="156">
        <f t="shared" si="6"/>
        <v>-8.770343580470163</v>
      </c>
      <c r="O125" s="159"/>
      <c r="Q125" s="159"/>
    </row>
    <row r="126" spans="1:17" x14ac:dyDescent="0.2">
      <c r="A126" s="152">
        <v>44652</v>
      </c>
      <c r="B126" s="7">
        <v>237516</v>
      </c>
      <c r="C126" s="204">
        <v>279846</v>
      </c>
      <c r="D126" s="153"/>
      <c r="E126" s="153">
        <f t="shared" si="7"/>
        <v>237.51599999999999</v>
      </c>
      <c r="F126" s="153">
        <f t="shared" si="7"/>
        <v>279.846</v>
      </c>
      <c r="G126" s="154">
        <f t="shared" si="5"/>
        <v>1.7318472310074773</v>
      </c>
      <c r="H126" s="154"/>
      <c r="I126" s="158"/>
      <c r="J126" s="152">
        <v>44652</v>
      </c>
      <c r="K126" s="7">
        <v>2559</v>
      </c>
      <c r="L126" s="204">
        <v>3016</v>
      </c>
      <c r="M126" s="156">
        <f t="shared" si="6"/>
        <v>-8.0207380298871644</v>
      </c>
      <c r="O126" s="159"/>
      <c r="Q126" s="159"/>
    </row>
    <row r="127" spans="1:17" x14ac:dyDescent="0.2">
      <c r="A127" s="152">
        <v>44682</v>
      </c>
      <c r="B127" s="7">
        <v>244118</v>
      </c>
      <c r="C127" s="204">
        <v>284675</v>
      </c>
      <c r="D127" s="153"/>
      <c r="E127" s="153">
        <f t="shared" si="7"/>
        <v>244.11799999999999</v>
      </c>
      <c r="F127" s="153">
        <f t="shared" si="7"/>
        <v>284.67500000000001</v>
      </c>
      <c r="G127" s="154">
        <f t="shared" si="5"/>
        <v>2.8249546692480587</v>
      </c>
      <c r="H127" s="154"/>
      <c r="I127" s="158"/>
      <c r="J127" s="152">
        <v>44682</v>
      </c>
      <c r="K127" s="7">
        <v>2602</v>
      </c>
      <c r="L127" s="204">
        <v>3035</v>
      </c>
      <c r="M127" s="156">
        <f t="shared" si="6"/>
        <v>-7.3565323565323526</v>
      </c>
      <c r="O127" s="159"/>
      <c r="Q127" s="159"/>
    </row>
    <row r="128" spans="1:17" x14ac:dyDescent="0.2">
      <c r="A128" s="152">
        <v>44713</v>
      </c>
      <c r="B128" s="7">
        <v>249811</v>
      </c>
      <c r="C128" s="204">
        <v>289205</v>
      </c>
      <c r="D128" s="153"/>
      <c r="E128" s="153">
        <f t="shared" si="7"/>
        <v>249.81100000000001</v>
      </c>
      <c r="F128" s="153">
        <f t="shared" si="7"/>
        <v>289.20499999999998</v>
      </c>
      <c r="G128" s="154">
        <f t="shared" si="5"/>
        <v>4.6448937648352784</v>
      </c>
      <c r="H128" s="154"/>
      <c r="I128" s="158"/>
      <c r="J128" s="152">
        <v>44713</v>
      </c>
      <c r="K128" s="7">
        <v>2641</v>
      </c>
      <c r="L128" s="204">
        <v>3057</v>
      </c>
      <c r="M128" s="156">
        <f t="shared" si="6"/>
        <v>-5.1799007444168765</v>
      </c>
      <c r="O128" s="159"/>
      <c r="Q128" s="159"/>
    </row>
    <row r="129" spans="1:17" x14ac:dyDescent="0.2">
      <c r="A129" s="152">
        <v>44743</v>
      </c>
      <c r="B129" s="7">
        <v>254656</v>
      </c>
      <c r="C129" s="204">
        <v>294419</v>
      </c>
      <c r="D129" s="153"/>
      <c r="E129" s="153">
        <f t="shared" si="7"/>
        <v>254.65600000000001</v>
      </c>
      <c r="F129" s="153">
        <f t="shared" si="7"/>
        <v>294.41899999999998</v>
      </c>
      <c r="G129" s="154">
        <f t="shared" si="5"/>
        <v>5.9960974064313444</v>
      </c>
      <c r="H129" s="154"/>
      <c r="I129" s="158"/>
      <c r="J129" s="152">
        <v>44743</v>
      </c>
      <c r="K129" s="7">
        <v>2681</v>
      </c>
      <c r="L129" s="204">
        <v>3100</v>
      </c>
      <c r="M129" s="156">
        <f t="shared" si="6"/>
        <v>-2.9430181590482163</v>
      </c>
      <c r="O129" s="159"/>
      <c r="Q129" s="159"/>
    </row>
    <row r="130" spans="1:17" x14ac:dyDescent="0.2">
      <c r="A130" s="152">
        <v>44774</v>
      </c>
      <c r="B130" s="7">
        <v>257509</v>
      </c>
      <c r="C130" s="204">
        <v>298107</v>
      </c>
      <c r="D130" s="153"/>
      <c r="E130" s="153">
        <f t="shared" si="7"/>
        <v>257.50900000000001</v>
      </c>
      <c r="F130" s="153">
        <f t="shared" si="7"/>
        <v>298.10700000000003</v>
      </c>
      <c r="G130" s="154">
        <f t="shared" si="5"/>
        <v>7.6027634599558302</v>
      </c>
      <c r="H130" s="154"/>
      <c r="I130" s="158"/>
      <c r="J130" s="152">
        <v>44774</v>
      </c>
      <c r="K130" s="7">
        <v>2701</v>
      </c>
      <c r="L130" s="204">
        <v>3127</v>
      </c>
      <c r="M130" s="156">
        <f t="shared" si="6"/>
        <v>-0.69863448713877174</v>
      </c>
      <c r="O130" s="159"/>
      <c r="Q130" s="159"/>
    </row>
    <row r="131" spans="1:17" x14ac:dyDescent="0.2">
      <c r="A131" s="152">
        <v>44805</v>
      </c>
      <c r="B131" s="7">
        <v>260653</v>
      </c>
      <c r="C131" s="204">
        <v>303140</v>
      </c>
      <c r="D131" s="153"/>
      <c r="E131" s="153">
        <f t="shared" si="7"/>
        <v>260.65300000000002</v>
      </c>
      <c r="F131" s="153">
        <f t="shared" si="7"/>
        <v>303.14</v>
      </c>
      <c r="G131" s="154">
        <f t="shared" si="5"/>
        <v>9.8695584413701631</v>
      </c>
      <c r="H131" s="154"/>
      <c r="I131" s="158"/>
      <c r="J131" s="152">
        <v>44805</v>
      </c>
      <c r="K131" s="7">
        <v>2725</v>
      </c>
      <c r="L131" s="204">
        <v>3169</v>
      </c>
      <c r="M131" s="156">
        <f t="shared" si="6"/>
        <v>2.4571613320400809</v>
      </c>
      <c r="Q131" s="159"/>
    </row>
    <row r="132" spans="1:17" x14ac:dyDescent="0.2">
      <c r="A132" s="152">
        <v>44835</v>
      </c>
      <c r="B132" s="7">
        <v>263222</v>
      </c>
      <c r="C132" s="204">
        <v>306180</v>
      </c>
      <c r="D132" s="153"/>
      <c r="E132" s="153">
        <f>B132/1000</f>
        <v>263.22199999999998</v>
      </c>
      <c r="F132" s="153">
        <f>C132/1000</f>
        <v>306.18</v>
      </c>
      <c r="G132" s="154">
        <f t="shared" si="5"/>
        <v>11.390839305853673</v>
      </c>
      <c r="H132" s="154"/>
      <c r="I132" s="158"/>
      <c r="J132" s="152">
        <v>44835</v>
      </c>
      <c r="K132" s="7">
        <v>2741</v>
      </c>
      <c r="L132" s="204">
        <v>3188</v>
      </c>
      <c r="M132" s="156">
        <f t="shared" si="6"/>
        <v>4.5931758530183719</v>
      </c>
      <c r="O132" s="160">
        <f>L132/L98-1</f>
        <v>-2.4479804161566698E-2</v>
      </c>
      <c r="P132" s="160">
        <f>L132/L122-1</f>
        <v>6.8364611260053554E-2</v>
      </c>
      <c r="Q132" s="159"/>
    </row>
    <row r="133" spans="1:17" x14ac:dyDescent="0.2">
      <c r="A133" s="152">
        <v>44866</v>
      </c>
      <c r="B133" s="7">
        <v>266601</v>
      </c>
      <c r="C133" s="204">
        <v>309401</v>
      </c>
      <c r="D133" s="153"/>
      <c r="E133" s="153">
        <f t="shared" si="7"/>
        <v>266.601</v>
      </c>
      <c r="F133" s="153">
        <f t="shared" si="7"/>
        <v>309.40100000000001</v>
      </c>
      <c r="G133" s="154">
        <f t="shared" si="5"/>
        <v>12.838944262701645</v>
      </c>
      <c r="H133" s="154"/>
      <c r="I133" s="158"/>
      <c r="J133" s="152">
        <v>44866</v>
      </c>
      <c r="K133" s="7">
        <v>2774</v>
      </c>
      <c r="L133" s="204">
        <v>3219</v>
      </c>
      <c r="M133" s="156">
        <f t="shared" si="6"/>
        <v>7.0146276595744572</v>
      </c>
      <c r="O133" s="159"/>
      <c r="P133" s="159"/>
      <c r="Q133" s="159"/>
    </row>
    <row r="134" spans="1:17" x14ac:dyDescent="0.2">
      <c r="A134" s="152">
        <v>44896</v>
      </c>
      <c r="B134" s="7">
        <v>267868</v>
      </c>
      <c r="C134" s="204">
        <v>309183</v>
      </c>
      <c r="D134" s="153"/>
      <c r="E134" s="153">
        <f t="shared" si="7"/>
        <v>267.86799999999999</v>
      </c>
      <c r="F134" s="153">
        <f t="shared" si="7"/>
        <v>309.18299999999999</v>
      </c>
      <c r="G134" s="154">
        <f t="shared" si="5"/>
        <v>12.660829261360519</v>
      </c>
      <c r="H134" s="154"/>
      <c r="I134" s="158"/>
      <c r="J134" s="152">
        <v>44896</v>
      </c>
      <c r="K134" s="7">
        <v>2795</v>
      </c>
      <c r="L134" s="204">
        <v>3226</v>
      </c>
      <c r="M134" s="156">
        <f t="shared" si="6"/>
        <v>8.1099195710455874</v>
      </c>
      <c r="O134" s="159"/>
      <c r="P134" s="159"/>
      <c r="Q134" s="159"/>
    </row>
    <row r="135" spans="1:17" x14ac:dyDescent="0.2">
      <c r="A135" s="152">
        <v>44927</v>
      </c>
      <c r="B135" s="7">
        <v>268597</v>
      </c>
      <c r="C135" s="204">
        <v>308465</v>
      </c>
      <c r="D135" s="153"/>
      <c r="E135" s="153">
        <f t="shared" ref="E135:F155" si="8">B135/1000</f>
        <v>268.59699999999998</v>
      </c>
      <c r="F135" s="153">
        <f t="shared" si="8"/>
        <v>308.46499999999997</v>
      </c>
      <c r="G135" s="154">
        <f t="shared" si="5"/>
        <v>11.714109807330143</v>
      </c>
      <c r="H135" s="154"/>
      <c r="I135" s="158"/>
      <c r="J135" s="152">
        <v>44927</v>
      </c>
      <c r="K135" s="7">
        <v>2821</v>
      </c>
      <c r="L135" s="204">
        <v>3240</v>
      </c>
      <c r="M135" s="156">
        <f t="shared" si="6"/>
        <v>7.6054466954500244</v>
      </c>
      <c r="O135" s="159"/>
      <c r="P135" s="159"/>
      <c r="Q135" s="159"/>
    </row>
    <row r="136" spans="1:17" x14ac:dyDescent="0.2">
      <c r="A136" s="152">
        <v>44958</v>
      </c>
      <c r="B136" s="7">
        <v>268876</v>
      </c>
      <c r="C136" s="204">
        <v>306744</v>
      </c>
      <c r="D136" s="153"/>
      <c r="E136" s="153">
        <f t="shared" si="8"/>
        <v>268.87599999999998</v>
      </c>
      <c r="F136" s="153">
        <f t="shared" si="8"/>
        <v>306.74400000000003</v>
      </c>
      <c r="G136" s="154">
        <f t="shared" si="5"/>
        <v>11.19150324428173</v>
      </c>
      <c r="H136" s="154"/>
      <c r="I136" s="158"/>
      <c r="J136" s="152">
        <v>44958</v>
      </c>
      <c r="K136" s="7">
        <v>2839</v>
      </c>
      <c r="L136" s="204">
        <v>3238</v>
      </c>
      <c r="M136" s="156">
        <f t="shared" si="6"/>
        <v>7.3963515754560616</v>
      </c>
      <c r="O136" s="159"/>
      <c r="P136" s="159"/>
      <c r="Q136" s="159"/>
    </row>
    <row r="137" spans="1:17" x14ac:dyDescent="0.2">
      <c r="A137" s="152">
        <v>44986</v>
      </c>
      <c r="B137" s="7">
        <v>270488</v>
      </c>
      <c r="C137" s="204">
        <v>306495</v>
      </c>
      <c r="D137" s="153"/>
      <c r="E137" s="153">
        <f t="shared" si="8"/>
        <v>270.488</v>
      </c>
      <c r="F137" s="153">
        <f t="shared" si="8"/>
        <v>306.495</v>
      </c>
      <c r="G137" s="154">
        <f t="shared" si="5"/>
        <v>10.608083724287255</v>
      </c>
      <c r="H137" s="154"/>
      <c r="I137" s="158"/>
      <c r="J137" s="152">
        <v>44986</v>
      </c>
      <c r="K137" s="7">
        <v>2865</v>
      </c>
      <c r="L137" s="204">
        <v>3246</v>
      </c>
      <c r="M137" s="156">
        <f>(L137/L125-1)*100</f>
        <v>7.2348860257680947</v>
      </c>
      <c r="O137" s="159"/>
      <c r="P137" s="159"/>
      <c r="Q137" s="159"/>
    </row>
    <row r="138" spans="1:17" x14ac:dyDescent="0.2">
      <c r="A138" s="152">
        <v>45017</v>
      </c>
      <c r="B138" s="7">
        <v>272070</v>
      </c>
      <c r="C138" s="204">
        <v>306090</v>
      </c>
      <c r="D138" s="153"/>
      <c r="E138" s="153">
        <f t="shared" si="8"/>
        <v>272.07</v>
      </c>
      <c r="F138" s="153">
        <f t="shared" si="8"/>
        <v>306.08999999999997</v>
      </c>
      <c r="G138" s="154">
        <f t="shared" si="5"/>
        <v>9.3780150511352467</v>
      </c>
      <c r="H138" s="154"/>
      <c r="I138" s="158"/>
      <c r="J138" s="152">
        <v>45017</v>
      </c>
      <c r="K138" s="7">
        <v>2876</v>
      </c>
      <c r="L138" s="204">
        <v>3236</v>
      </c>
      <c r="M138" s="156">
        <f t="shared" si="6"/>
        <v>7.2944297082228049</v>
      </c>
      <c r="O138" s="159"/>
      <c r="P138" s="159"/>
      <c r="Q138" s="159"/>
    </row>
    <row r="139" spans="1:17" x14ac:dyDescent="0.2">
      <c r="A139" s="152">
        <v>45047</v>
      </c>
      <c r="B139" s="7">
        <v>274085</v>
      </c>
      <c r="C139" s="204">
        <v>306770</v>
      </c>
      <c r="D139" s="153"/>
      <c r="E139" s="153">
        <f t="shared" si="8"/>
        <v>274.08499999999998</v>
      </c>
      <c r="F139" s="153">
        <f t="shared" si="8"/>
        <v>306.77</v>
      </c>
      <c r="G139" s="154">
        <f t="shared" si="5"/>
        <v>7.7614823922016241</v>
      </c>
      <c r="H139" s="154"/>
      <c r="I139" s="158"/>
      <c r="J139" s="152">
        <v>45047</v>
      </c>
      <c r="K139" s="7">
        <v>2886</v>
      </c>
      <c r="L139" s="204">
        <v>3230</v>
      </c>
      <c r="M139" s="156">
        <f t="shared" si="6"/>
        <v>6.4250411861614509</v>
      </c>
      <c r="O139" s="159"/>
      <c r="P139" s="159"/>
      <c r="Q139" s="159"/>
    </row>
    <row r="140" spans="1:17" x14ac:dyDescent="0.2">
      <c r="A140" s="152">
        <v>45078</v>
      </c>
      <c r="B140" s="7">
        <v>277292</v>
      </c>
      <c r="C140" s="204">
        <v>309585</v>
      </c>
      <c r="D140" s="153"/>
      <c r="E140" s="153">
        <f t="shared" si="8"/>
        <v>277.29199999999997</v>
      </c>
      <c r="F140" s="153">
        <f t="shared" si="8"/>
        <v>309.58499999999998</v>
      </c>
      <c r="G140" s="154">
        <f t="shared" si="5"/>
        <v>7.0469044449438911</v>
      </c>
      <c r="H140" s="154"/>
      <c r="I140" s="158"/>
      <c r="J140" s="152">
        <v>45078</v>
      </c>
      <c r="K140" s="7">
        <v>2906</v>
      </c>
      <c r="L140" s="204">
        <v>3245</v>
      </c>
      <c r="M140" s="156">
        <f t="shared" si="6"/>
        <v>6.1498200850506946</v>
      </c>
      <c r="O140" s="159"/>
      <c r="P140" s="159"/>
      <c r="Q140" s="159"/>
    </row>
    <row r="141" spans="1:17" x14ac:dyDescent="0.2">
      <c r="A141" s="152">
        <v>45108</v>
      </c>
      <c r="B141" s="7">
        <v>279914</v>
      </c>
      <c r="C141" s="204">
        <v>312221</v>
      </c>
      <c r="D141" s="153"/>
      <c r="E141" s="153">
        <f t="shared" si="8"/>
        <v>279.91399999999999</v>
      </c>
      <c r="F141" s="153">
        <f t="shared" si="8"/>
        <v>312.221</v>
      </c>
      <c r="G141" s="154">
        <f t="shared" si="5"/>
        <v>6.0464847717029313</v>
      </c>
      <c r="H141" s="154"/>
      <c r="I141" s="158"/>
      <c r="J141" s="152">
        <v>45108</v>
      </c>
      <c r="K141" s="7">
        <v>2919</v>
      </c>
      <c r="L141" s="204">
        <v>3256</v>
      </c>
      <c r="M141" s="156">
        <f t="shared" si="6"/>
        <v>5.0322580645161263</v>
      </c>
      <c r="O141" s="159"/>
      <c r="P141" s="159"/>
      <c r="Q141" s="159"/>
    </row>
    <row r="142" spans="1:17" x14ac:dyDescent="0.2">
      <c r="A142" s="152">
        <v>45139</v>
      </c>
      <c r="B142" s="7">
        <v>281854</v>
      </c>
      <c r="C142" s="204">
        <v>314100</v>
      </c>
      <c r="D142" s="153"/>
      <c r="E142" s="153">
        <f t="shared" si="8"/>
        <v>281.85399999999998</v>
      </c>
      <c r="F142" s="153">
        <f t="shared" si="8"/>
        <v>314.10000000000002</v>
      </c>
      <c r="G142" s="154">
        <f t="shared" si="5"/>
        <v>5.3648522174923663</v>
      </c>
      <c r="H142" s="154"/>
      <c r="I142" s="158"/>
      <c r="J142" s="152">
        <v>45139</v>
      </c>
      <c r="K142" s="7">
        <v>2931</v>
      </c>
      <c r="L142" s="204">
        <v>3266</v>
      </c>
      <c r="M142" s="156">
        <f t="shared" si="6"/>
        <v>4.4451551007355317</v>
      </c>
      <c r="O142" s="159"/>
      <c r="P142" s="159"/>
      <c r="Q142" s="159"/>
    </row>
    <row r="143" spans="1:17" x14ac:dyDescent="0.2">
      <c r="A143" s="152">
        <v>45170</v>
      </c>
      <c r="B143" s="7">
        <v>285729</v>
      </c>
      <c r="C143" s="204">
        <v>317786</v>
      </c>
      <c r="D143" s="153"/>
      <c r="E143" s="153">
        <f t="shared" si="8"/>
        <v>285.72899999999998</v>
      </c>
      <c r="F143" s="153">
        <f t="shared" si="8"/>
        <v>317.786</v>
      </c>
      <c r="G143" s="154">
        <f t="shared" si="5"/>
        <v>4.8314310219700562</v>
      </c>
      <c r="H143" s="154"/>
      <c r="I143" s="158"/>
      <c r="J143" s="152">
        <v>45170</v>
      </c>
      <c r="K143" s="7">
        <v>2965</v>
      </c>
      <c r="L143" s="204">
        <v>3298</v>
      </c>
      <c r="M143" s="156">
        <f t="shared" si="6"/>
        <v>4.0706847585989303</v>
      </c>
      <c r="O143" s="159"/>
      <c r="P143" s="159"/>
      <c r="Q143" s="159"/>
    </row>
    <row r="144" spans="1:17" x14ac:dyDescent="0.2">
      <c r="A144" s="152">
        <v>45200</v>
      </c>
      <c r="B144" s="7">
        <v>288432</v>
      </c>
      <c r="C144" s="204">
        <v>320028</v>
      </c>
      <c r="D144" s="153"/>
      <c r="E144" s="153">
        <f t="shared" si="8"/>
        <v>288.43200000000002</v>
      </c>
      <c r="F144" s="153">
        <f t="shared" si="8"/>
        <v>320.02800000000002</v>
      </c>
      <c r="G144" s="154">
        <f t="shared" si="5"/>
        <v>4.5228297080148971</v>
      </c>
      <c r="H144" s="154"/>
      <c r="I144" s="158"/>
      <c r="J144" s="152">
        <v>45200</v>
      </c>
      <c r="K144" s="7">
        <v>2983</v>
      </c>
      <c r="L144" s="204">
        <v>3309</v>
      </c>
      <c r="M144" s="156">
        <f t="shared" si="6"/>
        <v>3.7954830614805424</v>
      </c>
      <c r="O144" s="159"/>
      <c r="P144" s="159"/>
      <c r="Q144" s="159"/>
    </row>
    <row r="145" spans="1:22" x14ac:dyDescent="0.2">
      <c r="A145" s="152">
        <v>45231</v>
      </c>
      <c r="B145" s="7">
        <v>292669</v>
      </c>
      <c r="C145" s="204">
        <v>323899</v>
      </c>
      <c r="D145" s="153"/>
      <c r="E145" s="153">
        <f t="shared" si="8"/>
        <v>292.66899999999998</v>
      </c>
      <c r="F145" s="153">
        <f t="shared" si="8"/>
        <v>323.899</v>
      </c>
      <c r="G145" s="154">
        <f t="shared" si="5"/>
        <v>4.6858284233082692</v>
      </c>
      <c r="H145" s="154"/>
      <c r="I145" s="158"/>
      <c r="J145" s="152">
        <v>45231</v>
      </c>
      <c r="K145" s="7">
        <v>3016</v>
      </c>
      <c r="L145" s="204">
        <v>3338</v>
      </c>
      <c r="M145" s="156">
        <f t="shared" si="6"/>
        <v>3.69680024852439</v>
      </c>
      <c r="O145" s="159"/>
      <c r="P145" s="159"/>
      <c r="Q145" s="159"/>
    </row>
    <row r="146" spans="1:22" x14ac:dyDescent="0.2">
      <c r="A146" s="152">
        <v>45261</v>
      </c>
      <c r="B146" s="7">
        <v>294115</v>
      </c>
      <c r="C146" s="204">
        <v>324336</v>
      </c>
      <c r="D146" s="153"/>
      <c r="E146" s="153">
        <f t="shared" si="8"/>
        <v>294.11500000000001</v>
      </c>
      <c r="F146" s="153">
        <f t="shared" si="8"/>
        <v>324.33600000000001</v>
      </c>
      <c r="G146" s="154">
        <f t="shared" ref="G146:G160" si="9">(F146/F134-1)*100</f>
        <v>4.9009809724338105</v>
      </c>
      <c r="H146" s="154"/>
      <c r="I146" s="158"/>
      <c r="J146" s="152">
        <v>45261</v>
      </c>
      <c r="K146" s="7">
        <v>3014</v>
      </c>
      <c r="L146" s="204">
        <v>3324</v>
      </c>
      <c r="M146" s="156">
        <f t="shared" si="6"/>
        <v>3.0378177309361432</v>
      </c>
      <c r="N146" s="171">
        <f>L146/L145-1</f>
        <v>-4.1941282204913666E-3</v>
      </c>
      <c r="O146" s="159"/>
      <c r="P146" s="159"/>
      <c r="Q146" s="159"/>
    </row>
    <row r="147" spans="1:22" x14ac:dyDescent="0.2">
      <c r="A147" s="152">
        <v>45292</v>
      </c>
      <c r="B147" s="7">
        <v>297555</v>
      </c>
      <c r="C147" s="204">
        <v>326751</v>
      </c>
      <c r="D147" s="153"/>
      <c r="E147" s="153">
        <f t="shared" si="8"/>
        <v>297.55500000000001</v>
      </c>
      <c r="F147" s="153">
        <f t="shared" si="8"/>
        <v>326.75099999999998</v>
      </c>
      <c r="G147" s="154">
        <f t="shared" si="9"/>
        <v>5.9280631514110116</v>
      </c>
      <c r="H147" s="154"/>
      <c r="I147" s="158"/>
      <c r="J147" s="152">
        <v>45292</v>
      </c>
      <c r="K147" s="7">
        <v>3061</v>
      </c>
      <c r="L147" s="204">
        <v>3361</v>
      </c>
      <c r="M147" s="156">
        <f t="shared" si="6"/>
        <v>3.7345679012345645</v>
      </c>
      <c r="N147" s="171">
        <f t="shared" ref="N147:N151" si="10">L147/L146-1</f>
        <v>1.1131167268351394E-2</v>
      </c>
      <c r="O147" s="172"/>
      <c r="P147" s="173">
        <f>L155/L95-1</f>
        <v>5.4304227090404167E-2</v>
      </c>
      <c r="Q147" s="159"/>
    </row>
    <row r="148" spans="1:22" x14ac:dyDescent="0.2">
      <c r="A148" s="152">
        <v>45323</v>
      </c>
      <c r="B148" s="7">
        <v>299608</v>
      </c>
      <c r="C148" s="204">
        <v>327015</v>
      </c>
      <c r="D148" s="153"/>
      <c r="E148" s="153">
        <f t="shared" si="8"/>
        <v>299.608</v>
      </c>
      <c r="F148" s="153">
        <f t="shared" si="8"/>
        <v>327.01499999999999</v>
      </c>
      <c r="G148" s="154">
        <f t="shared" si="9"/>
        <v>6.6084422189186975</v>
      </c>
      <c r="H148" s="154"/>
      <c r="I148" s="158"/>
      <c r="J148" s="152">
        <v>45323</v>
      </c>
      <c r="K148" s="7">
        <v>3093</v>
      </c>
      <c r="L148" s="204">
        <v>3376</v>
      </c>
      <c r="M148" s="156">
        <f t="shared" si="6"/>
        <v>4.2618900555898787</v>
      </c>
      <c r="N148" s="171">
        <f t="shared" si="10"/>
        <v>4.4629574531389604E-3</v>
      </c>
      <c r="O148" s="159"/>
      <c r="P148" s="159">
        <f>L155/L98-1</f>
        <v>4.5593635250918085E-2</v>
      </c>
      <c r="Q148" s="159"/>
    </row>
    <row r="149" spans="1:22" x14ac:dyDescent="0.2">
      <c r="A149" s="152">
        <v>45352</v>
      </c>
      <c r="B149" s="7">
        <v>300659</v>
      </c>
      <c r="C149" s="204">
        <v>326611</v>
      </c>
      <c r="D149" s="153"/>
      <c r="E149" s="153">
        <f t="shared" si="8"/>
        <v>300.65899999999999</v>
      </c>
      <c r="F149" s="153">
        <f t="shared" si="8"/>
        <v>326.61099999999999</v>
      </c>
      <c r="G149" s="154">
        <f t="shared" si="9"/>
        <v>6.5632392045547272</v>
      </c>
      <c r="H149" s="154"/>
      <c r="I149" s="158"/>
      <c r="J149" s="152">
        <v>45352</v>
      </c>
      <c r="K149" s="7">
        <v>3105</v>
      </c>
      <c r="L149" s="204">
        <v>3373</v>
      </c>
      <c r="M149" s="156">
        <f t="shared" si="6"/>
        <v>3.912507701786816</v>
      </c>
      <c r="N149" s="171">
        <f t="shared" si="10"/>
        <v>-8.886255924170916E-4</v>
      </c>
      <c r="O149" s="159">
        <f>L149/L146-1</f>
        <v>1.4741275571600543E-2</v>
      </c>
      <c r="P149" s="159"/>
      <c r="Q149" s="159"/>
    </row>
    <row r="150" spans="1:22" x14ac:dyDescent="0.2">
      <c r="A150" s="152">
        <v>45383</v>
      </c>
      <c r="B150" s="7">
        <v>305363</v>
      </c>
      <c r="C150" s="204">
        <v>330214</v>
      </c>
      <c r="D150" s="153"/>
      <c r="E150" s="153">
        <f t="shared" si="8"/>
        <v>305.363</v>
      </c>
      <c r="F150" s="153">
        <f t="shared" si="8"/>
        <v>330.214</v>
      </c>
      <c r="G150" s="154">
        <f t="shared" si="9"/>
        <v>7.8813420889281005</v>
      </c>
      <c r="H150" s="154"/>
      <c r="I150" s="158"/>
      <c r="J150" s="152">
        <v>45383</v>
      </c>
      <c r="K150" s="7">
        <v>3133</v>
      </c>
      <c r="L150" s="204">
        <v>3388</v>
      </c>
      <c r="M150" s="156">
        <f t="shared" ref="M150:M160" si="11">(L150/L138-1)*100</f>
        <v>4.6971569839307836</v>
      </c>
      <c r="N150" s="171">
        <f t="shared" si="10"/>
        <v>4.4470797509634785E-3</v>
      </c>
      <c r="O150" s="159"/>
      <c r="P150" s="159"/>
      <c r="Q150" s="159"/>
    </row>
    <row r="151" spans="1:22" x14ac:dyDescent="0.2">
      <c r="A151" s="169">
        <v>45413</v>
      </c>
      <c r="B151" s="7">
        <v>309925</v>
      </c>
      <c r="C151" s="204">
        <v>334025</v>
      </c>
      <c r="D151" s="153"/>
      <c r="E151" s="153">
        <f t="shared" si="8"/>
        <v>309.92500000000001</v>
      </c>
      <c r="F151" s="153">
        <f t="shared" si="8"/>
        <v>334.02499999999998</v>
      </c>
      <c r="G151" s="154">
        <f t="shared" si="9"/>
        <v>8.8845063076572028</v>
      </c>
      <c r="H151" s="154"/>
      <c r="I151" s="158"/>
      <c r="J151" s="152">
        <v>45413</v>
      </c>
      <c r="K151" s="7">
        <v>3163</v>
      </c>
      <c r="L151" s="204">
        <v>3409</v>
      </c>
      <c r="M151" s="156">
        <f t="shared" si="11"/>
        <v>5.5417956656346856</v>
      </c>
      <c r="N151" s="171">
        <f t="shared" si="10"/>
        <v>6.1983471074380514E-3</v>
      </c>
      <c r="O151" s="174"/>
      <c r="P151" s="159"/>
      <c r="Q151" s="159"/>
    </row>
    <row r="152" spans="1:22" x14ac:dyDescent="0.2">
      <c r="A152" s="152">
        <v>45444</v>
      </c>
      <c r="B152" s="7">
        <v>314515</v>
      </c>
      <c r="C152" s="204">
        <v>337796</v>
      </c>
      <c r="D152" s="153"/>
      <c r="E152" s="153">
        <f t="shared" si="8"/>
        <v>314.51499999999999</v>
      </c>
      <c r="F152" s="153">
        <f t="shared" si="8"/>
        <v>337.79599999999999</v>
      </c>
      <c r="G152" s="154">
        <f t="shared" si="9"/>
        <v>9.1125216014987807</v>
      </c>
      <c r="H152" s="154"/>
      <c r="I152" s="158"/>
      <c r="J152" s="152">
        <v>45444</v>
      </c>
      <c r="K152" s="7">
        <v>3194</v>
      </c>
      <c r="L152" s="204">
        <v>3431</v>
      </c>
      <c r="M152" s="156">
        <f t="shared" si="11"/>
        <v>5.7318952234206577</v>
      </c>
      <c r="N152" s="191">
        <f>L152/L151-1</f>
        <v>6.4535054268113345E-3</v>
      </c>
      <c r="O152" s="170">
        <f>L152/L149-1</f>
        <v>1.7195375037059035E-2</v>
      </c>
      <c r="P152" s="170"/>
      <c r="Q152" s="170"/>
    </row>
    <row r="153" spans="1:22" x14ac:dyDescent="0.2">
      <c r="A153" s="152">
        <v>45474</v>
      </c>
      <c r="B153" s="7">
        <v>314340</v>
      </c>
      <c r="C153" s="204">
        <v>336428</v>
      </c>
      <c r="D153" s="153"/>
      <c r="E153" s="153">
        <f t="shared" si="8"/>
        <v>314.33999999999997</v>
      </c>
      <c r="F153" s="153">
        <f t="shared" si="8"/>
        <v>336.428</v>
      </c>
      <c r="G153" s="154">
        <f t="shared" si="9"/>
        <v>7.7531620230541831</v>
      </c>
      <c r="H153" s="154"/>
      <c r="I153" s="158"/>
      <c r="J153" s="152">
        <v>45474</v>
      </c>
      <c r="K153" s="7">
        <v>3187</v>
      </c>
      <c r="L153" s="204">
        <v>3411</v>
      </c>
      <c r="M153" s="156">
        <f t="shared" si="11"/>
        <v>4.7604422604422547</v>
      </c>
      <c r="N153" s="171">
        <f>L153/L152-1</f>
        <v>-5.8292043136112248E-3</v>
      </c>
      <c r="O153" s="159"/>
      <c r="P153" s="159"/>
      <c r="Q153" s="159"/>
    </row>
    <row r="154" spans="1:22" x14ac:dyDescent="0.2">
      <c r="A154" s="152">
        <v>45505</v>
      </c>
      <c r="B154" s="7">
        <v>318034</v>
      </c>
      <c r="C154" s="204">
        <v>339778</v>
      </c>
      <c r="D154" s="153"/>
      <c r="E154" s="153">
        <f t="shared" si="8"/>
        <v>318.03399999999999</v>
      </c>
      <c r="F154" s="153">
        <f t="shared" si="8"/>
        <v>339.77800000000002</v>
      </c>
      <c r="G154" s="154">
        <f t="shared" si="9"/>
        <v>8.1751034702324041</v>
      </c>
      <c r="H154" s="154"/>
      <c r="I154" s="158"/>
      <c r="J154" s="152">
        <v>45505</v>
      </c>
      <c r="K154" s="7">
        <v>3209</v>
      </c>
      <c r="L154" s="204">
        <v>3429</v>
      </c>
      <c r="M154" s="156">
        <f t="shared" si="11"/>
        <v>4.990814451928971</v>
      </c>
      <c r="N154" s="171">
        <f>L154/L153-1</f>
        <v>5.2770448548813409E-3</v>
      </c>
      <c r="O154" s="159"/>
      <c r="P154" s="159"/>
      <c r="Q154" s="159"/>
    </row>
    <row r="155" spans="1:22" x14ac:dyDescent="0.2">
      <c r="A155" s="152">
        <v>45536</v>
      </c>
      <c r="B155" s="7">
        <v>319513</v>
      </c>
      <c r="C155" s="204">
        <v>340452</v>
      </c>
      <c r="D155" s="153"/>
      <c r="E155" s="153">
        <f t="shared" si="8"/>
        <v>319.51299999999998</v>
      </c>
      <c r="F155" s="153">
        <f>C155/1000</f>
        <v>340.452</v>
      </c>
      <c r="G155" s="154">
        <f t="shared" si="9"/>
        <v>7.1324727961584289</v>
      </c>
      <c r="H155" s="154"/>
      <c r="I155" s="158"/>
      <c r="J155" s="152">
        <v>45536</v>
      </c>
      <c r="K155" s="7">
        <v>3207</v>
      </c>
      <c r="L155" s="204">
        <v>3417</v>
      </c>
      <c r="M155" s="156">
        <f>(L155/L143-1)*100</f>
        <v>3.6082474226804218</v>
      </c>
      <c r="N155" s="171">
        <f>L155/L154-1</f>
        <v>-3.4995625546806464E-3</v>
      </c>
      <c r="O155" s="159">
        <f>L155/L152-1</f>
        <v>-4.080443019527813E-3</v>
      </c>
      <c r="P155" s="159"/>
      <c r="Q155" s="159"/>
    </row>
    <row r="156" spans="1:22" x14ac:dyDescent="0.2">
      <c r="A156" s="152">
        <v>45566</v>
      </c>
      <c r="B156" s="7">
        <v>324172</v>
      </c>
      <c r="C156" s="204">
        <v>344308</v>
      </c>
      <c r="D156" s="153"/>
      <c r="E156" s="153">
        <f t="shared" ref="E156:E161" si="12">B156/1000</f>
        <v>324.17200000000003</v>
      </c>
      <c r="F156" s="153">
        <f t="shared" ref="F156:F161" si="13">C156/1000</f>
        <v>344.30799999999999</v>
      </c>
      <c r="G156" s="154">
        <f t="shared" si="9"/>
        <v>7.5868361518367067</v>
      </c>
      <c r="H156" s="154"/>
      <c r="I156" s="158"/>
      <c r="J156" s="152">
        <v>45566</v>
      </c>
      <c r="K156" s="7">
        <v>3235</v>
      </c>
      <c r="L156" s="204">
        <v>3436</v>
      </c>
      <c r="M156" s="156">
        <f t="shared" si="11"/>
        <v>3.838017527954074</v>
      </c>
      <c r="N156" s="171">
        <f t="shared" ref="N156:N165" si="14">L156/L155-1</f>
        <v>5.5604331284753172E-3</v>
      </c>
      <c r="O156" s="159"/>
      <c r="P156" s="159"/>
      <c r="Q156" s="159"/>
    </row>
    <row r="157" spans="1:22" x14ac:dyDescent="0.2">
      <c r="A157" s="152">
        <v>45597</v>
      </c>
      <c r="B157" s="7">
        <v>328173</v>
      </c>
      <c r="C157" s="204">
        <v>346947</v>
      </c>
      <c r="D157" s="153"/>
      <c r="E157" s="153">
        <f t="shared" si="12"/>
        <v>328.173</v>
      </c>
      <c r="F157" s="153">
        <f t="shared" si="13"/>
        <v>346.947</v>
      </c>
      <c r="G157" s="154">
        <f t="shared" si="9"/>
        <v>7.1157984433419141</v>
      </c>
      <c r="H157" s="154"/>
      <c r="I157" s="158"/>
      <c r="J157" s="152">
        <v>45597</v>
      </c>
      <c r="K157" s="7">
        <v>3264</v>
      </c>
      <c r="L157" s="204">
        <v>3451</v>
      </c>
      <c r="M157" s="156">
        <f t="shared" si="11"/>
        <v>3.3852606351108427</v>
      </c>
      <c r="N157" s="171">
        <f t="shared" si="14"/>
        <v>4.3655413271246335E-3</v>
      </c>
      <c r="O157" s="159"/>
      <c r="P157" s="159"/>
      <c r="Q157" s="159"/>
      <c r="V157" s="156"/>
    </row>
    <row r="158" spans="1:22" x14ac:dyDescent="0.2">
      <c r="A158" s="152">
        <v>45627</v>
      </c>
      <c r="B158" s="7">
        <v>330766</v>
      </c>
      <c r="C158" s="204">
        <v>347987</v>
      </c>
      <c r="D158" s="153"/>
      <c r="E158" s="153">
        <f t="shared" si="12"/>
        <v>330.76600000000002</v>
      </c>
      <c r="F158" s="153">
        <f t="shared" si="13"/>
        <v>347.98700000000002</v>
      </c>
      <c r="G158" s="154">
        <f t="shared" si="9"/>
        <v>7.292129150017268</v>
      </c>
      <c r="H158" s="154"/>
      <c r="I158" s="158"/>
      <c r="J158" s="152">
        <v>45627</v>
      </c>
      <c r="K158" s="7">
        <v>3293</v>
      </c>
      <c r="L158" s="204">
        <v>3465</v>
      </c>
      <c r="M158" s="156">
        <f t="shared" si="11"/>
        <v>4.2418772563176832</v>
      </c>
      <c r="N158" s="171">
        <f t="shared" si="14"/>
        <v>4.0567951318457585E-3</v>
      </c>
      <c r="O158" s="159"/>
      <c r="P158" s="159"/>
      <c r="Q158" s="159"/>
    </row>
    <row r="159" spans="1:22" x14ac:dyDescent="0.2">
      <c r="A159" s="152">
        <v>45658</v>
      </c>
      <c r="B159" s="7">
        <v>330772</v>
      </c>
      <c r="C159" s="204">
        <v>346758</v>
      </c>
      <c r="D159" s="153"/>
      <c r="E159" s="154">
        <f t="shared" si="12"/>
        <v>330.77199999999999</v>
      </c>
      <c r="F159" s="153">
        <f t="shared" si="13"/>
        <v>346.75799999999998</v>
      </c>
      <c r="G159" s="154">
        <f t="shared" si="9"/>
        <v>6.1230111001955745</v>
      </c>
      <c r="H159" s="154"/>
      <c r="I159" s="158"/>
      <c r="J159" s="152">
        <v>45658</v>
      </c>
      <c r="K159" s="7">
        <v>3321</v>
      </c>
      <c r="L159" s="204">
        <v>3482</v>
      </c>
      <c r="M159" s="156">
        <f t="shared" si="11"/>
        <v>3.6001190121987436</v>
      </c>
      <c r="N159" s="171">
        <f t="shared" si="14"/>
        <v>4.9062049062049695E-3</v>
      </c>
      <c r="O159" s="159"/>
      <c r="P159" s="159"/>
      <c r="Q159" s="159"/>
    </row>
    <row r="160" spans="1:22" x14ac:dyDescent="0.2">
      <c r="A160" s="152">
        <v>45689</v>
      </c>
      <c r="B160" s="7">
        <v>333220</v>
      </c>
      <c r="C160" s="204">
        <v>347010</v>
      </c>
      <c r="D160" s="153"/>
      <c r="E160" s="154">
        <f t="shared" si="12"/>
        <v>333.22</v>
      </c>
      <c r="F160" s="153">
        <f t="shared" si="13"/>
        <v>347.01</v>
      </c>
      <c r="G160" s="154">
        <f t="shared" si="9"/>
        <v>6.1143984220907388</v>
      </c>
      <c r="H160" s="154"/>
      <c r="I160" s="158"/>
      <c r="J160" s="152">
        <v>45689</v>
      </c>
      <c r="K160" s="7">
        <v>3356</v>
      </c>
      <c r="L160" s="204">
        <v>3495</v>
      </c>
      <c r="M160" s="156">
        <f t="shared" si="11"/>
        <v>3.5248815165876746</v>
      </c>
      <c r="N160" s="171">
        <f t="shared" si="14"/>
        <v>3.7334865020104413E-3</v>
      </c>
      <c r="O160" s="159"/>
      <c r="P160" s="159"/>
      <c r="Q160" s="159"/>
    </row>
    <row r="161" spans="1:17" x14ac:dyDescent="0.2">
      <c r="A161" s="152">
        <v>45717</v>
      </c>
      <c r="B161" s="7">
        <v>336233</v>
      </c>
      <c r="C161" s="204">
        <v>347785</v>
      </c>
      <c r="D161" s="153"/>
      <c r="E161" s="154">
        <f t="shared" si="12"/>
        <v>336.233</v>
      </c>
      <c r="F161" s="153">
        <f t="shared" si="13"/>
        <v>347.78500000000003</v>
      </c>
      <c r="G161" s="154">
        <f t="shared" ref="G161:G166" si="15">(F161/F149-1)*100</f>
        <v>6.4829414808442065</v>
      </c>
      <c r="H161" s="154"/>
      <c r="I161" s="158"/>
      <c r="J161" s="152">
        <v>45717</v>
      </c>
      <c r="K161" s="7">
        <v>3389</v>
      </c>
      <c r="L161" s="204">
        <v>3505</v>
      </c>
      <c r="M161" s="156">
        <f t="shared" ref="M161:M166" si="16">(L161/L149-1)*100</f>
        <v>3.9134301808479099</v>
      </c>
      <c r="N161" s="171">
        <f t="shared" si="14"/>
        <v>2.8612303290413976E-3</v>
      </c>
      <c r="O161" s="159"/>
      <c r="P161" s="159"/>
      <c r="Q161" s="159"/>
    </row>
    <row r="162" spans="1:17" x14ac:dyDescent="0.2">
      <c r="A162" s="152">
        <v>45748</v>
      </c>
      <c r="B162" s="153">
        <v>340306</v>
      </c>
      <c r="C162" s="204">
        <v>349306</v>
      </c>
      <c r="D162" s="153"/>
      <c r="E162" s="154">
        <f t="shared" ref="E162" si="17">B162/1000</f>
        <v>340.30599999999998</v>
      </c>
      <c r="F162" s="153">
        <f t="shared" ref="F162" si="18">C162/1000</f>
        <v>349.30599999999998</v>
      </c>
      <c r="G162" s="154">
        <f t="shared" si="15"/>
        <v>5.7817051972357314</v>
      </c>
      <c r="H162" s="154"/>
      <c r="I162" s="158"/>
      <c r="J162" s="152">
        <v>45748</v>
      </c>
      <c r="K162" s="7">
        <v>3404</v>
      </c>
      <c r="L162" s="204">
        <v>3494</v>
      </c>
      <c r="M162" s="156">
        <f t="shared" si="16"/>
        <v>3.1286894923258535</v>
      </c>
      <c r="N162" s="171">
        <f t="shared" si="14"/>
        <v>-3.1383737517831634E-3</v>
      </c>
      <c r="O162" s="159"/>
      <c r="P162" s="159"/>
      <c r="Q162" s="159"/>
    </row>
    <row r="163" spans="1:17" x14ac:dyDescent="0.2">
      <c r="A163" s="152">
        <v>45778</v>
      </c>
      <c r="B163" s="153">
        <v>345309</v>
      </c>
      <c r="C163" s="204">
        <v>352953</v>
      </c>
      <c r="D163" s="153"/>
      <c r="E163" s="154">
        <f t="shared" ref="E163" si="19">B163/1000</f>
        <v>345.30900000000003</v>
      </c>
      <c r="F163" s="153">
        <f t="shared" ref="F163" si="20">C163/1000</f>
        <v>352.95299999999997</v>
      </c>
      <c r="G163" s="154">
        <f t="shared" si="15"/>
        <v>5.666641718434251</v>
      </c>
      <c r="H163" s="154"/>
      <c r="I163" s="158"/>
      <c r="J163" s="152">
        <v>45778</v>
      </c>
      <c r="K163" s="7">
        <v>3433</v>
      </c>
      <c r="L163" s="204">
        <v>3509</v>
      </c>
      <c r="M163" s="156">
        <f t="shared" si="16"/>
        <v>2.9334115576415298</v>
      </c>
      <c r="N163" s="171">
        <f t="shared" si="14"/>
        <v>4.2930738408699654E-3</v>
      </c>
      <c r="O163" s="159"/>
      <c r="P163" s="159"/>
      <c r="Q163" s="159"/>
    </row>
    <row r="164" spans="1:17" x14ac:dyDescent="0.2">
      <c r="A164" s="152">
        <v>45809</v>
      </c>
      <c r="B164" s="153">
        <v>351190</v>
      </c>
      <c r="C164" s="204">
        <v>357847</v>
      </c>
      <c r="D164" s="153"/>
      <c r="E164" s="154">
        <f t="shared" ref="E164" si="21">B164/1000</f>
        <v>351.19</v>
      </c>
      <c r="F164" s="153">
        <f t="shared" ref="F164" si="22">C164/1000</f>
        <v>357.84699999999998</v>
      </c>
      <c r="G164" s="154">
        <f t="shared" si="15"/>
        <v>5.9358310933225855</v>
      </c>
      <c r="H164" s="154">
        <f>(F164/F161-1)*100</f>
        <v>2.8931667553229623</v>
      </c>
      <c r="I164" s="158"/>
      <c r="J164" s="152">
        <v>45809</v>
      </c>
      <c r="K164" s="7">
        <v>3477</v>
      </c>
      <c r="L164" s="204">
        <v>3543</v>
      </c>
      <c r="M164" s="156">
        <f t="shared" si="16"/>
        <v>3.2643544156222726</v>
      </c>
      <c r="N164" s="171">
        <f t="shared" si="14"/>
        <v>9.6893701909375185E-3</v>
      </c>
      <c r="O164" s="159"/>
      <c r="P164" s="159"/>
      <c r="Q164" s="159"/>
    </row>
    <row r="165" spans="1:17" x14ac:dyDescent="0.2">
      <c r="A165" s="152">
        <v>45839</v>
      </c>
      <c r="B165" s="153">
        <v>352301</v>
      </c>
      <c r="C165" s="204">
        <v>358072</v>
      </c>
      <c r="D165" s="153"/>
      <c r="E165" s="154">
        <f t="shared" ref="E165" si="23">B165/1000</f>
        <v>352.30099999999999</v>
      </c>
      <c r="F165" s="153">
        <f t="shared" ref="F165" si="24">C165/1000</f>
        <v>358.072</v>
      </c>
      <c r="G165" s="154">
        <f t="shared" si="15"/>
        <v>6.4334716492087551</v>
      </c>
      <c r="H165" s="154"/>
      <c r="I165" s="158"/>
      <c r="J165" s="152">
        <v>45839</v>
      </c>
      <c r="K165" s="7">
        <v>3484</v>
      </c>
      <c r="L165" s="204">
        <v>3541</v>
      </c>
      <c r="M165" s="156">
        <f t="shared" si="16"/>
        <v>3.8111990618586944</v>
      </c>
      <c r="N165" s="171">
        <f t="shared" si="14"/>
        <v>-5.6449336720298948E-4</v>
      </c>
      <c r="O165" s="159"/>
      <c r="P165" s="159"/>
      <c r="Q165" s="159"/>
    </row>
    <row r="166" spans="1:17" x14ac:dyDescent="0.2">
      <c r="A166" s="152">
        <v>45870</v>
      </c>
      <c r="B166" s="153">
        <v>352596</v>
      </c>
      <c r="C166" s="204">
        <v>357941</v>
      </c>
      <c r="D166" s="153"/>
      <c r="E166" s="154">
        <f t="shared" ref="E166" si="25">B166/1000</f>
        <v>352.596</v>
      </c>
      <c r="F166" s="153">
        <f t="shared" ref="F166" si="26">C166/1000</f>
        <v>357.94099999999997</v>
      </c>
      <c r="G166" s="154">
        <f t="shared" si="15"/>
        <v>5.3455491526820387</v>
      </c>
      <c r="H166" s="154"/>
      <c r="I166" s="158"/>
      <c r="J166" s="152">
        <v>45870</v>
      </c>
      <c r="K166" s="7">
        <v>3488</v>
      </c>
      <c r="L166" s="204">
        <v>3541</v>
      </c>
      <c r="M166" s="156">
        <f t="shared" si="16"/>
        <v>3.2662583843686255</v>
      </c>
      <c r="N166" s="171">
        <f t="shared" ref="N166" si="27">L166/L165-1</f>
        <v>0</v>
      </c>
      <c r="O166" s="159"/>
      <c r="P166" s="159"/>
      <c r="Q166" s="159"/>
    </row>
    <row r="167" spans="1:17" x14ac:dyDescent="0.2">
      <c r="A167" s="152">
        <v>45901</v>
      </c>
      <c r="B167" s="153">
        <v>354564</v>
      </c>
      <c r="C167" s="204">
        <v>359208</v>
      </c>
      <c r="D167" s="153"/>
      <c r="E167" s="154">
        <f t="shared" ref="E167" si="28">B167/1000</f>
        <v>354.56400000000002</v>
      </c>
      <c r="F167" s="153">
        <f t="shared" ref="F167" si="29">C167/1000</f>
        <v>359.20800000000003</v>
      </c>
      <c r="G167" s="154">
        <f t="shared" ref="G167" si="30">(F167/F155-1)*100</f>
        <v>5.5091466638468978</v>
      </c>
      <c r="H167" s="154"/>
      <c r="I167" s="158"/>
      <c r="J167" s="152">
        <v>45901</v>
      </c>
      <c r="K167" s="153">
        <v>3507</v>
      </c>
      <c r="L167" s="204">
        <v>3552</v>
      </c>
      <c r="M167" s="156">
        <f t="shared" ref="M167" si="31">(L167/L155-1)*100</f>
        <v>3.9508340649692775</v>
      </c>
      <c r="N167" s="171">
        <f t="shared" ref="N167" si="32">L167/L166-1</f>
        <v>3.106467099689425E-3</v>
      </c>
      <c r="O167" s="159"/>
      <c r="P167" s="159"/>
      <c r="Q167" s="159"/>
    </row>
    <row r="168" spans="1:17" x14ac:dyDescent="0.2">
      <c r="A168" s="152">
        <v>45931</v>
      </c>
      <c r="B168" s="153">
        <v>357265</v>
      </c>
      <c r="C168" s="204">
        <v>361398</v>
      </c>
      <c r="D168" s="153"/>
      <c r="E168" s="154">
        <f t="shared" ref="E168" si="33">B168/1000</f>
        <v>357.26499999999999</v>
      </c>
      <c r="F168" s="153">
        <f t="shared" ref="F168" si="34">C168/1000</f>
        <v>361.39800000000002</v>
      </c>
      <c r="G168" s="154">
        <f t="shared" ref="G168" si="35">(F168/F156-1)*100</f>
        <v>4.9635791210195679</v>
      </c>
      <c r="H168" s="154"/>
      <c r="I168" s="158"/>
      <c r="J168" s="152">
        <v>45931</v>
      </c>
      <c r="K168" s="153">
        <v>3528</v>
      </c>
      <c r="L168" s="204">
        <v>3568</v>
      </c>
      <c r="M168" s="156">
        <f t="shared" ref="M168" si="36">(L168/L156-1)*100</f>
        <v>3.8416763678696064</v>
      </c>
      <c r="N168" s="171">
        <f t="shared" ref="N168" si="37">L168/L167-1</f>
        <v>4.5045045045044585E-3</v>
      </c>
      <c r="O168" s="159"/>
      <c r="P168" s="159"/>
      <c r="Q168" s="159"/>
    </row>
    <row r="169" spans="1:17" x14ac:dyDescent="0.2">
      <c r="A169" s="152">
        <v>45962</v>
      </c>
      <c r="B169" s="153">
        <v>363705</v>
      </c>
      <c r="C169" s="204">
        <v>367005</v>
      </c>
      <c r="D169" s="153"/>
      <c r="E169" s="154">
        <f t="shared" ref="E169:E172" si="38">B169/1000</f>
        <v>363.70499999999998</v>
      </c>
      <c r="F169" s="153">
        <f t="shared" ref="F169:F172" si="39">C169/1000</f>
        <v>367.005</v>
      </c>
      <c r="G169" s="154">
        <f t="shared" ref="G169:G170" si="40">(F169/F157-1)*100</f>
        <v>5.781286478914649</v>
      </c>
      <c r="H169" s="154"/>
      <c r="I169" s="158"/>
      <c r="J169" s="152">
        <v>45962</v>
      </c>
      <c r="K169" s="153">
        <v>3574</v>
      </c>
      <c r="L169" s="204">
        <v>3606</v>
      </c>
      <c r="M169" s="156">
        <f t="shared" ref="M169" si="41">(L169/L157-1)*100</f>
        <v>4.49145175311505</v>
      </c>
      <c r="N169" s="171">
        <f t="shared" ref="N169:N170" si="42">L169/L168-1</f>
        <v>1.065022421524664E-2</v>
      </c>
      <c r="O169" s="159"/>
      <c r="P169" s="159"/>
      <c r="Q169" s="159"/>
    </row>
    <row r="170" spans="1:17" x14ac:dyDescent="0.2">
      <c r="A170" s="152">
        <v>45992</v>
      </c>
      <c r="B170" s="153">
        <v>367551</v>
      </c>
      <c r="C170" s="204">
        <v>370172</v>
      </c>
      <c r="D170" s="153"/>
      <c r="E170" s="154">
        <f t="shared" si="38"/>
        <v>367.55099999999999</v>
      </c>
      <c r="F170" s="153">
        <f t="shared" si="39"/>
        <v>370.17200000000003</v>
      </c>
      <c r="G170" s="154">
        <f t="shared" si="40"/>
        <v>6.3752381554483373</v>
      </c>
      <c r="H170" s="154"/>
      <c r="I170" s="158"/>
      <c r="J170" s="152">
        <v>45992</v>
      </c>
      <c r="K170" s="153">
        <v>3613</v>
      </c>
      <c r="L170" s="204">
        <v>3639</v>
      </c>
      <c r="M170" s="156">
        <f>(L170/L158-1)*100</f>
        <v>5.0216450216450159</v>
      </c>
      <c r="N170" s="171">
        <f t="shared" si="42"/>
        <v>9.1514143094841849E-3</v>
      </c>
      <c r="O170" s="159"/>
      <c r="P170" s="159"/>
      <c r="Q170" s="159"/>
    </row>
    <row r="171" spans="1:17" x14ac:dyDescent="0.2">
      <c r="A171" s="152">
        <v>46023</v>
      </c>
      <c r="B171" s="153">
        <v>370338</v>
      </c>
      <c r="C171" s="204">
        <v>371973</v>
      </c>
      <c r="D171" s="153"/>
      <c r="E171" s="153">
        <f t="shared" si="38"/>
        <v>370.33800000000002</v>
      </c>
      <c r="F171" s="153">
        <f t="shared" si="39"/>
        <v>371.97300000000001</v>
      </c>
      <c r="G171" s="154">
        <f>(F171/F159-1)*100</f>
        <v>7.2716418943470806</v>
      </c>
      <c r="H171" s="154"/>
      <c r="I171" s="158"/>
      <c r="J171" s="152">
        <v>46023</v>
      </c>
      <c r="K171" s="153">
        <v>3652</v>
      </c>
      <c r="L171" s="204">
        <v>3668</v>
      </c>
      <c r="M171" s="156">
        <f>(L171/L159-1)*100</f>
        <v>5.3417576105686315</v>
      </c>
      <c r="N171" s="171">
        <f t="shared" ref="N171:N172" si="43">L171/L170-1</f>
        <v>7.9692223138225771E-3</v>
      </c>
      <c r="O171" s="159"/>
      <c r="P171" s="159"/>
      <c r="Q171" s="159"/>
    </row>
    <row r="172" spans="1:17" x14ac:dyDescent="0.2">
      <c r="A172" s="152">
        <v>46054</v>
      </c>
      <c r="B172" s="153">
        <v>371092</v>
      </c>
      <c r="C172" s="153">
        <v>371092</v>
      </c>
      <c r="D172" s="153"/>
      <c r="E172" s="153">
        <f t="shared" si="38"/>
        <v>371.09199999999998</v>
      </c>
      <c r="F172" s="153">
        <f t="shared" si="39"/>
        <v>371.09199999999998</v>
      </c>
      <c r="G172" s="154">
        <f>(F172/F160-1)*100</f>
        <v>6.9398576409901658</v>
      </c>
      <c r="H172" s="154"/>
      <c r="I172" s="158"/>
      <c r="J172" s="152">
        <v>46054</v>
      </c>
      <c r="K172" s="153">
        <v>3679</v>
      </c>
      <c r="L172" s="204">
        <v>3679</v>
      </c>
      <c r="M172" s="156">
        <f>(L172/L160-1)*100</f>
        <v>5.2646638054363315</v>
      </c>
      <c r="N172" s="171">
        <f t="shared" si="43"/>
        <v>2.9989094874591782E-3</v>
      </c>
      <c r="O172" s="159"/>
      <c r="P172" s="159"/>
      <c r="Q172" s="159"/>
    </row>
    <row r="173" spans="1:17" x14ac:dyDescent="0.2">
      <c r="A173" s="152"/>
      <c r="B173" s="179"/>
      <c r="C173" s="171"/>
      <c r="D173" s="153"/>
      <c r="E173" s="153"/>
      <c r="F173" s="153"/>
      <c r="G173" s="153"/>
      <c r="H173" s="154"/>
      <c r="I173" s="158"/>
      <c r="J173" s="152"/>
      <c r="K173" s="153"/>
      <c r="L173" s="153"/>
      <c r="M173" s="171"/>
      <c r="O173" s="159"/>
      <c r="P173" s="159"/>
      <c r="Q173" s="159"/>
    </row>
    <row r="175" spans="1:17" x14ac:dyDescent="0.2">
      <c r="B175" s="153"/>
      <c r="C175" s="153"/>
      <c r="G175" s="154"/>
      <c r="H175" s="170"/>
      <c r="O175" s="161"/>
    </row>
    <row r="176" spans="1:17" ht="15" x14ac:dyDescent="0.25">
      <c r="C176" s="153"/>
      <c r="E176" s="175" t="s">
        <v>6</v>
      </c>
      <c r="F176" s="175"/>
      <c r="G176" s="154"/>
      <c r="H176" s="170"/>
      <c r="K176" s="188" t="s">
        <v>121</v>
      </c>
      <c r="L176" s="175"/>
    </row>
    <row r="177" spans="3:12" ht="15" x14ac:dyDescent="0.25">
      <c r="C177" s="153"/>
      <c r="E177" s="176"/>
      <c r="F177" s="176" t="s">
        <v>8</v>
      </c>
      <c r="G177" s="176"/>
      <c r="K177" s="176"/>
      <c r="L177" s="176" t="s">
        <v>8</v>
      </c>
    </row>
    <row r="178" spans="3:12" ht="15" x14ac:dyDescent="0.25">
      <c r="C178" s="161"/>
      <c r="E178" s="176">
        <v>2013</v>
      </c>
      <c r="F178" s="177">
        <f>G17</f>
        <v>3.5569748565244197</v>
      </c>
      <c r="G178" s="178"/>
      <c r="K178" s="175">
        <v>2013</v>
      </c>
      <c r="L178" s="177">
        <f>M17</f>
        <v>2.0738820479585307</v>
      </c>
    </row>
    <row r="179" spans="3:12" ht="15" x14ac:dyDescent="0.25">
      <c r="E179" s="176">
        <v>2014</v>
      </c>
      <c r="F179" s="177">
        <f>G29</f>
        <v>5.6747427763957692</v>
      </c>
      <c r="G179" s="178"/>
      <c r="K179" s="175">
        <v>2014</v>
      </c>
      <c r="L179" s="177">
        <f>M29</f>
        <v>3.5555555555555562</v>
      </c>
    </row>
    <row r="180" spans="3:12" ht="15" x14ac:dyDescent="0.25">
      <c r="E180" s="176">
        <v>2015</v>
      </c>
      <c r="F180" s="177">
        <f>G41</f>
        <v>0.26151847866588973</v>
      </c>
      <c r="G180" s="178"/>
      <c r="K180" s="175">
        <v>2015</v>
      </c>
      <c r="L180" s="177">
        <f>M41</f>
        <v>-0.18393623543838666</v>
      </c>
    </row>
    <row r="181" spans="3:12" ht="15" x14ac:dyDescent="0.25">
      <c r="E181" s="176">
        <v>2016</v>
      </c>
      <c r="F181" s="177">
        <f>G53</f>
        <v>-3.9806196165601548</v>
      </c>
      <c r="G181" s="178"/>
      <c r="K181" s="175">
        <v>2016</v>
      </c>
      <c r="L181" s="177">
        <f>M53</f>
        <v>-3.0712530712530661</v>
      </c>
    </row>
    <row r="182" spans="3:12" ht="15" x14ac:dyDescent="0.25">
      <c r="E182" s="176">
        <v>2017</v>
      </c>
      <c r="F182" s="177">
        <f>G65</f>
        <v>-0.48795662286269526</v>
      </c>
      <c r="G182" s="178"/>
      <c r="K182" s="175">
        <v>2017</v>
      </c>
      <c r="L182" s="177">
        <f>M65</f>
        <v>1.6793409378960789</v>
      </c>
    </row>
    <row r="183" spans="3:12" ht="15" x14ac:dyDescent="0.25">
      <c r="E183" s="176">
        <v>2018</v>
      </c>
      <c r="F183" s="177">
        <f>G77</f>
        <v>2.9671767656573866</v>
      </c>
      <c r="G183" s="178"/>
      <c r="K183" s="175">
        <v>2018</v>
      </c>
      <c r="L183" s="177">
        <f>M77</f>
        <v>0.9348706762231318</v>
      </c>
    </row>
    <row r="184" spans="3:12" ht="15" x14ac:dyDescent="0.25">
      <c r="E184" s="176">
        <v>2019</v>
      </c>
      <c r="F184" s="177">
        <f>G89</f>
        <v>2.9575709651114002</v>
      </c>
      <c r="G184" s="178"/>
      <c r="K184" s="175">
        <v>2019</v>
      </c>
      <c r="L184" s="177">
        <f>M89</f>
        <v>1.1423278789749913</v>
      </c>
    </row>
    <row r="185" spans="3:12" ht="15" x14ac:dyDescent="0.25">
      <c r="E185" s="176">
        <v>2020</v>
      </c>
      <c r="F185" s="177">
        <f>G101</f>
        <v>1.5158528515246017</v>
      </c>
      <c r="G185" s="178"/>
      <c r="K185" s="175">
        <v>2020</v>
      </c>
      <c r="L185" s="177">
        <f>M101</f>
        <v>0.9157509157509125</v>
      </c>
    </row>
    <row r="186" spans="3:12" ht="15" x14ac:dyDescent="0.25">
      <c r="E186" s="176">
        <v>2021</v>
      </c>
      <c r="F186" s="177">
        <f>G113</f>
        <v>-6.4352589910562248</v>
      </c>
      <c r="G186" s="178"/>
      <c r="K186" s="175">
        <v>2021</v>
      </c>
      <c r="L186" s="177">
        <f>M113</f>
        <v>0.36297640653357721</v>
      </c>
    </row>
    <row r="187" spans="3:12" ht="15" x14ac:dyDescent="0.25">
      <c r="E187" s="176">
        <v>2022</v>
      </c>
      <c r="F187" s="177">
        <f>G125</f>
        <v>2.9239871633368608E-2</v>
      </c>
      <c r="K187" s="175">
        <v>2022</v>
      </c>
      <c r="L187" s="177">
        <f>M125</f>
        <v>-8.770343580470163</v>
      </c>
    </row>
    <row r="188" spans="3:12" ht="15" x14ac:dyDescent="0.25">
      <c r="E188" s="176">
        <v>2023</v>
      </c>
      <c r="F188" s="177">
        <f>G137</f>
        <v>10.608083724287255</v>
      </c>
      <c r="K188" s="150">
        <v>2023</v>
      </c>
      <c r="L188" s="162">
        <f>M137</f>
        <v>7.2348860257680947</v>
      </c>
    </row>
    <row r="189" spans="3:12" x14ac:dyDescent="0.2">
      <c r="E189" s="185">
        <v>2024</v>
      </c>
      <c r="F189" s="203">
        <f>G149</f>
        <v>6.5632392045547272</v>
      </c>
      <c r="K189" s="150">
        <v>2024</v>
      </c>
      <c r="L189" s="162">
        <f>M149</f>
        <v>3.912507701786816</v>
      </c>
    </row>
    <row r="190" spans="3:12" x14ac:dyDescent="0.2">
      <c r="E190" s="185">
        <v>2025</v>
      </c>
      <c r="F190" s="203">
        <v>6.5</v>
      </c>
      <c r="K190" s="150">
        <v>2025</v>
      </c>
      <c r="L190" s="162">
        <v>3.9</v>
      </c>
    </row>
  </sheetData>
  <autoFilter ref="A4:L118" xr:uid="{00000000-0009-0000-0000-000009000000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A1D3-5B88-404C-B564-FA749DA62F19}">
  <sheetPr codeName="Planilha4"/>
  <dimension ref="A1:GA50"/>
  <sheetViews>
    <sheetView topLeftCell="B1" zoomScale="94" zoomScaleNormal="94" workbookViewId="0">
      <pane xSplit="1" ySplit="4" topLeftCell="FE5" activePane="bottomRight" state="frozen"/>
      <selection pane="topRight" activeCell="EN3" sqref="EN3"/>
      <selection pane="bottomLeft" activeCell="EN3" sqref="EN3"/>
      <selection pane="bottomRight" activeCell="FQ9" sqref="FQ9"/>
    </sheetView>
  </sheetViews>
  <sheetFormatPr defaultColWidth="9.140625" defaultRowHeight="15" x14ac:dyDescent="0.25"/>
  <cols>
    <col min="1" max="1" width="4.7109375" style="20" customWidth="1"/>
    <col min="2" max="2" width="39.85546875" style="20" customWidth="1"/>
    <col min="3" max="29" width="9.7109375" style="20" customWidth="1"/>
    <col min="30" max="59" width="9.7109375" style="23" customWidth="1"/>
    <col min="60" max="60" width="10.140625" style="23" customWidth="1"/>
    <col min="61" max="154" width="9.28515625" style="23" bestFit="1" customWidth="1"/>
    <col min="155" max="155" width="9.140625" style="23" bestFit="1" customWidth="1"/>
    <col min="156" max="156" width="12.42578125" style="23" customWidth="1"/>
    <col min="157" max="157" width="10.5703125" style="23" customWidth="1"/>
    <col min="158" max="158" width="9.28515625" style="23" bestFit="1" customWidth="1"/>
    <col min="159" max="159" width="12.42578125" style="23" customWidth="1"/>
    <col min="160" max="160" width="10.5703125" style="23" customWidth="1"/>
    <col min="161" max="161" width="9.140625" style="23"/>
    <col min="162" max="168" width="12.42578125" style="23" customWidth="1"/>
    <col min="169" max="169" width="10.5703125" style="23" customWidth="1"/>
    <col min="170" max="170" width="9.140625" style="23"/>
    <col min="171" max="171" width="12.42578125" style="23" customWidth="1"/>
    <col min="172" max="172" width="9.140625" style="23" bestFit="1" customWidth="1"/>
    <col min="173" max="16384" width="9.140625" style="23"/>
  </cols>
  <sheetData>
    <row r="1" spans="2:174" x14ac:dyDescent="0.25">
      <c r="B1" s="20" t="s">
        <v>9</v>
      </c>
    </row>
    <row r="2" spans="2:174" s="20" customFormat="1" ht="20.100000000000001" customHeight="1" x14ac:dyDescent="0.2">
      <c r="B2" s="19" t="s">
        <v>10</v>
      </c>
      <c r="DF2" s="65"/>
      <c r="DW2" s="66" t="s">
        <v>11</v>
      </c>
      <c r="EZ2" s="66"/>
      <c r="FC2" s="67"/>
      <c r="FD2" s="66"/>
      <c r="FE2" s="66"/>
      <c r="FF2" s="68"/>
      <c r="FG2" s="68"/>
      <c r="FH2" s="68"/>
      <c r="FI2" s="68"/>
      <c r="FJ2" s="68"/>
      <c r="FK2" s="68"/>
      <c r="FL2" s="68"/>
      <c r="FO2" s="69"/>
    </row>
    <row r="3" spans="2:174" s="20" customFormat="1" x14ac:dyDescent="0.25">
      <c r="B3" s="44"/>
      <c r="C3" s="20" t="s">
        <v>16</v>
      </c>
      <c r="EX3" s="70"/>
      <c r="EZ3" s="71"/>
      <c r="FC3" s="71"/>
      <c r="FF3" s="71"/>
      <c r="FG3" s="71"/>
      <c r="FH3" s="71"/>
      <c r="FI3" s="71"/>
      <c r="FJ3" s="71"/>
      <c r="FK3" s="71"/>
      <c r="FL3" s="71"/>
      <c r="FO3" s="71"/>
    </row>
    <row r="4" spans="2:174" s="20" customFormat="1" ht="24.95" customHeight="1" x14ac:dyDescent="0.2">
      <c r="B4" s="148" t="s">
        <v>18</v>
      </c>
      <c r="C4" s="149">
        <v>40969</v>
      </c>
      <c r="D4" s="149">
        <v>41000</v>
      </c>
      <c r="E4" s="149">
        <v>41030</v>
      </c>
      <c r="F4" s="149">
        <v>41061</v>
      </c>
      <c r="G4" s="149">
        <v>41091</v>
      </c>
      <c r="H4" s="149">
        <v>41122</v>
      </c>
      <c r="I4" s="149">
        <v>41153</v>
      </c>
      <c r="J4" s="149">
        <v>41183</v>
      </c>
      <c r="K4" s="149">
        <v>41214</v>
      </c>
      <c r="L4" s="149">
        <v>41244</v>
      </c>
      <c r="M4" s="149">
        <v>41275</v>
      </c>
      <c r="N4" s="149">
        <v>41306</v>
      </c>
      <c r="O4" s="149">
        <v>41334</v>
      </c>
      <c r="P4" s="149">
        <v>41365</v>
      </c>
      <c r="Q4" s="149">
        <v>41395</v>
      </c>
      <c r="R4" s="149">
        <v>41426</v>
      </c>
      <c r="S4" s="149">
        <v>41456</v>
      </c>
      <c r="T4" s="149">
        <v>41487</v>
      </c>
      <c r="U4" s="149">
        <v>41518</v>
      </c>
      <c r="V4" s="149">
        <v>41548</v>
      </c>
      <c r="W4" s="149">
        <v>41579</v>
      </c>
      <c r="X4" s="149">
        <v>41609</v>
      </c>
      <c r="Y4" s="149">
        <v>41640</v>
      </c>
      <c r="Z4" s="149">
        <v>41671</v>
      </c>
      <c r="AA4" s="149">
        <v>41699</v>
      </c>
      <c r="AB4" s="149">
        <v>41730</v>
      </c>
      <c r="AC4" s="149">
        <v>41760</v>
      </c>
      <c r="AD4" s="149">
        <v>41791</v>
      </c>
      <c r="AE4" s="149">
        <v>41821</v>
      </c>
      <c r="AF4" s="149">
        <v>41852</v>
      </c>
      <c r="AG4" s="149">
        <v>41883</v>
      </c>
      <c r="AH4" s="149">
        <v>41913</v>
      </c>
      <c r="AI4" s="149">
        <v>41944</v>
      </c>
      <c r="AJ4" s="149">
        <v>41974</v>
      </c>
      <c r="AK4" s="149">
        <v>42005</v>
      </c>
      <c r="AL4" s="149">
        <v>42036</v>
      </c>
      <c r="AM4" s="149">
        <v>42064</v>
      </c>
      <c r="AN4" s="149">
        <v>42095</v>
      </c>
      <c r="AO4" s="149">
        <v>42125</v>
      </c>
      <c r="AP4" s="149">
        <v>42156</v>
      </c>
      <c r="AQ4" s="149">
        <v>42186</v>
      </c>
      <c r="AR4" s="149">
        <v>42217</v>
      </c>
      <c r="AS4" s="149">
        <v>42248</v>
      </c>
      <c r="AT4" s="149">
        <v>42278</v>
      </c>
      <c r="AU4" s="149">
        <v>42309</v>
      </c>
      <c r="AV4" s="149">
        <v>42339</v>
      </c>
      <c r="AW4" s="149">
        <v>42370</v>
      </c>
      <c r="AX4" s="149">
        <v>42401</v>
      </c>
      <c r="AY4" s="149">
        <v>42430</v>
      </c>
      <c r="AZ4" s="149">
        <v>42461</v>
      </c>
      <c r="BA4" s="149">
        <v>42491</v>
      </c>
      <c r="BB4" s="149">
        <v>42522</v>
      </c>
      <c r="BC4" s="149">
        <v>42552</v>
      </c>
      <c r="BD4" s="149">
        <v>42583</v>
      </c>
      <c r="BE4" s="149">
        <v>42614</v>
      </c>
      <c r="BF4" s="149">
        <v>42644</v>
      </c>
      <c r="BG4" s="149">
        <v>42675</v>
      </c>
      <c r="BH4" s="149">
        <v>42705</v>
      </c>
      <c r="BI4" s="149">
        <v>42736</v>
      </c>
      <c r="BJ4" s="149">
        <v>42767</v>
      </c>
      <c r="BK4" s="149">
        <v>42795</v>
      </c>
      <c r="BL4" s="149">
        <v>42826</v>
      </c>
      <c r="BM4" s="149">
        <v>42856</v>
      </c>
      <c r="BN4" s="149">
        <v>42887</v>
      </c>
      <c r="BO4" s="149">
        <v>42917</v>
      </c>
      <c r="BP4" s="149">
        <v>42948</v>
      </c>
      <c r="BQ4" s="149">
        <v>42979</v>
      </c>
      <c r="BR4" s="149">
        <v>43009</v>
      </c>
      <c r="BS4" s="149">
        <v>43040</v>
      </c>
      <c r="BT4" s="149">
        <v>43070</v>
      </c>
      <c r="BU4" s="149">
        <v>43101</v>
      </c>
      <c r="BV4" s="149">
        <v>43132</v>
      </c>
      <c r="BW4" s="149">
        <v>43160</v>
      </c>
      <c r="BX4" s="149">
        <v>43191</v>
      </c>
      <c r="BY4" s="149">
        <v>43221</v>
      </c>
      <c r="BZ4" s="149">
        <v>43252</v>
      </c>
      <c r="CA4" s="149">
        <v>43282</v>
      </c>
      <c r="CB4" s="149">
        <v>43313</v>
      </c>
      <c r="CC4" s="149">
        <v>43344</v>
      </c>
      <c r="CD4" s="149">
        <v>43374</v>
      </c>
      <c r="CE4" s="149">
        <v>43405</v>
      </c>
      <c r="CF4" s="149">
        <v>43435</v>
      </c>
      <c r="CG4" s="149">
        <v>43466</v>
      </c>
      <c r="CH4" s="149">
        <v>43497</v>
      </c>
      <c r="CI4" s="149">
        <v>43525</v>
      </c>
      <c r="CJ4" s="149">
        <v>43556</v>
      </c>
      <c r="CK4" s="149">
        <v>43586</v>
      </c>
      <c r="CL4" s="149">
        <v>43617</v>
      </c>
      <c r="CM4" s="149">
        <v>43647</v>
      </c>
      <c r="CN4" s="149">
        <v>43678</v>
      </c>
      <c r="CO4" s="149">
        <v>43709</v>
      </c>
      <c r="CP4" s="149">
        <v>43739</v>
      </c>
      <c r="CQ4" s="149">
        <v>43770</v>
      </c>
      <c r="CR4" s="149">
        <v>43800</v>
      </c>
      <c r="CS4" s="149">
        <v>43831</v>
      </c>
      <c r="CT4" s="149">
        <v>43862</v>
      </c>
      <c r="CU4" s="149">
        <v>43891</v>
      </c>
      <c r="CV4" s="149">
        <v>43922</v>
      </c>
      <c r="CW4" s="149">
        <v>43952</v>
      </c>
      <c r="CX4" s="149">
        <v>43983</v>
      </c>
      <c r="CY4" s="149">
        <v>44013</v>
      </c>
      <c r="CZ4" s="149">
        <v>44044</v>
      </c>
      <c r="DA4" s="149">
        <v>44075</v>
      </c>
      <c r="DB4" s="149">
        <v>44105</v>
      </c>
      <c r="DC4" s="149">
        <v>44136</v>
      </c>
      <c r="DD4" s="149">
        <v>44166</v>
      </c>
      <c r="DE4" s="149">
        <v>44197</v>
      </c>
      <c r="DF4" s="149">
        <v>44228</v>
      </c>
      <c r="DG4" s="149">
        <v>44256</v>
      </c>
      <c r="DH4" s="149">
        <v>44287</v>
      </c>
      <c r="DI4" s="149">
        <v>44317</v>
      </c>
      <c r="DJ4" s="149">
        <v>44348</v>
      </c>
      <c r="DK4" s="149">
        <v>44378</v>
      </c>
      <c r="DL4" s="149">
        <v>44409</v>
      </c>
      <c r="DM4" s="149">
        <v>44440</v>
      </c>
      <c r="DN4" s="149">
        <v>44470</v>
      </c>
      <c r="DO4" s="149">
        <v>44501</v>
      </c>
      <c r="DP4" s="149">
        <v>44531</v>
      </c>
      <c r="DQ4" s="149">
        <v>44562</v>
      </c>
      <c r="DR4" s="149">
        <v>44593</v>
      </c>
      <c r="DS4" s="149">
        <v>44621</v>
      </c>
      <c r="DT4" s="149">
        <v>44652</v>
      </c>
      <c r="DU4" s="149">
        <v>44682</v>
      </c>
      <c r="DV4" s="149">
        <v>44713</v>
      </c>
      <c r="DW4" s="149">
        <v>44743</v>
      </c>
      <c r="DX4" s="149">
        <v>44774</v>
      </c>
      <c r="DY4" s="149">
        <v>44805</v>
      </c>
      <c r="DZ4" s="149">
        <v>44835</v>
      </c>
      <c r="EA4" s="149">
        <v>44866</v>
      </c>
      <c r="EB4" s="149">
        <v>44896</v>
      </c>
      <c r="EC4" s="149">
        <v>44927</v>
      </c>
      <c r="ED4" s="149">
        <v>44958</v>
      </c>
      <c r="EE4" s="149">
        <v>44986</v>
      </c>
      <c r="EF4" s="149">
        <v>45017</v>
      </c>
      <c r="EG4" s="149">
        <v>45047</v>
      </c>
      <c r="EH4" s="149">
        <v>45078</v>
      </c>
      <c r="EI4" s="149">
        <v>45108</v>
      </c>
      <c r="EJ4" s="149">
        <v>45139</v>
      </c>
      <c r="EK4" s="149">
        <v>45170</v>
      </c>
      <c r="EL4" s="149">
        <v>45200</v>
      </c>
      <c r="EM4" s="149">
        <v>45231</v>
      </c>
      <c r="EN4" s="149">
        <v>45261</v>
      </c>
      <c r="EO4" s="149">
        <v>45292</v>
      </c>
      <c r="EP4" s="149">
        <v>45323</v>
      </c>
      <c r="EQ4" s="149">
        <v>45352</v>
      </c>
      <c r="ER4" s="149">
        <v>45383</v>
      </c>
      <c r="ES4" s="149">
        <v>45413</v>
      </c>
      <c r="ET4" s="149">
        <v>45444</v>
      </c>
      <c r="EU4" s="149">
        <v>45474</v>
      </c>
      <c r="EV4" s="149">
        <v>45505</v>
      </c>
      <c r="EW4" s="149">
        <v>45536</v>
      </c>
      <c r="EX4" s="149">
        <v>45566</v>
      </c>
      <c r="EY4" s="149">
        <v>45597</v>
      </c>
      <c r="EZ4" s="149">
        <v>45627</v>
      </c>
      <c r="FA4" s="149">
        <v>45658</v>
      </c>
      <c r="FB4" s="149">
        <v>45689</v>
      </c>
      <c r="FC4" s="149">
        <v>45717</v>
      </c>
      <c r="FD4" s="149">
        <v>45748</v>
      </c>
      <c r="FE4" s="149">
        <v>45778</v>
      </c>
      <c r="FF4" s="149">
        <v>45809</v>
      </c>
      <c r="FG4" s="192">
        <v>45839</v>
      </c>
      <c r="FH4" s="192">
        <v>45870</v>
      </c>
      <c r="FI4" s="192">
        <v>45901</v>
      </c>
      <c r="FJ4" s="192">
        <v>45931</v>
      </c>
      <c r="FK4" s="192">
        <v>45962</v>
      </c>
      <c r="FL4" s="192">
        <v>45992</v>
      </c>
      <c r="FM4" s="192">
        <v>46023</v>
      </c>
      <c r="FN4" s="192">
        <v>46054</v>
      </c>
      <c r="FO4" s="24"/>
      <c r="FP4" s="24"/>
    </row>
    <row r="5" spans="2:174" s="20" customFormat="1" ht="15" customHeight="1" x14ac:dyDescent="0.2">
      <c r="B5" s="25" t="s">
        <v>21</v>
      </c>
      <c r="C5" s="26">
        <f>C22</f>
        <v>88012</v>
      </c>
      <c r="D5" s="26">
        <f t="shared" ref="D5:AU5" si="0">D22</f>
        <v>88845</v>
      </c>
      <c r="E5" s="26">
        <f t="shared" si="0"/>
        <v>89379</v>
      </c>
      <c r="F5" s="26">
        <f t="shared" si="0"/>
        <v>89647</v>
      </c>
      <c r="G5" s="26">
        <f t="shared" si="0"/>
        <v>89786</v>
      </c>
      <c r="H5" s="26">
        <f t="shared" si="0"/>
        <v>90086</v>
      </c>
      <c r="I5" s="26">
        <f t="shared" si="0"/>
        <v>90320</v>
      </c>
      <c r="J5" s="26">
        <f t="shared" si="0"/>
        <v>90466</v>
      </c>
      <c r="K5" s="26">
        <f t="shared" si="0"/>
        <v>90555</v>
      </c>
      <c r="L5" s="26">
        <f t="shared" si="0"/>
        <v>90593</v>
      </c>
      <c r="M5" s="26">
        <f t="shared" si="0"/>
        <v>90284</v>
      </c>
      <c r="N5" s="26">
        <f t="shared" si="0"/>
        <v>89901</v>
      </c>
      <c r="O5" s="26">
        <f t="shared" si="0"/>
        <v>89688</v>
      </c>
      <c r="P5" s="26">
        <f t="shared" si="0"/>
        <v>90088</v>
      </c>
      <c r="Q5" s="26">
        <f t="shared" si="0"/>
        <v>90546</v>
      </c>
      <c r="R5" s="26">
        <f t="shared" si="0"/>
        <v>90850</v>
      </c>
      <c r="S5" s="26">
        <f t="shared" si="0"/>
        <v>91104</v>
      </c>
      <c r="T5" s="26">
        <f t="shared" si="0"/>
        <v>91232</v>
      </c>
      <c r="U5" s="26">
        <f t="shared" si="0"/>
        <v>91438</v>
      </c>
      <c r="V5" s="26">
        <f t="shared" si="0"/>
        <v>91605</v>
      </c>
      <c r="W5" s="26">
        <f t="shared" si="0"/>
        <v>92000</v>
      </c>
      <c r="X5" s="26">
        <f t="shared" si="0"/>
        <v>92171</v>
      </c>
      <c r="Y5" s="26">
        <f t="shared" si="0"/>
        <v>91870</v>
      </c>
      <c r="Z5" s="26">
        <f t="shared" si="0"/>
        <v>91700</v>
      </c>
      <c r="AA5" s="26">
        <f t="shared" si="0"/>
        <v>91456</v>
      </c>
      <c r="AB5" s="26">
        <f t="shared" si="0"/>
        <v>91697</v>
      </c>
      <c r="AC5" s="26">
        <f t="shared" si="0"/>
        <v>91892</v>
      </c>
      <c r="AD5" s="26">
        <f t="shared" si="0"/>
        <v>92117</v>
      </c>
      <c r="AE5" s="26">
        <f t="shared" si="0"/>
        <v>92056</v>
      </c>
      <c r="AF5" s="26">
        <f t="shared" si="0"/>
        <v>92056</v>
      </c>
      <c r="AG5" s="26">
        <f t="shared" si="0"/>
        <v>92406</v>
      </c>
      <c r="AH5" s="26">
        <f t="shared" si="0"/>
        <v>92692</v>
      </c>
      <c r="AI5" s="26">
        <f t="shared" si="0"/>
        <v>92878</v>
      </c>
      <c r="AJ5" s="26">
        <f t="shared" si="0"/>
        <v>92961</v>
      </c>
      <c r="AK5" s="26">
        <f t="shared" si="0"/>
        <v>92743</v>
      </c>
      <c r="AL5" s="26">
        <f t="shared" si="0"/>
        <v>92308</v>
      </c>
      <c r="AM5" s="26">
        <f t="shared" si="0"/>
        <v>91962</v>
      </c>
      <c r="AN5" s="26">
        <f t="shared" si="0"/>
        <v>92173</v>
      </c>
      <c r="AO5" s="26">
        <f t="shared" si="0"/>
        <v>92147</v>
      </c>
      <c r="AP5" s="26">
        <f t="shared" si="0"/>
        <v>92249</v>
      </c>
      <c r="AQ5" s="26">
        <f t="shared" si="0"/>
        <v>92230</v>
      </c>
      <c r="AR5" s="26">
        <f t="shared" si="0"/>
        <v>92173</v>
      </c>
      <c r="AS5" s="26">
        <f t="shared" si="0"/>
        <v>92200</v>
      </c>
      <c r="AT5" s="26">
        <f t="shared" si="0"/>
        <v>92386</v>
      </c>
      <c r="AU5" s="26">
        <f t="shared" si="0"/>
        <v>92288</v>
      </c>
      <c r="AV5" s="26">
        <f t="shared" ref="AV5:CC5" si="1">AV6+AV14</f>
        <v>91583</v>
      </c>
      <c r="AW5" s="26">
        <f t="shared" si="1"/>
        <v>91013</v>
      </c>
      <c r="AX5" s="26">
        <f t="shared" si="1"/>
        <v>90508</v>
      </c>
      <c r="AY5" s="26">
        <f t="shared" si="1"/>
        <v>89909</v>
      </c>
      <c r="AZ5" s="26">
        <f t="shared" si="1"/>
        <v>89737</v>
      </c>
      <c r="BA5" s="26">
        <f t="shared" si="1"/>
        <v>89880</v>
      </c>
      <c r="BB5" s="26">
        <f t="shared" si="1"/>
        <v>89826</v>
      </c>
      <c r="BC5" s="26">
        <f t="shared" si="1"/>
        <v>89472</v>
      </c>
      <c r="BD5" s="26">
        <f t="shared" si="1"/>
        <v>89209</v>
      </c>
      <c r="BE5" s="26">
        <f t="shared" si="1"/>
        <v>88939</v>
      </c>
      <c r="BF5" s="26">
        <f t="shared" si="1"/>
        <v>88987</v>
      </c>
      <c r="BG5" s="26">
        <f t="shared" si="1"/>
        <v>89232</v>
      </c>
      <c r="BH5" s="26">
        <f t="shared" si="1"/>
        <v>89238</v>
      </c>
      <c r="BI5" s="26">
        <f t="shared" si="1"/>
        <v>88797</v>
      </c>
      <c r="BJ5" s="26">
        <f t="shared" si="1"/>
        <v>88281</v>
      </c>
      <c r="BK5" s="26">
        <f t="shared" si="1"/>
        <v>87882</v>
      </c>
      <c r="BL5" s="26">
        <f t="shared" si="1"/>
        <v>88172</v>
      </c>
      <c r="BM5" s="26">
        <f t="shared" si="1"/>
        <v>88616</v>
      </c>
      <c r="BN5" s="26">
        <f t="shared" si="1"/>
        <v>89162</v>
      </c>
      <c r="BO5" s="26">
        <f t="shared" si="1"/>
        <v>89535</v>
      </c>
      <c r="BP5" s="26">
        <f t="shared" si="1"/>
        <v>89926</v>
      </c>
      <c r="BQ5" s="26">
        <f t="shared" si="1"/>
        <v>90175</v>
      </c>
      <c r="BR5" s="26">
        <f t="shared" si="1"/>
        <v>90485</v>
      </c>
      <c r="BS5" s="26">
        <f t="shared" si="1"/>
        <v>90883</v>
      </c>
      <c r="BT5" s="26">
        <f t="shared" si="1"/>
        <v>91067</v>
      </c>
      <c r="BU5" s="26">
        <f t="shared" si="1"/>
        <v>90684</v>
      </c>
      <c r="BV5" s="26">
        <f t="shared" si="1"/>
        <v>90134</v>
      </c>
      <c r="BW5" s="26">
        <f t="shared" si="1"/>
        <v>89690</v>
      </c>
      <c r="BX5" s="26">
        <f t="shared" si="1"/>
        <v>89843</v>
      </c>
      <c r="BY5" s="26">
        <f t="shared" si="1"/>
        <v>89953</v>
      </c>
      <c r="BZ5" s="26">
        <f t="shared" si="1"/>
        <v>90211</v>
      </c>
      <c r="CA5" s="26">
        <f t="shared" si="1"/>
        <v>90632</v>
      </c>
      <c r="CB5" s="26">
        <f t="shared" si="1"/>
        <v>91073</v>
      </c>
      <c r="CC5" s="26">
        <f t="shared" si="1"/>
        <v>91606</v>
      </c>
      <c r="CD5" s="26">
        <f>CD6+CD14</f>
        <v>91974</v>
      </c>
      <c r="CE5" s="26">
        <f>CE6+CE14</f>
        <v>92247</v>
      </c>
      <c r="CF5" s="26">
        <f>CF6+CF14</f>
        <v>92152</v>
      </c>
      <c r="CG5" s="26">
        <f>CG6+CG14</f>
        <v>91658</v>
      </c>
      <c r="CH5" s="26">
        <f t="shared" ref="CH5:CX5" si="2">CH6+CH14</f>
        <v>91238</v>
      </c>
      <c r="CI5" s="26">
        <f t="shared" si="2"/>
        <v>91201</v>
      </c>
      <c r="CJ5" s="26">
        <f t="shared" si="2"/>
        <v>91774</v>
      </c>
      <c r="CK5" s="26">
        <f t="shared" si="2"/>
        <v>92294</v>
      </c>
      <c r="CL5" s="26">
        <f t="shared" si="2"/>
        <v>92663</v>
      </c>
      <c r="CM5" s="26">
        <f t="shared" si="2"/>
        <v>92874</v>
      </c>
      <c r="CN5" s="26">
        <f t="shared" si="2"/>
        <v>92971</v>
      </c>
      <c r="CO5" s="26">
        <f t="shared" si="2"/>
        <v>93191</v>
      </c>
      <c r="CP5" s="26">
        <f t="shared" si="2"/>
        <v>93479</v>
      </c>
      <c r="CQ5" s="26">
        <f t="shared" si="2"/>
        <v>93826</v>
      </c>
      <c r="CR5" s="26">
        <f t="shared" si="2"/>
        <v>93920</v>
      </c>
      <c r="CS5" s="26">
        <f t="shared" si="2"/>
        <v>93526</v>
      </c>
      <c r="CT5" s="26">
        <f t="shared" si="2"/>
        <v>93075</v>
      </c>
      <c r="CU5" s="26">
        <f t="shared" si="2"/>
        <v>91523</v>
      </c>
      <c r="CV5" s="26">
        <f t="shared" si="2"/>
        <v>88586</v>
      </c>
      <c r="CW5" s="26">
        <f t="shared" si="2"/>
        <v>85224</v>
      </c>
      <c r="CX5" s="26">
        <f t="shared" si="2"/>
        <v>82611</v>
      </c>
      <c r="CY5" s="26">
        <f>CY6+CY14</f>
        <v>81286</v>
      </c>
      <c r="CZ5" s="26">
        <f t="shared" ref="CZ5:DY5" si="3">CZ6+CZ14</f>
        <v>81129</v>
      </c>
      <c r="DA5" s="26">
        <f t="shared" si="3"/>
        <v>81955</v>
      </c>
      <c r="DB5" s="26">
        <f t="shared" si="3"/>
        <v>83769</v>
      </c>
      <c r="DC5" s="26">
        <f t="shared" si="3"/>
        <v>85025</v>
      </c>
      <c r="DD5" s="26">
        <f t="shared" si="3"/>
        <v>85671</v>
      </c>
      <c r="DE5" s="26">
        <f t="shared" si="3"/>
        <v>85650</v>
      </c>
      <c r="DF5" s="26">
        <f t="shared" si="3"/>
        <v>85708</v>
      </c>
      <c r="DG5" s="26">
        <f t="shared" si="3"/>
        <v>85496</v>
      </c>
      <c r="DH5" s="26">
        <f t="shared" si="3"/>
        <v>85880</v>
      </c>
      <c r="DI5" s="26">
        <f t="shared" si="3"/>
        <v>86538</v>
      </c>
      <c r="DJ5" s="26">
        <f t="shared" si="3"/>
        <v>87743</v>
      </c>
      <c r="DK5" s="26">
        <f t="shared" si="3"/>
        <v>88993</v>
      </c>
      <c r="DL5" s="26">
        <f t="shared" si="3"/>
        <v>90033</v>
      </c>
      <c r="DM5" s="26">
        <f t="shared" si="3"/>
        <v>91265</v>
      </c>
      <c r="DN5" s="26">
        <f t="shared" si="3"/>
        <v>92230</v>
      </c>
      <c r="DO5" s="26">
        <f t="shared" si="3"/>
        <v>93184</v>
      </c>
      <c r="DP5" s="26">
        <f t="shared" si="3"/>
        <v>93988</v>
      </c>
      <c r="DQ5" s="26">
        <f t="shared" si="3"/>
        <v>93679</v>
      </c>
      <c r="DR5" s="26">
        <f t="shared" si="3"/>
        <v>93490</v>
      </c>
      <c r="DS5" s="26">
        <f t="shared" si="3"/>
        <v>93523</v>
      </c>
      <c r="DT5" s="26">
        <f t="shared" si="3"/>
        <v>94729</v>
      </c>
      <c r="DU5" s="26">
        <f t="shared" si="3"/>
        <v>95709</v>
      </c>
      <c r="DV5" s="26">
        <f t="shared" si="3"/>
        <v>96445</v>
      </c>
      <c r="DW5" s="26">
        <f t="shared" si="3"/>
        <v>96834</v>
      </c>
      <c r="DX5" s="26">
        <f t="shared" si="3"/>
        <v>97177</v>
      </c>
      <c r="DY5" s="26">
        <f t="shared" si="3"/>
        <v>97435</v>
      </c>
      <c r="DZ5" s="26">
        <f>DZ6+DZ14</f>
        <v>97820</v>
      </c>
      <c r="EA5" s="26">
        <f t="shared" ref="EA5:EV5" si="4">EA6+EA14</f>
        <v>97844</v>
      </c>
      <c r="EB5" s="26">
        <f t="shared" si="4"/>
        <v>97518</v>
      </c>
      <c r="EC5" s="26">
        <f t="shared" si="4"/>
        <v>96789</v>
      </c>
      <c r="ED5" s="26">
        <f t="shared" si="4"/>
        <v>96275</v>
      </c>
      <c r="EE5" s="26">
        <f t="shared" si="4"/>
        <v>95978</v>
      </c>
      <c r="EF5" s="26">
        <f t="shared" si="4"/>
        <v>96177</v>
      </c>
      <c r="EG5" s="26">
        <f t="shared" si="4"/>
        <v>96534</v>
      </c>
      <c r="EH5" s="26">
        <f t="shared" si="4"/>
        <v>97038</v>
      </c>
      <c r="EI5" s="26">
        <f t="shared" si="4"/>
        <v>97461</v>
      </c>
      <c r="EJ5" s="26">
        <f t="shared" si="4"/>
        <v>97760</v>
      </c>
      <c r="EK5" s="26">
        <f t="shared" si="4"/>
        <v>97938</v>
      </c>
      <c r="EL5" s="26">
        <f t="shared" si="4"/>
        <v>98303</v>
      </c>
      <c r="EM5" s="26">
        <f t="shared" si="4"/>
        <v>98597</v>
      </c>
      <c r="EN5" s="26">
        <f t="shared" si="4"/>
        <v>99063</v>
      </c>
      <c r="EO5" s="26">
        <f t="shared" si="4"/>
        <v>98676</v>
      </c>
      <c r="EP5" s="26">
        <f t="shared" si="4"/>
        <v>98333</v>
      </c>
      <c r="EQ5" s="26">
        <f t="shared" si="4"/>
        <v>98291</v>
      </c>
      <c r="ER5" s="26">
        <f t="shared" si="4"/>
        <v>98877</v>
      </c>
      <c r="ES5" s="26">
        <f t="shared" si="4"/>
        <v>99394</v>
      </c>
      <c r="ET5" s="26">
        <f t="shared" si="4"/>
        <v>99882</v>
      </c>
      <c r="EU5" s="26">
        <f t="shared" si="4"/>
        <v>100080</v>
      </c>
      <c r="EV5" s="26">
        <f t="shared" si="4"/>
        <v>100560</v>
      </c>
      <c r="EW5" s="26">
        <f>EW6+EW14</f>
        <v>101057</v>
      </c>
      <c r="EX5" s="26">
        <f t="shared" ref="EX5:FC5" si="5">EX6+EX14</f>
        <v>101629</v>
      </c>
      <c r="EY5" s="26">
        <f t="shared" si="5"/>
        <v>101917</v>
      </c>
      <c r="EZ5" s="26">
        <f t="shared" si="5"/>
        <v>101831</v>
      </c>
      <c r="FA5" s="26">
        <f t="shared" si="5"/>
        <v>100989</v>
      </c>
      <c r="FB5" s="26">
        <f t="shared" si="5"/>
        <v>100683</v>
      </c>
      <c r="FC5" s="26">
        <f t="shared" si="5"/>
        <v>100510</v>
      </c>
      <c r="FD5" s="26">
        <f t="shared" ref="FD5:FI5" si="6">FD6+FD14</f>
        <v>101259</v>
      </c>
      <c r="FE5" s="26">
        <f t="shared" si="6"/>
        <v>101863</v>
      </c>
      <c r="FF5" s="26">
        <f t="shared" si="6"/>
        <v>102315</v>
      </c>
      <c r="FG5" s="26">
        <f t="shared" si="6"/>
        <v>102436</v>
      </c>
      <c r="FH5" s="26">
        <f t="shared" si="6"/>
        <v>102418</v>
      </c>
      <c r="FI5" s="26">
        <f t="shared" si="6"/>
        <v>102433</v>
      </c>
      <c r="FJ5" s="26">
        <f t="shared" ref="FJ5:FL5" si="7">FJ6+FJ14</f>
        <v>102557</v>
      </c>
      <c r="FK5" s="26">
        <f t="shared" si="7"/>
        <v>103019</v>
      </c>
      <c r="FL5" s="26">
        <f t="shared" si="7"/>
        <v>102999</v>
      </c>
      <c r="FM5" s="26">
        <f>FM6+FM14</f>
        <v>102672</v>
      </c>
      <c r="FN5" s="26">
        <f>FN6+FN14</f>
        <v>102145</v>
      </c>
      <c r="FO5" s="207">
        <f>FN5-FM5</f>
        <v>-527</v>
      </c>
    </row>
    <row r="6" spans="2:174" s="20" customFormat="1" ht="15" customHeight="1" x14ac:dyDescent="0.2">
      <c r="B6" s="28" t="s">
        <v>22</v>
      </c>
      <c r="C6" s="29" t="s">
        <v>23</v>
      </c>
      <c r="D6" s="29" t="s">
        <v>23</v>
      </c>
      <c r="E6" s="29" t="s">
        <v>23</v>
      </c>
      <c r="F6" s="29" t="s">
        <v>23</v>
      </c>
      <c r="G6" s="29" t="s">
        <v>23</v>
      </c>
      <c r="H6" s="29" t="s">
        <v>23</v>
      </c>
      <c r="I6" s="29" t="s">
        <v>23</v>
      </c>
      <c r="J6" s="29" t="s">
        <v>23</v>
      </c>
      <c r="K6" s="29" t="s">
        <v>23</v>
      </c>
      <c r="L6" s="29" t="s">
        <v>23</v>
      </c>
      <c r="M6" s="29" t="s">
        <v>23</v>
      </c>
      <c r="N6" s="29" t="s">
        <v>23</v>
      </c>
      <c r="O6" s="29" t="s">
        <v>23</v>
      </c>
      <c r="P6" s="29" t="s">
        <v>23</v>
      </c>
      <c r="Q6" s="29" t="s">
        <v>23</v>
      </c>
      <c r="R6" s="29" t="s">
        <v>23</v>
      </c>
      <c r="S6" s="29" t="s">
        <v>23</v>
      </c>
      <c r="T6" s="29" t="s">
        <v>23</v>
      </c>
      <c r="U6" s="29" t="s">
        <v>23</v>
      </c>
      <c r="V6" s="29" t="s">
        <v>23</v>
      </c>
      <c r="W6" s="29" t="s">
        <v>23</v>
      </c>
      <c r="X6" s="29" t="s">
        <v>23</v>
      </c>
      <c r="Y6" s="29" t="s">
        <v>23</v>
      </c>
      <c r="Z6" s="29" t="s">
        <v>23</v>
      </c>
      <c r="AA6" s="29" t="s">
        <v>23</v>
      </c>
      <c r="AB6" s="29" t="s">
        <v>23</v>
      </c>
      <c r="AC6" s="29" t="s">
        <v>23</v>
      </c>
      <c r="AD6" s="29" t="s">
        <v>23</v>
      </c>
      <c r="AE6" s="29" t="s">
        <v>23</v>
      </c>
      <c r="AF6" s="29" t="s">
        <v>23</v>
      </c>
      <c r="AG6" s="29" t="s">
        <v>23</v>
      </c>
      <c r="AH6" s="29" t="s">
        <v>23</v>
      </c>
      <c r="AI6" s="29" t="s">
        <v>23</v>
      </c>
      <c r="AJ6" s="29" t="s">
        <v>23</v>
      </c>
      <c r="AK6" s="29" t="s">
        <v>23</v>
      </c>
      <c r="AL6" s="29" t="s">
        <v>23</v>
      </c>
      <c r="AM6" s="29" t="s">
        <v>23</v>
      </c>
      <c r="AN6" s="29" t="s">
        <v>23</v>
      </c>
      <c r="AO6" s="29" t="s">
        <v>23</v>
      </c>
      <c r="AP6" s="29" t="s">
        <v>23</v>
      </c>
      <c r="AQ6" s="29" t="s">
        <v>23</v>
      </c>
      <c r="AR6" s="29" t="s">
        <v>23</v>
      </c>
      <c r="AS6" s="29" t="s">
        <v>23</v>
      </c>
      <c r="AT6" s="29" t="s">
        <v>23</v>
      </c>
      <c r="AU6" s="29" t="s">
        <v>23</v>
      </c>
      <c r="AV6" s="29">
        <f>SUM(AV7:AV13)</f>
        <v>56506</v>
      </c>
      <c r="AW6" s="29">
        <f t="shared" ref="AW6:CC6" si="8">SUM(AW7:AW13)</f>
        <v>56293</v>
      </c>
      <c r="AX6" s="29">
        <f t="shared" si="8"/>
        <v>55869</v>
      </c>
      <c r="AY6" s="29">
        <f t="shared" si="8"/>
        <v>55451</v>
      </c>
      <c r="AZ6" s="29">
        <f t="shared" si="8"/>
        <v>55167</v>
      </c>
      <c r="BA6" s="29">
        <f t="shared" si="8"/>
        <v>55109</v>
      </c>
      <c r="BB6" s="29">
        <f t="shared" si="8"/>
        <v>55099</v>
      </c>
      <c r="BC6" s="29">
        <f t="shared" si="8"/>
        <v>54842</v>
      </c>
      <c r="BD6" s="29">
        <f t="shared" si="8"/>
        <v>54899</v>
      </c>
      <c r="BE6" s="29">
        <f t="shared" si="8"/>
        <v>54746</v>
      </c>
      <c r="BF6" s="29">
        <f t="shared" si="8"/>
        <v>54726</v>
      </c>
      <c r="BG6" s="29">
        <f t="shared" si="8"/>
        <v>54675</v>
      </c>
      <c r="BH6" s="29">
        <f t="shared" si="8"/>
        <v>54367</v>
      </c>
      <c r="BI6" s="29">
        <f t="shared" si="8"/>
        <v>53956</v>
      </c>
      <c r="BJ6" s="29">
        <f t="shared" si="8"/>
        <v>53593</v>
      </c>
      <c r="BK6" s="29">
        <f t="shared" si="8"/>
        <v>53345</v>
      </c>
      <c r="BL6" s="29">
        <f t="shared" si="8"/>
        <v>53316</v>
      </c>
      <c r="BM6" s="29">
        <f t="shared" si="8"/>
        <v>53434</v>
      </c>
      <c r="BN6" s="29">
        <f t="shared" si="8"/>
        <v>53678</v>
      </c>
      <c r="BO6" s="29">
        <f t="shared" si="8"/>
        <v>53849</v>
      </c>
      <c r="BP6" s="29">
        <f t="shared" si="8"/>
        <v>53933</v>
      </c>
      <c r="BQ6" s="29">
        <f t="shared" si="8"/>
        <v>53896</v>
      </c>
      <c r="BR6" s="29">
        <f t="shared" si="8"/>
        <v>54115</v>
      </c>
      <c r="BS6" s="29">
        <f t="shared" si="8"/>
        <v>54245</v>
      </c>
      <c r="BT6" s="29">
        <f t="shared" si="8"/>
        <v>54367</v>
      </c>
      <c r="BU6" s="29">
        <f t="shared" si="8"/>
        <v>54136</v>
      </c>
      <c r="BV6" s="29">
        <f t="shared" si="8"/>
        <v>53844</v>
      </c>
      <c r="BW6" s="29">
        <f t="shared" si="8"/>
        <v>53603</v>
      </c>
      <c r="BX6" s="29">
        <f t="shared" si="8"/>
        <v>53521</v>
      </c>
      <c r="BY6" s="29">
        <f t="shared" si="8"/>
        <v>53608</v>
      </c>
      <c r="BZ6" s="29">
        <f t="shared" si="8"/>
        <v>53876</v>
      </c>
      <c r="CA6" s="29">
        <f t="shared" si="8"/>
        <v>54200</v>
      </c>
      <c r="CB6" s="29">
        <f t="shared" si="8"/>
        <v>54327</v>
      </c>
      <c r="CC6" s="29">
        <f t="shared" si="8"/>
        <v>54352</v>
      </c>
      <c r="CD6" s="29">
        <f>SUM(CD7:CD13)</f>
        <v>54477</v>
      </c>
      <c r="CE6" s="29">
        <f>SUM(CE7:CE13)</f>
        <v>54579</v>
      </c>
      <c r="CF6" s="29">
        <f>SUM(CF7:CF13)</f>
        <v>54595</v>
      </c>
      <c r="CG6" s="29">
        <f t="shared" ref="CG6:DY6" si="9">SUM(CG7:CG13)</f>
        <v>54413</v>
      </c>
      <c r="CH6" s="29">
        <f t="shared" si="9"/>
        <v>54397</v>
      </c>
      <c r="CI6" s="29">
        <f t="shared" si="9"/>
        <v>54304</v>
      </c>
      <c r="CJ6" s="29">
        <f t="shared" si="9"/>
        <v>54554</v>
      </c>
      <c r="CK6" s="29">
        <f t="shared" si="9"/>
        <v>54717</v>
      </c>
      <c r="CL6" s="29">
        <f t="shared" si="9"/>
        <v>54786</v>
      </c>
      <c r="CM6" s="29">
        <f t="shared" si="9"/>
        <v>54787</v>
      </c>
      <c r="CN6" s="29">
        <f t="shared" si="9"/>
        <v>54802</v>
      </c>
      <c r="CO6" s="29">
        <f t="shared" si="9"/>
        <v>54966</v>
      </c>
      <c r="CP6" s="29">
        <f t="shared" si="9"/>
        <v>55245</v>
      </c>
      <c r="CQ6" s="29">
        <f t="shared" si="9"/>
        <v>55545</v>
      </c>
      <c r="CR6" s="29">
        <f t="shared" si="9"/>
        <v>55728</v>
      </c>
      <c r="CS6" s="29">
        <f t="shared" si="9"/>
        <v>55761</v>
      </c>
      <c r="CT6" s="29">
        <f t="shared" si="9"/>
        <v>55550</v>
      </c>
      <c r="CU6" s="29">
        <f t="shared" si="9"/>
        <v>55288</v>
      </c>
      <c r="CV6" s="29">
        <f t="shared" si="9"/>
        <v>54541</v>
      </c>
      <c r="CW6" s="29">
        <f t="shared" si="9"/>
        <v>53462</v>
      </c>
      <c r="CX6" s="29">
        <f t="shared" si="9"/>
        <v>52358</v>
      </c>
      <c r="CY6" s="29">
        <f t="shared" si="9"/>
        <v>51073</v>
      </c>
      <c r="CZ6" s="29">
        <f t="shared" si="9"/>
        <v>50512</v>
      </c>
      <c r="DA6" s="29">
        <f t="shared" si="9"/>
        <v>50747</v>
      </c>
      <c r="DB6" s="29">
        <f t="shared" si="9"/>
        <v>51508</v>
      </c>
      <c r="DC6" s="29">
        <f t="shared" si="9"/>
        <v>52003</v>
      </c>
      <c r="DD6" s="29">
        <f t="shared" si="9"/>
        <v>52146</v>
      </c>
      <c r="DE6" s="29">
        <f t="shared" si="9"/>
        <v>52034</v>
      </c>
      <c r="DF6" s="29">
        <f t="shared" si="9"/>
        <v>52155</v>
      </c>
      <c r="DG6" s="29">
        <f t="shared" si="9"/>
        <v>51985</v>
      </c>
      <c r="DH6" s="29">
        <f t="shared" si="9"/>
        <v>52081</v>
      </c>
      <c r="DI6" s="29">
        <f t="shared" si="9"/>
        <v>52322</v>
      </c>
      <c r="DJ6" s="29">
        <f t="shared" si="9"/>
        <v>52560</v>
      </c>
      <c r="DK6" s="29">
        <f t="shared" si="9"/>
        <v>53153</v>
      </c>
      <c r="DL6" s="29">
        <f>SUM(DL7:DL13)</f>
        <v>53428</v>
      </c>
      <c r="DM6" s="29">
        <f t="shared" si="9"/>
        <v>54159</v>
      </c>
      <c r="DN6" s="29">
        <f t="shared" si="9"/>
        <v>54628</v>
      </c>
      <c r="DO6" s="29">
        <f t="shared" si="9"/>
        <v>55223</v>
      </c>
      <c r="DP6" s="29">
        <f t="shared" si="9"/>
        <v>55670</v>
      </c>
      <c r="DQ6" s="29">
        <f t="shared" si="9"/>
        <v>55769</v>
      </c>
      <c r="DR6" s="29">
        <f t="shared" si="9"/>
        <v>55778</v>
      </c>
      <c r="DS6" s="29">
        <f t="shared" si="9"/>
        <v>55939</v>
      </c>
      <c r="DT6" s="29">
        <f t="shared" si="9"/>
        <v>56635</v>
      </c>
      <c r="DU6" s="29">
        <f t="shared" si="9"/>
        <v>57235</v>
      </c>
      <c r="DV6" s="29">
        <f>SUM(DV7:DV13)</f>
        <v>57826</v>
      </c>
      <c r="DW6" s="29">
        <f t="shared" si="9"/>
        <v>58205</v>
      </c>
      <c r="DX6" s="29">
        <f t="shared" si="9"/>
        <v>58525</v>
      </c>
      <c r="DY6" s="29">
        <f t="shared" si="9"/>
        <v>58936</v>
      </c>
      <c r="DZ6" s="29">
        <f>SUM(DZ7:DZ13)</f>
        <v>59500</v>
      </c>
      <c r="EA6" s="29">
        <f>SUM(EA7:EA13)</f>
        <v>59688</v>
      </c>
      <c r="EB6" s="29">
        <f t="shared" ref="EB6:EV6" si="10">SUM(EB7:EB13)</f>
        <v>59613</v>
      </c>
      <c r="EC6" s="29">
        <f t="shared" si="10"/>
        <v>58987</v>
      </c>
      <c r="ED6" s="29">
        <f t="shared" si="10"/>
        <v>58716</v>
      </c>
      <c r="EE6" s="29">
        <f t="shared" si="10"/>
        <v>58521</v>
      </c>
      <c r="EF6" s="29">
        <f t="shared" si="10"/>
        <v>58755</v>
      </c>
      <c r="EG6" s="29">
        <f t="shared" si="10"/>
        <v>58886</v>
      </c>
      <c r="EH6" s="29">
        <f t="shared" si="10"/>
        <v>58987</v>
      </c>
      <c r="EI6" s="29">
        <f t="shared" si="10"/>
        <v>59225</v>
      </c>
      <c r="EJ6" s="29">
        <f t="shared" si="10"/>
        <v>59470</v>
      </c>
      <c r="EK6" s="29">
        <f t="shared" si="10"/>
        <v>59599</v>
      </c>
      <c r="EL6" s="29">
        <f t="shared" si="10"/>
        <v>59815</v>
      </c>
      <c r="EM6" s="29">
        <f t="shared" si="10"/>
        <v>59895</v>
      </c>
      <c r="EN6" s="29">
        <f t="shared" si="10"/>
        <v>60236</v>
      </c>
      <c r="EO6" s="29">
        <f t="shared" si="10"/>
        <v>60165</v>
      </c>
      <c r="EP6" s="29">
        <f t="shared" si="10"/>
        <v>60215</v>
      </c>
      <c r="EQ6" s="29">
        <f t="shared" si="10"/>
        <v>60048</v>
      </c>
      <c r="ER6" s="29">
        <f t="shared" si="10"/>
        <v>60540</v>
      </c>
      <c r="ES6" s="29">
        <f t="shared" si="10"/>
        <v>60958</v>
      </c>
      <c r="ET6" s="29">
        <f t="shared" si="10"/>
        <v>61264</v>
      </c>
      <c r="EU6" s="29">
        <f t="shared" si="10"/>
        <v>61348</v>
      </c>
      <c r="EV6" s="29">
        <f t="shared" si="10"/>
        <v>61467</v>
      </c>
      <c r="EW6" s="29">
        <f>SUM(EW7:EW13)</f>
        <v>61817</v>
      </c>
      <c r="EX6" s="29">
        <f t="shared" ref="EX6:FC6" si="11">SUM(EX7:EX13)</f>
        <v>62092</v>
      </c>
      <c r="EY6" s="29">
        <f t="shared" si="11"/>
        <v>62408</v>
      </c>
      <c r="EZ6" s="29">
        <f t="shared" si="11"/>
        <v>62524</v>
      </c>
      <c r="FA6" s="29">
        <f t="shared" si="11"/>
        <v>62224</v>
      </c>
      <c r="FB6" s="29">
        <f t="shared" si="11"/>
        <v>62316</v>
      </c>
      <c r="FC6" s="29">
        <f t="shared" si="11"/>
        <v>62321</v>
      </c>
      <c r="FD6" s="29">
        <f t="shared" ref="FD6:FI6" si="12">SUM(FD7:FD13)</f>
        <v>62809</v>
      </c>
      <c r="FE6" s="29">
        <f t="shared" si="12"/>
        <v>63318</v>
      </c>
      <c r="FF6" s="29">
        <f t="shared" si="12"/>
        <v>63597</v>
      </c>
      <c r="FG6" s="29">
        <f t="shared" si="12"/>
        <v>63674</v>
      </c>
      <c r="FH6" s="29">
        <f t="shared" si="12"/>
        <v>63540</v>
      </c>
      <c r="FI6" s="29">
        <f t="shared" si="12"/>
        <v>63686</v>
      </c>
      <c r="FJ6" s="29">
        <f t="shared" ref="FJ6:FL6" si="13">SUM(FJ7:FJ13)</f>
        <v>63747</v>
      </c>
      <c r="FK6" s="29">
        <f t="shared" si="13"/>
        <v>64202</v>
      </c>
      <c r="FL6" s="29">
        <f t="shared" si="13"/>
        <v>64291</v>
      </c>
      <c r="FM6" s="29">
        <f t="shared" ref="FM6:FN6" si="14">SUM(FM7:FM13)</f>
        <v>64147</v>
      </c>
      <c r="FN6" s="29">
        <f t="shared" si="14"/>
        <v>63878</v>
      </c>
      <c r="FO6" s="207">
        <f t="shared" ref="FO6:FO19" si="15">FN6-FM6</f>
        <v>-269</v>
      </c>
      <c r="FQ6" s="43">
        <f>MAX(C6:FN6)</f>
        <v>64291</v>
      </c>
      <c r="FR6" s="208">
        <f>FN7/FB7-1</f>
        <v>1.1476466795615758E-2</v>
      </c>
    </row>
    <row r="7" spans="2:174" s="20" customFormat="1" ht="15" customHeight="1" x14ac:dyDescent="0.2">
      <c r="B7" s="31" t="s">
        <v>24</v>
      </c>
      <c r="C7" s="189">
        <v>34177</v>
      </c>
      <c r="D7" s="189">
        <v>34482</v>
      </c>
      <c r="E7" s="189">
        <v>34663</v>
      </c>
      <c r="F7" s="189">
        <v>34900</v>
      </c>
      <c r="G7" s="189">
        <v>35009</v>
      </c>
      <c r="H7" s="189">
        <v>35176</v>
      </c>
      <c r="I7" s="189">
        <v>35354</v>
      </c>
      <c r="J7" s="189">
        <v>35496</v>
      </c>
      <c r="K7" s="189">
        <v>35536</v>
      </c>
      <c r="L7" s="189">
        <v>35742</v>
      </c>
      <c r="M7" s="189">
        <v>35803</v>
      </c>
      <c r="N7" s="189">
        <v>35786</v>
      </c>
      <c r="O7" s="189">
        <v>35496</v>
      </c>
      <c r="P7" s="189">
        <v>35551</v>
      </c>
      <c r="Q7" s="189">
        <v>35780</v>
      </c>
      <c r="R7" s="189">
        <v>35890</v>
      </c>
      <c r="S7" s="189">
        <v>36117</v>
      </c>
      <c r="T7" s="189">
        <v>36220</v>
      </c>
      <c r="U7" s="189">
        <v>36385</v>
      </c>
      <c r="V7" s="189">
        <v>36624</v>
      </c>
      <c r="W7" s="189">
        <v>36758</v>
      </c>
      <c r="X7" s="189">
        <v>36855</v>
      </c>
      <c r="Y7" s="189">
        <v>36855</v>
      </c>
      <c r="Z7" s="189">
        <v>37009</v>
      </c>
      <c r="AA7" s="189">
        <v>37109</v>
      </c>
      <c r="AB7" s="189">
        <v>37307</v>
      </c>
      <c r="AC7" s="189">
        <v>37328</v>
      </c>
      <c r="AD7" s="189">
        <v>37524</v>
      </c>
      <c r="AE7" s="189">
        <v>37349</v>
      </c>
      <c r="AF7" s="189">
        <v>37305</v>
      </c>
      <c r="AG7" s="189">
        <v>37343</v>
      </c>
      <c r="AH7" s="189">
        <v>37256</v>
      </c>
      <c r="AI7" s="189">
        <v>37289</v>
      </c>
      <c r="AJ7" s="189">
        <v>37249</v>
      </c>
      <c r="AK7" s="189">
        <v>37253</v>
      </c>
      <c r="AL7" s="189">
        <v>36996</v>
      </c>
      <c r="AM7" s="189">
        <v>36755</v>
      </c>
      <c r="AN7" s="189">
        <v>36763</v>
      </c>
      <c r="AO7" s="189">
        <v>36668</v>
      </c>
      <c r="AP7" s="189">
        <v>36608</v>
      </c>
      <c r="AQ7" s="189">
        <v>36424</v>
      </c>
      <c r="AR7" s="189">
        <v>36216</v>
      </c>
      <c r="AS7" s="189">
        <v>36118</v>
      </c>
      <c r="AT7" s="189">
        <v>36058</v>
      </c>
      <c r="AU7" s="189">
        <v>36100</v>
      </c>
      <c r="AV7" s="189">
        <v>36059</v>
      </c>
      <c r="AW7" s="189">
        <v>35833</v>
      </c>
      <c r="AX7" s="189">
        <v>35516</v>
      </c>
      <c r="AY7" s="189">
        <v>35205</v>
      </c>
      <c r="AZ7" s="189">
        <v>35013</v>
      </c>
      <c r="BA7" s="189">
        <v>34899</v>
      </c>
      <c r="BB7" s="189">
        <v>34873</v>
      </c>
      <c r="BC7" s="189">
        <v>34761</v>
      </c>
      <c r="BD7" s="189">
        <v>34609</v>
      </c>
      <c r="BE7" s="189">
        <v>34528</v>
      </c>
      <c r="BF7" s="189">
        <v>34445</v>
      </c>
      <c r="BG7" s="189">
        <v>34436</v>
      </c>
      <c r="BH7" s="189">
        <v>34354</v>
      </c>
      <c r="BI7" s="189">
        <v>34189</v>
      </c>
      <c r="BJ7" s="189">
        <v>34042</v>
      </c>
      <c r="BK7" s="189">
        <v>33750</v>
      </c>
      <c r="BL7" s="189">
        <v>33609</v>
      </c>
      <c r="BM7" s="189">
        <v>33564</v>
      </c>
      <c r="BN7" s="189">
        <v>33657</v>
      </c>
      <c r="BO7" s="189">
        <v>33636</v>
      </c>
      <c r="BP7" s="189">
        <v>33728</v>
      </c>
      <c r="BQ7" s="189">
        <v>33631</v>
      </c>
      <c r="BR7" s="189">
        <v>33680</v>
      </c>
      <c r="BS7" s="189">
        <v>33606</v>
      </c>
      <c r="BT7" s="189">
        <v>33713</v>
      </c>
      <c r="BU7" s="189">
        <v>33699</v>
      </c>
      <c r="BV7" s="189">
        <v>33560</v>
      </c>
      <c r="BW7" s="189">
        <v>33347</v>
      </c>
      <c r="BX7" s="189">
        <v>33186</v>
      </c>
      <c r="BY7" s="189">
        <v>33206</v>
      </c>
      <c r="BZ7" s="189">
        <v>33239</v>
      </c>
      <c r="CA7" s="189">
        <v>33405</v>
      </c>
      <c r="CB7" s="189">
        <v>33417</v>
      </c>
      <c r="CC7" s="189">
        <v>33420</v>
      </c>
      <c r="CD7" s="189">
        <v>33428</v>
      </c>
      <c r="CE7" s="189">
        <v>33480</v>
      </c>
      <c r="CF7" s="189">
        <v>33560</v>
      </c>
      <c r="CG7" s="189">
        <v>33463</v>
      </c>
      <c r="CH7" s="189">
        <v>33559</v>
      </c>
      <c r="CI7" s="189">
        <v>33484</v>
      </c>
      <c r="CJ7" s="189">
        <v>33712</v>
      </c>
      <c r="CK7" s="189">
        <v>33771</v>
      </c>
      <c r="CL7" s="189">
        <v>33757</v>
      </c>
      <c r="CM7" s="189">
        <v>33676</v>
      </c>
      <c r="CN7" s="189">
        <v>33614</v>
      </c>
      <c r="CO7" s="189">
        <v>33657</v>
      </c>
      <c r="CP7" s="189">
        <v>33807</v>
      </c>
      <c r="CQ7" s="189">
        <v>33998</v>
      </c>
      <c r="CR7" s="189">
        <v>34235</v>
      </c>
      <c r="CS7" s="189">
        <v>34309</v>
      </c>
      <c r="CT7" s="189">
        <v>34209</v>
      </c>
      <c r="CU7" s="189">
        <v>33685</v>
      </c>
      <c r="CV7" s="189">
        <v>32845</v>
      </c>
      <c r="CW7" s="189">
        <v>31747</v>
      </c>
      <c r="CX7" s="189">
        <v>30825</v>
      </c>
      <c r="CY7" s="189">
        <v>30032</v>
      </c>
      <c r="CZ7" s="189">
        <v>29850</v>
      </c>
      <c r="DA7" s="189">
        <v>30196</v>
      </c>
      <c r="DB7" s="189">
        <v>30660</v>
      </c>
      <c r="DC7" s="189">
        <v>30905</v>
      </c>
      <c r="DD7" s="189">
        <v>30919</v>
      </c>
      <c r="DE7" s="189">
        <v>30952</v>
      </c>
      <c r="DF7" s="189">
        <v>30933</v>
      </c>
      <c r="DG7" s="189">
        <v>30834</v>
      </c>
      <c r="DH7" s="189">
        <v>30909</v>
      </c>
      <c r="DI7" s="189">
        <v>31067</v>
      </c>
      <c r="DJ7" s="189">
        <v>31415</v>
      </c>
      <c r="DK7" s="189">
        <v>31855</v>
      </c>
      <c r="DL7" s="189">
        <v>32188</v>
      </c>
      <c r="DM7" s="189">
        <v>32788</v>
      </c>
      <c r="DN7" s="189">
        <v>33146</v>
      </c>
      <c r="DO7" s="189">
        <v>33490</v>
      </c>
      <c r="DP7" s="189">
        <v>33761</v>
      </c>
      <c r="DQ7" s="189">
        <v>33823</v>
      </c>
      <c r="DR7" s="189">
        <v>33867</v>
      </c>
      <c r="DS7" s="189">
        <v>34141</v>
      </c>
      <c r="DT7" s="189">
        <v>34508</v>
      </c>
      <c r="DU7" s="189">
        <v>34835</v>
      </c>
      <c r="DV7" s="189">
        <v>35043</v>
      </c>
      <c r="DW7" s="189">
        <v>35064</v>
      </c>
      <c r="DX7" s="189">
        <v>35231</v>
      </c>
      <c r="DY7" s="189">
        <v>35513</v>
      </c>
      <c r="DZ7" s="189">
        <v>35867</v>
      </c>
      <c r="EA7" s="189">
        <v>36038</v>
      </c>
      <c r="EB7" s="189">
        <v>36101</v>
      </c>
      <c r="EC7" s="189">
        <v>36052</v>
      </c>
      <c r="ED7" s="189">
        <v>36052</v>
      </c>
      <c r="EE7" s="189">
        <v>35935</v>
      </c>
      <c r="EF7" s="189">
        <v>36060</v>
      </c>
      <c r="EG7" s="189">
        <v>36073</v>
      </c>
      <c r="EH7" s="189">
        <v>36031</v>
      </c>
      <c r="EI7" s="189">
        <v>36244</v>
      </c>
      <c r="EJ7" s="189">
        <v>36458</v>
      </c>
      <c r="EK7" s="189">
        <v>36603</v>
      </c>
      <c r="EL7" s="189">
        <v>36855</v>
      </c>
      <c r="EM7" s="189">
        <v>36966</v>
      </c>
      <c r="EN7" s="189">
        <v>37215</v>
      </c>
      <c r="EO7" s="189">
        <v>37196</v>
      </c>
      <c r="EP7" s="189">
        <v>37241</v>
      </c>
      <c r="EQ7" s="189">
        <v>37229</v>
      </c>
      <c r="ER7" s="189">
        <v>37428</v>
      </c>
      <c r="ES7" s="189">
        <v>37557</v>
      </c>
      <c r="ET7" s="189">
        <v>37616</v>
      </c>
      <c r="EU7" s="189">
        <v>37777</v>
      </c>
      <c r="EV7" s="189">
        <v>37886</v>
      </c>
      <c r="EW7" s="189">
        <v>38190</v>
      </c>
      <c r="EX7" s="189">
        <v>38254</v>
      </c>
      <c r="EY7" s="189">
        <v>38375</v>
      </c>
      <c r="EZ7" s="189">
        <v>38469</v>
      </c>
      <c r="FA7" s="189">
        <v>38551</v>
      </c>
      <c r="FB7" s="189">
        <v>38775</v>
      </c>
      <c r="FC7" s="189">
        <v>38663</v>
      </c>
      <c r="FD7" s="189">
        <v>38852</v>
      </c>
      <c r="FE7" s="190">
        <v>38969</v>
      </c>
      <c r="FF7" s="190">
        <v>39020</v>
      </c>
      <c r="FG7" s="190">
        <v>39113</v>
      </c>
      <c r="FH7" s="190">
        <v>39118</v>
      </c>
      <c r="FI7" s="190">
        <v>39229</v>
      </c>
      <c r="FJ7" s="190">
        <v>39182</v>
      </c>
      <c r="FK7" s="190">
        <v>39354</v>
      </c>
      <c r="FL7" s="190">
        <v>39409</v>
      </c>
      <c r="FM7" s="190">
        <v>39351</v>
      </c>
      <c r="FN7" s="190">
        <v>39220</v>
      </c>
      <c r="FO7" s="207">
        <f t="shared" si="15"/>
        <v>-131</v>
      </c>
      <c r="FQ7" s="43">
        <f t="shared" ref="FQ7:FQ14" si="16">MAX(C7:FN7)</f>
        <v>39409</v>
      </c>
    </row>
    <row r="8" spans="2:174" s="20" customFormat="1" ht="15" customHeight="1" x14ac:dyDescent="0.2">
      <c r="B8" s="31" t="s">
        <v>25</v>
      </c>
      <c r="C8" s="189">
        <v>1893</v>
      </c>
      <c r="D8" s="189">
        <v>1885</v>
      </c>
      <c r="E8" s="189">
        <v>1893</v>
      </c>
      <c r="F8" s="189">
        <v>1880</v>
      </c>
      <c r="G8" s="189">
        <v>1866</v>
      </c>
      <c r="H8" s="189">
        <v>1868</v>
      </c>
      <c r="I8" s="189">
        <v>1868</v>
      </c>
      <c r="J8" s="189">
        <v>1851</v>
      </c>
      <c r="K8" s="189">
        <v>1855</v>
      </c>
      <c r="L8" s="189">
        <v>1874</v>
      </c>
      <c r="M8" s="189">
        <v>1892</v>
      </c>
      <c r="N8" s="189">
        <v>1882</v>
      </c>
      <c r="O8" s="189">
        <v>1876</v>
      </c>
      <c r="P8" s="189">
        <v>1862</v>
      </c>
      <c r="Q8" s="189">
        <v>1840</v>
      </c>
      <c r="R8" s="189">
        <v>1789</v>
      </c>
      <c r="S8" s="189">
        <v>1771</v>
      </c>
      <c r="T8" s="189">
        <v>1741</v>
      </c>
      <c r="U8" s="189">
        <v>1739</v>
      </c>
      <c r="V8" s="189">
        <v>1743</v>
      </c>
      <c r="W8" s="189">
        <v>1793</v>
      </c>
      <c r="X8" s="189">
        <v>1816</v>
      </c>
      <c r="Y8" s="189">
        <v>1838</v>
      </c>
      <c r="Z8" s="189">
        <v>1814</v>
      </c>
      <c r="AA8" s="189">
        <v>1814</v>
      </c>
      <c r="AB8" s="189">
        <v>1823</v>
      </c>
      <c r="AC8" s="189">
        <v>1841</v>
      </c>
      <c r="AD8" s="189">
        <v>1848</v>
      </c>
      <c r="AE8" s="189">
        <v>1865</v>
      </c>
      <c r="AF8" s="189">
        <v>1860</v>
      </c>
      <c r="AG8" s="189">
        <v>1856</v>
      </c>
      <c r="AH8" s="189">
        <v>1866</v>
      </c>
      <c r="AI8" s="189">
        <v>1868</v>
      </c>
      <c r="AJ8" s="189">
        <v>1850</v>
      </c>
      <c r="AK8" s="189">
        <v>1826</v>
      </c>
      <c r="AL8" s="189">
        <v>1856</v>
      </c>
      <c r="AM8" s="189">
        <v>1866</v>
      </c>
      <c r="AN8" s="189">
        <v>1870</v>
      </c>
      <c r="AO8" s="189">
        <v>1846</v>
      </c>
      <c r="AP8" s="189">
        <v>1842</v>
      </c>
      <c r="AQ8" s="189">
        <v>1841</v>
      </c>
      <c r="AR8" s="189">
        <v>1833</v>
      </c>
      <c r="AS8" s="189">
        <v>1820</v>
      </c>
      <c r="AT8" s="189">
        <v>1881</v>
      </c>
      <c r="AU8" s="189">
        <v>1945</v>
      </c>
      <c r="AV8" s="189">
        <v>2017</v>
      </c>
      <c r="AW8" s="189">
        <v>2073</v>
      </c>
      <c r="AX8" s="189">
        <v>2083</v>
      </c>
      <c r="AY8" s="189">
        <v>2096</v>
      </c>
      <c r="AZ8" s="189">
        <v>2041</v>
      </c>
      <c r="BA8" s="189">
        <v>2015</v>
      </c>
      <c r="BB8" s="189">
        <v>1991</v>
      </c>
      <c r="BC8" s="189">
        <v>1967</v>
      </c>
      <c r="BD8" s="189">
        <v>1967</v>
      </c>
      <c r="BE8" s="189">
        <v>1956</v>
      </c>
      <c r="BF8" s="189">
        <v>1943</v>
      </c>
      <c r="BG8" s="189">
        <v>1897</v>
      </c>
      <c r="BH8" s="189">
        <v>1883</v>
      </c>
      <c r="BI8" s="189">
        <v>1857</v>
      </c>
      <c r="BJ8" s="189">
        <v>1850</v>
      </c>
      <c r="BK8" s="189">
        <v>1835</v>
      </c>
      <c r="BL8" s="189">
        <v>1808</v>
      </c>
      <c r="BM8" s="189">
        <v>1809</v>
      </c>
      <c r="BN8" s="189">
        <v>1795</v>
      </c>
      <c r="BO8" s="189">
        <v>1794</v>
      </c>
      <c r="BP8" s="189">
        <v>1763</v>
      </c>
      <c r="BQ8" s="189">
        <v>1763</v>
      </c>
      <c r="BR8" s="189">
        <v>1772</v>
      </c>
      <c r="BS8" s="189">
        <v>1817</v>
      </c>
      <c r="BT8" s="189">
        <v>1802</v>
      </c>
      <c r="BU8" s="189">
        <v>1795</v>
      </c>
      <c r="BV8" s="189">
        <v>1797</v>
      </c>
      <c r="BW8" s="189">
        <v>1795</v>
      </c>
      <c r="BX8" s="189">
        <v>1760</v>
      </c>
      <c r="BY8" s="189">
        <v>1742</v>
      </c>
      <c r="BZ8" s="189">
        <v>1766</v>
      </c>
      <c r="CA8" s="189">
        <v>1779</v>
      </c>
      <c r="CB8" s="189">
        <v>1778</v>
      </c>
      <c r="CC8" s="189">
        <v>1741</v>
      </c>
      <c r="CD8" s="189">
        <v>1742</v>
      </c>
      <c r="CE8" s="189">
        <v>1694</v>
      </c>
      <c r="CF8" s="189">
        <v>1708</v>
      </c>
      <c r="CG8" s="189">
        <v>1709</v>
      </c>
      <c r="CH8" s="189">
        <v>1714</v>
      </c>
      <c r="CI8" s="189">
        <v>1697</v>
      </c>
      <c r="CJ8" s="189">
        <v>1702</v>
      </c>
      <c r="CK8" s="189">
        <v>1701</v>
      </c>
      <c r="CL8" s="189">
        <v>1710</v>
      </c>
      <c r="CM8" s="189">
        <v>1686</v>
      </c>
      <c r="CN8" s="189">
        <v>1702</v>
      </c>
      <c r="CO8" s="189">
        <v>1678</v>
      </c>
      <c r="CP8" s="189">
        <v>1691</v>
      </c>
      <c r="CQ8" s="189">
        <v>1697</v>
      </c>
      <c r="CR8" s="189">
        <v>1705</v>
      </c>
      <c r="CS8" s="189">
        <v>1675</v>
      </c>
      <c r="CT8" s="189">
        <v>1656</v>
      </c>
      <c r="CU8" s="189">
        <v>1575</v>
      </c>
      <c r="CV8" s="189">
        <v>1514</v>
      </c>
      <c r="CW8" s="189">
        <v>1404</v>
      </c>
      <c r="CX8" s="189">
        <v>1354</v>
      </c>
      <c r="CY8" s="189">
        <v>1309</v>
      </c>
      <c r="CZ8" s="189">
        <v>1268</v>
      </c>
      <c r="DA8" s="189">
        <v>1241</v>
      </c>
      <c r="DB8" s="189">
        <v>1212</v>
      </c>
      <c r="DC8" s="189">
        <v>1175</v>
      </c>
      <c r="DD8" s="189">
        <v>1182</v>
      </c>
      <c r="DE8" s="189">
        <v>1216</v>
      </c>
      <c r="DF8" s="189">
        <v>1215</v>
      </c>
      <c r="DG8" s="189">
        <v>1245</v>
      </c>
      <c r="DH8" s="189">
        <v>1248</v>
      </c>
      <c r="DI8" s="189">
        <v>1254</v>
      </c>
      <c r="DJ8" s="189">
        <v>1238</v>
      </c>
      <c r="DK8" s="189">
        <v>1240</v>
      </c>
      <c r="DL8" s="189">
        <v>1297</v>
      </c>
      <c r="DM8" s="189">
        <v>1293</v>
      </c>
      <c r="DN8" s="189">
        <v>1332</v>
      </c>
      <c r="DO8" s="189">
        <v>1349</v>
      </c>
      <c r="DP8" s="189">
        <v>1387</v>
      </c>
      <c r="DQ8" s="189">
        <v>1391</v>
      </c>
      <c r="DR8" s="189">
        <v>1417</v>
      </c>
      <c r="DS8" s="189">
        <v>1390</v>
      </c>
      <c r="DT8" s="189">
        <v>1396</v>
      </c>
      <c r="DU8" s="189">
        <v>1401</v>
      </c>
      <c r="DV8" s="189">
        <v>1456</v>
      </c>
      <c r="DW8" s="189">
        <v>1470</v>
      </c>
      <c r="DX8" s="189">
        <v>1464</v>
      </c>
      <c r="DY8" s="189">
        <v>1472</v>
      </c>
      <c r="DZ8" s="189">
        <v>1468</v>
      </c>
      <c r="EA8" s="189">
        <v>1478</v>
      </c>
      <c r="EB8" s="189">
        <v>1476</v>
      </c>
      <c r="EC8" s="189">
        <v>1468</v>
      </c>
      <c r="ED8" s="189">
        <v>1471</v>
      </c>
      <c r="EE8" s="189">
        <v>1473</v>
      </c>
      <c r="EF8" s="189">
        <v>1491</v>
      </c>
      <c r="EG8" s="189">
        <v>1475</v>
      </c>
      <c r="EH8" s="189">
        <v>1474</v>
      </c>
      <c r="EI8" s="189">
        <v>1478</v>
      </c>
      <c r="EJ8" s="189">
        <v>1459</v>
      </c>
      <c r="EK8" s="189">
        <v>1419</v>
      </c>
      <c r="EL8" s="189">
        <v>1404</v>
      </c>
      <c r="EM8" s="189">
        <v>1400</v>
      </c>
      <c r="EN8" s="189">
        <v>1407</v>
      </c>
      <c r="EO8" s="189">
        <v>1400</v>
      </c>
      <c r="EP8" s="189">
        <v>1447</v>
      </c>
      <c r="EQ8" s="189">
        <v>1458</v>
      </c>
      <c r="ER8" s="189">
        <v>1462</v>
      </c>
      <c r="ES8" s="189">
        <v>1453</v>
      </c>
      <c r="ET8" s="189">
        <v>1427</v>
      </c>
      <c r="EU8" s="189">
        <v>1403</v>
      </c>
      <c r="EV8" s="189">
        <v>1380</v>
      </c>
      <c r="EW8" s="189">
        <v>1373</v>
      </c>
      <c r="EX8" s="189">
        <v>1375</v>
      </c>
      <c r="EY8" s="189">
        <v>1388</v>
      </c>
      <c r="EZ8" s="189">
        <v>1432</v>
      </c>
      <c r="FA8" s="189">
        <v>1396</v>
      </c>
      <c r="FB8" s="189">
        <v>1374</v>
      </c>
      <c r="FC8" s="189">
        <v>1365</v>
      </c>
      <c r="FD8" s="189">
        <v>1391</v>
      </c>
      <c r="FE8" s="190">
        <v>1401</v>
      </c>
      <c r="FF8" s="190">
        <v>1409</v>
      </c>
      <c r="FG8" s="190">
        <v>1377</v>
      </c>
      <c r="FH8" s="190">
        <v>1355</v>
      </c>
      <c r="FI8" s="190">
        <v>1346</v>
      </c>
      <c r="FJ8" s="190">
        <v>1371</v>
      </c>
      <c r="FK8" s="190">
        <v>1402</v>
      </c>
      <c r="FL8" s="190">
        <v>1371</v>
      </c>
      <c r="FM8" s="190">
        <v>1330</v>
      </c>
      <c r="FN8" s="190">
        <v>1304</v>
      </c>
      <c r="FO8" s="207">
        <f t="shared" si="15"/>
        <v>-26</v>
      </c>
      <c r="FQ8" s="43">
        <f t="shared" si="16"/>
        <v>2096</v>
      </c>
    </row>
    <row r="9" spans="2:174" s="20" customFormat="1" ht="15" customHeight="1" x14ac:dyDescent="0.2">
      <c r="B9" s="31" t="s">
        <v>26</v>
      </c>
      <c r="C9" s="189">
        <v>1449</v>
      </c>
      <c r="D9" s="189">
        <v>1435</v>
      </c>
      <c r="E9" s="189">
        <v>1433</v>
      </c>
      <c r="F9" s="189">
        <v>1460</v>
      </c>
      <c r="G9" s="189">
        <v>1415</v>
      </c>
      <c r="H9" s="189">
        <v>1423</v>
      </c>
      <c r="I9" s="189">
        <v>1364</v>
      </c>
      <c r="J9" s="189">
        <v>1375</v>
      </c>
      <c r="K9" s="189">
        <v>1332</v>
      </c>
      <c r="L9" s="189">
        <v>1365</v>
      </c>
      <c r="M9" s="189">
        <v>1356</v>
      </c>
      <c r="N9" s="189">
        <v>1384</v>
      </c>
      <c r="O9" s="189">
        <v>1351</v>
      </c>
      <c r="P9" s="189">
        <v>1393</v>
      </c>
      <c r="Q9" s="189">
        <v>1369</v>
      </c>
      <c r="R9" s="189">
        <v>1373</v>
      </c>
      <c r="S9" s="189">
        <v>1330</v>
      </c>
      <c r="T9" s="189">
        <v>1336</v>
      </c>
      <c r="U9" s="189">
        <v>1310</v>
      </c>
      <c r="V9" s="189">
        <v>1332</v>
      </c>
      <c r="W9" s="189">
        <v>1306</v>
      </c>
      <c r="X9" s="189">
        <v>1303</v>
      </c>
      <c r="Y9" s="189">
        <v>1273</v>
      </c>
      <c r="Z9" s="189">
        <v>1268</v>
      </c>
      <c r="AA9" s="189">
        <v>1290</v>
      </c>
      <c r="AB9" s="189">
        <v>1302</v>
      </c>
      <c r="AC9" s="189">
        <v>1308</v>
      </c>
      <c r="AD9" s="189">
        <v>1273</v>
      </c>
      <c r="AE9" s="189">
        <v>1293</v>
      </c>
      <c r="AF9" s="189">
        <v>1290</v>
      </c>
      <c r="AG9" s="189">
        <v>1326</v>
      </c>
      <c r="AH9" s="189">
        <v>1342</v>
      </c>
      <c r="AI9" s="189">
        <v>1318</v>
      </c>
      <c r="AJ9" s="189">
        <v>1350</v>
      </c>
      <c r="AK9" s="189">
        <v>1335</v>
      </c>
      <c r="AL9" s="189">
        <v>1348</v>
      </c>
      <c r="AM9" s="189">
        <v>1305</v>
      </c>
      <c r="AN9" s="189">
        <v>1289</v>
      </c>
      <c r="AO9" s="189">
        <v>1247</v>
      </c>
      <c r="AP9" s="189">
        <v>1245</v>
      </c>
      <c r="AQ9" s="189">
        <v>1226</v>
      </c>
      <c r="AR9" s="189">
        <v>1258</v>
      </c>
      <c r="AS9" s="189">
        <v>1247</v>
      </c>
      <c r="AT9" s="189">
        <v>1247</v>
      </c>
      <c r="AU9" s="189">
        <v>1228</v>
      </c>
      <c r="AV9" s="189">
        <v>1216</v>
      </c>
      <c r="AW9" s="189">
        <v>1209</v>
      </c>
      <c r="AX9" s="189">
        <v>1162</v>
      </c>
      <c r="AY9" s="189">
        <v>1128</v>
      </c>
      <c r="AZ9" s="189">
        <v>1096</v>
      </c>
      <c r="BA9" s="189">
        <v>1093</v>
      </c>
      <c r="BB9" s="189">
        <v>1124</v>
      </c>
      <c r="BC9" s="189">
        <v>1113</v>
      </c>
      <c r="BD9" s="189">
        <v>1108</v>
      </c>
      <c r="BE9" s="189">
        <v>1111</v>
      </c>
      <c r="BF9" s="189">
        <v>1129</v>
      </c>
      <c r="BG9" s="189">
        <v>1146</v>
      </c>
      <c r="BH9" s="189">
        <v>1116</v>
      </c>
      <c r="BI9" s="189">
        <v>1107</v>
      </c>
      <c r="BJ9" s="189">
        <v>1060</v>
      </c>
      <c r="BK9" s="189">
        <v>1052</v>
      </c>
      <c r="BL9" s="189">
        <v>1074</v>
      </c>
      <c r="BM9" s="189">
        <v>1146</v>
      </c>
      <c r="BN9" s="189">
        <v>1199</v>
      </c>
      <c r="BO9" s="189">
        <v>1251</v>
      </c>
      <c r="BP9" s="189">
        <v>1255</v>
      </c>
      <c r="BQ9" s="189">
        <v>1232</v>
      </c>
      <c r="BR9" s="189">
        <v>1174</v>
      </c>
      <c r="BS9" s="189">
        <v>1133</v>
      </c>
      <c r="BT9" s="189">
        <v>1131</v>
      </c>
      <c r="BU9" s="189">
        <v>1123</v>
      </c>
      <c r="BV9" s="189">
        <v>1136</v>
      </c>
      <c r="BW9" s="189">
        <v>1145</v>
      </c>
      <c r="BX9" s="189">
        <v>1188</v>
      </c>
      <c r="BY9" s="189">
        <v>1214</v>
      </c>
      <c r="BZ9" s="189">
        <v>1253</v>
      </c>
      <c r="CA9" s="189">
        <v>1261</v>
      </c>
      <c r="CB9" s="189">
        <v>1274</v>
      </c>
      <c r="CC9" s="189">
        <v>1254</v>
      </c>
      <c r="CD9" s="189">
        <v>1243</v>
      </c>
      <c r="CE9" s="189">
        <v>1232</v>
      </c>
      <c r="CF9" s="189">
        <v>1190</v>
      </c>
      <c r="CG9" s="189">
        <v>1208</v>
      </c>
      <c r="CH9" s="189">
        <v>1192</v>
      </c>
      <c r="CI9" s="189">
        <v>1184</v>
      </c>
      <c r="CJ9" s="189">
        <v>1201</v>
      </c>
      <c r="CK9" s="189">
        <v>1234</v>
      </c>
      <c r="CL9" s="189">
        <v>1288</v>
      </c>
      <c r="CM9" s="189">
        <v>1289</v>
      </c>
      <c r="CN9" s="189">
        <v>1238</v>
      </c>
      <c r="CO9" s="189">
        <v>1225</v>
      </c>
      <c r="CP9" s="189">
        <v>1188</v>
      </c>
      <c r="CQ9" s="189">
        <v>1197</v>
      </c>
      <c r="CR9" s="189">
        <v>1156</v>
      </c>
      <c r="CS9" s="189">
        <v>1155</v>
      </c>
      <c r="CT9" s="189">
        <v>1167</v>
      </c>
      <c r="CU9" s="189">
        <v>1160</v>
      </c>
      <c r="CV9" s="189">
        <v>1155</v>
      </c>
      <c r="CW9" s="189">
        <v>1155</v>
      </c>
      <c r="CX9" s="189">
        <v>1198</v>
      </c>
      <c r="CY9" s="189">
        <v>1157</v>
      </c>
      <c r="CZ9" s="189">
        <v>1157</v>
      </c>
      <c r="DA9" s="189">
        <v>1117</v>
      </c>
      <c r="DB9" s="189">
        <v>1117</v>
      </c>
      <c r="DC9" s="189">
        <v>1122</v>
      </c>
      <c r="DD9" s="189">
        <v>1149</v>
      </c>
      <c r="DE9" s="189">
        <v>1105</v>
      </c>
      <c r="DF9" s="189">
        <v>1137</v>
      </c>
      <c r="DG9" s="189">
        <v>1144</v>
      </c>
      <c r="DH9" s="189">
        <v>1165</v>
      </c>
      <c r="DI9" s="189">
        <v>1177</v>
      </c>
      <c r="DJ9" s="189">
        <v>1225</v>
      </c>
      <c r="DK9" s="189">
        <v>1261</v>
      </c>
      <c r="DL9" s="189">
        <v>1234</v>
      </c>
      <c r="DM9" s="189">
        <v>1185</v>
      </c>
      <c r="DN9" s="189">
        <v>1204</v>
      </c>
      <c r="DO9" s="189">
        <v>1215</v>
      </c>
      <c r="DP9" s="189">
        <v>1258</v>
      </c>
      <c r="DQ9" s="189">
        <v>1245</v>
      </c>
      <c r="DR9" s="189">
        <v>1235</v>
      </c>
      <c r="DS9" s="189">
        <v>1196</v>
      </c>
      <c r="DT9" s="189">
        <v>1202</v>
      </c>
      <c r="DU9" s="189">
        <v>1228</v>
      </c>
      <c r="DV9" s="189">
        <v>1274</v>
      </c>
      <c r="DW9" s="189">
        <v>1294</v>
      </c>
      <c r="DX9" s="189">
        <v>1312</v>
      </c>
      <c r="DY9" s="189">
        <v>1299</v>
      </c>
      <c r="DZ9" s="189">
        <v>1330</v>
      </c>
      <c r="EA9" s="189">
        <v>1335</v>
      </c>
      <c r="EB9" s="189">
        <v>1382</v>
      </c>
      <c r="EC9" s="189">
        <v>1375</v>
      </c>
      <c r="ED9" s="189">
        <v>1362</v>
      </c>
      <c r="EE9" s="189">
        <v>1324</v>
      </c>
      <c r="EF9" s="189">
        <v>1322</v>
      </c>
      <c r="EG9" s="189">
        <v>1331</v>
      </c>
      <c r="EH9" s="189">
        <v>1375</v>
      </c>
      <c r="EI9" s="189">
        <v>1365</v>
      </c>
      <c r="EJ9" s="189">
        <v>1372</v>
      </c>
      <c r="EK9" s="189">
        <v>1366</v>
      </c>
      <c r="EL9" s="189">
        <v>1368</v>
      </c>
      <c r="EM9" s="189">
        <v>1406</v>
      </c>
      <c r="EN9" s="189">
        <v>1430</v>
      </c>
      <c r="EO9" s="189">
        <v>1440</v>
      </c>
      <c r="EP9" s="189">
        <v>1408</v>
      </c>
      <c r="EQ9" s="189">
        <v>1360</v>
      </c>
      <c r="ER9" s="189">
        <v>1397</v>
      </c>
      <c r="ES9" s="189">
        <v>1469</v>
      </c>
      <c r="ET9" s="189">
        <v>1528</v>
      </c>
      <c r="EU9" s="189">
        <v>1546</v>
      </c>
      <c r="EV9" s="189">
        <v>1495</v>
      </c>
      <c r="EW9" s="189">
        <v>1490</v>
      </c>
      <c r="EX9" s="189">
        <v>1493</v>
      </c>
      <c r="EY9" s="189">
        <v>1490</v>
      </c>
      <c r="EZ9" s="189">
        <v>1473</v>
      </c>
      <c r="FA9" s="189">
        <v>1418</v>
      </c>
      <c r="FB9" s="189">
        <v>1401</v>
      </c>
      <c r="FC9" s="189">
        <v>1463</v>
      </c>
      <c r="FD9" s="189">
        <v>1528</v>
      </c>
      <c r="FE9" s="190">
        <v>1602</v>
      </c>
      <c r="FF9" s="190">
        <v>1653</v>
      </c>
      <c r="FG9" s="190">
        <v>1687</v>
      </c>
      <c r="FH9" s="190">
        <v>1687</v>
      </c>
      <c r="FI9" s="190">
        <v>1601</v>
      </c>
      <c r="FJ9" s="190">
        <v>1586</v>
      </c>
      <c r="FK9" s="190">
        <v>1615</v>
      </c>
      <c r="FL9" s="190">
        <v>1619</v>
      </c>
      <c r="FM9" s="190">
        <v>1574</v>
      </c>
      <c r="FN9" s="190">
        <v>1517</v>
      </c>
      <c r="FO9" s="207">
        <f t="shared" si="15"/>
        <v>-57</v>
      </c>
      <c r="FQ9" s="43">
        <f t="shared" si="16"/>
        <v>1687</v>
      </c>
    </row>
    <row r="10" spans="2:174" s="20" customFormat="1" ht="15" customHeight="1" x14ac:dyDescent="0.2">
      <c r="B10" s="76" t="s">
        <v>27</v>
      </c>
      <c r="C10" s="189">
        <v>2048</v>
      </c>
      <c r="D10" s="189">
        <v>2085</v>
      </c>
      <c r="E10" s="189">
        <v>2082</v>
      </c>
      <c r="F10" s="189">
        <v>2141</v>
      </c>
      <c r="G10" s="189">
        <v>2197</v>
      </c>
      <c r="H10" s="189">
        <v>2245</v>
      </c>
      <c r="I10" s="189">
        <v>2209</v>
      </c>
      <c r="J10" s="189">
        <v>2211</v>
      </c>
      <c r="K10" s="189">
        <v>2170</v>
      </c>
      <c r="L10" s="189">
        <v>2098</v>
      </c>
      <c r="M10" s="189">
        <v>1944</v>
      </c>
      <c r="N10" s="189">
        <v>1908</v>
      </c>
      <c r="O10" s="189">
        <v>1904</v>
      </c>
      <c r="P10" s="189">
        <v>2029</v>
      </c>
      <c r="Q10" s="189">
        <v>2091</v>
      </c>
      <c r="R10" s="189">
        <v>2172</v>
      </c>
      <c r="S10" s="189">
        <v>2193</v>
      </c>
      <c r="T10" s="189">
        <v>2213</v>
      </c>
      <c r="U10" s="189">
        <v>2215</v>
      </c>
      <c r="V10" s="189">
        <v>2254</v>
      </c>
      <c r="W10" s="189">
        <v>2251</v>
      </c>
      <c r="X10" s="189">
        <v>2231</v>
      </c>
      <c r="Y10" s="189">
        <v>2120</v>
      </c>
      <c r="Z10" s="189">
        <v>2054</v>
      </c>
      <c r="AA10" s="189">
        <v>2064</v>
      </c>
      <c r="AB10" s="189">
        <v>2161</v>
      </c>
      <c r="AC10" s="189">
        <v>2201</v>
      </c>
      <c r="AD10" s="189">
        <v>2201</v>
      </c>
      <c r="AE10" s="189">
        <v>2213</v>
      </c>
      <c r="AF10" s="189">
        <v>2257</v>
      </c>
      <c r="AG10" s="189">
        <v>2296</v>
      </c>
      <c r="AH10" s="189">
        <v>2320</v>
      </c>
      <c r="AI10" s="189">
        <v>2328</v>
      </c>
      <c r="AJ10" s="189">
        <v>2268</v>
      </c>
      <c r="AK10" s="189">
        <v>2165</v>
      </c>
      <c r="AL10" s="189">
        <v>2089</v>
      </c>
      <c r="AM10" s="189">
        <v>2090</v>
      </c>
      <c r="AN10" s="189">
        <v>2151</v>
      </c>
      <c r="AO10" s="189">
        <v>2178</v>
      </c>
      <c r="AP10" s="189">
        <v>2218</v>
      </c>
      <c r="AQ10" s="189">
        <v>2268</v>
      </c>
      <c r="AR10" s="189">
        <v>2300</v>
      </c>
      <c r="AS10" s="189">
        <v>2312</v>
      </c>
      <c r="AT10" s="189">
        <v>2312</v>
      </c>
      <c r="AU10" s="189">
        <v>2285</v>
      </c>
      <c r="AV10" s="189">
        <v>2232</v>
      </c>
      <c r="AW10" s="189">
        <v>2080</v>
      </c>
      <c r="AX10" s="189">
        <v>1995</v>
      </c>
      <c r="AY10" s="189">
        <v>1978</v>
      </c>
      <c r="AZ10" s="189">
        <v>2072</v>
      </c>
      <c r="BA10" s="189">
        <v>2157</v>
      </c>
      <c r="BB10" s="189">
        <v>2197</v>
      </c>
      <c r="BC10" s="189">
        <v>2203</v>
      </c>
      <c r="BD10" s="189">
        <v>2212</v>
      </c>
      <c r="BE10" s="189">
        <v>2174</v>
      </c>
      <c r="BF10" s="189">
        <v>2150</v>
      </c>
      <c r="BG10" s="189">
        <v>2123</v>
      </c>
      <c r="BH10" s="189">
        <v>2000</v>
      </c>
      <c r="BI10" s="189">
        <v>1852</v>
      </c>
      <c r="BJ10" s="189">
        <v>1774</v>
      </c>
      <c r="BK10" s="189">
        <v>1801</v>
      </c>
      <c r="BL10" s="189">
        <v>2008</v>
      </c>
      <c r="BM10" s="189">
        <v>2141</v>
      </c>
      <c r="BN10" s="189">
        <v>2299</v>
      </c>
      <c r="BO10" s="189">
        <v>2355</v>
      </c>
      <c r="BP10" s="189">
        <v>2412</v>
      </c>
      <c r="BQ10" s="189">
        <v>2416</v>
      </c>
      <c r="BR10" s="189">
        <v>2446</v>
      </c>
      <c r="BS10" s="189">
        <v>2481</v>
      </c>
      <c r="BT10" s="189">
        <v>2440</v>
      </c>
      <c r="BU10" s="189">
        <v>2274</v>
      </c>
      <c r="BV10" s="189">
        <v>2125</v>
      </c>
      <c r="BW10" s="189">
        <v>2137</v>
      </c>
      <c r="BX10" s="189">
        <v>2242</v>
      </c>
      <c r="BY10" s="189">
        <v>2329</v>
      </c>
      <c r="BZ10" s="189">
        <v>2411</v>
      </c>
      <c r="CA10" s="189">
        <v>2447</v>
      </c>
      <c r="CB10" s="189">
        <v>2480</v>
      </c>
      <c r="CC10" s="189">
        <v>2510</v>
      </c>
      <c r="CD10" s="189">
        <v>2516</v>
      </c>
      <c r="CE10" s="189">
        <v>2544</v>
      </c>
      <c r="CF10" s="189">
        <v>2431</v>
      </c>
      <c r="CG10" s="189">
        <v>2249</v>
      </c>
      <c r="CH10" s="189">
        <v>2116</v>
      </c>
      <c r="CI10" s="189">
        <v>2122</v>
      </c>
      <c r="CJ10" s="189">
        <v>2246</v>
      </c>
      <c r="CK10" s="189">
        <v>2352</v>
      </c>
      <c r="CL10" s="189">
        <v>2428</v>
      </c>
      <c r="CM10" s="189">
        <v>2479</v>
      </c>
      <c r="CN10" s="189">
        <v>2489</v>
      </c>
      <c r="CO10" s="189">
        <v>2552</v>
      </c>
      <c r="CP10" s="189">
        <v>2579</v>
      </c>
      <c r="CQ10" s="189">
        <v>2572</v>
      </c>
      <c r="CR10" s="189">
        <v>2461</v>
      </c>
      <c r="CS10" s="189">
        <v>2336</v>
      </c>
      <c r="CT10" s="189">
        <v>2233</v>
      </c>
      <c r="CU10" s="189">
        <v>2299</v>
      </c>
      <c r="CV10" s="189">
        <v>2407</v>
      </c>
      <c r="CW10" s="189">
        <v>2428</v>
      </c>
      <c r="CX10" s="189">
        <v>2389</v>
      </c>
      <c r="CY10" s="189">
        <v>2294</v>
      </c>
      <c r="CZ10" s="189">
        <v>2225</v>
      </c>
      <c r="DA10" s="189">
        <v>2203</v>
      </c>
      <c r="DB10" s="189">
        <v>2273</v>
      </c>
      <c r="DC10" s="189">
        <v>2284</v>
      </c>
      <c r="DD10" s="189">
        <v>2240</v>
      </c>
      <c r="DE10" s="189">
        <v>2049</v>
      </c>
      <c r="DF10" s="189">
        <v>1937</v>
      </c>
      <c r="DG10" s="189">
        <v>1881</v>
      </c>
      <c r="DH10" s="189">
        <v>1951</v>
      </c>
      <c r="DI10" s="189">
        <v>2038</v>
      </c>
      <c r="DJ10" s="189">
        <v>2084</v>
      </c>
      <c r="DK10" s="189">
        <v>2126</v>
      </c>
      <c r="DL10" s="189">
        <v>2172</v>
      </c>
      <c r="DM10" s="189">
        <v>2215</v>
      </c>
      <c r="DN10" s="189">
        <v>2290</v>
      </c>
      <c r="DO10" s="189">
        <v>2391</v>
      </c>
      <c r="DP10" s="189">
        <v>2440</v>
      </c>
      <c r="DQ10" s="189">
        <v>2374</v>
      </c>
      <c r="DR10" s="189">
        <v>2352</v>
      </c>
      <c r="DS10" s="189">
        <v>2308</v>
      </c>
      <c r="DT10" s="189">
        <v>2452</v>
      </c>
      <c r="DU10" s="189">
        <v>2552</v>
      </c>
      <c r="DV10" s="189">
        <v>2686</v>
      </c>
      <c r="DW10" s="189">
        <v>2798</v>
      </c>
      <c r="DX10" s="189">
        <v>2880</v>
      </c>
      <c r="DY10" s="189">
        <v>3001</v>
      </c>
      <c r="DZ10" s="189">
        <v>3063</v>
      </c>
      <c r="EA10" s="189">
        <v>3075</v>
      </c>
      <c r="EB10" s="189">
        <v>2920</v>
      </c>
      <c r="EC10" s="189">
        <v>2729</v>
      </c>
      <c r="ED10" s="189">
        <v>2627</v>
      </c>
      <c r="EE10" s="189">
        <v>2717</v>
      </c>
      <c r="EF10" s="189">
        <v>2855</v>
      </c>
      <c r="EG10" s="189">
        <v>2994</v>
      </c>
      <c r="EH10" s="189">
        <v>3085</v>
      </c>
      <c r="EI10" s="189">
        <v>3096</v>
      </c>
      <c r="EJ10" s="189">
        <v>3086</v>
      </c>
      <c r="EK10" s="189">
        <v>3058</v>
      </c>
      <c r="EL10" s="189">
        <v>3052</v>
      </c>
      <c r="EM10" s="189">
        <v>3064</v>
      </c>
      <c r="EN10" s="189">
        <v>3009</v>
      </c>
      <c r="EO10" s="189">
        <v>2913</v>
      </c>
      <c r="EP10" s="189">
        <v>2810</v>
      </c>
      <c r="EQ10" s="189">
        <v>2854</v>
      </c>
      <c r="ER10" s="189">
        <v>3021</v>
      </c>
      <c r="ES10" s="189">
        <v>3151</v>
      </c>
      <c r="ET10" s="189">
        <v>3199</v>
      </c>
      <c r="EU10" s="189">
        <v>3242</v>
      </c>
      <c r="EV10" s="189">
        <v>3288</v>
      </c>
      <c r="EW10" s="189">
        <v>3335</v>
      </c>
      <c r="EX10" s="189">
        <v>3392</v>
      </c>
      <c r="EY10" s="189">
        <v>3355</v>
      </c>
      <c r="EZ10" s="189">
        <v>3296</v>
      </c>
      <c r="FA10" s="189">
        <v>2977</v>
      </c>
      <c r="FB10" s="189">
        <v>2817</v>
      </c>
      <c r="FC10" s="189">
        <v>2775</v>
      </c>
      <c r="FD10" s="189">
        <v>2986</v>
      </c>
      <c r="FE10" s="190">
        <v>3140</v>
      </c>
      <c r="FF10" s="190">
        <v>3244</v>
      </c>
      <c r="FG10" s="190">
        <v>3269</v>
      </c>
      <c r="FH10" s="190">
        <v>3313</v>
      </c>
      <c r="FI10" s="190">
        <v>3355</v>
      </c>
      <c r="FJ10" s="190">
        <v>3426</v>
      </c>
      <c r="FK10" s="190">
        <v>3490</v>
      </c>
      <c r="FL10" s="190">
        <v>3383</v>
      </c>
      <c r="FM10" s="190">
        <v>3157</v>
      </c>
      <c r="FN10" s="190">
        <v>3050</v>
      </c>
      <c r="FO10" s="207">
        <f t="shared" si="15"/>
        <v>-107</v>
      </c>
      <c r="FQ10" s="43">
        <f t="shared" si="16"/>
        <v>3490</v>
      </c>
    </row>
    <row r="11" spans="2:174" s="20" customFormat="1" ht="15" customHeight="1" x14ac:dyDescent="0.2">
      <c r="B11" s="31" t="s">
        <v>28</v>
      </c>
      <c r="C11" s="189">
        <v>7240</v>
      </c>
      <c r="D11" s="189">
        <v>7332</v>
      </c>
      <c r="E11" s="189">
        <v>7378</v>
      </c>
      <c r="F11" s="189">
        <v>7395</v>
      </c>
      <c r="G11" s="189">
        <v>7473</v>
      </c>
      <c r="H11" s="189">
        <v>7501</v>
      </c>
      <c r="I11" s="189">
        <v>7550</v>
      </c>
      <c r="J11" s="189">
        <v>7505</v>
      </c>
      <c r="K11" s="189">
        <v>7499</v>
      </c>
      <c r="L11" s="189">
        <v>7402</v>
      </c>
      <c r="M11" s="189">
        <v>7352</v>
      </c>
      <c r="N11" s="189">
        <v>7292</v>
      </c>
      <c r="O11" s="189">
        <v>7365</v>
      </c>
      <c r="P11" s="189">
        <v>7396</v>
      </c>
      <c r="Q11" s="189">
        <v>7405</v>
      </c>
      <c r="R11" s="189">
        <v>7459</v>
      </c>
      <c r="S11" s="189">
        <v>7529</v>
      </c>
      <c r="T11" s="189">
        <v>7532</v>
      </c>
      <c r="U11" s="189">
        <v>7519</v>
      </c>
      <c r="V11" s="189">
        <v>7459</v>
      </c>
      <c r="W11" s="189">
        <v>7482</v>
      </c>
      <c r="X11" s="189">
        <v>7411</v>
      </c>
      <c r="Y11" s="189">
        <v>7424</v>
      </c>
      <c r="Z11" s="189">
        <v>7468</v>
      </c>
      <c r="AA11" s="189">
        <v>7552</v>
      </c>
      <c r="AB11" s="189">
        <v>7606</v>
      </c>
      <c r="AC11" s="189">
        <v>7632</v>
      </c>
      <c r="AD11" s="189">
        <v>7599</v>
      </c>
      <c r="AE11" s="189">
        <v>7626</v>
      </c>
      <c r="AF11" s="189">
        <v>7662</v>
      </c>
      <c r="AG11" s="189">
        <v>7643</v>
      </c>
      <c r="AH11" s="189">
        <v>7696</v>
      </c>
      <c r="AI11" s="189">
        <v>7682</v>
      </c>
      <c r="AJ11" s="189">
        <v>7647</v>
      </c>
      <c r="AK11" s="189">
        <v>7581</v>
      </c>
      <c r="AL11" s="189">
        <v>7556</v>
      </c>
      <c r="AM11" s="189">
        <v>7568</v>
      </c>
      <c r="AN11" s="189">
        <v>7648</v>
      </c>
      <c r="AO11" s="189">
        <v>7640</v>
      </c>
      <c r="AP11" s="189">
        <v>7618</v>
      </c>
      <c r="AQ11" s="189">
        <v>7620</v>
      </c>
      <c r="AR11" s="189">
        <v>7624</v>
      </c>
      <c r="AS11" s="189">
        <v>7630</v>
      </c>
      <c r="AT11" s="189">
        <v>7593</v>
      </c>
      <c r="AU11" s="189">
        <v>7519</v>
      </c>
      <c r="AV11" s="189">
        <v>7524</v>
      </c>
      <c r="AW11" s="189">
        <v>7562</v>
      </c>
      <c r="AX11" s="189">
        <v>7536</v>
      </c>
      <c r="AY11" s="189">
        <v>7500</v>
      </c>
      <c r="AZ11" s="189">
        <v>7531</v>
      </c>
      <c r="BA11" s="189">
        <v>7542</v>
      </c>
      <c r="BB11" s="189">
        <v>7589</v>
      </c>
      <c r="BC11" s="189">
        <v>7540</v>
      </c>
      <c r="BD11" s="189">
        <v>7666</v>
      </c>
      <c r="BE11" s="189">
        <v>7683</v>
      </c>
      <c r="BF11" s="189">
        <v>7749</v>
      </c>
      <c r="BG11" s="189">
        <v>7767</v>
      </c>
      <c r="BH11" s="189">
        <v>7745</v>
      </c>
      <c r="BI11" s="189">
        <v>7638</v>
      </c>
      <c r="BJ11" s="189">
        <v>7616</v>
      </c>
      <c r="BK11" s="189">
        <v>7629</v>
      </c>
      <c r="BL11" s="189">
        <v>7542</v>
      </c>
      <c r="BM11" s="189">
        <v>7487</v>
      </c>
      <c r="BN11" s="189">
        <v>7414</v>
      </c>
      <c r="BO11" s="189">
        <v>7432</v>
      </c>
      <c r="BP11" s="189">
        <v>7393</v>
      </c>
      <c r="BQ11" s="189">
        <v>7435</v>
      </c>
      <c r="BR11" s="189">
        <v>7503</v>
      </c>
      <c r="BS11" s="189">
        <v>7529</v>
      </c>
      <c r="BT11" s="189">
        <v>7494</v>
      </c>
      <c r="BU11" s="189">
        <v>7507</v>
      </c>
      <c r="BV11" s="189">
        <v>7536</v>
      </c>
      <c r="BW11" s="189">
        <v>7550</v>
      </c>
      <c r="BX11" s="189">
        <v>7532</v>
      </c>
      <c r="BY11" s="189">
        <v>7529</v>
      </c>
      <c r="BZ11" s="189">
        <v>7519</v>
      </c>
      <c r="CA11" s="189">
        <v>7527</v>
      </c>
      <c r="CB11" s="189">
        <v>7549</v>
      </c>
      <c r="CC11" s="189">
        <v>7555</v>
      </c>
      <c r="CD11" s="189">
        <v>7553</v>
      </c>
      <c r="CE11" s="189">
        <v>7574</v>
      </c>
      <c r="CF11" s="189">
        <v>7605</v>
      </c>
      <c r="CG11" s="189">
        <v>7621</v>
      </c>
      <c r="CH11" s="189">
        <v>7601</v>
      </c>
      <c r="CI11" s="189">
        <v>7675</v>
      </c>
      <c r="CJ11" s="189">
        <v>7641</v>
      </c>
      <c r="CK11" s="189">
        <v>7577</v>
      </c>
      <c r="CL11" s="189">
        <v>7557</v>
      </c>
      <c r="CM11" s="189">
        <v>7561</v>
      </c>
      <c r="CN11" s="189">
        <v>7561</v>
      </c>
      <c r="CO11" s="189">
        <v>7532</v>
      </c>
      <c r="CP11" s="189">
        <v>7531</v>
      </c>
      <c r="CQ11" s="189">
        <v>7540</v>
      </c>
      <c r="CR11" s="189">
        <v>7626</v>
      </c>
      <c r="CS11" s="189">
        <v>7633</v>
      </c>
      <c r="CT11" s="189">
        <v>7576</v>
      </c>
      <c r="CU11" s="189">
        <v>7749</v>
      </c>
      <c r="CV11" s="189">
        <v>7857</v>
      </c>
      <c r="CW11" s="189">
        <v>8116</v>
      </c>
      <c r="CX11" s="189">
        <v>8168</v>
      </c>
      <c r="CY11" s="189">
        <v>8047</v>
      </c>
      <c r="CZ11" s="189">
        <v>7927</v>
      </c>
      <c r="DA11" s="189">
        <v>7901</v>
      </c>
      <c r="DB11" s="189">
        <v>7957</v>
      </c>
      <c r="DC11" s="189">
        <v>8091</v>
      </c>
      <c r="DD11" s="189">
        <v>8091</v>
      </c>
      <c r="DE11" s="189">
        <v>8227</v>
      </c>
      <c r="DF11" s="189">
        <v>8276</v>
      </c>
      <c r="DG11" s="189">
        <v>8183</v>
      </c>
      <c r="DH11" s="189">
        <v>8095</v>
      </c>
      <c r="DI11" s="189">
        <v>8119</v>
      </c>
      <c r="DJ11" s="189">
        <v>7944</v>
      </c>
      <c r="DK11" s="189">
        <v>7849</v>
      </c>
      <c r="DL11" s="189">
        <v>7632</v>
      </c>
      <c r="DM11" s="189">
        <v>7575</v>
      </c>
      <c r="DN11" s="189">
        <v>7464</v>
      </c>
      <c r="DO11" s="189">
        <v>7469</v>
      </c>
      <c r="DP11" s="189">
        <v>7474</v>
      </c>
      <c r="DQ11" s="189">
        <v>7540</v>
      </c>
      <c r="DR11" s="189">
        <v>7552</v>
      </c>
      <c r="DS11" s="189">
        <v>7556</v>
      </c>
      <c r="DT11" s="189">
        <v>7624</v>
      </c>
      <c r="DU11" s="189">
        <v>7630</v>
      </c>
      <c r="DV11" s="189">
        <v>7693</v>
      </c>
      <c r="DW11" s="189">
        <v>7718</v>
      </c>
      <c r="DX11" s="189">
        <v>7687</v>
      </c>
      <c r="DY11" s="189">
        <v>7640</v>
      </c>
      <c r="DZ11" s="189">
        <v>7693</v>
      </c>
      <c r="EA11" s="189">
        <v>7638</v>
      </c>
      <c r="EB11" s="189">
        <v>7607</v>
      </c>
      <c r="EC11" s="189">
        <v>7489</v>
      </c>
      <c r="ED11" s="189">
        <v>7534</v>
      </c>
      <c r="EE11" s="189">
        <v>7527</v>
      </c>
      <c r="EF11" s="189">
        <v>7557</v>
      </c>
      <c r="EG11" s="189">
        <v>7520</v>
      </c>
      <c r="EH11" s="189">
        <v>7546</v>
      </c>
      <c r="EI11" s="189">
        <v>7573</v>
      </c>
      <c r="EJ11" s="189">
        <v>7545</v>
      </c>
      <c r="EK11" s="189">
        <v>7565</v>
      </c>
      <c r="EL11" s="189">
        <v>7491</v>
      </c>
      <c r="EM11" s="189">
        <v>7458</v>
      </c>
      <c r="EN11" s="189">
        <v>7528</v>
      </c>
      <c r="EO11" s="189">
        <v>7537</v>
      </c>
      <c r="EP11" s="189">
        <v>7563</v>
      </c>
      <c r="EQ11" s="189">
        <v>7570</v>
      </c>
      <c r="ER11" s="189">
        <v>7614</v>
      </c>
      <c r="ES11" s="189">
        <v>7674</v>
      </c>
      <c r="ET11" s="189">
        <v>7686</v>
      </c>
      <c r="EU11" s="189">
        <v>7662</v>
      </c>
      <c r="EV11" s="189">
        <v>7728</v>
      </c>
      <c r="EW11" s="189">
        <v>7721</v>
      </c>
      <c r="EX11" s="189">
        <v>7722</v>
      </c>
      <c r="EY11" s="189">
        <v>7772</v>
      </c>
      <c r="EZ11" s="189">
        <v>7752</v>
      </c>
      <c r="FA11" s="189">
        <v>7852</v>
      </c>
      <c r="FB11" s="189">
        <v>7902</v>
      </c>
      <c r="FC11" s="189">
        <v>7989</v>
      </c>
      <c r="FD11" s="189">
        <v>7948</v>
      </c>
      <c r="FE11" s="190">
        <v>7978</v>
      </c>
      <c r="FF11" s="190">
        <v>7940</v>
      </c>
      <c r="FG11" s="190">
        <v>7928</v>
      </c>
      <c r="FH11" s="190">
        <v>7850</v>
      </c>
      <c r="FI11" s="190">
        <v>7889</v>
      </c>
      <c r="FJ11" s="190">
        <v>7894</v>
      </c>
      <c r="FK11" s="190">
        <v>7995</v>
      </c>
      <c r="FL11" s="190">
        <v>8002</v>
      </c>
      <c r="FM11" s="190">
        <v>8071</v>
      </c>
      <c r="FN11" s="190">
        <v>8053</v>
      </c>
      <c r="FO11" s="207">
        <f t="shared" si="15"/>
        <v>-18</v>
      </c>
      <c r="FQ11" s="43">
        <f t="shared" si="16"/>
        <v>8276</v>
      </c>
    </row>
    <row r="12" spans="2:174" s="20" customFormat="1" ht="15" customHeight="1" x14ac:dyDescent="0.2">
      <c r="B12" s="31" t="s">
        <v>29</v>
      </c>
      <c r="C12" s="189" t="s">
        <v>23</v>
      </c>
      <c r="D12" s="189" t="s">
        <v>23</v>
      </c>
      <c r="E12" s="189" t="s">
        <v>23</v>
      </c>
      <c r="F12" s="189" t="s">
        <v>23</v>
      </c>
      <c r="G12" s="189" t="s">
        <v>23</v>
      </c>
      <c r="H12" s="189" t="s">
        <v>23</v>
      </c>
      <c r="I12" s="189" t="s">
        <v>23</v>
      </c>
      <c r="J12" s="189" t="s">
        <v>23</v>
      </c>
      <c r="K12" s="189" t="s">
        <v>23</v>
      </c>
      <c r="L12" s="189" t="s">
        <v>23</v>
      </c>
      <c r="M12" s="189" t="s">
        <v>23</v>
      </c>
      <c r="N12" s="189" t="s">
        <v>23</v>
      </c>
      <c r="O12" s="189" t="s">
        <v>23</v>
      </c>
      <c r="P12" s="189" t="s">
        <v>23</v>
      </c>
      <c r="Q12" s="189" t="s">
        <v>23</v>
      </c>
      <c r="R12" s="189" t="s">
        <v>23</v>
      </c>
      <c r="S12" s="189" t="s">
        <v>23</v>
      </c>
      <c r="T12" s="189" t="s">
        <v>23</v>
      </c>
      <c r="U12" s="189" t="s">
        <v>23</v>
      </c>
      <c r="V12" s="189" t="s">
        <v>23</v>
      </c>
      <c r="W12" s="189" t="s">
        <v>23</v>
      </c>
      <c r="X12" s="189" t="s">
        <v>23</v>
      </c>
      <c r="Y12" s="189" t="s">
        <v>23</v>
      </c>
      <c r="Z12" s="189" t="s">
        <v>23</v>
      </c>
      <c r="AA12" s="189" t="s">
        <v>23</v>
      </c>
      <c r="AB12" s="189" t="s">
        <v>23</v>
      </c>
      <c r="AC12" s="189" t="s">
        <v>23</v>
      </c>
      <c r="AD12" s="189" t="s">
        <v>23</v>
      </c>
      <c r="AE12" s="189" t="s">
        <v>23</v>
      </c>
      <c r="AF12" s="189" t="s">
        <v>23</v>
      </c>
      <c r="AG12" s="189" t="s">
        <v>23</v>
      </c>
      <c r="AH12" s="189" t="s">
        <v>23</v>
      </c>
      <c r="AI12" s="189" t="s">
        <v>23</v>
      </c>
      <c r="AJ12" s="189" t="s">
        <v>23</v>
      </c>
      <c r="AK12" s="189" t="s">
        <v>23</v>
      </c>
      <c r="AL12" s="189" t="s">
        <v>23</v>
      </c>
      <c r="AM12" s="189" t="s">
        <v>23</v>
      </c>
      <c r="AN12" s="189" t="s">
        <v>23</v>
      </c>
      <c r="AO12" s="189" t="s">
        <v>23</v>
      </c>
      <c r="AP12" s="189" t="s">
        <v>23</v>
      </c>
      <c r="AQ12" s="189" t="s">
        <v>23</v>
      </c>
      <c r="AR12" s="189" t="s">
        <v>23</v>
      </c>
      <c r="AS12" s="189" t="s">
        <v>23</v>
      </c>
      <c r="AT12" s="189" t="s">
        <v>23</v>
      </c>
      <c r="AU12" s="189" t="s">
        <v>23</v>
      </c>
      <c r="AV12" s="189">
        <v>3206</v>
      </c>
      <c r="AW12" s="189">
        <v>3141</v>
      </c>
      <c r="AX12" s="189">
        <v>3063</v>
      </c>
      <c r="AY12" s="189">
        <v>3035</v>
      </c>
      <c r="AZ12" s="189">
        <v>3032</v>
      </c>
      <c r="BA12" s="189">
        <v>3087</v>
      </c>
      <c r="BB12" s="189">
        <v>3037</v>
      </c>
      <c r="BC12" s="189">
        <v>3105</v>
      </c>
      <c r="BD12" s="189">
        <v>3183</v>
      </c>
      <c r="BE12" s="189">
        <v>3278</v>
      </c>
      <c r="BF12" s="189">
        <v>3324</v>
      </c>
      <c r="BG12" s="189">
        <v>3367</v>
      </c>
      <c r="BH12" s="189">
        <v>3338</v>
      </c>
      <c r="BI12" s="189">
        <v>3347</v>
      </c>
      <c r="BJ12" s="189">
        <v>3266</v>
      </c>
      <c r="BK12" s="189">
        <v>3285</v>
      </c>
      <c r="BL12" s="189">
        <v>3263</v>
      </c>
      <c r="BM12" s="189">
        <v>3247</v>
      </c>
      <c r="BN12" s="189">
        <v>3284</v>
      </c>
      <c r="BO12" s="189">
        <v>3325</v>
      </c>
      <c r="BP12" s="189">
        <v>3287</v>
      </c>
      <c r="BQ12" s="189">
        <v>3297</v>
      </c>
      <c r="BR12" s="189">
        <v>3354</v>
      </c>
      <c r="BS12" s="189">
        <v>3416</v>
      </c>
      <c r="BT12" s="189">
        <v>3423</v>
      </c>
      <c r="BU12" s="189">
        <v>3390</v>
      </c>
      <c r="BV12" s="189">
        <v>3381</v>
      </c>
      <c r="BW12" s="189">
        <v>3374</v>
      </c>
      <c r="BX12" s="189">
        <v>3347</v>
      </c>
      <c r="BY12" s="189">
        <v>3339</v>
      </c>
      <c r="BZ12" s="189">
        <v>3358</v>
      </c>
      <c r="CA12" s="189">
        <v>3406</v>
      </c>
      <c r="CB12" s="189">
        <v>3417</v>
      </c>
      <c r="CC12" s="189">
        <v>3417</v>
      </c>
      <c r="CD12" s="189">
        <v>3492</v>
      </c>
      <c r="CE12" s="189">
        <v>3489</v>
      </c>
      <c r="CF12" s="189">
        <v>3522</v>
      </c>
      <c r="CG12" s="189">
        <v>3541</v>
      </c>
      <c r="CH12" s="189">
        <v>3565</v>
      </c>
      <c r="CI12" s="189">
        <v>3495</v>
      </c>
      <c r="CJ12" s="189">
        <v>3428</v>
      </c>
      <c r="CK12" s="189">
        <v>3445</v>
      </c>
      <c r="CL12" s="189">
        <v>3410</v>
      </c>
      <c r="CM12" s="189">
        <v>3394</v>
      </c>
      <c r="CN12" s="189">
        <v>3428</v>
      </c>
      <c r="CO12" s="189">
        <v>3483</v>
      </c>
      <c r="CP12" s="189">
        <v>3576</v>
      </c>
      <c r="CQ12" s="189">
        <v>3613</v>
      </c>
      <c r="CR12" s="189">
        <v>3555</v>
      </c>
      <c r="CS12" s="189">
        <v>3530</v>
      </c>
      <c r="CT12" s="189">
        <v>3509</v>
      </c>
      <c r="CU12" s="189">
        <v>3493</v>
      </c>
      <c r="CV12" s="189">
        <v>3358</v>
      </c>
      <c r="CW12" s="189">
        <v>3242</v>
      </c>
      <c r="CX12" s="189">
        <v>3190</v>
      </c>
      <c r="CY12" s="189">
        <v>3166</v>
      </c>
      <c r="CZ12" s="189">
        <v>3128</v>
      </c>
      <c r="DA12" s="189">
        <v>3079</v>
      </c>
      <c r="DB12" s="189">
        <v>3117</v>
      </c>
      <c r="DC12" s="189">
        <v>3165</v>
      </c>
      <c r="DD12" s="189">
        <v>3163</v>
      </c>
      <c r="DE12" s="189">
        <v>3104</v>
      </c>
      <c r="DF12" s="189">
        <v>3065</v>
      </c>
      <c r="DG12" s="189">
        <v>2992</v>
      </c>
      <c r="DH12" s="189">
        <v>2997</v>
      </c>
      <c r="DI12" s="189">
        <v>2962</v>
      </c>
      <c r="DJ12" s="189">
        <v>2998</v>
      </c>
      <c r="DK12" s="189">
        <v>2928</v>
      </c>
      <c r="DL12" s="189">
        <v>2973</v>
      </c>
      <c r="DM12" s="189">
        <v>3009</v>
      </c>
      <c r="DN12" s="189">
        <v>3051</v>
      </c>
      <c r="DO12" s="189">
        <v>3057</v>
      </c>
      <c r="DP12" s="189">
        <v>3070</v>
      </c>
      <c r="DQ12" s="189">
        <v>3192</v>
      </c>
      <c r="DR12" s="189">
        <v>3231</v>
      </c>
      <c r="DS12" s="189">
        <v>3247</v>
      </c>
      <c r="DT12" s="189">
        <v>3257</v>
      </c>
      <c r="DU12" s="189">
        <v>3348</v>
      </c>
      <c r="DV12" s="189">
        <v>3369</v>
      </c>
      <c r="DW12" s="189">
        <v>3435</v>
      </c>
      <c r="DX12" s="189">
        <v>3445</v>
      </c>
      <c r="DY12" s="189">
        <v>3474</v>
      </c>
      <c r="DZ12" s="189">
        <v>3474</v>
      </c>
      <c r="EA12" s="189">
        <v>3431</v>
      </c>
      <c r="EB12" s="189">
        <v>3367</v>
      </c>
      <c r="EC12" s="189">
        <v>3336</v>
      </c>
      <c r="ED12" s="189">
        <v>3302</v>
      </c>
      <c r="EE12" s="189">
        <v>3335</v>
      </c>
      <c r="EF12" s="189">
        <v>3306</v>
      </c>
      <c r="EG12" s="189">
        <v>3300</v>
      </c>
      <c r="EH12" s="189">
        <v>3323</v>
      </c>
      <c r="EI12" s="189">
        <v>3337</v>
      </c>
      <c r="EJ12" s="189">
        <v>3354</v>
      </c>
      <c r="EK12" s="189">
        <v>3358</v>
      </c>
      <c r="EL12" s="189">
        <v>3376</v>
      </c>
      <c r="EM12" s="189">
        <v>3339</v>
      </c>
      <c r="EN12" s="189">
        <v>3336</v>
      </c>
      <c r="EO12" s="189">
        <v>3330</v>
      </c>
      <c r="EP12" s="189">
        <v>3354</v>
      </c>
      <c r="EQ12" s="189">
        <v>3259</v>
      </c>
      <c r="ER12" s="189">
        <v>3279</v>
      </c>
      <c r="ES12" s="189">
        <v>3304</v>
      </c>
      <c r="ET12" s="189">
        <v>3416</v>
      </c>
      <c r="EU12" s="189">
        <v>3373</v>
      </c>
      <c r="EV12" s="189">
        <v>3399</v>
      </c>
      <c r="EW12" s="189">
        <v>3401</v>
      </c>
      <c r="EX12" s="189">
        <v>3414</v>
      </c>
      <c r="EY12" s="189">
        <v>3429</v>
      </c>
      <c r="EZ12" s="189">
        <v>3432</v>
      </c>
      <c r="FA12" s="189">
        <v>3419</v>
      </c>
      <c r="FB12" s="189">
        <v>3415</v>
      </c>
      <c r="FC12" s="189">
        <v>3398</v>
      </c>
      <c r="FD12" s="189">
        <v>3384</v>
      </c>
      <c r="FE12" s="190">
        <v>3346</v>
      </c>
      <c r="FF12" s="190">
        <v>3407</v>
      </c>
      <c r="FG12" s="190">
        <v>3360</v>
      </c>
      <c r="FH12" s="190">
        <v>3394</v>
      </c>
      <c r="FI12" s="190">
        <v>3383</v>
      </c>
      <c r="FJ12" s="190">
        <v>3371</v>
      </c>
      <c r="FK12" s="190">
        <v>3337</v>
      </c>
      <c r="FL12" s="190">
        <v>3364</v>
      </c>
      <c r="FM12" s="190">
        <v>3409</v>
      </c>
      <c r="FN12" s="190">
        <v>3436</v>
      </c>
      <c r="FO12" s="207">
        <f t="shared" si="15"/>
        <v>27</v>
      </c>
      <c r="FQ12" s="43">
        <f t="shared" si="16"/>
        <v>3613</v>
      </c>
    </row>
    <row r="13" spans="2:174" s="20" customFormat="1" ht="15" customHeight="1" x14ac:dyDescent="0.2">
      <c r="B13" s="31" t="s">
        <v>30</v>
      </c>
      <c r="C13" s="189" t="s">
        <v>23</v>
      </c>
      <c r="D13" s="189" t="s">
        <v>23</v>
      </c>
      <c r="E13" s="189" t="s">
        <v>23</v>
      </c>
      <c r="F13" s="189" t="s">
        <v>23</v>
      </c>
      <c r="G13" s="189" t="s">
        <v>23</v>
      </c>
      <c r="H13" s="189" t="s">
        <v>23</v>
      </c>
      <c r="I13" s="189" t="s">
        <v>23</v>
      </c>
      <c r="J13" s="189" t="s">
        <v>23</v>
      </c>
      <c r="K13" s="189" t="s">
        <v>23</v>
      </c>
      <c r="L13" s="189" t="s">
        <v>23</v>
      </c>
      <c r="M13" s="189" t="s">
        <v>23</v>
      </c>
      <c r="N13" s="189" t="s">
        <v>23</v>
      </c>
      <c r="O13" s="189" t="s">
        <v>23</v>
      </c>
      <c r="P13" s="189" t="s">
        <v>23</v>
      </c>
      <c r="Q13" s="189" t="s">
        <v>23</v>
      </c>
      <c r="R13" s="189" t="s">
        <v>23</v>
      </c>
      <c r="S13" s="189" t="s">
        <v>23</v>
      </c>
      <c r="T13" s="189" t="s">
        <v>23</v>
      </c>
      <c r="U13" s="189" t="s">
        <v>23</v>
      </c>
      <c r="V13" s="189" t="s">
        <v>23</v>
      </c>
      <c r="W13" s="189" t="s">
        <v>23</v>
      </c>
      <c r="X13" s="189" t="s">
        <v>23</v>
      </c>
      <c r="Y13" s="189" t="s">
        <v>23</v>
      </c>
      <c r="Z13" s="189" t="s">
        <v>23</v>
      </c>
      <c r="AA13" s="189" t="s">
        <v>23</v>
      </c>
      <c r="AB13" s="189" t="s">
        <v>23</v>
      </c>
      <c r="AC13" s="189" t="s">
        <v>23</v>
      </c>
      <c r="AD13" s="189" t="s">
        <v>23</v>
      </c>
      <c r="AE13" s="189" t="s">
        <v>23</v>
      </c>
      <c r="AF13" s="189" t="s">
        <v>23</v>
      </c>
      <c r="AG13" s="189" t="s">
        <v>23</v>
      </c>
      <c r="AH13" s="189" t="s">
        <v>23</v>
      </c>
      <c r="AI13" s="189" t="s">
        <v>23</v>
      </c>
      <c r="AJ13" s="189" t="s">
        <v>23</v>
      </c>
      <c r="AK13" s="189" t="s">
        <v>23</v>
      </c>
      <c r="AL13" s="189" t="s">
        <v>23</v>
      </c>
      <c r="AM13" s="189" t="s">
        <v>23</v>
      </c>
      <c r="AN13" s="189" t="s">
        <v>23</v>
      </c>
      <c r="AO13" s="189" t="s">
        <v>23</v>
      </c>
      <c r="AP13" s="189" t="s">
        <v>23</v>
      </c>
      <c r="AQ13" s="189" t="s">
        <v>23</v>
      </c>
      <c r="AR13" s="189" t="s">
        <v>23</v>
      </c>
      <c r="AS13" s="189" t="s">
        <v>23</v>
      </c>
      <c r="AT13" s="189" t="s">
        <v>23</v>
      </c>
      <c r="AU13" s="189" t="s">
        <v>23</v>
      </c>
      <c r="AV13" s="189">
        <v>4252</v>
      </c>
      <c r="AW13" s="189">
        <v>4395</v>
      </c>
      <c r="AX13" s="189">
        <v>4514</v>
      </c>
      <c r="AY13" s="189">
        <v>4509</v>
      </c>
      <c r="AZ13" s="189">
        <v>4382</v>
      </c>
      <c r="BA13" s="189">
        <v>4316</v>
      </c>
      <c r="BB13" s="189">
        <v>4288</v>
      </c>
      <c r="BC13" s="189">
        <v>4153</v>
      </c>
      <c r="BD13" s="189">
        <v>4154</v>
      </c>
      <c r="BE13" s="189">
        <v>4016</v>
      </c>
      <c r="BF13" s="189">
        <v>3986</v>
      </c>
      <c r="BG13" s="189">
        <v>3939</v>
      </c>
      <c r="BH13" s="189">
        <v>3931</v>
      </c>
      <c r="BI13" s="189">
        <v>3966</v>
      </c>
      <c r="BJ13" s="189">
        <v>3985</v>
      </c>
      <c r="BK13" s="189">
        <v>3993</v>
      </c>
      <c r="BL13" s="189">
        <v>4012</v>
      </c>
      <c r="BM13" s="189">
        <v>4040</v>
      </c>
      <c r="BN13" s="189">
        <v>4030</v>
      </c>
      <c r="BO13" s="189">
        <v>4056</v>
      </c>
      <c r="BP13" s="189">
        <v>4095</v>
      </c>
      <c r="BQ13" s="189">
        <v>4122</v>
      </c>
      <c r="BR13" s="189">
        <v>4186</v>
      </c>
      <c r="BS13" s="189">
        <v>4263</v>
      </c>
      <c r="BT13" s="189">
        <v>4364</v>
      </c>
      <c r="BU13" s="189">
        <v>4348</v>
      </c>
      <c r="BV13" s="189">
        <v>4309</v>
      </c>
      <c r="BW13" s="189">
        <v>4255</v>
      </c>
      <c r="BX13" s="189">
        <v>4266</v>
      </c>
      <c r="BY13" s="189">
        <v>4249</v>
      </c>
      <c r="BZ13" s="189">
        <v>4330</v>
      </c>
      <c r="CA13" s="189">
        <v>4375</v>
      </c>
      <c r="CB13" s="189">
        <v>4412</v>
      </c>
      <c r="CC13" s="189">
        <v>4455</v>
      </c>
      <c r="CD13" s="189">
        <v>4503</v>
      </c>
      <c r="CE13" s="189">
        <v>4566</v>
      </c>
      <c r="CF13" s="189">
        <v>4579</v>
      </c>
      <c r="CG13" s="189">
        <v>4622</v>
      </c>
      <c r="CH13" s="189">
        <v>4650</v>
      </c>
      <c r="CI13" s="189">
        <v>4647</v>
      </c>
      <c r="CJ13" s="189">
        <v>4624</v>
      </c>
      <c r="CK13" s="189">
        <v>4637</v>
      </c>
      <c r="CL13" s="189">
        <v>4636</v>
      </c>
      <c r="CM13" s="189">
        <v>4702</v>
      </c>
      <c r="CN13" s="189">
        <v>4770</v>
      </c>
      <c r="CO13" s="189">
        <v>4839</v>
      </c>
      <c r="CP13" s="189">
        <v>4873</v>
      </c>
      <c r="CQ13" s="189">
        <v>4928</v>
      </c>
      <c r="CR13" s="189">
        <v>4990</v>
      </c>
      <c r="CS13" s="189">
        <v>5123</v>
      </c>
      <c r="CT13" s="189">
        <v>5200</v>
      </c>
      <c r="CU13" s="189">
        <v>5327</v>
      </c>
      <c r="CV13" s="189">
        <v>5405</v>
      </c>
      <c r="CW13" s="189">
        <v>5370</v>
      </c>
      <c r="CX13" s="189">
        <v>5234</v>
      </c>
      <c r="CY13" s="189">
        <v>5068</v>
      </c>
      <c r="CZ13" s="189">
        <v>4957</v>
      </c>
      <c r="DA13" s="189">
        <v>5010</v>
      </c>
      <c r="DB13" s="189">
        <v>5172</v>
      </c>
      <c r="DC13" s="189">
        <v>5261</v>
      </c>
      <c r="DD13" s="189">
        <v>5402</v>
      </c>
      <c r="DE13" s="189">
        <v>5381</v>
      </c>
      <c r="DF13" s="189">
        <v>5592</v>
      </c>
      <c r="DG13" s="189">
        <v>5706</v>
      </c>
      <c r="DH13" s="189">
        <v>5716</v>
      </c>
      <c r="DI13" s="189">
        <v>5705</v>
      </c>
      <c r="DJ13" s="189">
        <v>5656</v>
      </c>
      <c r="DK13" s="189">
        <v>5894</v>
      </c>
      <c r="DL13" s="189">
        <v>5932</v>
      </c>
      <c r="DM13" s="189">
        <v>6094</v>
      </c>
      <c r="DN13" s="189">
        <v>6141</v>
      </c>
      <c r="DO13" s="189">
        <v>6252</v>
      </c>
      <c r="DP13" s="189">
        <v>6280</v>
      </c>
      <c r="DQ13" s="189">
        <v>6204</v>
      </c>
      <c r="DR13" s="189">
        <v>6124</v>
      </c>
      <c r="DS13" s="189">
        <v>6101</v>
      </c>
      <c r="DT13" s="189">
        <v>6196</v>
      </c>
      <c r="DU13" s="189">
        <v>6241</v>
      </c>
      <c r="DV13" s="189">
        <v>6305</v>
      </c>
      <c r="DW13" s="189">
        <v>6426</v>
      </c>
      <c r="DX13" s="189">
        <v>6506</v>
      </c>
      <c r="DY13" s="189">
        <v>6537</v>
      </c>
      <c r="DZ13" s="189">
        <v>6605</v>
      </c>
      <c r="EA13" s="189">
        <v>6693</v>
      </c>
      <c r="EB13" s="189">
        <v>6760</v>
      </c>
      <c r="EC13" s="189">
        <v>6538</v>
      </c>
      <c r="ED13" s="189">
        <v>6368</v>
      </c>
      <c r="EE13" s="189">
        <v>6210</v>
      </c>
      <c r="EF13" s="189">
        <v>6164</v>
      </c>
      <c r="EG13" s="189">
        <v>6193</v>
      </c>
      <c r="EH13" s="189">
        <v>6153</v>
      </c>
      <c r="EI13" s="189">
        <v>6132</v>
      </c>
      <c r="EJ13" s="189">
        <v>6196</v>
      </c>
      <c r="EK13" s="189">
        <v>6230</v>
      </c>
      <c r="EL13" s="189">
        <v>6269</v>
      </c>
      <c r="EM13" s="189">
        <v>6262</v>
      </c>
      <c r="EN13" s="189">
        <v>6311</v>
      </c>
      <c r="EO13" s="189">
        <v>6349</v>
      </c>
      <c r="EP13" s="189">
        <v>6392</v>
      </c>
      <c r="EQ13" s="189">
        <v>6318</v>
      </c>
      <c r="ER13" s="189">
        <v>6339</v>
      </c>
      <c r="ES13" s="189">
        <v>6350</v>
      </c>
      <c r="ET13" s="189">
        <v>6392</v>
      </c>
      <c r="EU13" s="189">
        <v>6345</v>
      </c>
      <c r="EV13" s="189">
        <v>6291</v>
      </c>
      <c r="EW13" s="189">
        <v>6307</v>
      </c>
      <c r="EX13" s="189">
        <v>6442</v>
      </c>
      <c r="EY13" s="189">
        <v>6599</v>
      </c>
      <c r="EZ13" s="189">
        <v>6670</v>
      </c>
      <c r="FA13" s="189">
        <v>6611</v>
      </c>
      <c r="FB13" s="189">
        <v>6632</v>
      </c>
      <c r="FC13" s="189">
        <v>6668</v>
      </c>
      <c r="FD13" s="189">
        <v>6720</v>
      </c>
      <c r="FE13" s="190">
        <v>6882</v>
      </c>
      <c r="FF13" s="190">
        <v>6924</v>
      </c>
      <c r="FG13" s="190">
        <v>6940</v>
      </c>
      <c r="FH13" s="190">
        <v>6823</v>
      </c>
      <c r="FI13" s="190">
        <v>6883</v>
      </c>
      <c r="FJ13" s="190">
        <v>6917</v>
      </c>
      <c r="FK13" s="190">
        <v>7009</v>
      </c>
      <c r="FL13" s="190">
        <v>7143</v>
      </c>
      <c r="FM13" s="190">
        <v>7255</v>
      </c>
      <c r="FN13" s="190">
        <v>7298</v>
      </c>
      <c r="FO13" s="207">
        <f t="shared" si="15"/>
        <v>43</v>
      </c>
      <c r="FQ13" s="43">
        <f t="shared" si="16"/>
        <v>7298</v>
      </c>
    </row>
    <row r="14" spans="2:174" s="20" customFormat="1" ht="15" customHeight="1" x14ac:dyDescent="0.2">
      <c r="B14" s="35" t="s">
        <v>31</v>
      </c>
      <c r="C14" s="36" t="s">
        <v>23</v>
      </c>
      <c r="D14" s="36" t="s">
        <v>23</v>
      </c>
      <c r="E14" s="36" t="s">
        <v>23</v>
      </c>
      <c r="F14" s="36" t="s">
        <v>23</v>
      </c>
      <c r="G14" s="36" t="s">
        <v>23</v>
      </c>
      <c r="H14" s="36" t="s">
        <v>23</v>
      </c>
      <c r="I14" s="36" t="s">
        <v>23</v>
      </c>
      <c r="J14" s="36" t="s">
        <v>23</v>
      </c>
      <c r="K14" s="36" t="s">
        <v>23</v>
      </c>
      <c r="L14" s="36" t="s">
        <v>23</v>
      </c>
      <c r="M14" s="36" t="s">
        <v>23</v>
      </c>
      <c r="N14" s="36" t="s">
        <v>23</v>
      </c>
      <c r="O14" s="36" t="s">
        <v>23</v>
      </c>
      <c r="P14" s="36" t="s">
        <v>23</v>
      </c>
      <c r="Q14" s="36" t="s">
        <v>23</v>
      </c>
      <c r="R14" s="36" t="s">
        <v>23</v>
      </c>
      <c r="S14" s="36" t="s">
        <v>23</v>
      </c>
      <c r="T14" s="36" t="s">
        <v>23</v>
      </c>
      <c r="U14" s="36" t="s">
        <v>23</v>
      </c>
      <c r="V14" s="36" t="s">
        <v>23</v>
      </c>
      <c r="W14" s="36" t="s">
        <v>23</v>
      </c>
      <c r="X14" s="36" t="s">
        <v>23</v>
      </c>
      <c r="Y14" s="36" t="s">
        <v>23</v>
      </c>
      <c r="Z14" s="36" t="s">
        <v>23</v>
      </c>
      <c r="AA14" s="36" t="s">
        <v>23</v>
      </c>
      <c r="AB14" s="36" t="s">
        <v>23</v>
      </c>
      <c r="AC14" s="36" t="s">
        <v>23</v>
      </c>
      <c r="AD14" s="36" t="s">
        <v>23</v>
      </c>
      <c r="AE14" s="36" t="s">
        <v>23</v>
      </c>
      <c r="AF14" s="36" t="s">
        <v>23</v>
      </c>
      <c r="AG14" s="36" t="s">
        <v>23</v>
      </c>
      <c r="AH14" s="36" t="s">
        <v>23</v>
      </c>
      <c r="AI14" s="36" t="s">
        <v>23</v>
      </c>
      <c r="AJ14" s="36" t="s">
        <v>23</v>
      </c>
      <c r="AK14" s="36" t="s">
        <v>23</v>
      </c>
      <c r="AL14" s="36" t="s">
        <v>23</v>
      </c>
      <c r="AM14" s="36" t="s">
        <v>23</v>
      </c>
      <c r="AN14" s="36" t="s">
        <v>23</v>
      </c>
      <c r="AO14" s="36" t="s">
        <v>23</v>
      </c>
      <c r="AP14" s="36" t="s">
        <v>23</v>
      </c>
      <c r="AQ14" s="36" t="s">
        <v>23</v>
      </c>
      <c r="AR14" s="36" t="s">
        <v>23</v>
      </c>
      <c r="AS14" s="36" t="s">
        <v>23</v>
      </c>
      <c r="AT14" s="36" t="s">
        <v>23</v>
      </c>
      <c r="AU14" s="36" t="s">
        <v>23</v>
      </c>
      <c r="AV14" s="36">
        <f>SUM(AV15:AV19)</f>
        <v>35077</v>
      </c>
      <c r="AW14" s="36">
        <f t="shared" ref="AW14:CA14" si="17">SUM(AW15:AW19)</f>
        <v>34720</v>
      </c>
      <c r="AX14" s="36">
        <f t="shared" si="17"/>
        <v>34639</v>
      </c>
      <c r="AY14" s="36">
        <f t="shared" si="17"/>
        <v>34458</v>
      </c>
      <c r="AZ14" s="36">
        <f t="shared" si="17"/>
        <v>34570</v>
      </c>
      <c r="BA14" s="36">
        <f t="shared" si="17"/>
        <v>34771</v>
      </c>
      <c r="BB14" s="36">
        <f t="shared" si="17"/>
        <v>34727</v>
      </c>
      <c r="BC14" s="36">
        <f t="shared" si="17"/>
        <v>34630</v>
      </c>
      <c r="BD14" s="36">
        <f t="shared" si="17"/>
        <v>34310</v>
      </c>
      <c r="BE14" s="36">
        <f t="shared" si="17"/>
        <v>34193</v>
      </c>
      <c r="BF14" s="36">
        <f t="shared" si="17"/>
        <v>34261</v>
      </c>
      <c r="BG14" s="36">
        <f t="shared" si="17"/>
        <v>34557</v>
      </c>
      <c r="BH14" s="36">
        <f t="shared" si="17"/>
        <v>34871</v>
      </c>
      <c r="BI14" s="36">
        <f t="shared" si="17"/>
        <v>34841</v>
      </c>
      <c r="BJ14" s="36">
        <f t="shared" si="17"/>
        <v>34688</v>
      </c>
      <c r="BK14" s="36">
        <f t="shared" si="17"/>
        <v>34537</v>
      </c>
      <c r="BL14" s="36">
        <f t="shared" si="17"/>
        <v>34856</v>
      </c>
      <c r="BM14" s="36">
        <f t="shared" si="17"/>
        <v>35182</v>
      </c>
      <c r="BN14" s="36">
        <f t="shared" si="17"/>
        <v>35484</v>
      </c>
      <c r="BO14" s="36">
        <f t="shared" si="17"/>
        <v>35686</v>
      </c>
      <c r="BP14" s="36">
        <f t="shared" si="17"/>
        <v>35993</v>
      </c>
      <c r="BQ14" s="36">
        <f t="shared" si="17"/>
        <v>36279</v>
      </c>
      <c r="BR14" s="36">
        <f t="shared" si="17"/>
        <v>36370</v>
      </c>
      <c r="BS14" s="36">
        <f t="shared" si="17"/>
        <v>36638</v>
      </c>
      <c r="BT14" s="36">
        <f t="shared" si="17"/>
        <v>36700</v>
      </c>
      <c r="BU14" s="36">
        <f t="shared" si="17"/>
        <v>36548</v>
      </c>
      <c r="BV14" s="36">
        <f t="shared" si="17"/>
        <v>36290</v>
      </c>
      <c r="BW14" s="36">
        <f t="shared" si="17"/>
        <v>36087</v>
      </c>
      <c r="BX14" s="36">
        <f t="shared" si="17"/>
        <v>36322</v>
      </c>
      <c r="BY14" s="36">
        <f t="shared" si="17"/>
        <v>36345</v>
      </c>
      <c r="BZ14" s="36">
        <f t="shared" si="17"/>
        <v>36335</v>
      </c>
      <c r="CA14" s="36">
        <f t="shared" si="17"/>
        <v>36432</v>
      </c>
      <c r="CB14" s="36">
        <f t="shared" ref="CB14:DY14" si="18">SUM(CB15:CB19)</f>
        <v>36746</v>
      </c>
      <c r="CC14" s="36">
        <f t="shared" si="18"/>
        <v>37254</v>
      </c>
      <c r="CD14" s="36">
        <f t="shared" si="18"/>
        <v>37497</v>
      </c>
      <c r="CE14" s="36">
        <f t="shared" si="18"/>
        <v>37668</v>
      </c>
      <c r="CF14" s="36">
        <f t="shared" si="18"/>
        <v>37557</v>
      </c>
      <c r="CG14" s="36">
        <f t="shared" si="18"/>
        <v>37245</v>
      </c>
      <c r="CH14" s="36">
        <f t="shared" si="18"/>
        <v>36841</v>
      </c>
      <c r="CI14" s="36">
        <f t="shared" si="18"/>
        <v>36897</v>
      </c>
      <c r="CJ14" s="36">
        <f t="shared" si="18"/>
        <v>37220</v>
      </c>
      <c r="CK14" s="36">
        <f t="shared" si="18"/>
        <v>37577</v>
      </c>
      <c r="CL14" s="36">
        <f t="shared" si="18"/>
        <v>37877</v>
      </c>
      <c r="CM14" s="36">
        <f t="shared" si="18"/>
        <v>38087</v>
      </c>
      <c r="CN14" s="36">
        <f t="shared" si="18"/>
        <v>38169</v>
      </c>
      <c r="CO14" s="36">
        <f t="shared" si="18"/>
        <v>38225</v>
      </c>
      <c r="CP14" s="36">
        <f t="shared" si="18"/>
        <v>38234</v>
      </c>
      <c r="CQ14" s="36">
        <f t="shared" si="18"/>
        <v>38281</v>
      </c>
      <c r="CR14" s="36">
        <f t="shared" si="18"/>
        <v>38192</v>
      </c>
      <c r="CS14" s="36">
        <f t="shared" si="18"/>
        <v>37765</v>
      </c>
      <c r="CT14" s="36">
        <f t="shared" si="18"/>
        <v>37525</v>
      </c>
      <c r="CU14" s="36">
        <f t="shared" si="18"/>
        <v>36235</v>
      </c>
      <c r="CV14" s="36">
        <f t="shared" si="18"/>
        <v>34045</v>
      </c>
      <c r="CW14" s="36">
        <f t="shared" si="18"/>
        <v>31762</v>
      </c>
      <c r="CX14" s="36">
        <f t="shared" si="18"/>
        <v>30253</v>
      </c>
      <c r="CY14" s="36">
        <f t="shared" si="18"/>
        <v>30213</v>
      </c>
      <c r="CZ14" s="36">
        <f t="shared" si="18"/>
        <v>30617</v>
      </c>
      <c r="DA14" s="36">
        <f t="shared" si="18"/>
        <v>31208</v>
      </c>
      <c r="DB14" s="36">
        <f t="shared" si="18"/>
        <v>32261</v>
      </c>
      <c r="DC14" s="36">
        <f t="shared" si="18"/>
        <v>33022</v>
      </c>
      <c r="DD14" s="36">
        <f t="shared" si="18"/>
        <v>33525</v>
      </c>
      <c r="DE14" s="36">
        <f t="shared" si="18"/>
        <v>33616</v>
      </c>
      <c r="DF14" s="36">
        <f t="shared" si="18"/>
        <v>33553</v>
      </c>
      <c r="DG14" s="36">
        <f t="shared" si="18"/>
        <v>33511</v>
      </c>
      <c r="DH14" s="36">
        <f t="shared" si="18"/>
        <v>33799</v>
      </c>
      <c r="DI14" s="36">
        <f t="shared" si="18"/>
        <v>34216</v>
      </c>
      <c r="DJ14" s="36">
        <f t="shared" si="18"/>
        <v>35183</v>
      </c>
      <c r="DK14" s="36">
        <f t="shared" si="18"/>
        <v>35840</v>
      </c>
      <c r="DL14" s="36">
        <f t="shared" si="18"/>
        <v>36605</v>
      </c>
      <c r="DM14" s="36">
        <f t="shared" si="18"/>
        <v>37106</v>
      </c>
      <c r="DN14" s="36">
        <f t="shared" si="18"/>
        <v>37602</v>
      </c>
      <c r="DO14" s="36">
        <f t="shared" si="18"/>
        <v>37961</v>
      </c>
      <c r="DP14" s="36">
        <f t="shared" si="18"/>
        <v>38318</v>
      </c>
      <c r="DQ14" s="36">
        <f t="shared" si="18"/>
        <v>37910</v>
      </c>
      <c r="DR14" s="36">
        <f t="shared" si="18"/>
        <v>37712</v>
      </c>
      <c r="DS14" s="36">
        <f t="shared" si="18"/>
        <v>37584</v>
      </c>
      <c r="DT14" s="36">
        <f t="shared" si="18"/>
        <v>38094</v>
      </c>
      <c r="DU14" s="36">
        <f t="shared" si="18"/>
        <v>38474</v>
      </c>
      <c r="DV14" s="36">
        <f t="shared" si="18"/>
        <v>38619</v>
      </c>
      <c r="DW14" s="36">
        <f t="shared" si="18"/>
        <v>38629</v>
      </c>
      <c r="DX14" s="36">
        <f t="shared" si="18"/>
        <v>38652</v>
      </c>
      <c r="DY14" s="36">
        <f t="shared" si="18"/>
        <v>38499</v>
      </c>
      <c r="DZ14" s="36">
        <f>SUM(DZ15:DZ19)</f>
        <v>38320</v>
      </c>
      <c r="EA14" s="36">
        <f>SUM(EA15:EA19)</f>
        <v>38156</v>
      </c>
      <c r="EB14" s="36">
        <f t="shared" ref="EB14:FB14" si="19">SUM(EB15:EB19)</f>
        <v>37905</v>
      </c>
      <c r="EC14" s="36">
        <f t="shared" si="19"/>
        <v>37802</v>
      </c>
      <c r="ED14" s="36">
        <f t="shared" si="19"/>
        <v>37559</v>
      </c>
      <c r="EE14" s="36">
        <f t="shared" si="19"/>
        <v>37457</v>
      </c>
      <c r="EF14" s="36">
        <f t="shared" si="19"/>
        <v>37422</v>
      </c>
      <c r="EG14" s="36">
        <f t="shared" si="19"/>
        <v>37648</v>
      </c>
      <c r="EH14" s="36">
        <f t="shared" si="19"/>
        <v>38051</v>
      </c>
      <c r="EI14" s="36">
        <f t="shared" si="19"/>
        <v>38236</v>
      </c>
      <c r="EJ14" s="36">
        <f t="shared" si="19"/>
        <v>38290</v>
      </c>
      <c r="EK14" s="36">
        <f t="shared" si="19"/>
        <v>38339</v>
      </c>
      <c r="EL14" s="36">
        <f t="shared" si="19"/>
        <v>38488</v>
      </c>
      <c r="EM14" s="36">
        <f t="shared" si="19"/>
        <v>38702</v>
      </c>
      <c r="EN14" s="36">
        <f t="shared" si="19"/>
        <v>38827</v>
      </c>
      <c r="EO14" s="36">
        <f t="shared" si="19"/>
        <v>38511</v>
      </c>
      <c r="EP14" s="36">
        <f t="shared" si="19"/>
        <v>38118</v>
      </c>
      <c r="EQ14" s="36">
        <f t="shared" si="19"/>
        <v>38243</v>
      </c>
      <c r="ER14" s="36">
        <f t="shared" si="19"/>
        <v>38337</v>
      </c>
      <c r="ES14" s="36">
        <f t="shared" si="19"/>
        <v>38436</v>
      </c>
      <c r="ET14" s="36">
        <f t="shared" si="19"/>
        <v>38618</v>
      </c>
      <c r="EU14" s="36">
        <f t="shared" si="19"/>
        <v>38732</v>
      </c>
      <c r="EV14" s="36">
        <f t="shared" si="19"/>
        <v>39093</v>
      </c>
      <c r="EW14" s="36">
        <f t="shared" si="19"/>
        <v>39240</v>
      </c>
      <c r="EX14" s="36">
        <f t="shared" si="19"/>
        <v>39537</v>
      </c>
      <c r="EY14" s="36">
        <f t="shared" si="19"/>
        <v>39509</v>
      </c>
      <c r="EZ14" s="36">
        <f t="shared" si="19"/>
        <v>39307</v>
      </c>
      <c r="FA14" s="36">
        <f t="shared" si="19"/>
        <v>38765</v>
      </c>
      <c r="FB14" s="36">
        <f t="shared" si="19"/>
        <v>38367</v>
      </c>
      <c r="FC14" s="36">
        <f t="shared" ref="FC14:FL14" si="20">SUM(FC15:FC19)</f>
        <v>38189</v>
      </c>
      <c r="FD14" s="36">
        <f t="shared" si="20"/>
        <v>38450</v>
      </c>
      <c r="FE14" s="36">
        <f t="shared" si="20"/>
        <v>38545</v>
      </c>
      <c r="FF14" s="36">
        <f t="shared" si="20"/>
        <v>38718</v>
      </c>
      <c r="FG14" s="36">
        <f t="shared" si="20"/>
        <v>38762</v>
      </c>
      <c r="FH14" s="36">
        <f t="shared" si="20"/>
        <v>38878</v>
      </c>
      <c r="FI14" s="36">
        <f t="shared" si="20"/>
        <v>38747</v>
      </c>
      <c r="FJ14" s="36">
        <f t="shared" si="20"/>
        <v>38810</v>
      </c>
      <c r="FK14" s="36">
        <f t="shared" si="20"/>
        <v>38817</v>
      </c>
      <c r="FL14" s="36">
        <f t="shared" si="20"/>
        <v>38708</v>
      </c>
      <c r="FM14" s="36">
        <f t="shared" ref="FM14:FN14" si="21">SUM(FM15:FM19)</f>
        <v>38525</v>
      </c>
      <c r="FN14" s="36">
        <f t="shared" si="21"/>
        <v>38267</v>
      </c>
      <c r="FO14" s="207">
        <f t="shared" si="15"/>
        <v>-258</v>
      </c>
      <c r="FQ14" s="43">
        <f t="shared" si="16"/>
        <v>39537</v>
      </c>
    </row>
    <row r="15" spans="2:174" s="20" customFormat="1" ht="15" customHeight="1" x14ac:dyDescent="0.2">
      <c r="B15" s="37" t="s">
        <v>32</v>
      </c>
      <c r="C15" s="7">
        <v>11046</v>
      </c>
      <c r="D15" s="7">
        <v>11101</v>
      </c>
      <c r="E15" s="7">
        <v>11161</v>
      </c>
      <c r="F15" s="7">
        <v>11182</v>
      </c>
      <c r="G15" s="7">
        <v>11209</v>
      </c>
      <c r="H15" s="7">
        <v>11237</v>
      </c>
      <c r="I15" s="7">
        <v>11345</v>
      </c>
      <c r="J15" s="7">
        <v>11342</v>
      </c>
      <c r="K15" s="7">
        <v>11294</v>
      </c>
      <c r="L15" s="7">
        <v>11064</v>
      </c>
      <c r="M15" s="7">
        <v>10969</v>
      </c>
      <c r="N15" s="7">
        <v>10929</v>
      </c>
      <c r="O15" s="7">
        <v>10947</v>
      </c>
      <c r="P15" s="7">
        <v>10929</v>
      </c>
      <c r="Q15" s="7">
        <v>10917</v>
      </c>
      <c r="R15" s="7">
        <v>10960</v>
      </c>
      <c r="S15" s="7">
        <v>10876</v>
      </c>
      <c r="T15" s="7">
        <v>11004</v>
      </c>
      <c r="U15" s="7">
        <v>11008</v>
      </c>
      <c r="V15" s="7">
        <v>10940</v>
      </c>
      <c r="W15" s="7">
        <v>10910</v>
      </c>
      <c r="X15" s="7">
        <v>10817</v>
      </c>
      <c r="Y15" s="7">
        <v>10710</v>
      </c>
      <c r="Z15" s="7">
        <v>10569</v>
      </c>
      <c r="AA15" s="7">
        <v>10528</v>
      </c>
      <c r="AB15" s="7">
        <v>10467</v>
      </c>
      <c r="AC15" s="7">
        <v>10434</v>
      </c>
      <c r="AD15" s="7">
        <v>10378</v>
      </c>
      <c r="AE15" s="7">
        <v>10330</v>
      </c>
      <c r="AF15" s="7">
        <v>10271</v>
      </c>
      <c r="AG15" s="7">
        <v>10314</v>
      </c>
      <c r="AH15" s="7">
        <v>10463</v>
      </c>
      <c r="AI15" s="7">
        <v>10528</v>
      </c>
      <c r="AJ15" s="7">
        <v>10550</v>
      </c>
      <c r="AK15" s="7">
        <v>10456</v>
      </c>
      <c r="AL15" s="7">
        <v>10281</v>
      </c>
      <c r="AM15" s="7">
        <v>10108</v>
      </c>
      <c r="AN15" s="7">
        <v>10079</v>
      </c>
      <c r="AO15" s="7">
        <v>10136</v>
      </c>
      <c r="AP15" s="7">
        <v>10139</v>
      </c>
      <c r="AQ15" s="7">
        <v>10131</v>
      </c>
      <c r="AR15" s="7">
        <v>10152</v>
      </c>
      <c r="AS15" s="7">
        <v>10239</v>
      </c>
      <c r="AT15" s="7">
        <v>10259</v>
      </c>
      <c r="AU15" s="7">
        <v>10158</v>
      </c>
      <c r="AV15" s="7">
        <v>10090</v>
      </c>
      <c r="AW15" s="7">
        <v>9838</v>
      </c>
      <c r="AX15" s="7">
        <v>9770</v>
      </c>
      <c r="AY15" s="7">
        <v>9787</v>
      </c>
      <c r="AZ15" s="7">
        <v>9999</v>
      </c>
      <c r="BA15" s="7">
        <v>10091</v>
      </c>
      <c r="BB15" s="7">
        <v>10111</v>
      </c>
      <c r="BC15" s="7">
        <v>10181</v>
      </c>
      <c r="BD15" s="7">
        <v>10245</v>
      </c>
      <c r="BE15" s="7">
        <v>10301</v>
      </c>
      <c r="BF15" s="7">
        <v>10403</v>
      </c>
      <c r="BG15" s="7">
        <v>10475</v>
      </c>
      <c r="BH15" s="7">
        <v>10538</v>
      </c>
      <c r="BI15" s="7">
        <v>10407</v>
      </c>
      <c r="BJ15" s="7">
        <v>10245</v>
      </c>
      <c r="BK15" s="7">
        <v>10165</v>
      </c>
      <c r="BL15" s="7">
        <v>10254</v>
      </c>
      <c r="BM15" s="7">
        <v>10476</v>
      </c>
      <c r="BN15" s="7">
        <v>10626</v>
      </c>
      <c r="BO15" s="7">
        <v>10720</v>
      </c>
      <c r="BP15" s="7">
        <v>10756</v>
      </c>
      <c r="BQ15" s="7">
        <v>10925</v>
      </c>
      <c r="BR15" s="7">
        <v>10989</v>
      </c>
      <c r="BS15" s="7">
        <v>11186</v>
      </c>
      <c r="BT15" s="7">
        <v>11144</v>
      </c>
      <c r="BU15" s="7">
        <v>11023</v>
      </c>
      <c r="BV15" s="7">
        <v>10809</v>
      </c>
      <c r="BW15" s="7">
        <v>10780</v>
      </c>
      <c r="BX15" s="7">
        <v>10995</v>
      </c>
      <c r="BY15" s="7">
        <v>11156</v>
      </c>
      <c r="BZ15" s="7">
        <v>11063</v>
      </c>
      <c r="CA15" s="7">
        <v>11157</v>
      </c>
      <c r="CB15" s="7">
        <v>11252</v>
      </c>
      <c r="CC15" s="7">
        <v>11567</v>
      </c>
      <c r="CD15" s="7">
        <v>11696</v>
      </c>
      <c r="CE15" s="7">
        <v>11759</v>
      </c>
      <c r="CF15" s="7">
        <v>11622</v>
      </c>
      <c r="CG15" s="7">
        <v>11381</v>
      </c>
      <c r="CH15" s="7">
        <v>11198</v>
      </c>
      <c r="CI15" s="7">
        <v>11260</v>
      </c>
      <c r="CJ15" s="7">
        <v>11372</v>
      </c>
      <c r="CK15" s="7">
        <v>11545</v>
      </c>
      <c r="CL15" s="7">
        <v>11665</v>
      </c>
      <c r="CM15" s="7">
        <v>11821</v>
      </c>
      <c r="CN15" s="7">
        <v>11953</v>
      </c>
      <c r="CO15" s="7">
        <v>11991</v>
      </c>
      <c r="CP15" s="7">
        <v>12025</v>
      </c>
      <c r="CQ15" s="7">
        <v>11986</v>
      </c>
      <c r="CR15" s="7">
        <v>12028</v>
      </c>
      <c r="CS15" s="7">
        <v>11831</v>
      </c>
      <c r="CT15" s="7">
        <v>11804</v>
      </c>
      <c r="CU15" s="7">
        <v>11212</v>
      </c>
      <c r="CV15" s="7">
        <v>10343</v>
      </c>
      <c r="CW15" s="7">
        <v>9445</v>
      </c>
      <c r="CX15" s="7">
        <v>8867</v>
      </c>
      <c r="CY15" s="7">
        <v>8941</v>
      </c>
      <c r="CZ15" s="7">
        <v>9041</v>
      </c>
      <c r="DA15" s="7">
        <v>9304</v>
      </c>
      <c r="DB15" s="7">
        <v>9781</v>
      </c>
      <c r="DC15" s="7">
        <v>10055</v>
      </c>
      <c r="DD15" s="7">
        <v>10315</v>
      </c>
      <c r="DE15" s="7">
        <v>10135</v>
      </c>
      <c r="DF15" s="7">
        <v>10164</v>
      </c>
      <c r="DG15" s="7">
        <v>10046</v>
      </c>
      <c r="DH15" s="7">
        <v>10121</v>
      </c>
      <c r="DI15" s="7">
        <v>10154</v>
      </c>
      <c r="DJ15" s="7">
        <v>10397</v>
      </c>
      <c r="DK15" s="7">
        <v>10706</v>
      </c>
      <c r="DL15" s="7">
        <v>11120</v>
      </c>
      <c r="DM15" s="7">
        <v>11466</v>
      </c>
      <c r="DN15" s="7">
        <v>11729</v>
      </c>
      <c r="DO15" s="7">
        <v>11953</v>
      </c>
      <c r="DP15" s="7">
        <v>12211</v>
      </c>
      <c r="DQ15" s="7">
        <v>12154</v>
      </c>
      <c r="DR15" s="7">
        <v>12053</v>
      </c>
      <c r="DS15" s="7">
        <v>11990</v>
      </c>
      <c r="DT15" s="7">
        <v>12235</v>
      </c>
      <c r="DU15" s="7">
        <v>12553</v>
      </c>
      <c r="DV15" s="7">
        <v>12786</v>
      </c>
      <c r="DW15" s="7">
        <v>12827</v>
      </c>
      <c r="DX15" s="7">
        <v>12914</v>
      </c>
      <c r="DY15" s="7">
        <v>12967</v>
      </c>
      <c r="DZ15" s="7">
        <v>13123</v>
      </c>
      <c r="EA15" s="7">
        <v>13062</v>
      </c>
      <c r="EB15" s="7">
        <v>12993</v>
      </c>
      <c r="EC15" s="7">
        <v>12870</v>
      </c>
      <c r="ED15" s="7">
        <v>12715</v>
      </c>
      <c r="EE15" s="7">
        <v>12558</v>
      </c>
      <c r="EF15" s="7">
        <v>12476</v>
      </c>
      <c r="EG15" s="7">
        <v>12683</v>
      </c>
      <c r="EH15" s="7">
        <v>12857</v>
      </c>
      <c r="EI15" s="7">
        <v>12973</v>
      </c>
      <c r="EJ15" s="7">
        <v>12946</v>
      </c>
      <c r="EK15" s="7">
        <v>13006</v>
      </c>
      <c r="EL15" s="7">
        <v>13063</v>
      </c>
      <c r="EM15" s="7">
        <v>13193</v>
      </c>
      <c r="EN15" s="7">
        <v>13272</v>
      </c>
      <c r="EO15" s="7">
        <v>13181</v>
      </c>
      <c r="EP15" s="7">
        <v>13030</v>
      </c>
      <c r="EQ15" s="7">
        <v>13123</v>
      </c>
      <c r="ER15" s="7">
        <v>13275</v>
      </c>
      <c r="ES15" s="7">
        <v>13412</v>
      </c>
      <c r="ET15" s="7">
        <v>13540</v>
      </c>
      <c r="EU15" s="7">
        <v>13656</v>
      </c>
      <c r="EV15" s="7">
        <v>13972</v>
      </c>
      <c r="EW15" s="7">
        <v>14067</v>
      </c>
      <c r="EX15" s="7">
        <v>14155</v>
      </c>
      <c r="EY15" s="7">
        <v>14118</v>
      </c>
      <c r="EZ15" s="7">
        <v>13927</v>
      </c>
      <c r="FA15" s="7">
        <v>13608</v>
      </c>
      <c r="FB15" s="7">
        <v>13281</v>
      </c>
      <c r="FC15" s="7">
        <v>13201</v>
      </c>
      <c r="FD15" s="7">
        <v>13398</v>
      </c>
      <c r="FE15" s="20">
        <v>13443</v>
      </c>
      <c r="FF15" s="20">
        <v>13539</v>
      </c>
      <c r="FG15" s="20">
        <v>13470</v>
      </c>
      <c r="FH15" s="20">
        <v>13508</v>
      </c>
      <c r="FI15" s="20">
        <v>13498</v>
      </c>
      <c r="FJ15" s="20">
        <v>13605</v>
      </c>
      <c r="FK15" s="20">
        <v>13632</v>
      </c>
      <c r="FL15" s="20">
        <v>13565</v>
      </c>
      <c r="FM15" s="20">
        <v>13428</v>
      </c>
      <c r="FN15" s="20">
        <v>13290</v>
      </c>
      <c r="FO15" s="207">
        <f t="shared" si="15"/>
        <v>-138</v>
      </c>
    </row>
    <row r="16" spans="2:174" s="20" customFormat="1" ht="15" customHeight="1" x14ac:dyDescent="0.2">
      <c r="B16" s="37" t="s">
        <v>33</v>
      </c>
      <c r="C16" s="7">
        <v>4055</v>
      </c>
      <c r="D16" s="7">
        <v>4057</v>
      </c>
      <c r="E16" s="7">
        <v>4101</v>
      </c>
      <c r="F16" s="7">
        <v>4114</v>
      </c>
      <c r="G16" s="7">
        <v>4118</v>
      </c>
      <c r="H16" s="7">
        <v>4120</v>
      </c>
      <c r="I16" s="7">
        <v>4114</v>
      </c>
      <c r="J16" s="7">
        <v>4098</v>
      </c>
      <c r="K16" s="7">
        <v>4100</v>
      </c>
      <c r="L16" s="7">
        <v>4114</v>
      </c>
      <c r="M16" s="7">
        <v>4101</v>
      </c>
      <c r="N16" s="7">
        <v>4068</v>
      </c>
      <c r="O16" s="7">
        <v>4041</v>
      </c>
      <c r="P16" s="7">
        <v>4065</v>
      </c>
      <c r="Q16" s="7">
        <v>4088</v>
      </c>
      <c r="R16" s="7">
        <v>4027</v>
      </c>
      <c r="S16" s="7">
        <v>4035</v>
      </c>
      <c r="T16" s="7">
        <v>3982</v>
      </c>
      <c r="U16" s="7">
        <v>4058</v>
      </c>
      <c r="V16" s="7">
        <v>4052</v>
      </c>
      <c r="W16" s="7">
        <v>4045</v>
      </c>
      <c r="X16" s="7">
        <v>4008</v>
      </c>
      <c r="Y16" s="7">
        <v>3965</v>
      </c>
      <c r="Z16" s="7">
        <v>3982</v>
      </c>
      <c r="AA16" s="7">
        <v>3947</v>
      </c>
      <c r="AB16" s="7">
        <v>3943</v>
      </c>
      <c r="AC16" s="7">
        <v>3939</v>
      </c>
      <c r="AD16" s="7">
        <v>3987</v>
      </c>
      <c r="AE16" s="7">
        <v>3972</v>
      </c>
      <c r="AF16" s="7">
        <v>3927</v>
      </c>
      <c r="AG16" s="7">
        <v>3958</v>
      </c>
      <c r="AH16" s="7">
        <v>3947</v>
      </c>
      <c r="AI16" s="7">
        <v>3947</v>
      </c>
      <c r="AJ16" s="7">
        <v>3935</v>
      </c>
      <c r="AK16" s="7">
        <v>3978</v>
      </c>
      <c r="AL16" s="7">
        <v>3984</v>
      </c>
      <c r="AM16" s="7">
        <v>3954</v>
      </c>
      <c r="AN16" s="7">
        <v>3918</v>
      </c>
      <c r="AO16" s="7">
        <v>3935</v>
      </c>
      <c r="AP16" s="7">
        <v>3959</v>
      </c>
      <c r="AQ16" s="7">
        <v>4007</v>
      </c>
      <c r="AR16" s="7">
        <v>4008</v>
      </c>
      <c r="AS16" s="7">
        <v>4002</v>
      </c>
      <c r="AT16" s="7">
        <v>4066</v>
      </c>
      <c r="AU16" s="7">
        <v>4080</v>
      </c>
      <c r="AV16" s="7">
        <v>4065</v>
      </c>
      <c r="AW16" s="7">
        <v>3973</v>
      </c>
      <c r="AX16" s="7">
        <v>3940</v>
      </c>
      <c r="AY16" s="7">
        <v>3942</v>
      </c>
      <c r="AZ16" s="7">
        <v>3983</v>
      </c>
      <c r="BA16" s="7">
        <v>4060</v>
      </c>
      <c r="BB16" s="7">
        <v>4040</v>
      </c>
      <c r="BC16" s="7">
        <v>4009</v>
      </c>
      <c r="BD16" s="7">
        <v>3959</v>
      </c>
      <c r="BE16" s="7">
        <v>3977</v>
      </c>
      <c r="BF16" s="7">
        <v>4004</v>
      </c>
      <c r="BG16" s="7">
        <v>3990</v>
      </c>
      <c r="BH16" s="7">
        <v>4033</v>
      </c>
      <c r="BI16" s="7">
        <v>3997</v>
      </c>
      <c r="BJ16" s="7">
        <v>3993</v>
      </c>
      <c r="BK16" s="7">
        <v>4007</v>
      </c>
      <c r="BL16" s="7">
        <v>4090</v>
      </c>
      <c r="BM16" s="7">
        <v>4117</v>
      </c>
      <c r="BN16" s="7">
        <v>4099</v>
      </c>
      <c r="BO16" s="7">
        <v>4076</v>
      </c>
      <c r="BP16" s="7">
        <v>4133</v>
      </c>
      <c r="BQ16" s="7">
        <v>4190</v>
      </c>
      <c r="BR16" s="7">
        <v>4259</v>
      </c>
      <c r="BS16" s="7">
        <v>4275</v>
      </c>
      <c r="BT16" s="7">
        <v>4328</v>
      </c>
      <c r="BU16" s="7">
        <v>4297</v>
      </c>
      <c r="BV16" s="7">
        <v>4261</v>
      </c>
      <c r="BW16" s="7">
        <v>4179</v>
      </c>
      <c r="BX16" s="7">
        <v>4175</v>
      </c>
      <c r="BY16" s="7">
        <v>4164</v>
      </c>
      <c r="BZ16" s="7">
        <v>4230</v>
      </c>
      <c r="CA16" s="7">
        <v>4260</v>
      </c>
      <c r="CB16" s="7">
        <v>4294</v>
      </c>
      <c r="CC16" s="7">
        <v>4294</v>
      </c>
      <c r="CD16" s="7">
        <v>4284</v>
      </c>
      <c r="CE16" s="7">
        <v>4317</v>
      </c>
      <c r="CF16" s="7">
        <v>4312</v>
      </c>
      <c r="CG16" s="7">
        <v>4279</v>
      </c>
      <c r="CH16" s="7">
        <v>4209</v>
      </c>
      <c r="CI16" s="7">
        <v>4177</v>
      </c>
      <c r="CJ16" s="7">
        <v>4218</v>
      </c>
      <c r="CK16" s="7">
        <v>4264</v>
      </c>
      <c r="CL16" s="7">
        <v>4319</v>
      </c>
      <c r="CM16" s="7">
        <v>4366</v>
      </c>
      <c r="CN16" s="7">
        <v>4362</v>
      </c>
      <c r="CO16" s="7">
        <v>4385</v>
      </c>
      <c r="CP16" s="7">
        <v>4403</v>
      </c>
      <c r="CQ16" s="7">
        <v>4429</v>
      </c>
      <c r="CR16" s="7">
        <v>4412</v>
      </c>
      <c r="CS16" s="7">
        <v>4361</v>
      </c>
      <c r="CT16" s="7">
        <v>4331</v>
      </c>
      <c r="CU16" s="7">
        <v>4163</v>
      </c>
      <c r="CV16" s="7">
        <v>3775</v>
      </c>
      <c r="CW16" s="7">
        <v>3397</v>
      </c>
      <c r="CX16" s="7">
        <v>3134</v>
      </c>
      <c r="CY16" s="7">
        <v>3057</v>
      </c>
      <c r="CZ16" s="7">
        <v>3053</v>
      </c>
      <c r="DA16" s="7">
        <v>3135</v>
      </c>
      <c r="DB16" s="7">
        <v>3258</v>
      </c>
      <c r="DC16" s="7">
        <v>3366</v>
      </c>
      <c r="DD16" s="7">
        <v>3445</v>
      </c>
      <c r="DE16" s="7">
        <v>3432</v>
      </c>
      <c r="DF16" s="7">
        <v>3433</v>
      </c>
      <c r="DG16" s="7">
        <v>3427</v>
      </c>
      <c r="DH16" s="7">
        <v>3416</v>
      </c>
      <c r="DI16" s="7">
        <v>3497</v>
      </c>
      <c r="DJ16" s="7">
        <v>3625</v>
      </c>
      <c r="DK16" s="7">
        <v>3828</v>
      </c>
      <c r="DL16" s="7">
        <v>3952</v>
      </c>
      <c r="DM16" s="7">
        <v>4018</v>
      </c>
      <c r="DN16" s="7">
        <v>4134</v>
      </c>
      <c r="DO16" s="7">
        <v>4213</v>
      </c>
      <c r="DP16" s="7">
        <v>4264</v>
      </c>
      <c r="DQ16" s="7">
        <v>4184</v>
      </c>
      <c r="DR16" s="7">
        <v>4199</v>
      </c>
      <c r="DS16" s="7">
        <v>4173</v>
      </c>
      <c r="DT16" s="7">
        <v>4326</v>
      </c>
      <c r="DU16" s="7">
        <v>4340</v>
      </c>
      <c r="DV16" s="7">
        <v>4350</v>
      </c>
      <c r="DW16" s="7">
        <v>4313</v>
      </c>
      <c r="DX16" s="7">
        <v>4339</v>
      </c>
      <c r="DY16" s="7">
        <v>4370</v>
      </c>
      <c r="DZ16" s="7">
        <v>4369</v>
      </c>
      <c r="EA16" s="7">
        <v>4339</v>
      </c>
      <c r="EB16" s="7">
        <v>4310</v>
      </c>
      <c r="EC16" s="7">
        <v>4364</v>
      </c>
      <c r="ED16" s="7">
        <v>4259</v>
      </c>
      <c r="EE16" s="7">
        <v>4176</v>
      </c>
      <c r="EF16" s="7">
        <v>4153</v>
      </c>
      <c r="EG16" s="7">
        <v>4204</v>
      </c>
      <c r="EH16" s="7">
        <v>4319</v>
      </c>
      <c r="EI16" s="7">
        <v>4343</v>
      </c>
      <c r="EJ16" s="7">
        <v>4373</v>
      </c>
      <c r="EK16" s="7">
        <v>4340</v>
      </c>
      <c r="EL16" s="7">
        <v>4362</v>
      </c>
      <c r="EM16" s="7">
        <v>4481</v>
      </c>
      <c r="EN16" s="7">
        <v>4572</v>
      </c>
      <c r="EO16" s="7">
        <v>4490</v>
      </c>
      <c r="EP16" s="7">
        <v>4415</v>
      </c>
      <c r="EQ16" s="7">
        <v>4388</v>
      </c>
      <c r="ER16" s="7">
        <v>4358</v>
      </c>
      <c r="ES16" s="7">
        <v>4318</v>
      </c>
      <c r="ET16" s="7">
        <v>4355</v>
      </c>
      <c r="EU16" s="7">
        <v>4371</v>
      </c>
      <c r="EV16" s="7">
        <v>4372</v>
      </c>
      <c r="EW16" s="7">
        <v>4464</v>
      </c>
      <c r="EX16" s="7">
        <v>4533</v>
      </c>
      <c r="EY16" s="7">
        <v>4550</v>
      </c>
      <c r="EZ16" s="7">
        <v>4443</v>
      </c>
      <c r="FA16" s="7">
        <v>4373</v>
      </c>
      <c r="FB16" s="7">
        <v>4274</v>
      </c>
      <c r="FC16" s="7">
        <v>4276</v>
      </c>
      <c r="FD16" s="7">
        <v>4309</v>
      </c>
      <c r="FE16" s="20">
        <v>4345</v>
      </c>
      <c r="FF16" s="20">
        <v>4290</v>
      </c>
      <c r="FG16" s="20">
        <v>4267</v>
      </c>
      <c r="FH16" s="20">
        <v>4200</v>
      </c>
      <c r="FI16" s="20">
        <v>4161</v>
      </c>
      <c r="FJ16" s="20">
        <v>4176</v>
      </c>
      <c r="FK16" s="20">
        <v>4160</v>
      </c>
      <c r="FL16" s="20">
        <v>4199</v>
      </c>
      <c r="FM16" s="20">
        <v>4182</v>
      </c>
      <c r="FN16" s="20">
        <v>4187</v>
      </c>
      <c r="FO16" s="207">
        <f t="shared" si="15"/>
        <v>5</v>
      </c>
      <c r="FQ16" s="208">
        <f>FN15/FB15-1</f>
        <v>6.7765981477307946E-4</v>
      </c>
    </row>
    <row r="17" spans="1:183" s="20" customFormat="1" ht="15" customHeight="1" x14ac:dyDescent="0.2">
      <c r="B17" s="37" t="s">
        <v>34</v>
      </c>
      <c r="C17" s="7" t="s">
        <v>23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7" t="s">
        <v>23</v>
      </c>
      <c r="J17" s="7" t="s">
        <v>23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7" t="s">
        <v>23</v>
      </c>
      <c r="R17" s="7" t="s">
        <v>23</v>
      </c>
      <c r="S17" s="7" t="s">
        <v>23</v>
      </c>
      <c r="T17" s="7" t="s">
        <v>23</v>
      </c>
      <c r="U17" s="7" t="s">
        <v>23</v>
      </c>
      <c r="V17" s="7" t="s">
        <v>23</v>
      </c>
      <c r="W17" s="7" t="s">
        <v>23</v>
      </c>
      <c r="X17" s="7" t="s">
        <v>23</v>
      </c>
      <c r="Y17" s="7" t="s">
        <v>23</v>
      </c>
      <c r="Z17" s="7" t="s">
        <v>23</v>
      </c>
      <c r="AA17" s="7" t="s">
        <v>23</v>
      </c>
      <c r="AB17" s="7" t="s">
        <v>23</v>
      </c>
      <c r="AC17" s="7" t="s">
        <v>23</v>
      </c>
      <c r="AD17" s="7" t="s">
        <v>23</v>
      </c>
      <c r="AE17" s="7" t="s">
        <v>23</v>
      </c>
      <c r="AF17" s="7" t="s">
        <v>23</v>
      </c>
      <c r="AG17" s="7" t="s">
        <v>23</v>
      </c>
      <c r="AH17" s="7" t="s">
        <v>23</v>
      </c>
      <c r="AI17" s="7" t="s">
        <v>23</v>
      </c>
      <c r="AJ17" s="7" t="s">
        <v>23</v>
      </c>
      <c r="AK17" s="7" t="s">
        <v>23</v>
      </c>
      <c r="AL17" s="7" t="s">
        <v>23</v>
      </c>
      <c r="AM17" s="7" t="s">
        <v>23</v>
      </c>
      <c r="AN17" s="7" t="s">
        <v>23</v>
      </c>
      <c r="AO17" s="7" t="s">
        <v>23</v>
      </c>
      <c r="AP17" s="7" t="s">
        <v>23</v>
      </c>
      <c r="AQ17" s="7" t="s">
        <v>23</v>
      </c>
      <c r="AR17" s="7" t="s">
        <v>23</v>
      </c>
      <c r="AS17" s="7" t="s">
        <v>23</v>
      </c>
      <c r="AT17" s="7" t="s">
        <v>23</v>
      </c>
      <c r="AU17" s="7" t="s">
        <v>23</v>
      </c>
      <c r="AV17" s="7">
        <v>658</v>
      </c>
      <c r="AW17" s="7">
        <v>621</v>
      </c>
      <c r="AX17" s="7">
        <v>611</v>
      </c>
      <c r="AY17" s="7">
        <v>571</v>
      </c>
      <c r="AZ17" s="7">
        <v>589</v>
      </c>
      <c r="BA17" s="7">
        <v>573</v>
      </c>
      <c r="BB17" s="7">
        <v>569</v>
      </c>
      <c r="BC17" s="7">
        <v>607</v>
      </c>
      <c r="BD17" s="7">
        <v>653</v>
      </c>
      <c r="BE17" s="7">
        <v>698</v>
      </c>
      <c r="BF17" s="7">
        <v>696</v>
      </c>
      <c r="BG17" s="7">
        <v>695</v>
      </c>
      <c r="BH17" s="7">
        <v>701</v>
      </c>
      <c r="BI17" s="7">
        <v>733</v>
      </c>
      <c r="BJ17" s="7">
        <v>745</v>
      </c>
      <c r="BK17" s="7">
        <v>730</v>
      </c>
      <c r="BL17" s="7">
        <v>747</v>
      </c>
      <c r="BM17" s="7">
        <v>765</v>
      </c>
      <c r="BN17" s="7">
        <v>799</v>
      </c>
      <c r="BO17" s="7">
        <v>800</v>
      </c>
      <c r="BP17" s="7">
        <v>806</v>
      </c>
      <c r="BQ17" s="7">
        <v>827</v>
      </c>
      <c r="BR17" s="7">
        <v>837</v>
      </c>
      <c r="BS17" s="7">
        <v>872</v>
      </c>
      <c r="BT17" s="7">
        <v>867</v>
      </c>
      <c r="BU17" s="7">
        <v>858</v>
      </c>
      <c r="BV17" s="7">
        <v>852</v>
      </c>
      <c r="BW17" s="7">
        <v>869</v>
      </c>
      <c r="BX17" s="7">
        <v>889</v>
      </c>
      <c r="BY17" s="7">
        <v>888</v>
      </c>
      <c r="BZ17" s="7">
        <v>883</v>
      </c>
      <c r="CA17" s="7">
        <v>858</v>
      </c>
      <c r="CB17" s="7">
        <v>873</v>
      </c>
      <c r="CC17" s="7">
        <v>875</v>
      </c>
      <c r="CD17" s="7">
        <v>889</v>
      </c>
      <c r="CE17" s="7">
        <v>855</v>
      </c>
      <c r="CF17" s="7">
        <v>876</v>
      </c>
      <c r="CG17" s="7">
        <v>842</v>
      </c>
      <c r="CH17" s="7">
        <v>833</v>
      </c>
      <c r="CI17" s="7">
        <v>819</v>
      </c>
      <c r="CJ17" s="7">
        <v>841</v>
      </c>
      <c r="CK17" s="7">
        <v>861</v>
      </c>
      <c r="CL17" s="7">
        <v>845</v>
      </c>
      <c r="CM17" s="7">
        <v>818</v>
      </c>
      <c r="CN17" s="7">
        <v>802</v>
      </c>
      <c r="CO17" s="7">
        <v>772</v>
      </c>
      <c r="CP17" s="7">
        <v>771</v>
      </c>
      <c r="CQ17" s="7">
        <v>765</v>
      </c>
      <c r="CR17" s="7">
        <v>782</v>
      </c>
      <c r="CS17" s="7">
        <v>780</v>
      </c>
      <c r="CT17" s="7">
        <v>794</v>
      </c>
      <c r="CU17" s="7">
        <v>787</v>
      </c>
      <c r="CV17" s="7">
        <v>740</v>
      </c>
      <c r="CW17" s="7">
        <v>694</v>
      </c>
      <c r="CX17" s="7">
        <v>646</v>
      </c>
      <c r="CY17" s="7">
        <v>655</v>
      </c>
      <c r="CZ17" s="7">
        <v>658</v>
      </c>
      <c r="DA17" s="7">
        <v>662</v>
      </c>
      <c r="DB17" s="7">
        <v>643</v>
      </c>
      <c r="DC17" s="7">
        <v>634</v>
      </c>
      <c r="DD17" s="7">
        <v>627</v>
      </c>
      <c r="DE17" s="7">
        <v>639</v>
      </c>
      <c r="DF17" s="7">
        <v>658</v>
      </c>
      <c r="DG17" s="7">
        <v>646</v>
      </c>
      <c r="DH17" s="7">
        <v>647</v>
      </c>
      <c r="DI17" s="7">
        <v>625</v>
      </c>
      <c r="DJ17" s="7">
        <v>659</v>
      </c>
      <c r="DK17" s="7">
        <v>690</v>
      </c>
      <c r="DL17" s="7">
        <v>697</v>
      </c>
      <c r="DM17" s="7">
        <v>725</v>
      </c>
      <c r="DN17" s="7">
        <v>741</v>
      </c>
      <c r="DO17" s="7">
        <v>742</v>
      </c>
      <c r="DP17" s="7">
        <v>737</v>
      </c>
      <c r="DQ17" s="7">
        <v>745</v>
      </c>
      <c r="DR17" s="7">
        <v>761</v>
      </c>
      <c r="DS17" s="7">
        <v>770</v>
      </c>
      <c r="DT17" s="7">
        <v>782</v>
      </c>
      <c r="DU17" s="7">
        <v>806</v>
      </c>
      <c r="DV17" s="7">
        <v>786</v>
      </c>
      <c r="DW17" s="7">
        <v>763</v>
      </c>
      <c r="DX17" s="7">
        <v>778</v>
      </c>
      <c r="DY17" s="7">
        <v>796</v>
      </c>
      <c r="DZ17" s="7">
        <v>814</v>
      </c>
      <c r="EA17" s="7">
        <v>818</v>
      </c>
      <c r="EB17" s="7">
        <v>800</v>
      </c>
      <c r="EC17" s="7">
        <v>779</v>
      </c>
      <c r="ED17" s="7">
        <v>744</v>
      </c>
      <c r="EE17" s="7">
        <v>742</v>
      </c>
      <c r="EF17" s="7">
        <v>728</v>
      </c>
      <c r="EG17" s="7">
        <v>747</v>
      </c>
      <c r="EH17" s="7">
        <v>765</v>
      </c>
      <c r="EI17" s="7">
        <v>784</v>
      </c>
      <c r="EJ17" s="7">
        <v>777</v>
      </c>
      <c r="EK17" s="7">
        <v>771</v>
      </c>
      <c r="EL17" s="7">
        <v>776</v>
      </c>
      <c r="EM17" s="7">
        <v>791</v>
      </c>
      <c r="EN17" s="7">
        <v>805</v>
      </c>
      <c r="EO17" s="7">
        <v>794</v>
      </c>
      <c r="EP17" s="7">
        <v>774</v>
      </c>
      <c r="EQ17" s="7">
        <v>789</v>
      </c>
      <c r="ER17" s="7">
        <v>791</v>
      </c>
      <c r="ES17" s="7">
        <v>815</v>
      </c>
      <c r="ET17" s="7">
        <v>795</v>
      </c>
      <c r="EU17" s="7">
        <v>801</v>
      </c>
      <c r="EV17" s="7">
        <v>814</v>
      </c>
      <c r="EW17" s="7">
        <v>812</v>
      </c>
      <c r="EX17" s="7">
        <v>838</v>
      </c>
      <c r="EY17" s="7">
        <v>833</v>
      </c>
      <c r="EZ17" s="7">
        <v>828</v>
      </c>
      <c r="FA17" s="7">
        <v>817</v>
      </c>
      <c r="FB17" s="7">
        <v>804</v>
      </c>
      <c r="FC17" s="7">
        <v>804</v>
      </c>
      <c r="FD17" s="7">
        <v>817</v>
      </c>
      <c r="FE17" s="20">
        <v>819</v>
      </c>
      <c r="FF17" s="20">
        <v>816</v>
      </c>
      <c r="FG17" s="20">
        <v>790</v>
      </c>
      <c r="FH17" s="20">
        <v>801</v>
      </c>
      <c r="FI17" s="20">
        <v>838</v>
      </c>
      <c r="FJ17" s="20">
        <v>854</v>
      </c>
      <c r="FK17" s="20">
        <v>821</v>
      </c>
      <c r="FL17" s="20">
        <v>788</v>
      </c>
      <c r="FM17" s="20">
        <v>779</v>
      </c>
      <c r="FN17" s="20">
        <v>773</v>
      </c>
      <c r="FO17" s="207">
        <f t="shared" si="15"/>
        <v>-6</v>
      </c>
    </row>
    <row r="18" spans="1:183" s="20" customFormat="1" ht="15" customHeight="1" x14ac:dyDescent="0.2">
      <c r="B18" s="37" t="s">
        <v>35</v>
      </c>
      <c r="C18" s="7" t="s">
        <v>23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7" t="s">
        <v>23</v>
      </c>
      <c r="J18" s="7" t="s">
        <v>23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7" t="s">
        <v>23</v>
      </c>
      <c r="R18" s="7" t="s">
        <v>23</v>
      </c>
      <c r="S18" s="7" t="s">
        <v>23</v>
      </c>
      <c r="T18" s="7" t="s">
        <v>23</v>
      </c>
      <c r="U18" s="7" t="s">
        <v>23</v>
      </c>
      <c r="V18" s="7" t="s">
        <v>23</v>
      </c>
      <c r="W18" s="7" t="s">
        <v>23</v>
      </c>
      <c r="X18" s="7" t="s">
        <v>23</v>
      </c>
      <c r="Y18" s="7" t="s">
        <v>23</v>
      </c>
      <c r="Z18" s="7" t="s">
        <v>23</v>
      </c>
      <c r="AA18" s="7" t="s">
        <v>23</v>
      </c>
      <c r="AB18" s="7" t="s">
        <v>23</v>
      </c>
      <c r="AC18" s="7" t="s">
        <v>23</v>
      </c>
      <c r="AD18" s="7" t="s">
        <v>23</v>
      </c>
      <c r="AE18" s="7" t="s">
        <v>23</v>
      </c>
      <c r="AF18" s="7" t="s">
        <v>23</v>
      </c>
      <c r="AG18" s="7" t="s">
        <v>23</v>
      </c>
      <c r="AH18" s="7" t="s">
        <v>23</v>
      </c>
      <c r="AI18" s="7" t="s">
        <v>23</v>
      </c>
      <c r="AJ18" s="7" t="s">
        <v>23</v>
      </c>
      <c r="AK18" s="7" t="s">
        <v>23</v>
      </c>
      <c r="AL18" s="7" t="s">
        <v>23</v>
      </c>
      <c r="AM18" s="7" t="s">
        <v>23</v>
      </c>
      <c r="AN18" s="7" t="s">
        <v>23</v>
      </c>
      <c r="AO18" s="7" t="s">
        <v>23</v>
      </c>
      <c r="AP18" s="7" t="s">
        <v>23</v>
      </c>
      <c r="AQ18" s="7" t="s">
        <v>23</v>
      </c>
      <c r="AR18" s="7" t="s">
        <v>23</v>
      </c>
      <c r="AS18" s="7" t="s">
        <v>23</v>
      </c>
      <c r="AT18" s="7" t="s">
        <v>23</v>
      </c>
      <c r="AU18" s="7" t="s">
        <v>23</v>
      </c>
      <c r="AV18" s="7">
        <v>18016</v>
      </c>
      <c r="AW18" s="7">
        <v>18084</v>
      </c>
      <c r="AX18" s="7">
        <v>18140</v>
      </c>
      <c r="AY18" s="7">
        <v>18049</v>
      </c>
      <c r="AZ18" s="7">
        <v>17940</v>
      </c>
      <c r="BA18" s="7">
        <v>17991</v>
      </c>
      <c r="BB18" s="7">
        <v>17954</v>
      </c>
      <c r="BC18" s="7">
        <v>17808</v>
      </c>
      <c r="BD18" s="7">
        <v>17443</v>
      </c>
      <c r="BE18" s="7">
        <v>17235</v>
      </c>
      <c r="BF18" s="7">
        <v>17166</v>
      </c>
      <c r="BG18" s="7">
        <v>17381</v>
      </c>
      <c r="BH18" s="7">
        <v>17575</v>
      </c>
      <c r="BI18" s="7">
        <v>17626</v>
      </c>
      <c r="BJ18" s="7">
        <v>17595</v>
      </c>
      <c r="BK18" s="7">
        <v>17534</v>
      </c>
      <c r="BL18" s="7">
        <v>17676</v>
      </c>
      <c r="BM18" s="7">
        <v>17742</v>
      </c>
      <c r="BN18" s="7">
        <v>17870</v>
      </c>
      <c r="BO18" s="7">
        <v>17953</v>
      </c>
      <c r="BP18" s="7">
        <v>18127</v>
      </c>
      <c r="BQ18" s="7">
        <v>18162</v>
      </c>
      <c r="BR18" s="7">
        <v>18159</v>
      </c>
      <c r="BS18" s="7">
        <v>18155</v>
      </c>
      <c r="BT18" s="7">
        <v>18224</v>
      </c>
      <c r="BU18" s="7">
        <v>18209</v>
      </c>
      <c r="BV18" s="7">
        <v>18219</v>
      </c>
      <c r="BW18" s="7">
        <v>18112</v>
      </c>
      <c r="BX18" s="7">
        <v>18158</v>
      </c>
      <c r="BY18" s="7">
        <v>18075</v>
      </c>
      <c r="BZ18" s="7">
        <v>18091</v>
      </c>
      <c r="CA18" s="7">
        <v>18089</v>
      </c>
      <c r="CB18" s="7">
        <v>18212</v>
      </c>
      <c r="CC18" s="7">
        <v>18371</v>
      </c>
      <c r="CD18" s="7">
        <v>18456</v>
      </c>
      <c r="CE18" s="7">
        <v>18595</v>
      </c>
      <c r="CF18" s="7">
        <v>18644</v>
      </c>
      <c r="CG18" s="7">
        <v>18644</v>
      </c>
      <c r="CH18" s="7">
        <v>18514</v>
      </c>
      <c r="CI18" s="7">
        <v>18533</v>
      </c>
      <c r="CJ18" s="7">
        <v>18705</v>
      </c>
      <c r="CK18" s="7">
        <v>18806</v>
      </c>
      <c r="CL18" s="7">
        <v>18909</v>
      </c>
      <c r="CM18" s="7">
        <v>18917</v>
      </c>
      <c r="CN18" s="7">
        <v>18921</v>
      </c>
      <c r="CO18" s="7">
        <v>19010</v>
      </c>
      <c r="CP18" s="7">
        <v>18982</v>
      </c>
      <c r="CQ18" s="7">
        <v>19097</v>
      </c>
      <c r="CR18" s="7">
        <v>18993</v>
      </c>
      <c r="CS18" s="7">
        <v>18866</v>
      </c>
      <c r="CT18" s="7">
        <v>18675</v>
      </c>
      <c r="CU18" s="7">
        <v>18185</v>
      </c>
      <c r="CV18" s="7">
        <v>17336</v>
      </c>
      <c r="CW18" s="7">
        <v>16396</v>
      </c>
      <c r="CX18" s="7">
        <v>15795</v>
      </c>
      <c r="CY18" s="7">
        <v>15718</v>
      </c>
      <c r="CZ18" s="7">
        <v>15971</v>
      </c>
      <c r="DA18" s="7">
        <v>16160</v>
      </c>
      <c r="DB18" s="7">
        <v>16625</v>
      </c>
      <c r="DC18" s="7">
        <v>16992</v>
      </c>
      <c r="DD18" s="7">
        <v>17175</v>
      </c>
      <c r="DE18" s="7">
        <v>17417</v>
      </c>
      <c r="DF18" s="7">
        <v>17363</v>
      </c>
      <c r="DG18" s="7">
        <v>17455</v>
      </c>
      <c r="DH18" s="7">
        <v>17710</v>
      </c>
      <c r="DI18" s="7">
        <v>18000</v>
      </c>
      <c r="DJ18" s="7">
        <v>18557</v>
      </c>
      <c r="DK18" s="7">
        <v>18665</v>
      </c>
      <c r="DL18" s="7">
        <v>18872</v>
      </c>
      <c r="DM18" s="7">
        <v>18915</v>
      </c>
      <c r="DN18" s="7">
        <v>19042</v>
      </c>
      <c r="DO18" s="7">
        <v>19127</v>
      </c>
      <c r="DP18" s="7">
        <v>19196</v>
      </c>
      <c r="DQ18" s="7">
        <v>18914</v>
      </c>
      <c r="DR18" s="7">
        <v>18779</v>
      </c>
      <c r="DS18" s="7">
        <v>18728</v>
      </c>
      <c r="DT18" s="7">
        <v>18887</v>
      </c>
      <c r="DU18" s="7">
        <v>18947</v>
      </c>
      <c r="DV18" s="7">
        <v>18936</v>
      </c>
      <c r="DW18" s="7">
        <v>18957</v>
      </c>
      <c r="DX18" s="7">
        <v>18871</v>
      </c>
      <c r="DY18" s="7">
        <v>18664</v>
      </c>
      <c r="DZ18" s="7">
        <v>18328</v>
      </c>
      <c r="EA18" s="7">
        <v>18313</v>
      </c>
      <c r="EB18" s="7">
        <v>18213</v>
      </c>
      <c r="EC18" s="7">
        <v>18266</v>
      </c>
      <c r="ED18" s="7">
        <v>18339</v>
      </c>
      <c r="EE18" s="7">
        <v>18494</v>
      </c>
      <c r="EF18" s="7">
        <v>18559</v>
      </c>
      <c r="EG18" s="7">
        <v>18526</v>
      </c>
      <c r="EH18" s="7">
        <v>18565</v>
      </c>
      <c r="EI18" s="7">
        <v>18633</v>
      </c>
      <c r="EJ18" s="7">
        <v>18690</v>
      </c>
      <c r="EK18" s="7">
        <v>18738</v>
      </c>
      <c r="EL18" s="7">
        <v>18794</v>
      </c>
      <c r="EM18" s="7">
        <v>18777</v>
      </c>
      <c r="EN18" s="7">
        <v>18778</v>
      </c>
      <c r="EO18" s="7">
        <v>18681</v>
      </c>
      <c r="EP18" s="7">
        <v>18521</v>
      </c>
      <c r="EQ18" s="7">
        <v>18572</v>
      </c>
      <c r="ER18" s="7">
        <v>18589</v>
      </c>
      <c r="ES18" s="7">
        <v>18597</v>
      </c>
      <c r="ET18" s="7">
        <v>18619</v>
      </c>
      <c r="EU18" s="7">
        <v>18549</v>
      </c>
      <c r="EV18" s="7">
        <v>18569</v>
      </c>
      <c r="EW18" s="7">
        <v>18553</v>
      </c>
      <c r="EX18" s="7">
        <v>18691</v>
      </c>
      <c r="EY18" s="7">
        <v>18713</v>
      </c>
      <c r="EZ18" s="7">
        <v>18800</v>
      </c>
      <c r="FA18" s="7">
        <v>18650</v>
      </c>
      <c r="FB18" s="7">
        <v>18678</v>
      </c>
      <c r="FC18" s="7">
        <v>18684</v>
      </c>
      <c r="FD18" s="7">
        <v>18725</v>
      </c>
      <c r="FE18" s="20">
        <v>18751</v>
      </c>
      <c r="FF18" s="20">
        <v>18854</v>
      </c>
      <c r="FG18" s="20">
        <v>18998</v>
      </c>
      <c r="FH18" s="198">
        <v>19110</v>
      </c>
      <c r="FI18" s="20">
        <v>19007</v>
      </c>
      <c r="FJ18" s="20">
        <v>18987</v>
      </c>
      <c r="FK18" s="20">
        <v>19036</v>
      </c>
      <c r="FL18" s="20">
        <v>18966</v>
      </c>
      <c r="FM18" s="20">
        <v>18933</v>
      </c>
      <c r="FN18" s="20">
        <v>18810</v>
      </c>
      <c r="FO18" s="207">
        <f t="shared" si="15"/>
        <v>-123</v>
      </c>
    </row>
    <row r="19" spans="1:183" s="20" customFormat="1" ht="15" customHeight="1" x14ac:dyDescent="0.2">
      <c r="B19" s="39" t="s">
        <v>36</v>
      </c>
      <c r="C19" s="7">
        <v>2326</v>
      </c>
      <c r="D19" s="7">
        <v>2541</v>
      </c>
      <c r="E19" s="7">
        <v>2759</v>
      </c>
      <c r="F19" s="7">
        <v>2900</v>
      </c>
      <c r="G19" s="7">
        <v>2895</v>
      </c>
      <c r="H19" s="7">
        <v>2872</v>
      </c>
      <c r="I19" s="7">
        <v>2816</v>
      </c>
      <c r="J19" s="7">
        <v>2740</v>
      </c>
      <c r="K19" s="7">
        <v>2754</v>
      </c>
      <c r="L19" s="7">
        <v>2778</v>
      </c>
      <c r="M19" s="7">
        <v>2766</v>
      </c>
      <c r="N19" s="7">
        <v>2722</v>
      </c>
      <c r="O19" s="7">
        <v>2714</v>
      </c>
      <c r="P19" s="7">
        <v>2734</v>
      </c>
      <c r="Q19" s="7">
        <v>2758</v>
      </c>
      <c r="R19" s="7">
        <v>2752</v>
      </c>
      <c r="S19" s="7">
        <v>2711</v>
      </c>
      <c r="T19" s="7">
        <v>2647</v>
      </c>
      <c r="U19" s="7">
        <v>2607</v>
      </c>
      <c r="V19" s="7">
        <v>2601</v>
      </c>
      <c r="W19" s="7">
        <v>2651</v>
      </c>
      <c r="X19" s="7">
        <v>2721</v>
      </c>
      <c r="Y19" s="7">
        <v>2714</v>
      </c>
      <c r="Z19" s="7">
        <v>2692</v>
      </c>
      <c r="AA19" s="7">
        <v>2565</v>
      </c>
      <c r="AB19" s="7">
        <v>2549</v>
      </c>
      <c r="AC19" s="7">
        <v>2516</v>
      </c>
      <c r="AD19" s="7">
        <v>2570</v>
      </c>
      <c r="AE19" s="7">
        <v>2549</v>
      </c>
      <c r="AF19" s="7">
        <v>2552</v>
      </c>
      <c r="AG19" s="7">
        <v>2504</v>
      </c>
      <c r="AH19" s="7">
        <v>2470</v>
      </c>
      <c r="AI19" s="7">
        <v>2446</v>
      </c>
      <c r="AJ19" s="7">
        <v>2499</v>
      </c>
      <c r="AK19" s="7">
        <v>2556</v>
      </c>
      <c r="AL19" s="7">
        <v>2597</v>
      </c>
      <c r="AM19" s="7">
        <v>2595</v>
      </c>
      <c r="AN19" s="7">
        <v>2595</v>
      </c>
      <c r="AO19" s="7">
        <v>2574</v>
      </c>
      <c r="AP19" s="7">
        <v>2621</v>
      </c>
      <c r="AQ19" s="7">
        <v>2637</v>
      </c>
      <c r="AR19" s="7">
        <v>2616</v>
      </c>
      <c r="AS19" s="7">
        <v>2563</v>
      </c>
      <c r="AT19" s="7">
        <v>2463</v>
      </c>
      <c r="AU19" s="7">
        <v>2335</v>
      </c>
      <c r="AV19" s="7">
        <v>2248</v>
      </c>
      <c r="AW19" s="7">
        <v>2204</v>
      </c>
      <c r="AX19" s="7">
        <v>2178</v>
      </c>
      <c r="AY19" s="7">
        <v>2109</v>
      </c>
      <c r="AZ19" s="7">
        <v>2059</v>
      </c>
      <c r="BA19" s="7">
        <v>2056</v>
      </c>
      <c r="BB19" s="7">
        <v>2053</v>
      </c>
      <c r="BC19" s="7">
        <v>2025</v>
      </c>
      <c r="BD19" s="7">
        <v>2010</v>
      </c>
      <c r="BE19" s="7">
        <v>1982</v>
      </c>
      <c r="BF19" s="7">
        <v>1992</v>
      </c>
      <c r="BG19" s="7">
        <v>2016</v>
      </c>
      <c r="BH19" s="7">
        <v>2024</v>
      </c>
      <c r="BI19" s="7">
        <v>2078</v>
      </c>
      <c r="BJ19" s="7">
        <v>2110</v>
      </c>
      <c r="BK19" s="7">
        <v>2101</v>
      </c>
      <c r="BL19" s="7">
        <v>2089</v>
      </c>
      <c r="BM19" s="7">
        <v>2082</v>
      </c>
      <c r="BN19" s="7">
        <v>2090</v>
      </c>
      <c r="BO19" s="7">
        <v>2137</v>
      </c>
      <c r="BP19" s="7">
        <v>2171</v>
      </c>
      <c r="BQ19" s="7">
        <v>2175</v>
      </c>
      <c r="BR19" s="7">
        <v>2126</v>
      </c>
      <c r="BS19" s="7">
        <v>2150</v>
      </c>
      <c r="BT19" s="7">
        <v>2137</v>
      </c>
      <c r="BU19" s="7">
        <v>2161</v>
      </c>
      <c r="BV19" s="7">
        <v>2149</v>
      </c>
      <c r="BW19" s="7">
        <v>2147</v>
      </c>
      <c r="BX19" s="7">
        <v>2105</v>
      </c>
      <c r="BY19" s="7">
        <v>2062</v>
      </c>
      <c r="BZ19" s="7">
        <v>2068</v>
      </c>
      <c r="CA19" s="7">
        <v>2068</v>
      </c>
      <c r="CB19" s="7">
        <v>2115</v>
      </c>
      <c r="CC19" s="7">
        <v>2147</v>
      </c>
      <c r="CD19" s="7">
        <v>2172</v>
      </c>
      <c r="CE19" s="7">
        <v>2142</v>
      </c>
      <c r="CF19" s="7">
        <v>2103</v>
      </c>
      <c r="CG19" s="7">
        <v>2099</v>
      </c>
      <c r="CH19" s="7">
        <v>2087</v>
      </c>
      <c r="CI19" s="7">
        <v>2108</v>
      </c>
      <c r="CJ19" s="7">
        <v>2084</v>
      </c>
      <c r="CK19" s="7">
        <v>2101</v>
      </c>
      <c r="CL19" s="7">
        <v>2139</v>
      </c>
      <c r="CM19" s="7">
        <v>2165</v>
      </c>
      <c r="CN19" s="7">
        <v>2131</v>
      </c>
      <c r="CO19" s="7">
        <v>2067</v>
      </c>
      <c r="CP19" s="7">
        <v>2053</v>
      </c>
      <c r="CQ19" s="7">
        <v>2004</v>
      </c>
      <c r="CR19" s="7">
        <v>1977</v>
      </c>
      <c r="CS19" s="7">
        <v>1927</v>
      </c>
      <c r="CT19" s="7">
        <v>1921</v>
      </c>
      <c r="CU19" s="7">
        <v>1888</v>
      </c>
      <c r="CV19" s="7">
        <v>1851</v>
      </c>
      <c r="CW19" s="7">
        <v>1830</v>
      </c>
      <c r="CX19" s="7">
        <v>1811</v>
      </c>
      <c r="CY19" s="7">
        <v>1842</v>
      </c>
      <c r="CZ19" s="7">
        <v>1894</v>
      </c>
      <c r="DA19" s="7">
        <v>1947</v>
      </c>
      <c r="DB19" s="7">
        <v>1954</v>
      </c>
      <c r="DC19" s="7">
        <v>1975</v>
      </c>
      <c r="DD19" s="7">
        <v>1963</v>
      </c>
      <c r="DE19" s="7">
        <v>1993</v>
      </c>
      <c r="DF19" s="7">
        <v>1935</v>
      </c>
      <c r="DG19" s="7">
        <v>1937</v>
      </c>
      <c r="DH19" s="7">
        <v>1905</v>
      </c>
      <c r="DI19" s="7">
        <v>1940</v>
      </c>
      <c r="DJ19" s="7">
        <v>1945</v>
      </c>
      <c r="DK19" s="7">
        <v>1951</v>
      </c>
      <c r="DL19" s="7">
        <v>1964</v>
      </c>
      <c r="DM19" s="7">
        <v>1982</v>
      </c>
      <c r="DN19" s="7">
        <v>1956</v>
      </c>
      <c r="DO19" s="7">
        <v>1926</v>
      </c>
      <c r="DP19" s="7">
        <v>1910</v>
      </c>
      <c r="DQ19" s="7">
        <v>1913</v>
      </c>
      <c r="DR19" s="7">
        <v>1920</v>
      </c>
      <c r="DS19" s="7">
        <v>1923</v>
      </c>
      <c r="DT19" s="7">
        <v>1864</v>
      </c>
      <c r="DU19" s="7">
        <v>1828</v>
      </c>
      <c r="DV19" s="7">
        <v>1761</v>
      </c>
      <c r="DW19" s="7">
        <v>1769</v>
      </c>
      <c r="DX19" s="7">
        <v>1750</v>
      </c>
      <c r="DY19" s="7">
        <v>1702</v>
      </c>
      <c r="DZ19" s="7">
        <v>1686</v>
      </c>
      <c r="EA19" s="7">
        <v>1624</v>
      </c>
      <c r="EB19" s="7">
        <v>1589</v>
      </c>
      <c r="EC19" s="7">
        <v>1523</v>
      </c>
      <c r="ED19" s="7">
        <v>1502</v>
      </c>
      <c r="EE19" s="7">
        <v>1487</v>
      </c>
      <c r="EF19" s="7">
        <v>1506</v>
      </c>
      <c r="EG19" s="7">
        <v>1488</v>
      </c>
      <c r="EH19" s="7">
        <v>1545</v>
      </c>
      <c r="EI19" s="7">
        <v>1503</v>
      </c>
      <c r="EJ19" s="7">
        <v>1504</v>
      </c>
      <c r="EK19" s="7">
        <v>1484</v>
      </c>
      <c r="EL19" s="7">
        <v>1493</v>
      </c>
      <c r="EM19" s="7">
        <v>1460</v>
      </c>
      <c r="EN19" s="7">
        <v>1400</v>
      </c>
      <c r="EO19" s="7">
        <v>1365</v>
      </c>
      <c r="EP19" s="7">
        <v>1378</v>
      </c>
      <c r="EQ19" s="7">
        <v>1371</v>
      </c>
      <c r="ER19" s="7">
        <v>1324</v>
      </c>
      <c r="ES19" s="7">
        <v>1294</v>
      </c>
      <c r="ET19" s="7">
        <v>1309</v>
      </c>
      <c r="EU19" s="7">
        <v>1355</v>
      </c>
      <c r="EV19" s="7">
        <v>1366</v>
      </c>
      <c r="EW19" s="7">
        <v>1344</v>
      </c>
      <c r="EX19" s="7">
        <v>1320</v>
      </c>
      <c r="EY19" s="7">
        <v>1295</v>
      </c>
      <c r="EZ19" s="7">
        <v>1309</v>
      </c>
      <c r="FA19" s="7">
        <v>1317</v>
      </c>
      <c r="FB19" s="7">
        <v>1330</v>
      </c>
      <c r="FC19" s="7">
        <v>1224</v>
      </c>
      <c r="FD19" s="7">
        <v>1201</v>
      </c>
      <c r="FE19" s="20">
        <v>1187</v>
      </c>
      <c r="FF19" s="20">
        <v>1219</v>
      </c>
      <c r="FG19" s="20">
        <v>1237</v>
      </c>
      <c r="FH19" s="20">
        <v>1259</v>
      </c>
      <c r="FI19" s="20">
        <v>1243</v>
      </c>
      <c r="FJ19" s="20">
        <v>1188</v>
      </c>
      <c r="FK19" s="20">
        <v>1168</v>
      </c>
      <c r="FL19" s="20">
        <v>1190</v>
      </c>
      <c r="FM19" s="20">
        <v>1203</v>
      </c>
      <c r="FN19" s="20">
        <v>1207</v>
      </c>
      <c r="FO19" s="207">
        <f t="shared" si="15"/>
        <v>4</v>
      </c>
    </row>
    <row r="20" spans="1:183" s="20" customFormat="1" ht="15" customHeight="1" x14ac:dyDescent="0.2">
      <c r="A20" s="20">
        <v>0</v>
      </c>
      <c r="B20" s="41" t="s">
        <v>37</v>
      </c>
      <c r="C20" s="42" t="e">
        <f>(C14/C5)*100</f>
        <v>#VALUE!</v>
      </c>
      <c r="D20" s="42" t="e">
        <f t="shared" ref="D20:BN20" si="22">(D14/D5)*100</f>
        <v>#VALUE!</v>
      </c>
      <c r="E20" s="42" t="e">
        <f t="shared" si="22"/>
        <v>#VALUE!</v>
      </c>
      <c r="F20" s="42" t="e">
        <f t="shared" si="22"/>
        <v>#VALUE!</v>
      </c>
      <c r="G20" s="42" t="e">
        <f t="shared" si="22"/>
        <v>#VALUE!</v>
      </c>
      <c r="H20" s="42" t="e">
        <f t="shared" si="22"/>
        <v>#VALUE!</v>
      </c>
      <c r="I20" s="42" t="e">
        <f t="shared" si="22"/>
        <v>#VALUE!</v>
      </c>
      <c r="J20" s="42" t="e">
        <f t="shared" si="22"/>
        <v>#VALUE!</v>
      </c>
      <c r="K20" s="42" t="e">
        <f t="shared" si="22"/>
        <v>#VALUE!</v>
      </c>
      <c r="L20" s="42" t="e">
        <f t="shared" si="22"/>
        <v>#VALUE!</v>
      </c>
      <c r="M20" s="42" t="e">
        <f t="shared" si="22"/>
        <v>#VALUE!</v>
      </c>
      <c r="N20" s="42" t="e">
        <f t="shared" si="22"/>
        <v>#VALUE!</v>
      </c>
      <c r="O20" s="42" t="e">
        <f t="shared" si="22"/>
        <v>#VALUE!</v>
      </c>
      <c r="P20" s="42" t="e">
        <f t="shared" si="22"/>
        <v>#VALUE!</v>
      </c>
      <c r="Q20" s="42" t="e">
        <f t="shared" si="22"/>
        <v>#VALUE!</v>
      </c>
      <c r="R20" s="42" t="e">
        <f t="shared" si="22"/>
        <v>#VALUE!</v>
      </c>
      <c r="S20" s="42" t="e">
        <f t="shared" si="22"/>
        <v>#VALUE!</v>
      </c>
      <c r="T20" s="42" t="e">
        <f t="shared" si="22"/>
        <v>#VALUE!</v>
      </c>
      <c r="U20" s="42" t="e">
        <f t="shared" si="22"/>
        <v>#VALUE!</v>
      </c>
      <c r="V20" s="42" t="e">
        <f t="shared" si="22"/>
        <v>#VALUE!</v>
      </c>
      <c r="W20" s="42" t="e">
        <f t="shared" si="22"/>
        <v>#VALUE!</v>
      </c>
      <c r="X20" s="42" t="e">
        <f t="shared" si="22"/>
        <v>#VALUE!</v>
      </c>
      <c r="Y20" s="42" t="e">
        <f t="shared" si="22"/>
        <v>#VALUE!</v>
      </c>
      <c r="Z20" s="42" t="e">
        <f t="shared" si="22"/>
        <v>#VALUE!</v>
      </c>
      <c r="AA20" s="42" t="e">
        <f t="shared" si="22"/>
        <v>#VALUE!</v>
      </c>
      <c r="AB20" s="42" t="e">
        <f t="shared" si="22"/>
        <v>#VALUE!</v>
      </c>
      <c r="AC20" s="42" t="e">
        <f t="shared" si="22"/>
        <v>#VALUE!</v>
      </c>
      <c r="AD20" s="42" t="e">
        <f t="shared" si="22"/>
        <v>#VALUE!</v>
      </c>
      <c r="AE20" s="42" t="e">
        <f t="shared" si="22"/>
        <v>#VALUE!</v>
      </c>
      <c r="AF20" s="42" t="e">
        <f t="shared" si="22"/>
        <v>#VALUE!</v>
      </c>
      <c r="AG20" s="42" t="e">
        <f t="shared" si="22"/>
        <v>#VALUE!</v>
      </c>
      <c r="AH20" s="42" t="e">
        <f t="shared" si="22"/>
        <v>#VALUE!</v>
      </c>
      <c r="AI20" s="42" t="e">
        <f t="shared" si="22"/>
        <v>#VALUE!</v>
      </c>
      <c r="AJ20" s="42" t="e">
        <f t="shared" si="22"/>
        <v>#VALUE!</v>
      </c>
      <c r="AK20" s="42" t="e">
        <f t="shared" si="22"/>
        <v>#VALUE!</v>
      </c>
      <c r="AL20" s="42" t="e">
        <f t="shared" si="22"/>
        <v>#VALUE!</v>
      </c>
      <c r="AM20" s="42" t="e">
        <f t="shared" si="22"/>
        <v>#VALUE!</v>
      </c>
      <c r="AN20" s="42" t="e">
        <f t="shared" si="22"/>
        <v>#VALUE!</v>
      </c>
      <c r="AO20" s="42" t="e">
        <f t="shared" si="22"/>
        <v>#VALUE!</v>
      </c>
      <c r="AP20" s="42" t="e">
        <f t="shared" si="22"/>
        <v>#VALUE!</v>
      </c>
      <c r="AQ20" s="42" t="e">
        <f t="shared" si="22"/>
        <v>#VALUE!</v>
      </c>
      <c r="AR20" s="42" t="e">
        <f t="shared" si="22"/>
        <v>#VALUE!</v>
      </c>
      <c r="AS20" s="42" t="e">
        <f t="shared" si="22"/>
        <v>#VALUE!</v>
      </c>
      <c r="AT20" s="42" t="e">
        <f t="shared" si="22"/>
        <v>#VALUE!</v>
      </c>
      <c r="AU20" s="42" t="e">
        <f t="shared" si="22"/>
        <v>#VALUE!</v>
      </c>
      <c r="AV20" s="42">
        <f>(AV14/AV5)*100</f>
        <v>38.300776344954848</v>
      </c>
      <c r="AW20" s="42">
        <f t="shared" si="22"/>
        <v>38.148396382934308</v>
      </c>
      <c r="AX20" s="42">
        <f t="shared" si="22"/>
        <v>38.27175498298493</v>
      </c>
      <c r="AY20" s="42">
        <f t="shared" si="22"/>
        <v>38.325417922566153</v>
      </c>
      <c r="AZ20" s="42">
        <f t="shared" si="22"/>
        <v>38.523685882077629</v>
      </c>
      <c r="BA20" s="42">
        <f t="shared" si="22"/>
        <v>38.686025812194039</v>
      </c>
      <c r="BB20" s="42">
        <f t="shared" si="22"/>
        <v>38.66029879990203</v>
      </c>
      <c r="BC20" s="42">
        <f t="shared" si="22"/>
        <v>38.704846208869817</v>
      </c>
      <c r="BD20" s="42">
        <f t="shared" si="22"/>
        <v>38.460245042540549</v>
      </c>
      <c r="BE20" s="42">
        <f t="shared" si="22"/>
        <v>38.445451376786338</v>
      </c>
      <c r="BF20" s="42">
        <f t="shared" si="22"/>
        <v>38.501129378448539</v>
      </c>
      <c r="BG20" s="42">
        <f t="shared" si="22"/>
        <v>38.727138246369016</v>
      </c>
      <c r="BH20" s="42">
        <f t="shared" si="22"/>
        <v>39.076402429458298</v>
      </c>
      <c r="BI20" s="42">
        <f t="shared" si="22"/>
        <v>39.23668592407401</v>
      </c>
      <c r="BJ20" s="42">
        <f t="shared" si="22"/>
        <v>39.292713041311266</v>
      </c>
      <c r="BK20" s="42">
        <f t="shared" si="22"/>
        <v>39.299287681208895</v>
      </c>
      <c r="BL20" s="42">
        <f t="shared" si="22"/>
        <v>39.531824161865444</v>
      </c>
      <c r="BM20" s="42">
        <f t="shared" si="22"/>
        <v>39.70163401643044</v>
      </c>
      <c r="BN20" s="42">
        <f t="shared" si="22"/>
        <v>39.797223032233461</v>
      </c>
      <c r="BO20" s="42">
        <f t="shared" ref="BO20:EA20" si="23">(BO14/BO5)*100</f>
        <v>39.857039146702405</v>
      </c>
      <c r="BP20" s="42">
        <f t="shared" si="23"/>
        <v>40.025131775015012</v>
      </c>
      <c r="BQ20" s="42">
        <f t="shared" si="23"/>
        <v>40.231771555309123</v>
      </c>
      <c r="BR20" s="42">
        <f t="shared" si="23"/>
        <v>40.1945073769133</v>
      </c>
      <c r="BS20" s="42">
        <f t="shared" si="23"/>
        <v>40.31336993717197</v>
      </c>
      <c r="BT20" s="42">
        <f t="shared" si="23"/>
        <v>40.299998901907387</v>
      </c>
      <c r="BU20" s="42">
        <f t="shared" si="23"/>
        <v>40.302589210886154</v>
      </c>
      <c r="BV20" s="42">
        <f t="shared" si="23"/>
        <v>40.262276166596401</v>
      </c>
      <c r="BW20" s="42">
        <f t="shared" si="23"/>
        <v>40.235254766417661</v>
      </c>
      <c r="BX20" s="42">
        <f t="shared" si="23"/>
        <v>40.428302705831278</v>
      </c>
      <c r="BY20" s="42">
        <f t="shared" si="23"/>
        <v>40.404433426344873</v>
      </c>
      <c r="BZ20" s="42">
        <f t="shared" si="23"/>
        <v>40.277793173781468</v>
      </c>
      <c r="CA20" s="42">
        <f t="shared" si="23"/>
        <v>40.197722658663608</v>
      </c>
      <c r="CB20" s="42">
        <f t="shared" si="23"/>
        <v>40.347852821363084</v>
      </c>
      <c r="CC20" s="42">
        <f t="shared" si="23"/>
        <v>40.667641857520245</v>
      </c>
      <c r="CD20" s="42">
        <f t="shared" si="23"/>
        <v>40.769130406419208</v>
      </c>
      <c r="CE20" s="42">
        <f t="shared" si="23"/>
        <v>40.833848255227814</v>
      </c>
      <c r="CF20" s="42">
        <f t="shared" si="23"/>
        <v>40.755490928031946</v>
      </c>
      <c r="CG20" s="42">
        <f t="shared" si="23"/>
        <v>40.634750921905344</v>
      </c>
      <c r="CH20" s="42">
        <f t="shared" si="23"/>
        <v>40.37900874635568</v>
      </c>
      <c r="CI20" s="42">
        <f t="shared" si="23"/>
        <v>40.456793236916262</v>
      </c>
      <c r="CJ20" s="42">
        <f t="shared" si="23"/>
        <v>40.556148800313814</v>
      </c>
      <c r="CK20" s="42">
        <f t="shared" si="23"/>
        <v>40.714455977636682</v>
      </c>
      <c r="CL20" s="42">
        <f t="shared" si="23"/>
        <v>40.876077830417749</v>
      </c>
      <c r="CM20" s="42">
        <f t="shared" si="23"/>
        <v>41.009324461097826</v>
      </c>
      <c r="CN20" s="42">
        <f t="shared" si="23"/>
        <v>41.054737498789947</v>
      </c>
      <c r="CO20" s="42">
        <f t="shared" si="23"/>
        <v>41.017909454775676</v>
      </c>
      <c r="CP20" s="42">
        <f t="shared" si="23"/>
        <v>40.901164967532814</v>
      </c>
      <c r="CQ20" s="42">
        <f t="shared" si="23"/>
        <v>40.79999147357875</v>
      </c>
      <c r="CR20" s="42">
        <f t="shared" si="23"/>
        <v>40.664395229982965</v>
      </c>
      <c r="CS20" s="42">
        <f t="shared" si="23"/>
        <v>40.379145905951283</v>
      </c>
      <c r="CT20" s="42">
        <f t="shared" si="23"/>
        <v>40.316948697287138</v>
      </c>
      <c r="CU20" s="42">
        <f t="shared" si="23"/>
        <v>39.591141024660473</v>
      </c>
      <c r="CV20" s="42">
        <f t="shared" si="23"/>
        <v>38.431580610931746</v>
      </c>
      <c r="CW20" s="42">
        <f t="shared" si="23"/>
        <v>37.26884445696048</v>
      </c>
      <c r="CX20" s="42">
        <f t="shared" si="23"/>
        <v>36.621031097553598</v>
      </c>
      <c r="CY20" s="42">
        <f t="shared" si="23"/>
        <v>37.168762148463451</v>
      </c>
      <c r="CZ20" s="42">
        <f t="shared" si="23"/>
        <v>37.738663116764656</v>
      </c>
      <c r="DA20" s="42">
        <f t="shared" si="23"/>
        <v>38.07943383564151</v>
      </c>
      <c r="DB20" s="42">
        <f t="shared" si="23"/>
        <v>38.511859995941215</v>
      </c>
      <c r="DC20" s="42">
        <f t="shared" si="23"/>
        <v>38.837988826815646</v>
      </c>
      <c r="DD20" s="42">
        <f t="shared" si="23"/>
        <v>39.132261792205064</v>
      </c>
      <c r="DE20" s="42">
        <f t="shared" si="23"/>
        <v>39.248102743724459</v>
      </c>
      <c r="DF20" s="42">
        <f t="shared" si="23"/>
        <v>39.148037522751665</v>
      </c>
      <c r="DG20" s="42">
        <f t="shared" si="23"/>
        <v>39.195985777112377</v>
      </c>
      <c r="DH20" s="42">
        <f t="shared" si="23"/>
        <v>39.356078248719143</v>
      </c>
      <c r="DI20" s="42">
        <f t="shared" si="23"/>
        <v>39.538699761954291</v>
      </c>
      <c r="DJ20" s="42">
        <f t="shared" si="23"/>
        <v>40.097785578336733</v>
      </c>
      <c r="DK20" s="42">
        <f t="shared" si="23"/>
        <v>40.272830447338556</v>
      </c>
      <c r="DL20" s="42">
        <f t="shared" si="23"/>
        <v>40.657314540224135</v>
      </c>
      <c r="DM20" s="42">
        <f t="shared" si="23"/>
        <v>40.657426176518932</v>
      </c>
      <c r="DN20" s="42">
        <f t="shared" si="23"/>
        <v>40.76981459394991</v>
      </c>
      <c r="DO20" s="42">
        <f t="shared" si="23"/>
        <v>40.737680288461533</v>
      </c>
      <c r="DP20" s="42">
        <f t="shared" si="23"/>
        <v>40.769034344809974</v>
      </c>
      <c r="DQ20" s="42">
        <f t="shared" si="23"/>
        <v>40.467981084341211</v>
      </c>
      <c r="DR20" s="42">
        <f t="shared" si="23"/>
        <v>40.33800406460584</v>
      </c>
      <c r="DS20" s="42">
        <f t="shared" si="23"/>
        <v>40.186905894806621</v>
      </c>
      <c r="DT20" s="42">
        <f t="shared" si="23"/>
        <v>40.213662130920838</v>
      </c>
      <c r="DU20" s="42">
        <f t="shared" si="23"/>
        <v>40.198936359172073</v>
      </c>
      <c r="DV20" s="42">
        <f t="shared" si="23"/>
        <v>40.042511275856704</v>
      </c>
      <c r="DW20" s="42">
        <f t="shared" si="23"/>
        <v>39.891980089637933</v>
      </c>
      <c r="DX20" s="42">
        <f t="shared" si="23"/>
        <v>39.774843841649769</v>
      </c>
      <c r="DY20" s="42">
        <f t="shared" si="23"/>
        <v>39.512495509827069</v>
      </c>
      <c r="DZ20" s="42">
        <f t="shared" si="23"/>
        <v>39.173993048456346</v>
      </c>
      <c r="EA20" s="42">
        <f t="shared" si="23"/>
        <v>38.996770369159066</v>
      </c>
      <c r="EB20" s="42">
        <f t="shared" ref="EB20:FD20" si="24">(EB14/EB5)*100</f>
        <v>38.869747123607951</v>
      </c>
      <c r="EC20" s="42">
        <f t="shared" si="24"/>
        <v>39.056091084730703</v>
      </c>
      <c r="ED20" s="42">
        <f t="shared" si="24"/>
        <v>39.012204622176057</v>
      </c>
      <c r="EE20" s="42">
        <f t="shared" si="24"/>
        <v>39.026651941069829</v>
      </c>
      <c r="EF20" s="42">
        <f t="shared" si="24"/>
        <v>38.909510589849965</v>
      </c>
      <c r="EG20" s="42">
        <f t="shared" si="24"/>
        <v>38.999730664843476</v>
      </c>
      <c r="EH20" s="42">
        <f t="shared" si="24"/>
        <v>39.212473464003793</v>
      </c>
      <c r="EI20" s="42">
        <f t="shared" si="24"/>
        <v>39.232103097649315</v>
      </c>
      <c r="EJ20" s="42">
        <f t="shared" si="24"/>
        <v>39.167348608837969</v>
      </c>
      <c r="EK20" s="42">
        <f t="shared" si="24"/>
        <v>39.146194531234045</v>
      </c>
      <c r="EL20" s="42">
        <f t="shared" si="24"/>
        <v>39.15241650814319</v>
      </c>
      <c r="EM20" s="42">
        <f t="shared" si="24"/>
        <v>39.252715599866121</v>
      </c>
      <c r="EN20" s="42">
        <f t="shared" si="24"/>
        <v>39.194250123658684</v>
      </c>
      <c r="EO20" s="42">
        <f t="shared" si="24"/>
        <v>39.027727106895291</v>
      </c>
      <c r="EP20" s="42">
        <f t="shared" si="24"/>
        <v>38.764199200675257</v>
      </c>
      <c r="EQ20" s="42">
        <f t="shared" si="24"/>
        <v>38.907936637128529</v>
      </c>
      <c r="ER20" s="42">
        <f t="shared" si="24"/>
        <v>38.772414211596221</v>
      </c>
      <c r="ES20" s="42">
        <f t="shared" si="24"/>
        <v>38.670342274181543</v>
      </c>
      <c r="ET20" s="42">
        <f t="shared" si="24"/>
        <v>38.66362307522877</v>
      </c>
      <c r="EU20" s="42">
        <f t="shared" si="24"/>
        <v>38.701039168665069</v>
      </c>
      <c r="EV20" s="42">
        <f t="shared" si="24"/>
        <v>38.875298329355608</v>
      </c>
      <c r="EW20" s="42">
        <f t="shared" si="24"/>
        <v>38.829571429985059</v>
      </c>
      <c r="EX20" s="42">
        <f t="shared" si="24"/>
        <v>38.90326580011611</v>
      </c>
      <c r="EY20" s="42">
        <f t="shared" si="24"/>
        <v>38.765858492695038</v>
      </c>
      <c r="EZ20" s="42">
        <f t="shared" si="24"/>
        <v>38.600229792499334</v>
      </c>
      <c r="FA20" s="42">
        <f t="shared" si="24"/>
        <v>38.385368703522168</v>
      </c>
      <c r="FB20" s="42">
        <f t="shared" si="24"/>
        <v>38.106731027085011</v>
      </c>
      <c r="FC20" s="42">
        <f t="shared" si="24"/>
        <v>37.995224355785496</v>
      </c>
      <c r="FD20" s="42">
        <f t="shared" si="24"/>
        <v>37.971933359010066</v>
      </c>
      <c r="FE20" s="42">
        <f t="shared" ref="FE20:FL20" si="25">(FE14/FE5)*100</f>
        <v>37.840040053797743</v>
      </c>
      <c r="FF20" s="42">
        <f t="shared" si="25"/>
        <v>37.841958657088405</v>
      </c>
      <c r="FG20" s="42">
        <f t="shared" si="25"/>
        <v>37.840212425319223</v>
      </c>
      <c r="FH20" s="42">
        <f t="shared" si="25"/>
        <v>37.960124196918507</v>
      </c>
      <c r="FI20" s="42">
        <f t="shared" si="25"/>
        <v>37.826676949811095</v>
      </c>
      <c r="FJ20" s="42">
        <f t="shared" si="25"/>
        <v>37.842370584162957</v>
      </c>
      <c r="FK20" s="42">
        <f t="shared" si="25"/>
        <v>37.679457187509101</v>
      </c>
      <c r="FL20" s="42">
        <f t="shared" si="25"/>
        <v>37.580947387838712</v>
      </c>
      <c r="FM20" s="42">
        <f t="shared" ref="FM20:FN20" si="26">(FM14/FM5)*100</f>
        <v>37.522401433691755</v>
      </c>
      <c r="FN20" s="42">
        <f t="shared" si="26"/>
        <v>37.463409858534433</v>
      </c>
    </row>
    <row r="21" spans="1:183" s="20" customFormat="1" ht="15" customHeight="1" x14ac:dyDescent="0.25">
      <c r="B21" s="79" t="s">
        <v>38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70"/>
      <c r="EZ21" s="81"/>
      <c r="FF21" s="200">
        <f>SUM(FF15,FF16,FF18,FF13,FF19)/FF5</f>
        <v>0.43811757806773199</v>
      </c>
    </row>
    <row r="22" spans="1:183" s="20" customFormat="1" ht="15" customHeight="1" x14ac:dyDescent="0.2">
      <c r="B22" s="20" t="s">
        <v>39</v>
      </c>
      <c r="C22" s="43">
        <f>SUM(C24:C27)</f>
        <v>88012</v>
      </c>
      <c r="D22" s="43">
        <f t="shared" ref="D22:BO22" si="27">SUM(D24:D27)</f>
        <v>88845</v>
      </c>
      <c r="E22" s="43">
        <f t="shared" si="27"/>
        <v>89379</v>
      </c>
      <c r="F22" s="43">
        <f t="shared" si="27"/>
        <v>89647</v>
      </c>
      <c r="G22" s="43">
        <f t="shared" si="27"/>
        <v>89786</v>
      </c>
      <c r="H22" s="43">
        <f t="shared" si="27"/>
        <v>90086</v>
      </c>
      <c r="I22" s="43">
        <f t="shared" si="27"/>
        <v>90320</v>
      </c>
      <c r="J22" s="43">
        <f t="shared" si="27"/>
        <v>90466</v>
      </c>
      <c r="K22" s="43">
        <f t="shared" si="27"/>
        <v>90555</v>
      </c>
      <c r="L22" s="43">
        <f t="shared" si="27"/>
        <v>90593</v>
      </c>
      <c r="M22" s="43">
        <f t="shared" si="27"/>
        <v>90284</v>
      </c>
      <c r="N22" s="43">
        <f t="shared" si="27"/>
        <v>89901</v>
      </c>
      <c r="O22" s="43">
        <f t="shared" si="27"/>
        <v>89688</v>
      </c>
      <c r="P22" s="43">
        <f t="shared" si="27"/>
        <v>90088</v>
      </c>
      <c r="Q22" s="43">
        <f t="shared" si="27"/>
        <v>90546</v>
      </c>
      <c r="R22" s="43">
        <f t="shared" si="27"/>
        <v>90850</v>
      </c>
      <c r="S22" s="43">
        <f t="shared" si="27"/>
        <v>91104</v>
      </c>
      <c r="T22" s="43">
        <f t="shared" si="27"/>
        <v>91232</v>
      </c>
      <c r="U22" s="43">
        <f t="shared" si="27"/>
        <v>91438</v>
      </c>
      <c r="V22" s="43">
        <f t="shared" si="27"/>
        <v>91605</v>
      </c>
      <c r="W22" s="43">
        <f t="shared" si="27"/>
        <v>92000</v>
      </c>
      <c r="X22" s="43">
        <f t="shared" si="27"/>
        <v>92171</v>
      </c>
      <c r="Y22" s="43">
        <f t="shared" si="27"/>
        <v>91870</v>
      </c>
      <c r="Z22" s="43">
        <f t="shared" si="27"/>
        <v>91700</v>
      </c>
      <c r="AA22" s="43">
        <f t="shared" si="27"/>
        <v>91456</v>
      </c>
      <c r="AB22" s="43">
        <f t="shared" si="27"/>
        <v>91697</v>
      </c>
      <c r="AC22" s="43">
        <f t="shared" si="27"/>
        <v>91892</v>
      </c>
      <c r="AD22" s="43">
        <f t="shared" si="27"/>
        <v>92117</v>
      </c>
      <c r="AE22" s="43">
        <f t="shared" si="27"/>
        <v>92056</v>
      </c>
      <c r="AF22" s="43">
        <f t="shared" si="27"/>
        <v>92056</v>
      </c>
      <c r="AG22" s="43">
        <f t="shared" si="27"/>
        <v>92406</v>
      </c>
      <c r="AH22" s="43">
        <f t="shared" si="27"/>
        <v>92692</v>
      </c>
      <c r="AI22" s="43">
        <f t="shared" si="27"/>
        <v>92878</v>
      </c>
      <c r="AJ22" s="43">
        <f t="shared" si="27"/>
        <v>92961</v>
      </c>
      <c r="AK22" s="43">
        <f t="shared" si="27"/>
        <v>92743</v>
      </c>
      <c r="AL22" s="43">
        <f t="shared" si="27"/>
        <v>92308</v>
      </c>
      <c r="AM22" s="43">
        <f t="shared" si="27"/>
        <v>91962</v>
      </c>
      <c r="AN22" s="43">
        <f t="shared" si="27"/>
        <v>92173</v>
      </c>
      <c r="AO22" s="43">
        <f t="shared" si="27"/>
        <v>92147</v>
      </c>
      <c r="AP22" s="43">
        <f t="shared" si="27"/>
        <v>92249</v>
      </c>
      <c r="AQ22" s="43">
        <f t="shared" si="27"/>
        <v>92230</v>
      </c>
      <c r="AR22" s="43">
        <f t="shared" si="27"/>
        <v>92173</v>
      </c>
      <c r="AS22" s="43">
        <f t="shared" si="27"/>
        <v>92200</v>
      </c>
      <c r="AT22" s="43">
        <f t="shared" si="27"/>
        <v>92386</v>
      </c>
      <c r="AU22" s="43">
        <f t="shared" si="27"/>
        <v>92288</v>
      </c>
      <c r="AV22" s="43">
        <f>SUM(AV24:AV27)</f>
        <v>91583</v>
      </c>
      <c r="AW22" s="43">
        <f t="shared" si="27"/>
        <v>91013</v>
      </c>
      <c r="AX22" s="43">
        <f t="shared" si="27"/>
        <v>90508</v>
      </c>
      <c r="AY22" s="43">
        <f t="shared" si="27"/>
        <v>89909</v>
      </c>
      <c r="AZ22" s="43">
        <f t="shared" si="27"/>
        <v>89737</v>
      </c>
      <c r="BA22" s="43">
        <f t="shared" si="27"/>
        <v>89880</v>
      </c>
      <c r="BB22" s="43">
        <f t="shared" si="27"/>
        <v>89826</v>
      </c>
      <c r="BC22" s="43">
        <f t="shared" si="27"/>
        <v>89472</v>
      </c>
      <c r="BD22" s="43">
        <f t="shared" si="27"/>
        <v>89209</v>
      </c>
      <c r="BE22" s="43">
        <f t="shared" si="27"/>
        <v>88939</v>
      </c>
      <c r="BF22" s="43">
        <f t="shared" si="27"/>
        <v>88987</v>
      </c>
      <c r="BG22" s="43">
        <f t="shared" si="27"/>
        <v>89232</v>
      </c>
      <c r="BH22" s="43">
        <f t="shared" si="27"/>
        <v>89238</v>
      </c>
      <c r="BI22" s="43">
        <f t="shared" si="27"/>
        <v>88797</v>
      </c>
      <c r="BJ22" s="43">
        <f t="shared" si="27"/>
        <v>88281</v>
      </c>
      <c r="BK22" s="43">
        <f t="shared" si="27"/>
        <v>87882</v>
      </c>
      <c r="BL22" s="43">
        <f t="shared" si="27"/>
        <v>88172</v>
      </c>
      <c r="BM22" s="43">
        <f t="shared" si="27"/>
        <v>88616</v>
      </c>
      <c r="BN22" s="43">
        <f t="shared" si="27"/>
        <v>89162</v>
      </c>
      <c r="BO22" s="43">
        <f t="shared" si="27"/>
        <v>89535</v>
      </c>
      <c r="BP22" s="43">
        <f t="shared" ref="BP22:CX22" si="28">SUM(BP24:BP27)</f>
        <v>89926</v>
      </c>
      <c r="BQ22" s="43">
        <f t="shared" si="28"/>
        <v>90175</v>
      </c>
      <c r="BR22" s="43">
        <f t="shared" si="28"/>
        <v>90485</v>
      </c>
      <c r="BS22" s="43">
        <f t="shared" si="28"/>
        <v>90883</v>
      </c>
      <c r="BT22" s="43">
        <f t="shared" si="28"/>
        <v>91067</v>
      </c>
      <c r="BU22" s="43">
        <f t="shared" si="28"/>
        <v>90684</v>
      </c>
      <c r="BV22" s="43">
        <f t="shared" si="28"/>
        <v>90134</v>
      </c>
      <c r="BW22" s="43">
        <f t="shared" si="28"/>
        <v>89690</v>
      </c>
      <c r="BX22" s="43">
        <f t="shared" si="28"/>
        <v>89843</v>
      </c>
      <c r="BY22" s="43">
        <f t="shared" si="28"/>
        <v>89953</v>
      </c>
      <c r="BZ22" s="43">
        <f t="shared" si="28"/>
        <v>90211</v>
      </c>
      <c r="CA22" s="43">
        <f t="shared" si="28"/>
        <v>90632</v>
      </c>
      <c r="CB22" s="43">
        <f t="shared" si="28"/>
        <v>91073</v>
      </c>
      <c r="CC22" s="43">
        <f t="shared" si="28"/>
        <v>91606</v>
      </c>
      <c r="CD22" s="43">
        <f t="shared" si="28"/>
        <v>91974</v>
      </c>
      <c r="CE22" s="43">
        <f t="shared" si="28"/>
        <v>92247</v>
      </c>
      <c r="CF22" s="43">
        <f t="shared" si="28"/>
        <v>92152</v>
      </c>
      <c r="CG22" s="43">
        <f t="shared" si="28"/>
        <v>91658</v>
      </c>
      <c r="CH22" s="43">
        <f t="shared" si="28"/>
        <v>91238</v>
      </c>
      <c r="CI22" s="43">
        <f t="shared" si="28"/>
        <v>91201</v>
      </c>
      <c r="CJ22" s="43">
        <f t="shared" si="28"/>
        <v>91774</v>
      </c>
      <c r="CK22" s="43">
        <f t="shared" si="28"/>
        <v>92294</v>
      </c>
      <c r="CL22" s="43">
        <f t="shared" si="28"/>
        <v>92663</v>
      </c>
      <c r="CM22" s="43">
        <f t="shared" si="28"/>
        <v>92874</v>
      </c>
      <c r="CN22" s="43">
        <f t="shared" si="28"/>
        <v>92971</v>
      </c>
      <c r="CO22" s="43">
        <f t="shared" si="28"/>
        <v>93191</v>
      </c>
      <c r="CP22" s="43">
        <f>SUM(CP24:CP27)</f>
        <v>93479</v>
      </c>
      <c r="CQ22" s="43">
        <f t="shared" si="28"/>
        <v>93826</v>
      </c>
      <c r="CR22" s="43">
        <f t="shared" si="28"/>
        <v>93920</v>
      </c>
      <c r="CS22" s="43">
        <f t="shared" si="28"/>
        <v>93526</v>
      </c>
      <c r="CT22" s="43">
        <f t="shared" si="28"/>
        <v>93075</v>
      </c>
      <c r="CU22" s="43">
        <f t="shared" si="28"/>
        <v>91523</v>
      </c>
      <c r="CV22" s="43">
        <f t="shared" si="28"/>
        <v>88586</v>
      </c>
      <c r="CW22" s="43">
        <f t="shared" si="28"/>
        <v>85224</v>
      </c>
      <c r="CX22" s="43">
        <f t="shared" si="28"/>
        <v>82611</v>
      </c>
      <c r="CY22" s="43">
        <f>SUM(CY24:CY27)</f>
        <v>81286</v>
      </c>
      <c r="CZ22" s="43">
        <f t="shared" ref="CZ22:DU22" si="29">SUM(CZ24:CZ27)</f>
        <v>81129</v>
      </c>
      <c r="DA22" s="43">
        <f t="shared" si="29"/>
        <v>81955</v>
      </c>
      <c r="DB22" s="43">
        <f t="shared" si="29"/>
        <v>83769</v>
      </c>
      <c r="DC22" s="43">
        <f t="shared" si="29"/>
        <v>85025</v>
      </c>
      <c r="DD22" s="43">
        <f t="shared" si="29"/>
        <v>85671</v>
      </c>
      <c r="DE22" s="43">
        <f t="shared" si="29"/>
        <v>85650</v>
      </c>
      <c r="DF22" s="43">
        <f t="shared" si="29"/>
        <v>85708</v>
      </c>
      <c r="DG22" s="43">
        <f t="shared" si="29"/>
        <v>85496</v>
      </c>
      <c r="DH22" s="43">
        <f t="shared" si="29"/>
        <v>85880</v>
      </c>
      <c r="DI22" s="43">
        <f t="shared" si="29"/>
        <v>86538</v>
      </c>
      <c r="DJ22" s="43">
        <f t="shared" si="29"/>
        <v>87743</v>
      </c>
      <c r="DK22" s="43">
        <f t="shared" si="29"/>
        <v>88993</v>
      </c>
      <c r="DL22" s="43">
        <f t="shared" si="29"/>
        <v>90033</v>
      </c>
      <c r="DM22" s="43">
        <f t="shared" si="29"/>
        <v>91265</v>
      </c>
      <c r="DN22" s="43">
        <f t="shared" si="29"/>
        <v>92230</v>
      </c>
      <c r="DO22" s="43">
        <f t="shared" si="29"/>
        <v>93184</v>
      </c>
      <c r="DP22" s="43">
        <f t="shared" si="29"/>
        <v>93988</v>
      </c>
      <c r="DQ22" s="43">
        <f t="shared" si="29"/>
        <v>93679</v>
      </c>
      <c r="DR22" s="43">
        <f t="shared" si="29"/>
        <v>93490</v>
      </c>
      <c r="DS22" s="43">
        <f t="shared" si="29"/>
        <v>93523</v>
      </c>
      <c r="DT22" s="43">
        <f t="shared" si="29"/>
        <v>94729</v>
      </c>
      <c r="DU22" s="43">
        <f t="shared" si="29"/>
        <v>95709</v>
      </c>
      <c r="DV22" s="43">
        <f>SUM(DV24:DV27)</f>
        <v>96445</v>
      </c>
      <c r="DW22" s="43">
        <f>SUM(DW24:DW27)</f>
        <v>96834</v>
      </c>
      <c r="DX22" s="43">
        <f t="shared" ref="DX22:DY22" si="30">SUM(DX24:DX27)</f>
        <v>97177</v>
      </c>
      <c r="DY22" s="43">
        <f t="shared" si="30"/>
        <v>97435</v>
      </c>
      <c r="DZ22" s="43">
        <f>SUM(DZ24:DZ27)</f>
        <v>97820</v>
      </c>
      <c r="EA22" s="43">
        <f t="shared" ref="EA22:FD22" si="31">SUM(EA24:EA27)</f>
        <v>97844</v>
      </c>
      <c r="EB22" s="43">
        <f t="shared" si="31"/>
        <v>97518</v>
      </c>
      <c r="EC22" s="43">
        <f t="shared" si="31"/>
        <v>96789</v>
      </c>
      <c r="ED22" s="43">
        <f t="shared" si="31"/>
        <v>96275</v>
      </c>
      <c r="EE22" s="43">
        <f t="shared" si="31"/>
        <v>95978</v>
      </c>
      <c r="EF22" s="43">
        <f t="shared" si="31"/>
        <v>96177</v>
      </c>
      <c r="EG22" s="43">
        <f t="shared" si="31"/>
        <v>96534</v>
      </c>
      <c r="EH22" s="43">
        <f t="shared" si="31"/>
        <v>97038</v>
      </c>
      <c r="EI22" s="43">
        <f t="shared" si="31"/>
        <v>97461</v>
      </c>
      <c r="EJ22" s="43">
        <f t="shared" si="31"/>
        <v>97760</v>
      </c>
      <c r="EK22" s="43">
        <f t="shared" si="31"/>
        <v>97938</v>
      </c>
      <c r="EL22" s="43">
        <f t="shared" si="31"/>
        <v>98303</v>
      </c>
      <c r="EM22" s="43">
        <f t="shared" si="31"/>
        <v>98597</v>
      </c>
      <c r="EN22" s="43">
        <f t="shared" si="31"/>
        <v>99063</v>
      </c>
      <c r="EO22" s="43">
        <f t="shared" si="31"/>
        <v>98676</v>
      </c>
      <c r="EP22" s="43">
        <f t="shared" si="31"/>
        <v>98333</v>
      </c>
      <c r="EQ22" s="43">
        <f t="shared" si="31"/>
        <v>98291</v>
      </c>
      <c r="ER22" s="43">
        <f t="shared" si="31"/>
        <v>98877</v>
      </c>
      <c r="ES22" s="43">
        <f t="shared" si="31"/>
        <v>99394</v>
      </c>
      <c r="ET22" s="43">
        <f t="shared" si="31"/>
        <v>99882</v>
      </c>
      <c r="EU22" s="43">
        <f t="shared" si="31"/>
        <v>100080</v>
      </c>
      <c r="EV22" s="43">
        <f t="shared" si="31"/>
        <v>100560</v>
      </c>
      <c r="EW22" s="43">
        <f t="shared" si="31"/>
        <v>101057</v>
      </c>
      <c r="EX22" s="43">
        <f t="shared" si="31"/>
        <v>101629</v>
      </c>
      <c r="EY22" s="43">
        <f t="shared" si="31"/>
        <v>101917</v>
      </c>
      <c r="EZ22" s="43">
        <f t="shared" si="31"/>
        <v>101831</v>
      </c>
      <c r="FA22" s="43">
        <f t="shared" si="31"/>
        <v>100989</v>
      </c>
      <c r="FB22" s="43">
        <f t="shared" si="31"/>
        <v>100683</v>
      </c>
      <c r="FC22" s="43">
        <f t="shared" si="31"/>
        <v>100510</v>
      </c>
      <c r="FD22" s="43">
        <f t="shared" si="31"/>
        <v>101259</v>
      </c>
      <c r="FE22" s="43">
        <f t="shared" ref="FE22:FJ22" si="32">SUM(FE24:FE27)</f>
        <v>101863</v>
      </c>
      <c r="FF22" s="43">
        <f t="shared" si="32"/>
        <v>102315</v>
      </c>
      <c r="FG22" s="43">
        <f t="shared" si="32"/>
        <v>102436</v>
      </c>
      <c r="FH22" s="43">
        <f t="shared" si="32"/>
        <v>102418</v>
      </c>
      <c r="FI22" s="43">
        <f t="shared" si="32"/>
        <v>102433</v>
      </c>
      <c r="FJ22" s="43">
        <f t="shared" si="32"/>
        <v>102557</v>
      </c>
      <c r="FK22" s="43">
        <f t="shared" ref="FK22:FN22" si="33">SUM(FK24:FK27)</f>
        <v>103019</v>
      </c>
      <c r="FL22" s="43">
        <f t="shared" si="33"/>
        <v>102999</v>
      </c>
      <c r="FM22" s="43">
        <f t="shared" si="33"/>
        <v>102672</v>
      </c>
      <c r="FN22" s="43">
        <f t="shared" si="33"/>
        <v>102145</v>
      </c>
    </row>
    <row r="23" spans="1:183" s="20" customFormat="1" ht="12.75" x14ac:dyDescent="0.2">
      <c r="EB23" s="43"/>
      <c r="ED23" s="65"/>
    </row>
    <row r="24" spans="1:183" s="20" customFormat="1" ht="15" customHeight="1" x14ac:dyDescent="0.2">
      <c r="B24" s="20" t="s">
        <v>40</v>
      </c>
      <c r="C24" s="43">
        <v>62104</v>
      </c>
      <c r="D24" s="43">
        <v>62586</v>
      </c>
      <c r="E24" s="43">
        <v>62928</v>
      </c>
      <c r="F24" s="43">
        <v>63300</v>
      </c>
      <c r="G24" s="43">
        <v>63523</v>
      </c>
      <c r="H24" s="43">
        <v>63818</v>
      </c>
      <c r="I24" s="43">
        <v>64058</v>
      </c>
      <c r="J24" s="43">
        <v>64140</v>
      </c>
      <c r="K24" s="43">
        <v>64055</v>
      </c>
      <c r="L24" s="43">
        <v>63932</v>
      </c>
      <c r="M24" s="43">
        <v>63692</v>
      </c>
      <c r="N24" s="43">
        <v>63528</v>
      </c>
      <c r="O24" s="43">
        <v>63263</v>
      </c>
      <c r="P24" s="43">
        <v>63520</v>
      </c>
      <c r="Q24" s="43">
        <v>63793</v>
      </c>
      <c r="R24" s="43">
        <v>63983</v>
      </c>
      <c r="S24" s="43">
        <v>64171</v>
      </c>
      <c r="T24" s="43">
        <v>64358</v>
      </c>
      <c r="U24" s="43">
        <v>64571</v>
      </c>
      <c r="V24" s="43">
        <v>64753</v>
      </c>
      <c r="W24" s="43">
        <v>64906</v>
      </c>
      <c r="X24" s="43">
        <v>64807</v>
      </c>
      <c r="Y24" s="43">
        <v>64558</v>
      </c>
      <c r="Z24" s="43">
        <v>64541</v>
      </c>
      <c r="AA24" s="43">
        <v>64689</v>
      </c>
      <c r="AB24" s="43">
        <v>65003</v>
      </c>
      <c r="AC24" s="43">
        <v>65086</v>
      </c>
      <c r="AD24" s="43">
        <v>65222</v>
      </c>
      <c r="AE24" s="43">
        <v>65065</v>
      </c>
      <c r="AF24" s="43">
        <v>64996</v>
      </c>
      <c r="AG24" s="43">
        <v>65174</v>
      </c>
      <c r="AH24" s="43">
        <v>65337</v>
      </c>
      <c r="AI24" s="43">
        <v>65419</v>
      </c>
      <c r="AJ24" s="43">
        <v>65316</v>
      </c>
      <c r="AK24" s="43">
        <v>65074</v>
      </c>
      <c r="AL24" s="43">
        <v>64596</v>
      </c>
      <c r="AM24" s="43">
        <v>64137</v>
      </c>
      <c r="AN24" s="43">
        <v>64223</v>
      </c>
      <c r="AO24" s="43">
        <v>64165</v>
      </c>
      <c r="AP24" s="43">
        <v>64152</v>
      </c>
      <c r="AQ24" s="43">
        <v>64046</v>
      </c>
      <c r="AR24" s="43">
        <v>63932</v>
      </c>
      <c r="AS24" s="43">
        <v>63923</v>
      </c>
      <c r="AT24" s="43">
        <v>63984</v>
      </c>
      <c r="AU24" s="43">
        <v>63893</v>
      </c>
      <c r="AV24" s="43">
        <f t="shared" ref="AV24:DG24" si="34">SUM(AV7:AV11,AV15:AV16)</f>
        <v>63203</v>
      </c>
      <c r="AW24" s="43">
        <f t="shared" si="34"/>
        <v>62568</v>
      </c>
      <c r="AX24" s="43">
        <f t="shared" si="34"/>
        <v>62002</v>
      </c>
      <c r="AY24" s="43">
        <f t="shared" si="34"/>
        <v>61636</v>
      </c>
      <c r="AZ24" s="43">
        <f t="shared" si="34"/>
        <v>61735</v>
      </c>
      <c r="BA24" s="43">
        <f t="shared" si="34"/>
        <v>61857</v>
      </c>
      <c r="BB24" s="43">
        <f t="shared" si="34"/>
        <v>61925</v>
      </c>
      <c r="BC24" s="43">
        <f t="shared" si="34"/>
        <v>61774</v>
      </c>
      <c r="BD24" s="43">
        <f t="shared" si="34"/>
        <v>61766</v>
      </c>
      <c r="BE24" s="43">
        <f t="shared" si="34"/>
        <v>61730</v>
      </c>
      <c r="BF24" s="43">
        <f t="shared" si="34"/>
        <v>61823</v>
      </c>
      <c r="BG24" s="43">
        <f t="shared" si="34"/>
        <v>61834</v>
      </c>
      <c r="BH24" s="43">
        <f t="shared" si="34"/>
        <v>61669</v>
      </c>
      <c r="BI24" s="43">
        <f t="shared" si="34"/>
        <v>61047</v>
      </c>
      <c r="BJ24" s="43">
        <f t="shared" si="34"/>
        <v>60580</v>
      </c>
      <c r="BK24" s="43">
        <f t="shared" si="34"/>
        <v>60239</v>
      </c>
      <c r="BL24" s="43">
        <f t="shared" si="34"/>
        <v>60385</v>
      </c>
      <c r="BM24" s="43">
        <f t="shared" si="34"/>
        <v>60740</v>
      </c>
      <c r="BN24" s="43">
        <f t="shared" si="34"/>
        <v>61089</v>
      </c>
      <c r="BO24" s="43">
        <f t="shared" si="34"/>
        <v>61264</v>
      </c>
      <c r="BP24" s="43">
        <f t="shared" si="34"/>
        <v>61440</v>
      </c>
      <c r="BQ24" s="43">
        <f t="shared" si="34"/>
        <v>61592</v>
      </c>
      <c r="BR24" s="43">
        <f t="shared" si="34"/>
        <v>61823</v>
      </c>
      <c r="BS24" s="43">
        <f t="shared" si="34"/>
        <v>62027</v>
      </c>
      <c r="BT24" s="43">
        <f t="shared" si="34"/>
        <v>62052</v>
      </c>
      <c r="BU24" s="43">
        <f t="shared" si="34"/>
        <v>61718</v>
      </c>
      <c r="BV24" s="43">
        <f t="shared" si="34"/>
        <v>61224</v>
      </c>
      <c r="BW24" s="43">
        <f t="shared" si="34"/>
        <v>60933</v>
      </c>
      <c r="BX24" s="43">
        <f t="shared" si="34"/>
        <v>61078</v>
      </c>
      <c r="BY24" s="43">
        <f t="shared" si="34"/>
        <v>61340</v>
      </c>
      <c r="BZ24" s="43">
        <f t="shared" si="34"/>
        <v>61481</v>
      </c>
      <c r="CA24" s="43">
        <f t="shared" si="34"/>
        <v>61836</v>
      </c>
      <c r="CB24" s="43">
        <f t="shared" si="34"/>
        <v>62044</v>
      </c>
      <c r="CC24" s="43">
        <f t="shared" si="34"/>
        <v>62341</v>
      </c>
      <c r="CD24" s="43">
        <f t="shared" si="34"/>
        <v>62462</v>
      </c>
      <c r="CE24" s="43">
        <f t="shared" si="34"/>
        <v>62600</v>
      </c>
      <c r="CF24" s="43">
        <f t="shared" si="34"/>
        <v>62428</v>
      </c>
      <c r="CG24" s="43">
        <f t="shared" si="34"/>
        <v>61910</v>
      </c>
      <c r="CH24" s="43">
        <f t="shared" si="34"/>
        <v>61589</v>
      </c>
      <c r="CI24" s="43">
        <f t="shared" si="34"/>
        <v>61599</v>
      </c>
      <c r="CJ24" s="43">
        <f t="shared" si="34"/>
        <v>62092</v>
      </c>
      <c r="CK24" s="43">
        <f t="shared" si="34"/>
        <v>62444</v>
      </c>
      <c r="CL24" s="43">
        <f t="shared" si="34"/>
        <v>62724</v>
      </c>
      <c r="CM24" s="43">
        <f t="shared" si="34"/>
        <v>62878</v>
      </c>
      <c r="CN24" s="43">
        <f t="shared" si="34"/>
        <v>62919</v>
      </c>
      <c r="CO24" s="43">
        <f t="shared" si="34"/>
        <v>63020</v>
      </c>
      <c r="CP24" s="43">
        <f t="shared" si="34"/>
        <v>63224</v>
      </c>
      <c r="CQ24" s="43">
        <f t="shared" si="34"/>
        <v>63419</v>
      </c>
      <c r="CR24" s="43">
        <f t="shared" si="34"/>
        <v>63623</v>
      </c>
      <c r="CS24" s="43">
        <f t="shared" si="34"/>
        <v>63300</v>
      </c>
      <c r="CT24" s="43">
        <f t="shared" si="34"/>
        <v>62976</v>
      </c>
      <c r="CU24" s="43">
        <f t="shared" si="34"/>
        <v>61843</v>
      </c>
      <c r="CV24" s="43">
        <f t="shared" si="34"/>
        <v>59896</v>
      </c>
      <c r="CW24" s="43">
        <f t="shared" si="34"/>
        <v>57692</v>
      </c>
      <c r="CX24" s="43">
        <f t="shared" si="34"/>
        <v>55935</v>
      </c>
      <c r="CY24" s="43">
        <f t="shared" si="34"/>
        <v>54837</v>
      </c>
      <c r="CZ24" s="43">
        <f t="shared" si="34"/>
        <v>54521</v>
      </c>
      <c r="DA24" s="43">
        <f t="shared" si="34"/>
        <v>55097</v>
      </c>
      <c r="DB24" s="43">
        <f t="shared" si="34"/>
        <v>56258</v>
      </c>
      <c r="DC24" s="43">
        <f t="shared" si="34"/>
        <v>56998</v>
      </c>
      <c r="DD24" s="43">
        <f t="shared" si="34"/>
        <v>57341</v>
      </c>
      <c r="DE24" s="43">
        <f t="shared" si="34"/>
        <v>57116</v>
      </c>
      <c r="DF24" s="43">
        <f t="shared" si="34"/>
        <v>57095</v>
      </c>
      <c r="DG24" s="43">
        <f t="shared" si="34"/>
        <v>56760</v>
      </c>
      <c r="DH24" s="43">
        <f t="shared" ref="DH24:DV24" si="35">SUM(DH7:DH11,DH15:DH16)</f>
        <v>56905</v>
      </c>
      <c r="DI24" s="43">
        <f t="shared" si="35"/>
        <v>57306</v>
      </c>
      <c r="DJ24" s="43">
        <f t="shared" si="35"/>
        <v>57928</v>
      </c>
      <c r="DK24" s="43">
        <f t="shared" si="35"/>
        <v>58865</v>
      </c>
      <c r="DL24" s="43">
        <f t="shared" si="35"/>
        <v>59595</v>
      </c>
      <c r="DM24" s="43">
        <f t="shared" si="35"/>
        <v>60540</v>
      </c>
      <c r="DN24" s="43">
        <f t="shared" si="35"/>
        <v>61299</v>
      </c>
      <c r="DO24" s="43">
        <f t="shared" si="35"/>
        <v>62080</v>
      </c>
      <c r="DP24" s="43">
        <f t="shared" si="35"/>
        <v>62795</v>
      </c>
      <c r="DQ24" s="43">
        <f t="shared" si="35"/>
        <v>62711</v>
      </c>
      <c r="DR24" s="43">
        <f t="shared" si="35"/>
        <v>62675</v>
      </c>
      <c r="DS24" s="43">
        <f t="shared" si="35"/>
        <v>62754</v>
      </c>
      <c r="DT24" s="43">
        <f t="shared" si="35"/>
        <v>63743</v>
      </c>
      <c r="DU24" s="43">
        <f t="shared" si="35"/>
        <v>64539</v>
      </c>
      <c r="DV24" s="43">
        <f t="shared" si="35"/>
        <v>65288</v>
      </c>
      <c r="DW24" s="43">
        <f>SUM(DW7:DW11,DW15:DW16)</f>
        <v>65484</v>
      </c>
      <c r="DX24" s="43">
        <f t="shared" ref="DX24:DY24" si="36">SUM(DX7:DX11,DX15:DX16)</f>
        <v>65827</v>
      </c>
      <c r="DY24" s="43">
        <f t="shared" si="36"/>
        <v>66262</v>
      </c>
      <c r="DZ24" s="43">
        <f>SUM(DZ7:DZ11,DZ15:DZ16)</f>
        <v>66913</v>
      </c>
      <c r="EA24" s="43">
        <f>SUM(EA7:EA11,EA15:EA16)</f>
        <v>66965</v>
      </c>
      <c r="EB24" s="43">
        <f t="shared" ref="EB24:ED24" si="37">SUM(EB7:EB11,EB15:EB16)</f>
        <v>66789</v>
      </c>
      <c r="EC24" s="43">
        <f t="shared" si="37"/>
        <v>66347</v>
      </c>
      <c r="ED24" s="43">
        <f t="shared" si="37"/>
        <v>66020</v>
      </c>
      <c r="EE24" s="43">
        <f t="shared" ref="EE24:FB24" si="38">SUM(EE7:EE11,EE15:EE16)</f>
        <v>65710</v>
      </c>
      <c r="EF24" s="43">
        <f t="shared" si="38"/>
        <v>65914</v>
      </c>
      <c r="EG24" s="43">
        <f t="shared" si="38"/>
        <v>66280</v>
      </c>
      <c r="EH24" s="43">
        <f t="shared" si="38"/>
        <v>66687</v>
      </c>
      <c r="EI24" s="43">
        <f t="shared" si="38"/>
        <v>67072</v>
      </c>
      <c r="EJ24" s="43">
        <f t="shared" si="38"/>
        <v>67239</v>
      </c>
      <c r="EK24" s="43">
        <f t="shared" si="38"/>
        <v>67357</v>
      </c>
      <c r="EL24" s="43">
        <f t="shared" si="38"/>
        <v>67595</v>
      </c>
      <c r="EM24" s="43">
        <f t="shared" si="38"/>
        <v>67968</v>
      </c>
      <c r="EN24" s="43">
        <f t="shared" si="38"/>
        <v>68433</v>
      </c>
      <c r="EO24" s="43">
        <f t="shared" si="38"/>
        <v>68157</v>
      </c>
      <c r="EP24" s="43">
        <f t="shared" si="38"/>
        <v>67914</v>
      </c>
      <c r="EQ24" s="43">
        <f t="shared" si="38"/>
        <v>67982</v>
      </c>
      <c r="ER24" s="43">
        <f t="shared" si="38"/>
        <v>68555</v>
      </c>
      <c r="ES24" s="43">
        <f t="shared" si="38"/>
        <v>69034</v>
      </c>
      <c r="ET24" s="43">
        <f t="shared" si="38"/>
        <v>69351</v>
      </c>
      <c r="EU24" s="43">
        <f t="shared" si="38"/>
        <v>69657</v>
      </c>
      <c r="EV24" s="43">
        <f t="shared" si="38"/>
        <v>70121</v>
      </c>
      <c r="EW24" s="43">
        <f t="shared" si="38"/>
        <v>70640</v>
      </c>
      <c r="EX24" s="43">
        <f t="shared" si="38"/>
        <v>70924</v>
      </c>
      <c r="EY24" s="43">
        <f t="shared" si="38"/>
        <v>71048</v>
      </c>
      <c r="EZ24" s="43">
        <f t="shared" si="38"/>
        <v>70792</v>
      </c>
      <c r="FA24" s="43">
        <f t="shared" si="38"/>
        <v>70175</v>
      </c>
      <c r="FB24" s="43">
        <f t="shared" si="38"/>
        <v>69824</v>
      </c>
      <c r="FC24" s="43">
        <f t="shared" ref="FC24:FH24" si="39">SUM(FC7:FC11,FC15:FC16)</f>
        <v>69732</v>
      </c>
      <c r="FD24" s="43">
        <f t="shared" si="39"/>
        <v>70412</v>
      </c>
      <c r="FE24" s="43">
        <f t="shared" si="39"/>
        <v>70878</v>
      </c>
      <c r="FF24" s="43">
        <f t="shared" si="39"/>
        <v>71095</v>
      </c>
      <c r="FG24" s="43">
        <f t="shared" si="39"/>
        <v>71111</v>
      </c>
      <c r="FH24" s="43">
        <f t="shared" si="39"/>
        <v>71031</v>
      </c>
      <c r="FI24" s="43">
        <f t="shared" ref="FI24:FJ24" si="40">SUM(FI7:FI11,FI15:FI16)</f>
        <v>71079</v>
      </c>
      <c r="FJ24" s="43">
        <f t="shared" si="40"/>
        <v>71240</v>
      </c>
      <c r="FK24" s="43">
        <f t="shared" ref="FK24:FL24" si="41">SUM(FK7:FK11,FK15:FK16)</f>
        <v>71648</v>
      </c>
      <c r="FL24" s="43">
        <f t="shared" si="41"/>
        <v>71548</v>
      </c>
      <c r="FM24" s="43">
        <f t="shared" ref="FM24:FN24" si="42">SUM(FM7:FM11,FM15:FM16)</f>
        <v>71093</v>
      </c>
      <c r="FN24" s="43">
        <f t="shared" si="42"/>
        <v>70621</v>
      </c>
    </row>
    <row r="25" spans="1:183" s="20" customFormat="1" ht="15" customHeight="1" x14ac:dyDescent="0.2">
      <c r="B25" s="20" t="s">
        <v>41</v>
      </c>
      <c r="C25" s="43">
        <v>3388</v>
      </c>
      <c r="D25" s="43">
        <v>3492</v>
      </c>
      <c r="E25" s="43">
        <v>3505</v>
      </c>
      <c r="F25" s="43">
        <v>3495</v>
      </c>
      <c r="G25" s="43">
        <v>3502</v>
      </c>
      <c r="H25" s="43">
        <v>3535</v>
      </c>
      <c r="I25" s="43">
        <v>3540</v>
      </c>
      <c r="J25" s="43">
        <v>3543</v>
      </c>
      <c r="K25" s="43">
        <v>3604</v>
      </c>
      <c r="L25" s="43">
        <v>3632</v>
      </c>
      <c r="M25" s="43">
        <v>3628</v>
      </c>
      <c r="N25" s="43">
        <v>3611</v>
      </c>
      <c r="O25" s="43">
        <v>3606</v>
      </c>
      <c r="P25" s="43">
        <v>3662</v>
      </c>
      <c r="Q25" s="43">
        <v>3619</v>
      </c>
      <c r="R25" s="43">
        <v>3672</v>
      </c>
      <c r="S25" s="43">
        <v>3688</v>
      </c>
      <c r="T25" s="43">
        <v>3684</v>
      </c>
      <c r="U25" s="43">
        <v>3653</v>
      </c>
      <c r="V25" s="43">
        <v>3689</v>
      </c>
      <c r="W25" s="43">
        <v>3762</v>
      </c>
      <c r="X25" s="43">
        <v>3738</v>
      </c>
      <c r="Y25" s="43">
        <v>3657</v>
      </c>
      <c r="Z25" s="43">
        <v>3634</v>
      </c>
      <c r="AA25" s="43">
        <v>3651</v>
      </c>
      <c r="AB25" s="43">
        <v>3632</v>
      </c>
      <c r="AC25" s="43">
        <v>3602</v>
      </c>
      <c r="AD25" s="43">
        <v>3650</v>
      </c>
      <c r="AE25" s="43">
        <v>3623</v>
      </c>
      <c r="AF25" s="43">
        <v>3699</v>
      </c>
      <c r="AG25" s="43">
        <v>3678</v>
      </c>
      <c r="AH25" s="43">
        <v>3752</v>
      </c>
      <c r="AI25" s="43">
        <v>3810</v>
      </c>
      <c r="AJ25" s="43">
        <v>3845</v>
      </c>
      <c r="AK25" s="43">
        <v>3846</v>
      </c>
      <c r="AL25" s="43">
        <v>3871</v>
      </c>
      <c r="AM25" s="43">
        <v>3966</v>
      </c>
      <c r="AN25" s="43">
        <v>3932</v>
      </c>
      <c r="AO25" s="43">
        <v>3867</v>
      </c>
      <c r="AP25" s="43">
        <v>3894</v>
      </c>
      <c r="AQ25" s="43">
        <v>3915</v>
      </c>
      <c r="AR25" s="43">
        <v>3964</v>
      </c>
      <c r="AS25" s="43">
        <v>3969</v>
      </c>
      <c r="AT25" s="43">
        <v>3959</v>
      </c>
      <c r="AU25" s="43">
        <v>3923</v>
      </c>
      <c r="AV25" s="43">
        <f t="shared" ref="AV25:DG26" si="43">SUM(AV12,AV17)</f>
        <v>3864</v>
      </c>
      <c r="AW25" s="43">
        <f t="shared" si="43"/>
        <v>3762</v>
      </c>
      <c r="AX25" s="43">
        <f t="shared" si="43"/>
        <v>3674</v>
      </c>
      <c r="AY25" s="43">
        <f t="shared" si="43"/>
        <v>3606</v>
      </c>
      <c r="AZ25" s="43">
        <f t="shared" si="43"/>
        <v>3621</v>
      </c>
      <c r="BA25" s="43">
        <f t="shared" si="43"/>
        <v>3660</v>
      </c>
      <c r="BB25" s="43">
        <f t="shared" si="43"/>
        <v>3606</v>
      </c>
      <c r="BC25" s="43">
        <f t="shared" si="43"/>
        <v>3712</v>
      </c>
      <c r="BD25" s="43">
        <f t="shared" si="43"/>
        <v>3836</v>
      </c>
      <c r="BE25" s="43">
        <f t="shared" si="43"/>
        <v>3976</v>
      </c>
      <c r="BF25" s="43">
        <f t="shared" si="43"/>
        <v>4020</v>
      </c>
      <c r="BG25" s="43">
        <f t="shared" si="43"/>
        <v>4062</v>
      </c>
      <c r="BH25" s="43">
        <f t="shared" si="43"/>
        <v>4039</v>
      </c>
      <c r="BI25" s="43">
        <f t="shared" si="43"/>
        <v>4080</v>
      </c>
      <c r="BJ25" s="43">
        <f t="shared" si="43"/>
        <v>4011</v>
      </c>
      <c r="BK25" s="43">
        <f t="shared" si="43"/>
        <v>4015</v>
      </c>
      <c r="BL25" s="43">
        <f t="shared" si="43"/>
        <v>4010</v>
      </c>
      <c r="BM25" s="43">
        <f t="shared" si="43"/>
        <v>4012</v>
      </c>
      <c r="BN25" s="43">
        <f t="shared" si="43"/>
        <v>4083</v>
      </c>
      <c r="BO25" s="43">
        <f t="shared" si="43"/>
        <v>4125</v>
      </c>
      <c r="BP25" s="43">
        <f t="shared" si="43"/>
        <v>4093</v>
      </c>
      <c r="BQ25" s="43">
        <f t="shared" si="43"/>
        <v>4124</v>
      </c>
      <c r="BR25" s="43">
        <f t="shared" si="43"/>
        <v>4191</v>
      </c>
      <c r="BS25" s="43">
        <f t="shared" si="43"/>
        <v>4288</v>
      </c>
      <c r="BT25" s="43">
        <f t="shared" si="43"/>
        <v>4290</v>
      </c>
      <c r="BU25" s="43">
        <f t="shared" si="43"/>
        <v>4248</v>
      </c>
      <c r="BV25" s="43">
        <f t="shared" si="43"/>
        <v>4233</v>
      </c>
      <c r="BW25" s="43">
        <f t="shared" si="43"/>
        <v>4243</v>
      </c>
      <c r="BX25" s="43">
        <f t="shared" si="43"/>
        <v>4236</v>
      </c>
      <c r="BY25" s="43">
        <f t="shared" si="43"/>
        <v>4227</v>
      </c>
      <c r="BZ25" s="43">
        <f t="shared" si="43"/>
        <v>4241</v>
      </c>
      <c r="CA25" s="43">
        <f t="shared" si="43"/>
        <v>4264</v>
      </c>
      <c r="CB25" s="43">
        <f t="shared" si="43"/>
        <v>4290</v>
      </c>
      <c r="CC25" s="43">
        <f t="shared" si="43"/>
        <v>4292</v>
      </c>
      <c r="CD25" s="43">
        <f t="shared" si="43"/>
        <v>4381</v>
      </c>
      <c r="CE25" s="43">
        <f t="shared" si="43"/>
        <v>4344</v>
      </c>
      <c r="CF25" s="43">
        <f t="shared" si="43"/>
        <v>4398</v>
      </c>
      <c r="CG25" s="43">
        <f t="shared" si="43"/>
        <v>4383</v>
      </c>
      <c r="CH25" s="43">
        <f t="shared" si="43"/>
        <v>4398</v>
      </c>
      <c r="CI25" s="43">
        <f t="shared" si="43"/>
        <v>4314</v>
      </c>
      <c r="CJ25" s="43">
        <f t="shared" si="43"/>
        <v>4269</v>
      </c>
      <c r="CK25" s="43">
        <f t="shared" si="43"/>
        <v>4306</v>
      </c>
      <c r="CL25" s="43">
        <f t="shared" si="43"/>
        <v>4255</v>
      </c>
      <c r="CM25" s="43">
        <f t="shared" si="43"/>
        <v>4212</v>
      </c>
      <c r="CN25" s="43">
        <f t="shared" si="43"/>
        <v>4230</v>
      </c>
      <c r="CO25" s="43">
        <f t="shared" si="43"/>
        <v>4255</v>
      </c>
      <c r="CP25" s="43">
        <f t="shared" si="43"/>
        <v>4347</v>
      </c>
      <c r="CQ25" s="43">
        <f t="shared" si="43"/>
        <v>4378</v>
      </c>
      <c r="CR25" s="43">
        <f t="shared" si="43"/>
        <v>4337</v>
      </c>
      <c r="CS25" s="43">
        <f t="shared" si="43"/>
        <v>4310</v>
      </c>
      <c r="CT25" s="43">
        <f t="shared" si="43"/>
        <v>4303</v>
      </c>
      <c r="CU25" s="43">
        <f t="shared" si="43"/>
        <v>4280</v>
      </c>
      <c r="CV25" s="43">
        <f t="shared" si="43"/>
        <v>4098</v>
      </c>
      <c r="CW25" s="43">
        <f t="shared" si="43"/>
        <v>3936</v>
      </c>
      <c r="CX25" s="43">
        <f t="shared" si="43"/>
        <v>3836</v>
      </c>
      <c r="CY25" s="43">
        <f t="shared" si="43"/>
        <v>3821</v>
      </c>
      <c r="CZ25" s="43">
        <f t="shared" si="43"/>
        <v>3786</v>
      </c>
      <c r="DA25" s="43">
        <f t="shared" si="43"/>
        <v>3741</v>
      </c>
      <c r="DB25" s="43">
        <f t="shared" si="43"/>
        <v>3760</v>
      </c>
      <c r="DC25" s="43">
        <f t="shared" si="43"/>
        <v>3799</v>
      </c>
      <c r="DD25" s="43">
        <f t="shared" si="43"/>
        <v>3790</v>
      </c>
      <c r="DE25" s="43">
        <f t="shared" si="43"/>
        <v>3743</v>
      </c>
      <c r="DF25" s="43">
        <f t="shared" si="43"/>
        <v>3723</v>
      </c>
      <c r="DG25" s="43">
        <f t="shared" si="43"/>
        <v>3638</v>
      </c>
      <c r="DH25" s="43">
        <f t="shared" ref="DH25:DV26" si="44">SUM(DH12,DH17)</f>
        <v>3644</v>
      </c>
      <c r="DI25" s="43">
        <f t="shared" si="44"/>
        <v>3587</v>
      </c>
      <c r="DJ25" s="43">
        <f t="shared" si="44"/>
        <v>3657</v>
      </c>
      <c r="DK25" s="43">
        <f t="shared" si="44"/>
        <v>3618</v>
      </c>
      <c r="DL25" s="43">
        <f t="shared" si="44"/>
        <v>3670</v>
      </c>
      <c r="DM25" s="43">
        <f t="shared" si="44"/>
        <v>3734</v>
      </c>
      <c r="DN25" s="43">
        <f t="shared" si="44"/>
        <v>3792</v>
      </c>
      <c r="DO25" s="43">
        <f t="shared" si="44"/>
        <v>3799</v>
      </c>
      <c r="DP25" s="43">
        <f t="shared" si="44"/>
        <v>3807</v>
      </c>
      <c r="DQ25" s="43">
        <f t="shared" si="44"/>
        <v>3937</v>
      </c>
      <c r="DR25" s="43">
        <f t="shared" si="44"/>
        <v>3992</v>
      </c>
      <c r="DS25" s="43">
        <f t="shared" si="44"/>
        <v>4017</v>
      </c>
      <c r="DT25" s="43">
        <f t="shared" si="44"/>
        <v>4039</v>
      </c>
      <c r="DU25" s="43">
        <f t="shared" si="44"/>
        <v>4154</v>
      </c>
      <c r="DV25" s="43">
        <f t="shared" si="44"/>
        <v>4155</v>
      </c>
      <c r="DW25" s="43">
        <f>SUM(DW12,DW17)</f>
        <v>4198</v>
      </c>
      <c r="DX25" s="43">
        <f t="shared" ref="DX25:DY26" si="45">SUM(DX12,DX17)</f>
        <v>4223</v>
      </c>
      <c r="DY25" s="43">
        <f t="shared" si="45"/>
        <v>4270</v>
      </c>
      <c r="DZ25" s="43">
        <f>SUM(DZ12,DZ17)</f>
        <v>4288</v>
      </c>
      <c r="EA25" s="43">
        <f t="shared" ref="EA25:EC25" si="46">SUM(EA12,EA17)</f>
        <v>4249</v>
      </c>
      <c r="EB25" s="43">
        <f t="shared" si="46"/>
        <v>4167</v>
      </c>
      <c r="EC25" s="43">
        <f t="shared" si="46"/>
        <v>4115</v>
      </c>
      <c r="ED25" s="43">
        <f t="shared" ref="ED25:FC25" si="47">SUM(ED12,ED17)</f>
        <v>4046</v>
      </c>
      <c r="EE25" s="43">
        <f t="shared" si="47"/>
        <v>4077</v>
      </c>
      <c r="EF25" s="43">
        <f t="shared" si="47"/>
        <v>4034</v>
      </c>
      <c r="EG25" s="43">
        <f t="shared" si="47"/>
        <v>4047</v>
      </c>
      <c r="EH25" s="43">
        <f t="shared" si="47"/>
        <v>4088</v>
      </c>
      <c r="EI25" s="43">
        <f t="shared" si="47"/>
        <v>4121</v>
      </c>
      <c r="EJ25" s="43">
        <f t="shared" si="47"/>
        <v>4131</v>
      </c>
      <c r="EK25" s="43">
        <f t="shared" si="47"/>
        <v>4129</v>
      </c>
      <c r="EL25" s="43">
        <f t="shared" si="47"/>
        <v>4152</v>
      </c>
      <c r="EM25" s="43">
        <f t="shared" si="47"/>
        <v>4130</v>
      </c>
      <c r="EN25" s="43">
        <f t="shared" si="47"/>
        <v>4141</v>
      </c>
      <c r="EO25" s="43">
        <f t="shared" si="47"/>
        <v>4124</v>
      </c>
      <c r="EP25" s="43">
        <f t="shared" si="47"/>
        <v>4128</v>
      </c>
      <c r="EQ25" s="43">
        <f t="shared" si="47"/>
        <v>4048</v>
      </c>
      <c r="ER25" s="43">
        <f t="shared" si="47"/>
        <v>4070</v>
      </c>
      <c r="ES25" s="43">
        <f t="shared" si="47"/>
        <v>4119</v>
      </c>
      <c r="ET25" s="43">
        <f t="shared" si="47"/>
        <v>4211</v>
      </c>
      <c r="EU25" s="43">
        <f t="shared" si="47"/>
        <v>4174</v>
      </c>
      <c r="EV25" s="43">
        <f t="shared" si="47"/>
        <v>4213</v>
      </c>
      <c r="EW25" s="43">
        <f t="shared" si="47"/>
        <v>4213</v>
      </c>
      <c r="EX25" s="43">
        <f t="shared" si="47"/>
        <v>4252</v>
      </c>
      <c r="EY25" s="43">
        <f t="shared" si="47"/>
        <v>4262</v>
      </c>
      <c r="EZ25" s="43">
        <f t="shared" si="47"/>
        <v>4260</v>
      </c>
      <c r="FA25" s="43">
        <f t="shared" si="47"/>
        <v>4236</v>
      </c>
      <c r="FB25" s="43">
        <f t="shared" si="47"/>
        <v>4219</v>
      </c>
      <c r="FC25" s="43">
        <f t="shared" si="47"/>
        <v>4202</v>
      </c>
      <c r="FD25" s="43">
        <f t="shared" ref="FD25:FE25" si="48">SUM(FD12,FD17)</f>
        <v>4201</v>
      </c>
      <c r="FE25" s="43">
        <f t="shared" si="48"/>
        <v>4165</v>
      </c>
      <c r="FF25" s="43">
        <f t="shared" ref="FF25:FG25" si="49">SUM(FF12,FF17)</f>
        <v>4223</v>
      </c>
      <c r="FG25" s="43">
        <f t="shared" si="49"/>
        <v>4150</v>
      </c>
      <c r="FH25" s="43">
        <f t="shared" ref="FH25" si="50">SUM(FH12,FH17)</f>
        <v>4195</v>
      </c>
      <c r="FI25" s="43">
        <f>SUM(FI12,FI17)</f>
        <v>4221</v>
      </c>
      <c r="FJ25" s="43">
        <f>SUM(FJ12,FJ17)</f>
        <v>4225</v>
      </c>
      <c r="FK25" s="43">
        <f t="shared" ref="FK25:FL25" si="51">SUM(FK12,FK17)</f>
        <v>4158</v>
      </c>
      <c r="FL25" s="43">
        <f t="shared" si="51"/>
        <v>4152</v>
      </c>
      <c r="FM25" s="43">
        <f t="shared" ref="FM25:FN25" si="52">SUM(FM12,FM17)</f>
        <v>4188</v>
      </c>
      <c r="FN25" s="43">
        <f t="shared" si="52"/>
        <v>4209</v>
      </c>
    </row>
    <row r="26" spans="1:183" s="20" customFormat="1" ht="15" customHeight="1" x14ac:dyDescent="0.2">
      <c r="B26" s="20" t="s">
        <v>42</v>
      </c>
      <c r="C26" s="43">
        <v>20174</v>
      </c>
      <c r="D26" s="43">
        <v>20205</v>
      </c>
      <c r="E26" s="43">
        <v>20165</v>
      </c>
      <c r="F26" s="43">
        <v>19930</v>
      </c>
      <c r="G26" s="43">
        <v>19843</v>
      </c>
      <c r="H26" s="43">
        <v>19837</v>
      </c>
      <c r="I26" s="43">
        <v>19883</v>
      </c>
      <c r="J26" s="43">
        <v>20020</v>
      </c>
      <c r="K26" s="43">
        <v>20120</v>
      </c>
      <c r="L26" s="43">
        <v>20228</v>
      </c>
      <c r="M26" s="43">
        <v>20176</v>
      </c>
      <c r="N26" s="43">
        <v>20018</v>
      </c>
      <c r="O26" s="43">
        <v>20083</v>
      </c>
      <c r="P26" s="43">
        <v>20150</v>
      </c>
      <c r="Q26" s="43">
        <v>20355</v>
      </c>
      <c r="R26" s="43">
        <v>20421</v>
      </c>
      <c r="S26" s="43">
        <v>20512</v>
      </c>
      <c r="T26" s="43">
        <v>20522</v>
      </c>
      <c r="U26" s="43">
        <v>20587</v>
      </c>
      <c r="V26" s="43">
        <v>20543</v>
      </c>
      <c r="W26" s="43">
        <v>20661</v>
      </c>
      <c r="X26" s="43">
        <v>20885</v>
      </c>
      <c r="Y26" s="43">
        <v>20921</v>
      </c>
      <c r="Z26" s="43">
        <v>20813</v>
      </c>
      <c r="AA26" s="43">
        <v>20533</v>
      </c>
      <c r="AB26" s="43">
        <v>20494</v>
      </c>
      <c r="AC26" s="43">
        <v>20669</v>
      </c>
      <c r="AD26" s="43">
        <v>20656</v>
      </c>
      <c r="AE26" s="43">
        <v>20800</v>
      </c>
      <c r="AF26" s="43">
        <v>20790</v>
      </c>
      <c r="AG26" s="43">
        <v>21031</v>
      </c>
      <c r="AH26" s="43">
        <v>21114</v>
      </c>
      <c r="AI26" s="43">
        <v>21184</v>
      </c>
      <c r="AJ26" s="43">
        <v>21283</v>
      </c>
      <c r="AK26" s="43">
        <v>21248</v>
      </c>
      <c r="AL26" s="43">
        <v>21224</v>
      </c>
      <c r="AM26" s="43">
        <v>21244</v>
      </c>
      <c r="AN26" s="43">
        <v>21404</v>
      </c>
      <c r="AO26" s="43">
        <v>21521</v>
      </c>
      <c r="AP26" s="43">
        <v>21562</v>
      </c>
      <c r="AQ26" s="43">
        <v>21612</v>
      </c>
      <c r="AR26" s="43">
        <v>21641</v>
      </c>
      <c r="AS26" s="43">
        <v>21726</v>
      </c>
      <c r="AT26" s="43">
        <v>21962</v>
      </c>
      <c r="AU26" s="43">
        <v>22119</v>
      </c>
      <c r="AV26" s="43">
        <f t="shared" si="43"/>
        <v>22268</v>
      </c>
      <c r="AW26" s="43">
        <f t="shared" si="43"/>
        <v>22479</v>
      </c>
      <c r="AX26" s="43">
        <f t="shared" si="43"/>
        <v>22654</v>
      </c>
      <c r="AY26" s="43">
        <f t="shared" si="43"/>
        <v>22558</v>
      </c>
      <c r="AZ26" s="43">
        <f t="shared" si="43"/>
        <v>22322</v>
      </c>
      <c r="BA26" s="43">
        <f t="shared" si="43"/>
        <v>22307</v>
      </c>
      <c r="BB26" s="43">
        <f t="shared" si="43"/>
        <v>22242</v>
      </c>
      <c r="BC26" s="43">
        <f t="shared" si="43"/>
        <v>21961</v>
      </c>
      <c r="BD26" s="43">
        <f t="shared" si="43"/>
        <v>21597</v>
      </c>
      <c r="BE26" s="43">
        <f t="shared" si="43"/>
        <v>21251</v>
      </c>
      <c r="BF26" s="43">
        <f t="shared" si="43"/>
        <v>21152</v>
      </c>
      <c r="BG26" s="43">
        <f t="shared" si="43"/>
        <v>21320</v>
      </c>
      <c r="BH26" s="43">
        <f t="shared" si="43"/>
        <v>21506</v>
      </c>
      <c r="BI26" s="43">
        <f t="shared" si="43"/>
        <v>21592</v>
      </c>
      <c r="BJ26" s="43">
        <f t="shared" si="43"/>
        <v>21580</v>
      </c>
      <c r="BK26" s="43">
        <f t="shared" si="43"/>
        <v>21527</v>
      </c>
      <c r="BL26" s="43">
        <f t="shared" si="43"/>
        <v>21688</v>
      </c>
      <c r="BM26" s="43">
        <f t="shared" si="43"/>
        <v>21782</v>
      </c>
      <c r="BN26" s="43">
        <f t="shared" si="43"/>
        <v>21900</v>
      </c>
      <c r="BO26" s="43">
        <f t="shared" si="43"/>
        <v>22009</v>
      </c>
      <c r="BP26" s="43">
        <f t="shared" si="43"/>
        <v>22222</v>
      </c>
      <c r="BQ26" s="43">
        <f t="shared" si="43"/>
        <v>22284</v>
      </c>
      <c r="BR26" s="43">
        <f t="shared" si="43"/>
        <v>22345</v>
      </c>
      <c r="BS26" s="43">
        <f t="shared" si="43"/>
        <v>22418</v>
      </c>
      <c r="BT26" s="43">
        <f t="shared" si="43"/>
        <v>22588</v>
      </c>
      <c r="BU26" s="43">
        <f t="shared" si="43"/>
        <v>22557</v>
      </c>
      <c r="BV26" s="43">
        <f t="shared" si="43"/>
        <v>22528</v>
      </c>
      <c r="BW26" s="43">
        <f t="shared" si="43"/>
        <v>22367</v>
      </c>
      <c r="BX26" s="43">
        <f t="shared" si="43"/>
        <v>22424</v>
      </c>
      <c r="BY26" s="43">
        <f t="shared" si="43"/>
        <v>22324</v>
      </c>
      <c r="BZ26" s="43">
        <f t="shared" si="43"/>
        <v>22421</v>
      </c>
      <c r="CA26" s="43">
        <f t="shared" si="43"/>
        <v>22464</v>
      </c>
      <c r="CB26" s="43">
        <f t="shared" si="43"/>
        <v>22624</v>
      </c>
      <c r="CC26" s="43">
        <f t="shared" si="43"/>
        <v>22826</v>
      </c>
      <c r="CD26" s="43">
        <f t="shared" si="43"/>
        <v>22959</v>
      </c>
      <c r="CE26" s="43">
        <f t="shared" si="43"/>
        <v>23161</v>
      </c>
      <c r="CF26" s="43">
        <f t="shared" si="43"/>
        <v>23223</v>
      </c>
      <c r="CG26" s="43">
        <f t="shared" si="43"/>
        <v>23266</v>
      </c>
      <c r="CH26" s="43">
        <f t="shared" si="43"/>
        <v>23164</v>
      </c>
      <c r="CI26" s="43">
        <f t="shared" si="43"/>
        <v>23180</v>
      </c>
      <c r="CJ26" s="43">
        <f t="shared" si="43"/>
        <v>23329</v>
      </c>
      <c r="CK26" s="43">
        <f t="shared" si="43"/>
        <v>23443</v>
      </c>
      <c r="CL26" s="43">
        <f t="shared" si="43"/>
        <v>23545</v>
      </c>
      <c r="CM26" s="43">
        <f t="shared" si="43"/>
        <v>23619</v>
      </c>
      <c r="CN26" s="43">
        <f t="shared" si="43"/>
        <v>23691</v>
      </c>
      <c r="CO26" s="43">
        <f t="shared" si="43"/>
        <v>23849</v>
      </c>
      <c r="CP26" s="43">
        <f t="shared" si="43"/>
        <v>23855</v>
      </c>
      <c r="CQ26" s="43">
        <f t="shared" si="43"/>
        <v>24025</v>
      </c>
      <c r="CR26" s="43">
        <f t="shared" si="43"/>
        <v>23983</v>
      </c>
      <c r="CS26" s="43">
        <f t="shared" si="43"/>
        <v>23989</v>
      </c>
      <c r="CT26" s="43">
        <f t="shared" si="43"/>
        <v>23875</v>
      </c>
      <c r="CU26" s="43">
        <f t="shared" si="43"/>
        <v>23512</v>
      </c>
      <c r="CV26" s="43">
        <f t="shared" si="43"/>
        <v>22741</v>
      </c>
      <c r="CW26" s="43">
        <f t="shared" si="43"/>
        <v>21766</v>
      </c>
      <c r="CX26" s="43">
        <f t="shared" si="43"/>
        <v>21029</v>
      </c>
      <c r="CY26" s="43">
        <f t="shared" si="43"/>
        <v>20786</v>
      </c>
      <c r="CZ26" s="43">
        <f t="shared" si="43"/>
        <v>20928</v>
      </c>
      <c r="DA26" s="43">
        <f t="shared" si="43"/>
        <v>21170</v>
      </c>
      <c r="DB26" s="43">
        <f t="shared" si="43"/>
        <v>21797</v>
      </c>
      <c r="DC26" s="43">
        <f t="shared" si="43"/>
        <v>22253</v>
      </c>
      <c r="DD26" s="43">
        <f t="shared" si="43"/>
        <v>22577</v>
      </c>
      <c r="DE26" s="43">
        <f t="shared" si="43"/>
        <v>22798</v>
      </c>
      <c r="DF26" s="43">
        <f t="shared" si="43"/>
        <v>22955</v>
      </c>
      <c r="DG26" s="43">
        <f t="shared" si="43"/>
        <v>23161</v>
      </c>
      <c r="DH26" s="43">
        <f t="shared" si="44"/>
        <v>23426</v>
      </c>
      <c r="DI26" s="43">
        <f t="shared" si="44"/>
        <v>23705</v>
      </c>
      <c r="DJ26" s="43">
        <f t="shared" si="44"/>
        <v>24213</v>
      </c>
      <c r="DK26" s="43">
        <f t="shared" si="44"/>
        <v>24559</v>
      </c>
      <c r="DL26" s="43">
        <f t="shared" si="44"/>
        <v>24804</v>
      </c>
      <c r="DM26" s="43">
        <f t="shared" si="44"/>
        <v>25009</v>
      </c>
      <c r="DN26" s="43">
        <f t="shared" si="44"/>
        <v>25183</v>
      </c>
      <c r="DO26" s="43">
        <f t="shared" si="44"/>
        <v>25379</v>
      </c>
      <c r="DP26" s="43">
        <f t="shared" si="44"/>
        <v>25476</v>
      </c>
      <c r="DQ26" s="43">
        <f t="shared" si="44"/>
        <v>25118</v>
      </c>
      <c r="DR26" s="43">
        <f t="shared" si="44"/>
        <v>24903</v>
      </c>
      <c r="DS26" s="43">
        <f t="shared" si="44"/>
        <v>24829</v>
      </c>
      <c r="DT26" s="43">
        <f t="shared" si="44"/>
        <v>25083</v>
      </c>
      <c r="DU26" s="43">
        <f t="shared" si="44"/>
        <v>25188</v>
      </c>
      <c r="DV26" s="43">
        <f t="shared" si="44"/>
        <v>25241</v>
      </c>
      <c r="DW26" s="43">
        <f>SUM(DW13,DW18)</f>
        <v>25383</v>
      </c>
      <c r="DX26" s="43">
        <f t="shared" si="45"/>
        <v>25377</v>
      </c>
      <c r="DY26" s="43">
        <f t="shared" si="45"/>
        <v>25201</v>
      </c>
      <c r="DZ26" s="43">
        <f>SUM(DZ13,DZ18)</f>
        <v>24933</v>
      </c>
      <c r="EA26" s="43">
        <f t="shared" ref="EA26:EC26" si="53">SUM(EA13,EA18)</f>
        <v>25006</v>
      </c>
      <c r="EB26" s="43">
        <f t="shared" si="53"/>
        <v>24973</v>
      </c>
      <c r="EC26" s="43">
        <f t="shared" si="53"/>
        <v>24804</v>
      </c>
      <c r="ED26" s="43">
        <f t="shared" ref="ED26:FC26" si="54">SUM(ED13,ED18)</f>
        <v>24707</v>
      </c>
      <c r="EE26" s="43">
        <f t="shared" si="54"/>
        <v>24704</v>
      </c>
      <c r="EF26" s="43">
        <f t="shared" si="54"/>
        <v>24723</v>
      </c>
      <c r="EG26" s="43">
        <f t="shared" si="54"/>
        <v>24719</v>
      </c>
      <c r="EH26" s="43">
        <f t="shared" si="54"/>
        <v>24718</v>
      </c>
      <c r="EI26" s="43">
        <f t="shared" si="54"/>
        <v>24765</v>
      </c>
      <c r="EJ26" s="43">
        <f t="shared" si="54"/>
        <v>24886</v>
      </c>
      <c r="EK26" s="43">
        <f t="shared" si="54"/>
        <v>24968</v>
      </c>
      <c r="EL26" s="43">
        <f t="shared" si="54"/>
        <v>25063</v>
      </c>
      <c r="EM26" s="43">
        <f t="shared" si="54"/>
        <v>25039</v>
      </c>
      <c r="EN26" s="43">
        <f t="shared" si="54"/>
        <v>25089</v>
      </c>
      <c r="EO26" s="43">
        <f t="shared" si="54"/>
        <v>25030</v>
      </c>
      <c r="EP26" s="43">
        <f t="shared" si="54"/>
        <v>24913</v>
      </c>
      <c r="EQ26" s="43">
        <f t="shared" si="54"/>
        <v>24890</v>
      </c>
      <c r="ER26" s="43">
        <f t="shared" si="54"/>
        <v>24928</v>
      </c>
      <c r="ES26" s="43">
        <f t="shared" si="54"/>
        <v>24947</v>
      </c>
      <c r="ET26" s="43">
        <f t="shared" si="54"/>
        <v>25011</v>
      </c>
      <c r="EU26" s="43">
        <f t="shared" si="54"/>
        <v>24894</v>
      </c>
      <c r="EV26" s="43">
        <f t="shared" si="54"/>
        <v>24860</v>
      </c>
      <c r="EW26" s="43">
        <f t="shared" si="54"/>
        <v>24860</v>
      </c>
      <c r="EX26" s="43">
        <f t="shared" si="54"/>
        <v>25133</v>
      </c>
      <c r="EY26" s="43">
        <f t="shared" si="54"/>
        <v>25312</v>
      </c>
      <c r="EZ26" s="43">
        <f t="shared" si="54"/>
        <v>25470</v>
      </c>
      <c r="FA26" s="43">
        <f t="shared" si="54"/>
        <v>25261</v>
      </c>
      <c r="FB26" s="43">
        <f t="shared" si="54"/>
        <v>25310</v>
      </c>
      <c r="FC26" s="43">
        <f t="shared" si="54"/>
        <v>25352</v>
      </c>
      <c r="FD26" s="43">
        <f t="shared" ref="FD26:FE26" si="55">SUM(FD13,FD18)</f>
        <v>25445</v>
      </c>
      <c r="FE26" s="43">
        <f t="shared" si="55"/>
        <v>25633</v>
      </c>
      <c r="FF26" s="43">
        <f t="shared" ref="FF26:FG26" si="56">SUM(FF13,FF18)</f>
        <v>25778</v>
      </c>
      <c r="FG26" s="43">
        <f t="shared" si="56"/>
        <v>25938</v>
      </c>
      <c r="FH26" s="43">
        <f t="shared" ref="FH26:FI26" si="57">SUM(FH13,FH18)</f>
        <v>25933</v>
      </c>
      <c r="FI26" s="43">
        <f t="shared" si="57"/>
        <v>25890</v>
      </c>
      <c r="FJ26" s="43">
        <f t="shared" ref="FJ26:FL26" si="58">SUM(FJ13,FJ18)</f>
        <v>25904</v>
      </c>
      <c r="FK26" s="43">
        <f t="shared" si="58"/>
        <v>26045</v>
      </c>
      <c r="FL26" s="43">
        <f t="shared" si="58"/>
        <v>26109</v>
      </c>
      <c r="FM26" s="43">
        <f t="shared" ref="FM26:FN26" si="59">SUM(FM13,FM18)</f>
        <v>26188</v>
      </c>
      <c r="FN26" s="43">
        <f t="shared" si="59"/>
        <v>26108</v>
      </c>
    </row>
    <row r="27" spans="1:183" s="20" customFormat="1" ht="15" customHeight="1" x14ac:dyDescent="0.2">
      <c r="B27" s="20" t="s">
        <v>36</v>
      </c>
      <c r="C27" s="43">
        <v>2346</v>
      </c>
      <c r="D27" s="43">
        <v>2562</v>
      </c>
      <c r="E27" s="43">
        <v>2781</v>
      </c>
      <c r="F27" s="43">
        <v>2922</v>
      </c>
      <c r="G27" s="43">
        <v>2918</v>
      </c>
      <c r="H27" s="43">
        <v>2896</v>
      </c>
      <c r="I27" s="43">
        <v>2839</v>
      </c>
      <c r="J27" s="43">
        <v>2763</v>
      </c>
      <c r="K27" s="43">
        <v>2776</v>
      </c>
      <c r="L27" s="43">
        <v>2801</v>
      </c>
      <c r="M27" s="43">
        <v>2788</v>
      </c>
      <c r="N27" s="43">
        <v>2744</v>
      </c>
      <c r="O27" s="43">
        <v>2736</v>
      </c>
      <c r="P27" s="43">
        <v>2756</v>
      </c>
      <c r="Q27" s="43">
        <v>2779</v>
      </c>
      <c r="R27" s="43">
        <v>2774</v>
      </c>
      <c r="S27" s="43">
        <v>2733</v>
      </c>
      <c r="T27" s="43">
        <v>2668</v>
      </c>
      <c r="U27" s="43">
        <v>2627</v>
      </c>
      <c r="V27" s="43">
        <v>2620</v>
      </c>
      <c r="W27" s="43">
        <v>2671</v>
      </c>
      <c r="X27" s="43">
        <v>2741</v>
      </c>
      <c r="Y27" s="43">
        <v>2734</v>
      </c>
      <c r="Z27" s="43">
        <v>2712</v>
      </c>
      <c r="AA27" s="43">
        <v>2583</v>
      </c>
      <c r="AB27" s="43">
        <v>2568</v>
      </c>
      <c r="AC27" s="43">
        <v>2535</v>
      </c>
      <c r="AD27" s="43">
        <v>2589</v>
      </c>
      <c r="AE27" s="43">
        <v>2568</v>
      </c>
      <c r="AF27" s="43">
        <v>2571</v>
      </c>
      <c r="AG27" s="43">
        <v>2523</v>
      </c>
      <c r="AH27" s="43">
        <v>2489</v>
      </c>
      <c r="AI27" s="43">
        <v>2465</v>
      </c>
      <c r="AJ27" s="43">
        <v>2517</v>
      </c>
      <c r="AK27" s="43">
        <v>2575</v>
      </c>
      <c r="AL27" s="43">
        <v>2617</v>
      </c>
      <c r="AM27" s="43">
        <v>2615</v>
      </c>
      <c r="AN27" s="43">
        <v>2614</v>
      </c>
      <c r="AO27" s="43">
        <v>2594</v>
      </c>
      <c r="AP27" s="43">
        <v>2641</v>
      </c>
      <c r="AQ27" s="43">
        <v>2657</v>
      </c>
      <c r="AR27" s="43">
        <v>2636</v>
      </c>
      <c r="AS27" s="43">
        <v>2582</v>
      </c>
      <c r="AT27" s="43">
        <v>2481</v>
      </c>
      <c r="AU27" s="43">
        <v>2353</v>
      </c>
      <c r="AV27" s="43">
        <f t="shared" ref="AV27:DG27" si="60">AV19</f>
        <v>2248</v>
      </c>
      <c r="AW27" s="43">
        <f t="shared" si="60"/>
        <v>2204</v>
      </c>
      <c r="AX27" s="43">
        <f t="shared" si="60"/>
        <v>2178</v>
      </c>
      <c r="AY27" s="43">
        <f t="shared" si="60"/>
        <v>2109</v>
      </c>
      <c r="AZ27" s="43">
        <f t="shared" si="60"/>
        <v>2059</v>
      </c>
      <c r="BA27" s="43">
        <f t="shared" si="60"/>
        <v>2056</v>
      </c>
      <c r="BB27" s="43">
        <f t="shared" si="60"/>
        <v>2053</v>
      </c>
      <c r="BC27" s="43">
        <f t="shared" si="60"/>
        <v>2025</v>
      </c>
      <c r="BD27" s="43">
        <f t="shared" si="60"/>
        <v>2010</v>
      </c>
      <c r="BE27" s="43">
        <f t="shared" si="60"/>
        <v>1982</v>
      </c>
      <c r="BF27" s="43">
        <f t="shared" si="60"/>
        <v>1992</v>
      </c>
      <c r="BG27" s="43">
        <f t="shared" si="60"/>
        <v>2016</v>
      </c>
      <c r="BH27" s="43">
        <f t="shared" si="60"/>
        <v>2024</v>
      </c>
      <c r="BI27" s="43">
        <f t="shared" si="60"/>
        <v>2078</v>
      </c>
      <c r="BJ27" s="43">
        <f t="shared" si="60"/>
        <v>2110</v>
      </c>
      <c r="BK27" s="43">
        <f t="shared" si="60"/>
        <v>2101</v>
      </c>
      <c r="BL27" s="43">
        <f t="shared" si="60"/>
        <v>2089</v>
      </c>
      <c r="BM27" s="43">
        <f t="shared" si="60"/>
        <v>2082</v>
      </c>
      <c r="BN27" s="43">
        <f t="shared" si="60"/>
        <v>2090</v>
      </c>
      <c r="BO27" s="43">
        <f t="shared" si="60"/>
        <v>2137</v>
      </c>
      <c r="BP27" s="43">
        <f t="shared" si="60"/>
        <v>2171</v>
      </c>
      <c r="BQ27" s="43">
        <f t="shared" si="60"/>
        <v>2175</v>
      </c>
      <c r="BR27" s="43">
        <f t="shared" si="60"/>
        <v>2126</v>
      </c>
      <c r="BS27" s="43">
        <f t="shared" si="60"/>
        <v>2150</v>
      </c>
      <c r="BT27" s="43">
        <f t="shared" si="60"/>
        <v>2137</v>
      </c>
      <c r="BU27" s="43">
        <f t="shared" si="60"/>
        <v>2161</v>
      </c>
      <c r="BV27" s="43">
        <f t="shared" si="60"/>
        <v>2149</v>
      </c>
      <c r="BW27" s="43">
        <f t="shared" si="60"/>
        <v>2147</v>
      </c>
      <c r="BX27" s="43">
        <f t="shared" si="60"/>
        <v>2105</v>
      </c>
      <c r="BY27" s="43">
        <f t="shared" si="60"/>
        <v>2062</v>
      </c>
      <c r="BZ27" s="43">
        <f t="shared" si="60"/>
        <v>2068</v>
      </c>
      <c r="CA27" s="43">
        <f t="shared" si="60"/>
        <v>2068</v>
      </c>
      <c r="CB27" s="43">
        <f t="shared" si="60"/>
        <v>2115</v>
      </c>
      <c r="CC27" s="43">
        <f t="shared" si="60"/>
        <v>2147</v>
      </c>
      <c r="CD27" s="43">
        <f t="shared" si="60"/>
        <v>2172</v>
      </c>
      <c r="CE27" s="43">
        <f t="shared" si="60"/>
        <v>2142</v>
      </c>
      <c r="CF27" s="43">
        <f t="shared" si="60"/>
        <v>2103</v>
      </c>
      <c r="CG27" s="43">
        <f t="shared" si="60"/>
        <v>2099</v>
      </c>
      <c r="CH27" s="43">
        <f t="shared" si="60"/>
        <v>2087</v>
      </c>
      <c r="CI27" s="43">
        <f t="shared" si="60"/>
        <v>2108</v>
      </c>
      <c r="CJ27" s="43">
        <f t="shared" si="60"/>
        <v>2084</v>
      </c>
      <c r="CK27" s="43">
        <f t="shared" si="60"/>
        <v>2101</v>
      </c>
      <c r="CL27" s="43">
        <f t="shared" si="60"/>
        <v>2139</v>
      </c>
      <c r="CM27" s="43">
        <f t="shared" si="60"/>
        <v>2165</v>
      </c>
      <c r="CN27" s="43">
        <f t="shared" si="60"/>
        <v>2131</v>
      </c>
      <c r="CO27" s="43">
        <f t="shared" si="60"/>
        <v>2067</v>
      </c>
      <c r="CP27" s="43">
        <f t="shared" si="60"/>
        <v>2053</v>
      </c>
      <c r="CQ27" s="43">
        <f t="shared" si="60"/>
        <v>2004</v>
      </c>
      <c r="CR27" s="43">
        <f t="shared" si="60"/>
        <v>1977</v>
      </c>
      <c r="CS27" s="43">
        <f t="shared" si="60"/>
        <v>1927</v>
      </c>
      <c r="CT27" s="43">
        <f t="shared" si="60"/>
        <v>1921</v>
      </c>
      <c r="CU27" s="43">
        <f t="shared" si="60"/>
        <v>1888</v>
      </c>
      <c r="CV27" s="43">
        <f t="shared" si="60"/>
        <v>1851</v>
      </c>
      <c r="CW27" s="43">
        <f t="shared" si="60"/>
        <v>1830</v>
      </c>
      <c r="CX27" s="43">
        <f t="shared" si="60"/>
        <v>1811</v>
      </c>
      <c r="CY27" s="43">
        <f t="shared" si="60"/>
        <v>1842</v>
      </c>
      <c r="CZ27" s="43">
        <f t="shared" si="60"/>
        <v>1894</v>
      </c>
      <c r="DA27" s="43">
        <f t="shared" si="60"/>
        <v>1947</v>
      </c>
      <c r="DB27" s="43">
        <f t="shared" si="60"/>
        <v>1954</v>
      </c>
      <c r="DC27" s="43">
        <f t="shared" si="60"/>
        <v>1975</v>
      </c>
      <c r="DD27" s="43">
        <f t="shared" si="60"/>
        <v>1963</v>
      </c>
      <c r="DE27" s="43">
        <f t="shared" si="60"/>
        <v>1993</v>
      </c>
      <c r="DF27" s="43">
        <f t="shared" si="60"/>
        <v>1935</v>
      </c>
      <c r="DG27" s="43">
        <f t="shared" si="60"/>
        <v>1937</v>
      </c>
      <c r="DH27" s="43">
        <f t="shared" ref="DH27:DU27" si="61">DH19</f>
        <v>1905</v>
      </c>
      <c r="DI27" s="43">
        <f t="shared" si="61"/>
        <v>1940</v>
      </c>
      <c r="DJ27" s="43">
        <f t="shared" si="61"/>
        <v>1945</v>
      </c>
      <c r="DK27" s="43">
        <f t="shared" si="61"/>
        <v>1951</v>
      </c>
      <c r="DL27" s="43">
        <f t="shared" si="61"/>
        <v>1964</v>
      </c>
      <c r="DM27" s="43">
        <f t="shared" si="61"/>
        <v>1982</v>
      </c>
      <c r="DN27" s="43">
        <f t="shared" si="61"/>
        <v>1956</v>
      </c>
      <c r="DO27" s="43">
        <f t="shared" si="61"/>
        <v>1926</v>
      </c>
      <c r="DP27" s="43">
        <f t="shared" si="61"/>
        <v>1910</v>
      </c>
      <c r="DQ27" s="43">
        <f t="shared" si="61"/>
        <v>1913</v>
      </c>
      <c r="DR27" s="43">
        <f t="shared" si="61"/>
        <v>1920</v>
      </c>
      <c r="DS27" s="43">
        <f t="shared" si="61"/>
        <v>1923</v>
      </c>
      <c r="DT27" s="43">
        <f t="shared" si="61"/>
        <v>1864</v>
      </c>
      <c r="DU27" s="43">
        <f t="shared" si="61"/>
        <v>1828</v>
      </c>
      <c r="DV27" s="43">
        <f>DV19</f>
        <v>1761</v>
      </c>
      <c r="DW27" s="43">
        <f>DW19</f>
        <v>1769</v>
      </c>
      <c r="DX27" s="43">
        <f t="shared" ref="DX27" si="62">DX19</f>
        <v>1750</v>
      </c>
      <c r="DY27" s="43">
        <f>DY19</f>
        <v>1702</v>
      </c>
      <c r="DZ27" s="43">
        <f>DZ19</f>
        <v>1686</v>
      </c>
      <c r="EA27" s="43">
        <f t="shared" ref="EA27:EC27" si="63">EA19</f>
        <v>1624</v>
      </c>
      <c r="EB27" s="43">
        <f t="shared" si="63"/>
        <v>1589</v>
      </c>
      <c r="EC27" s="43">
        <f t="shared" si="63"/>
        <v>1523</v>
      </c>
      <c r="ED27" s="43">
        <f t="shared" ref="ED27:FC27" si="64">ED19</f>
        <v>1502</v>
      </c>
      <c r="EE27" s="43">
        <f t="shared" si="64"/>
        <v>1487</v>
      </c>
      <c r="EF27" s="43">
        <f t="shared" si="64"/>
        <v>1506</v>
      </c>
      <c r="EG27" s="43">
        <f t="shared" si="64"/>
        <v>1488</v>
      </c>
      <c r="EH27" s="43">
        <f t="shared" si="64"/>
        <v>1545</v>
      </c>
      <c r="EI27" s="43">
        <f t="shared" si="64"/>
        <v>1503</v>
      </c>
      <c r="EJ27" s="43">
        <f t="shared" si="64"/>
        <v>1504</v>
      </c>
      <c r="EK27" s="43">
        <f t="shared" si="64"/>
        <v>1484</v>
      </c>
      <c r="EL27" s="43">
        <f t="shared" si="64"/>
        <v>1493</v>
      </c>
      <c r="EM27" s="43">
        <f t="shared" si="64"/>
        <v>1460</v>
      </c>
      <c r="EN27" s="43">
        <f t="shared" si="64"/>
        <v>1400</v>
      </c>
      <c r="EO27" s="43">
        <f t="shared" si="64"/>
        <v>1365</v>
      </c>
      <c r="EP27" s="43">
        <f t="shared" si="64"/>
        <v>1378</v>
      </c>
      <c r="EQ27" s="43">
        <f t="shared" si="64"/>
        <v>1371</v>
      </c>
      <c r="ER27" s="43">
        <f t="shared" si="64"/>
        <v>1324</v>
      </c>
      <c r="ES27" s="43">
        <f t="shared" si="64"/>
        <v>1294</v>
      </c>
      <c r="ET27" s="43">
        <f t="shared" si="64"/>
        <v>1309</v>
      </c>
      <c r="EU27" s="43">
        <f t="shared" si="64"/>
        <v>1355</v>
      </c>
      <c r="EV27" s="43">
        <f t="shared" si="64"/>
        <v>1366</v>
      </c>
      <c r="EW27" s="43">
        <f t="shared" si="64"/>
        <v>1344</v>
      </c>
      <c r="EX27" s="43">
        <f t="shared" si="64"/>
        <v>1320</v>
      </c>
      <c r="EY27" s="43">
        <f t="shared" si="64"/>
        <v>1295</v>
      </c>
      <c r="EZ27" s="43">
        <f t="shared" si="64"/>
        <v>1309</v>
      </c>
      <c r="FA27" s="43">
        <f t="shared" si="64"/>
        <v>1317</v>
      </c>
      <c r="FB27" s="43">
        <f t="shared" si="64"/>
        <v>1330</v>
      </c>
      <c r="FC27" s="43">
        <f t="shared" si="64"/>
        <v>1224</v>
      </c>
      <c r="FD27" s="43">
        <f t="shared" ref="FD27:FE27" si="65">FD19</f>
        <v>1201</v>
      </c>
      <c r="FE27" s="43">
        <f t="shared" si="65"/>
        <v>1187</v>
      </c>
      <c r="FF27" s="43">
        <f t="shared" ref="FF27:FG27" si="66">FF19</f>
        <v>1219</v>
      </c>
      <c r="FG27" s="43">
        <f t="shared" si="66"/>
        <v>1237</v>
      </c>
      <c r="FH27" s="43">
        <f t="shared" ref="FH27:FI27" si="67">FH19</f>
        <v>1259</v>
      </c>
      <c r="FI27" s="43">
        <f t="shared" si="67"/>
        <v>1243</v>
      </c>
      <c r="FJ27" s="43">
        <f t="shared" ref="FJ27:FL27" si="68">FJ19</f>
        <v>1188</v>
      </c>
      <c r="FK27" s="43">
        <f t="shared" si="68"/>
        <v>1168</v>
      </c>
      <c r="FL27" s="43">
        <f t="shared" si="68"/>
        <v>1190</v>
      </c>
      <c r="FM27" s="43">
        <f t="shared" ref="FM27:FN27" si="69">FM19</f>
        <v>1203</v>
      </c>
      <c r="FN27" s="43">
        <f t="shared" si="69"/>
        <v>1207</v>
      </c>
    </row>
    <row r="28" spans="1:183" x14ac:dyDescent="0.25">
      <c r="EZ28" s="83"/>
    </row>
    <row r="30" spans="1:183" x14ac:dyDescent="0.25">
      <c r="B30" s="44" t="s">
        <v>43</v>
      </c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</row>
    <row r="31" spans="1:183" x14ac:dyDescent="0.25">
      <c r="B31" s="20" t="s">
        <v>44</v>
      </c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>
        <f>AV6/AV5</f>
        <v>0.61699223655045154</v>
      </c>
      <c r="BI31" s="84">
        <f t="shared" ref="BI31:DS31" si="70">AW6/AW5</f>
        <v>0.61851603617065698</v>
      </c>
      <c r="BJ31" s="84">
        <f t="shared" si="70"/>
        <v>0.61728245017015071</v>
      </c>
      <c r="BK31" s="84">
        <f t="shared" si="70"/>
        <v>0.61674582077433848</v>
      </c>
      <c r="BL31" s="84">
        <f t="shared" si="70"/>
        <v>0.6147631411792237</v>
      </c>
      <c r="BM31" s="84">
        <f t="shared" si="70"/>
        <v>0.61313974187805964</v>
      </c>
      <c r="BN31" s="84">
        <f t="shared" si="70"/>
        <v>0.61339701200097962</v>
      </c>
      <c r="BO31" s="84">
        <f t="shared" si="70"/>
        <v>0.61295153791130186</v>
      </c>
      <c r="BP31" s="84">
        <f t="shared" si="70"/>
        <v>0.61539754957459447</v>
      </c>
      <c r="BQ31" s="84">
        <f t="shared" si="70"/>
        <v>0.61554548623213667</v>
      </c>
      <c r="BR31" s="84">
        <f t="shared" si="70"/>
        <v>0.6149887062155146</v>
      </c>
      <c r="BS31" s="84">
        <f t="shared" si="70"/>
        <v>0.61272861753630981</v>
      </c>
      <c r="BT31" s="84">
        <f t="shared" si="70"/>
        <v>0.60923597570541699</v>
      </c>
      <c r="BU31" s="84">
        <f t="shared" si="70"/>
        <v>0.60763314075925989</v>
      </c>
      <c r="BV31" s="84">
        <f t="shared" si="70"/>
        <v>0.60707286958688733</v>
      </c>
      <c r="BW31" s="84">
        <f t="shared" si="70"/>
        <v>0.60700712318791106</v>
      </c>
      <c r="BX31" s="84">
        <f t="shared" si="70"/>
        <v>0.60468175838134552</v>
      </c>
      <c r="BY31" s="84">
        <f t="shared" si="70"/>
        <v>0.60298365983569557</v>
      </c>
      <c r="BZ31" s="84">
        <f t="shared" si="70"/>
        <v>0.60202776967766536</v>
      </c>
      <c r="CA31" s="84">
        <f t="shared" si="70"/>
        <v>0.60142960853297589</v>
      </c>
      <c r="CB31" s="84">
        <f t="shared" si="70"/>
        <v>0.5997486822498499</v>
      </c>
      <c r="CC31" s="84">
        <f t="shared" si="70"/>
        <v>0.59768228444690874</v>
      </c>
      <c r="CD31" s="84">
        <f t="shared" si="70"/>
        <v>0.59805492623086698</v>
      </c>
      <c r="CE31" s="84">
        <f t="shared" si="70"/>
        <v>0.59686630062828028</v>
      </c>
      <c r="CF31" s="84">
        <f t="shared" si="70"/>
        <v>0.59700001098092614</v>
      </c>
      <c r="CG31" s="84">
        <f t="shared" si="70"/>
        <v>0.59697410789113847</v>
      </c>
      <c r="CH31" s="84">
        <f t="shared" si="70"/>
        <v>0.597377238334036</v>
      </c>
      <c r="CI31" s="84">
        <f t="shared" si="70"/>
        <v>0.59764745233582339</v>
      </c>
      <c r="CJ31" s="84">
        <f t="shared" si="70"/>
        <v>0.59571697294168713</v>
      </c>
      <c r="CK31" s="84">
        <f t="shared" si="70"/>
        <v>0.59595566573655134</v>
      </c>
      <c r="CL31" s="84">
        <f t="shared" si="70"/>
        <v>0.59722206826218527</v>
      </c>
      <c r="CM31" s="84">
        <f t="shared" si="70"/>
        <v>0.59802277341336396</v>
      </c>
      <c r="CN31" s="84">
        <f t="shared" si="70"/>
        <v>0.59652147178636916</v>
      </c>
      <c r="CO31" s="84">
        <f t="shared" si="70"/>
        <v>0.59332358142479746</v>
      </c>
      <c r="CP31" s="84">
        <f t="shared" si="70"/>
        <v>0.59230869593580793</v>
      </c>
      <c r="CQ31" s="84">
        <f t="shared" si="70"/>
        <v>0.59166151744772189</v>
      </c>
      <c r="CR31" s="84">
        <f t="shared" si="70"/>
        <v>0.59244509071968054</v>
      </c>
      <c r="CS31" s="84">
        <f t="shared" si="70"/>
        <v>0.59365249078094651</v>
      </c>
      <c r="CT31" s="84">
        <f t="shared" si="70"/>
        <v>0.59620991253644318</v>
      </c>
      <c r="CU31" s="84">
        <f t="shared" si="70"/>
        <v>0.59543206763083734</v>
      </c>
      <c r="CV31" s="84">
        <f t="shared" si="70"/>
        <v>0.59443851199686182</v>
      </c>
      <c r="CW31" s="84">
        <f t="shared" si="70"/>
        <v>0.59285544022363312</v>
      </c>
      <c r="CX31" s="84">
        <f t="shared" si="70"/>
        <v>0.59123922169582255</v>
      </c>
      <c r="CY31" s="84">
        <f t="shared" si="70"/>
        <v>0.58990675538902171</v>
      </c>
      <c r="CZ31" s="84">
        <f t="shared" si="70"/>
        <v>0.5894526250121005</v>
      </c>
      <c r="DA31" s="84">
        <f t="shared" si="70"/>
        <v>0.58982090545224319</v>
      </c>
      <c r="DB31" s="84">
        <f t="shared" si="70"/>
        <v>0.5909883503246719</v>
      </c>
      <c r="DC31" s="84">
        <f t="shared" si="70"/>
        <v>0.59200008526421244</v>
      </c>
      <c r="DD31" s="84">
        <f t="shared" si="70"/>
        <v>0.59335604770017036</v>
      </c>
      <c r="DE31" s="84">
        <f t="shared" si="70"/>
        <v>0.59620854094048714</v>
      </c>
      <c r="DF31" s="84">
        <f t="shared" si="70"/>
        <v>0.59683051302712864</v>
      </c>
      <c r="DG31" s="84">
        <f t="shared" si="70"/>
        <v>0.6040885897533953</v>
      </c>
      <c r="DH31" s="84">
        <f t="shared" si="70"/>
        <v>0.61568419389068252</v>
      </c>
      <c r="DI31" s="84">
        <f t="shared" si="70"/>
        <v>0.62731155543039518</v>
      </c>
      <c r="DJ31" s="84">
        <f t="shared" si="70"/>
        <v>0.63378968902446409</v>
      </c>
      <c r="DK31" s="84">
        <f t="shared" si="70"/>
        <v>0.62831237851536548</v>
      </c>
      <c r="DL31" s="84">
        <f t="shared" si="70"/>
        <v>0.62261336883235341</v>
      </c>
      <c r="DM31" s="84">
        <f t="shared" si="70"/>
        <v>0.61920566164358493</v>
      </c>
      <c r="DN31" s="84">
        <f t="shared" si="70"/>
        <v>0.61488140004058778</v>
      </c>
      <c r="DO31" s="84">
        <f t="shared" si="70"/>
        <v>0.61162011173184361</v>
      </c>
      <c r="DP31" s="84">
        <f t="shared" si="70"/>
        <v>0.60867738207794941</v>
      </c>
      <c r="DQ31" s="84">
        <f t="shared" si="70"/>
        <v>0.60751897256275544</v>
      </c>
      <c r="DR31" s="84">
        <f t="shared" si="70"/>
        <v>0.60851962477248334</v>
      </c>
      <c r="DS31" s="84">
        <f t="shared" si="70"/>
        <v>0.60804014222887626</v>
      </c>
      <c r="DT31" s="84">
        <f t="shared" ref="DT31:DX31" si="71">DH6/DH5</f>
        <v>0.6064392175128086</v>
      </c>
      <c r="DU31" s="84">
        <f t="shared" si="71"/>
        <v>0.60461300238045712</v>
      </c>
      <c r="DV31" s="84">
        <f t="shared" si="71"/>
        <v>0.59902214421663269</v>
      </c>
      <c r="DW31" s="84">
        <f t="shared" si="71"/>
        <v>0.59727169552661441</v>
      </c>
      <c r="DX31" s="84">
        <f t="shared" si="71"/>
        <v>0.59342685459775857</v>
      </c>
      <c r="DY31" s="84">
        <f>DM6/DM5</f>
        <v>0.59342573823481071</v>
      </c>
      <c r="DZ31" s="84">
        <f>DN6/DN5</f>
        <v>0.59230185406050095</v>
      </c>
      <c r="EA31" s="84">
        <f t="shared" ref="EA31:EV31" si="72">DO6/DO5</f>
        <v>0.59262319711538458</v>
      </c>
      <c r="EB31" s="84">
        <f t="shared" si="72"/>
        <v>0.59230965655190027</v>
      </c>
      <c r="EC31" s="84">
        <f t="shared" si="72"/>
        <v>0.59532018915658791</v>
      </c>
      <c r="ED31" s="84">
        <f t="shared" si="72"/>
        <v>0.59661995935394163</v>
      </c>
      <c r="EE31" s="84">
        <f t="shared" si="72"/>
        <v>0.59813094105193376</v>
      </c>
      <c r="EF31" s="84">
        <f t="shared" si="72"/>
        <v>0.59786337869079165</v>
      </c>
      <c r="EG31" s="84">
        <f t="shared" si="72"/>
        <v>0.59801063640827923</v>
      </c>
      <c r="EH31" s="84">
        <f t="shared" si="72"/>
        <v>0.59957488724143293</v>
      </c>
      <c r="EI31" s="84">
        <f t="shared" si="72"/>
        <v>0.60108019910362065</v>
      </c>
      <c r="EJ31" s="84">
        <f t="shared" si="72"/>
        <v>0.60225156158350224</v>
      </c>
      <c r="EK31" s="84">
        <f t="shared" si="72"/>
        <v>0.60487504490172939</v>
      </c>
      <c r="EL31" s="84">
        <f t="shared" si="72"/>
        <v>0.60826006951543654</v>
      </c>
      <c r="EM31" s="84">
        <f t="shared" si="72"/>
        <v>0.61003229630840927</v>
      </c>
      <c r="EN31" s="84">
        <f t="shared" si="72"/>
        <v>0.61130252876392055</v>
      </c>
      <c r="EO31" s="84">
        <f t="shared" si="72"/>
        <v>0.60943908915269296</v>
      </c>
      <c r="EP31" s="84">
        <f t="shared" si="72"/>
        <v>0.60987795377823939</v>
      </c>
      <c r="EQ31" s="84">
        <f t="shared" si="72"/>
        <v>0.60973348058930177</v>
      </c>
      <c r="ER31" s="84">
        <f t="shared" si="72"/>
        <v>0.6109048941015004</v>
      </c>
      <c r="ES31" s="84">
        <f t="shared" si="72"/>
        <v>0.61000269335156521</v>
      </c>
      <c r="ET31" s="84">
        <f t="shared" si="72"/>
        <v>0.60787526535996206</v>
      </c>
      <c r="EU31" s="84">
        <f t="shared" si="72"/>
        <v>0.60767896902350682</v>
      </c>
      <c r="EV31" s="84">
        <f t="shared" si="72"/>
        <v>0.60832651391162029</v>
      </c>
      <c r="EW31" s="84">
        <f>EK6/EK5</f>
        <v>0.60853805468765954</v>
      </c>
      <c r="EX31" s="84">
        <f t="shared" ref="EX31:FC31" si="73">EL6/EL5</f>
        <v>0.60847583491856805</v>
      </c>
      <c r="EY31" s="84">
        <f t="shared" si="73"/>
        <v>0.60747284400133883</v>
      </c>
      <c r="EZ31" s="84">
        <f t="shared" si="73"/>
        <v>0.6080574987634132</v>
      </c>
      <c r="FA31" s="84">
        <f t="shared" si="73"/>
        <v>0.60972272893104706</v>
      </c>
      <c r="FB31" s="84">
        <f t="shared" si="73"/>
        <v>0.61235800799324747</v>
      </c>
      <c r="FC31" s="84">
        <f t="shared" si="73"/>
        <v>0.61092063362871474</v>
      </c>
      <c r="FD31" s="84">
        <f t="shared" ref="FD31" si="74">ER6/ER5</f>
        <v>0.61227585788403771</v>
      </c>
      <c r="FE31" s="84">
        <f t="shared" ref="FE31:FF31" si="75">ES6/ES5</f>
        <v>0.61329657725818465</v>
      </c>
      <c r="FF31" s="84">
        <f t="shared" si="75"/>
        <v>0.6133637692477123</v>
      </c>
      <c r="FG31" s="84">
        <f t="shared" ref="FG31:FI31" si="76">EU6/EU5</f>
        <v>0.61298960831334937</v>
      </c>
      <c r="FH31" s="84">
        <f t="shared" si="76"/>
        <v>0.61124701670644388</v>
      </c>
      <c r="FI31" s="84">
        <f t="shared" si="76"/>
        <v>0.61170428570014945</v>
      </c>
      <c r="FJ31" s="84">
        <f t="shared" ref="FJ31" si="77">EX6/EX5</f>
        <v>0.61096734199883895</v>
      </c>
      <c r="FK31" s="84">
        <f t="shared" ref="FK31:FV31" si="78">EY6/EY5</f>
        <v>0.61234141507304962</v>
      </c>
      <c r="FL31" s="84">
        <f t="shared" si="78"/>
        <v>0.61399770207500659</v>
      </c>
      <c r="FM31" s="84">
        <f t="shared" si="78"/>
        <v>0.6161463129647784</v>
      </c>
      <c r="FN31" s="84">
        <f t="shared" si="78"/>
        <v>0.61893268972914994</v>
      </c>
      <c r="FO31" s="84">
        <f t="shared" si="78"/>
        <v>0.62004775644214505</v>
      </c>
      <c r="FP31" s="84">
        <f t="shared" si="78"/>
        <v>0.62028066640989932</v>
      </c>
      <c r="FQ31" s="84">
        <f t="shared" si="78"/>
        <v>0.62159959946202248</v>
      </c>
      <c r="FR31" s="84">
        <f t="shared" si="78"/>
        <v>0.62158041342911596</v>
      </c>
      <c r="FS31" s="84">
        <f t="shared" si="78"/>
        <v>0.6215978757468078</v>
      </c>
      <c r="FT31" s="84">
        <f t="shared" si="78"/>
        <v>0.6203987580308149</v>
      </c>
      <c r="FU31" s="84">
        <f t="shared" si="78"/>
        <v>0.621733230501889</v>
      </c>
      <c r="FV31" s="84">
        <f t="shared" si="78"/>
        <v>0.62157629415837046</v>
      </c>
      <c r="FW31" s="84">
        <f t="shared" ref="FW31:FZ31" si="79">FK6/FK5</f>
        <v>0.62320542812490898</v>
      </c>
      <c r="FX31" s="84">
        <f t="shared" si="79"/>
        <v>0.62419052612161285</v>
      </c>
      <c r="FY31" s="84">
        <f t="shared" si="79"/>
        <v>0.62477598566308246</v>
      </c>
      <c r="FZ31" s="84">
        <f t="shared" si="79"/>
        <v>0.62536590141465564</v>
      </c>
      <c r="GA31" s="84"/>
    </row>
    <row r="32" spans="1:183" x14ac:dyDescent="0.25">
      <c r="B32" s="20" t="s">
        <v>45</v>
      </c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>
        <f t="shared" ref="BH32:DS32" si="80">AV14/AV5</f>
        <v>0.38300776344954851</v>
      </c>
      <c r="BI32" s="84">
        <f t="shared" si="80"/>
        <v>0.38148396382934308</v>
      </c>
      <c r="BJ32" s="84">
        <f t="shared" si="80"/>
        <v>0.38271754982984929</v>
      </c>
      <c r="BK32" s="84">
        <f t="shared" si="80"/>
        <v>0.38325417922566152</v>
      </c>
      <c r="BL32" s="84">
        <f t="shared" si="80"/>
        <v>0.3852368588207763</v>
      </c>
      <c r="BM32" s="84">
        <f t="shared" si="80"/>
        <v>0.38686025812194036</v>
      </c>
      <c r="BN32" s="84">
        <f t="shared" si="80"/>
        <v>0.38660298799902032</v>
      </c>
      <c r="BO32" s="84">
        <f t="shared" si="80"/>
        <v>0.38704846208869814</v>
      </c>
      <c r="BP32" s="84">
        <f t="shared" si="80"/>
        <v>0.38460245042540553</v>
      </c>
      <c r="BQ32" s="84">
        <f t="shared" si="80"/>
        <v>0.38445451376786338</v>
      </c>
      <c r="BR32" s="84">
        <f t="shared" si="80"/>
        <v>0.3850112937844854</v>
      </c>
      <c r="BS32" s="84">
        <f t="shared" si="80"/>
        <v>0.38727138246369014</v>
      </c>
      <c r="BT32" s="84">
        <f t="shared" si="80"/>
        <v>0.39076402429458301</v>
      </c>
      <c r="BU32" s="84">
        <f t="shared" si="80"/>
        <v>0.39236685924074011</v>
      </c>
      <c r="BV32" s="84">
        <f t="shared" si="80"/>
        <v>0.39292713041311267</v>
      </c>
      <c r="BW32" s="84">
        <f t="shared" si="80"/>
        <v>0.39299287681208894</v>
      </c>
      <c r="BX32" s="84">
        <f t="shared" si="80"/>
        <v>0.39531824161865448</v>
      </c>
      <c r="BY32" s="84">
        <f t="shared" si="80"/>
        <v>0.39701634016430443</v>
      </c>
      <c r="BZ32" s="84">
        <f t="shared" si="80"/>
        <v>0.39797223032233464</v>
      </c>
      <c r="CA32" s="84">
        <f t="shared" si="80"/>
        <v>0.39857039146702405</v>
      </c>
      <c r="CB32" s="84">
        <f t="shared" si="80"/>
        <v>0.4002513177501501</v>
      </c>
      <c r="CC32" s="84">
        <f t="shared" si="80"/>
        <v>0.4023177155530912</v>
      </c>
      <c r="CD32" s="84">
        <f t="shared" si="80"/>
        <v>0.40194507376913302</v>
      </c>
      <c r="CE32" s="84">
        <f t="shared" si="80"/>
        <v>0.40313369937171967</v>
      </c>
      <c r="CF32" s="84">
        <f t="shared" si="80"/>
        <v>0.40299998901907386</v>
      </c>
      <c r="CG32" s="84">
        <f t="shared" si="80"/>
        <v>0.40302589210886153</v>
      </c>
      <c r="CH32" s="84">
        <f t="shared" si="80"/>
        <v>0.402622761665964</v>
      </c>
      <c r="CI32" s="84">
        <f t="shared" si="80"/>
        <v>0.40235254766417661</v>
      </c>
      <c r="CJ32" s="84">
        <f t="shared" si="80"/>
        <v>0.40428302705831282</v>
      </c>
      <c r="CK32" s="84">
        <f t="shared" si="80"/>
        <v>0.40404433426344871</v>
      </c>
      <c r="CL32" s="84">
        <f t="shared" si="80"/>
        <v>0.40277793173781468</v>
      </c>
      <c r="CM32" s="84">
        <f t="shared" si="80"/>
        <v>0.40197722658663609</v>
      </c>
      <c r="CN32" s="84">
        <f t="shared" si="80"/>
        <v>0.40347852821363084</v>
      </c>
      <c r="CO32" s="84">
        <f t="shared" si="80"/>
        <v>0.40667641857520248</v>
      </c>
      <c r="CP32" s="84">
        <f t="shared" si="80"/>
        <v>0.40769130406419207</v>
      </c>
      <c r="CQ32" s="84">
        <f t="shared" si="80"/>
        <v>0.40833848255227811</v>
      </c>
      <c r="CR32" s="84">
        <f t="shared" si="80"/>
        <v>0.40755490928031946</v>
      </c>
      <c r="CS32" s="84">
        <f t="shared" si="80"/>
        <v>0.40634750921905344</v>
      </c>
      <c r="CT32" s="84">
        <f t="shared" si="80"/>
        <v>0.40379008746355682</v>
      </c>
      <c r="CU32" s="84">
        <f t="shared" si="80"/>
        <v>0.40456793236916261</v>
      </c>
      <c r="CV32" s="84">
        <f t="shared" si="80"/>
        <v>0.40556148800313813</v>
      </c>
      <c r="CW32" s="84">
        <f t="shared" si="80"/>
        <v>0.40714455977636682</v>
      </c>
      <c r="CX32" s="84">
        <f t="shared" si="80"/>
        <v>0.40876077830417751</v>
      </c>
      <c r="CY32" s="84">
        <f t="shared" si="80"/>
        <v>0.41009324461097829</v>
      </c>
      <c r="CZ32" s="84">
        <f t="shared" si="80"/>
        <v>0.41054737498789945</v>
      </c>
      <c r="DA32" s="84">
        <f t="shared" si="80"/>
        <v>0.41017909454775675</v>
      </c>
      <c r="DB32" s="84">
        <f t="shared" si="80"/>
        <v>0.40901164967532816</v>
      </c>
      <c r="DC32" s="84">
        <f t="shared" si="80"/>
        <v>0.40799991473578751</v>
      </c>
      <c r="DD32" s="84">
        <f t="shared" si="80"/>
        <v>0.40664395229982964</v>
      </c>
      <c r="DE32" s="84">
        <f t="shared" si="80"/>
        <v>0.40379145905951286</v>
      </c>
      <c r="DF32" s="84">
        <f t="shared" si="80"/>
        <v>0.40316948697287136</v>
      </c>
      <c r="DG32" s="84">
        <f t="shared" si="80"/>
        <v>0.3959114102466047</v>
      </c>
      <c r="DH32" s="84">
        <f t="shared" si="80"/>
        <v>0.38431580610931748</v>
      </c>
      <c r="DI32" s="84">
        <f t="shared" si="80"/>
        <v>0.37268844456960482</v>
      </c>
      <c r="DJ32" s="84">
        <f t="shared" si="80"/>
        <v>0.36621031097553597</v>
      </c>
      <c r="DK32" s="84">
        <f t="shared" si="80"/>
        <v>0.37168762148463452</v>
      </c>
      <c r="DL32" s="84">
        <f t="shared" si="80"/>
        <v>0.37738663116764659</v>
      </c>
      <c r="DM32" s="84">
        <f t="shared" si="80"/>
        <v>0.38079433835641513</v>
      </c>
      <c r="DN32" s="84">
        <f t="shared" si="80"/>
        <v>0.38511859995941217</v>
      </c>
      <c r="DO32" s="84">
        <f t="shared" si="80"/>
        <v>0.38837988826815645</v>
      </c>
      <c r="DP32" s="84">
        <f t="shared" si="80"/>
        <v>0.39132261792205064</v>
      </c>
      <c r="DQ32" s="84">
        <f t="shared" si="80"/>
        <v>0.39248102743724461</v>
      </c>
      <c r="DR32" s="84">
        <f t="shared" si="80"/>
        <v>0.39148037522751666</v>
      </c>
      <c r="DS32" s="84">
        <f t="shared" si="80"/>
        <v>0.3919598577711238</v>
      </c>
      <c r="DT32" s="84">
        <f t="shared" ref="DT32:DY32" si="81">DH14/DH5</f>
        <v>0.39356078248719145</v>
      </c>
      <c r="DU32" s="84">
        <f t="shared" si="81"/>
        <v>0.39538699761954288</v>
      </c>
      <c r="DV32" s="84">
        <f t="shared" si="81"/>
        <v>0.40097785578336731</v>
      </c>
      <c r="DW32" s="84">
        <f t="shared" si="81"/>
        <v>0.40272830447338553</v>
      </c>
      <c r="DX32" s="84">
        <f t="shared" si="81"/>
        <v>0.40657314540224138</v>
      </c>
      <c r="DY32" s="84">
        <f t="shared" si="81"/>
        <v>0.40657426176518929</v>
      </c>
      <c r="DZ32" s="84">
        <f>DN14/DN5</f>
        <v>0.4076981459394991</v>
      </c>
      <c r="EA32" s="84">
        <f t="shared" ref="EA32:EV32" si="82">DO14/DO5</f>
        <v>0.40737680288461536</v>
      </c>
      <c r="EB32" s="84">
        <f t="shared" si="82"/>
        <v>0.40769034344809973</v>
      </c>
      <c r="EC32" s="84">
        <f t="shared" si="82"/>
        <v>0.40467981084341209</v>
      </c>
      <c r="ED32" s="84">
        <f t="shared" si="82"/>
        <v>0.40338004064605842</v>
      </c>
      <c r="EE32" s="84">
        <f t="shared" si="82"/>
        <v>0.40186905894806624</v>
      </c>
      <c r="EF32" s="84">
        <f t="shared" si="82"/>
        <v>0.40213662130920835</v>
      </c>
      <c r="EG32" s="84">
        <f t="shared" si="82"/>
        <v>0.40198936359172072</v>
      </c>
      <c r="EH32" s="84">
        <f t="shared" si="82"/>
        <v>0.40042511275856707</v>
      </c>
      <c r="EI32" s="84">
        <f t="shared" si="82"/>
        <v>0.39891980089637935</v>
      </c>
      <c r="EJ32" s="84">
        <f t="shared" si="82"/>
        <v>0.39774843841649771</v>
      </c>
      <c r="EK32" s="84">
        <f t="shared" si="82"/>
        <v>0.39512495509827067</v>
      </c>
      <c r="EL32" s="84">
        <f t="shared" si="82"/>
        <v>0.39173993048456346</v>
      </c>
      <c r="EM32" s="84">
        <f t="shared" si="82"/>
        <v>0.38996770369159067</v>
      </c>
      <c r="EN32" s="84">
        <f t="shared" si="82"/>
        <v>0.38869747123607951</v>
      </c>
      <c r="EO32" s="84">
        <f t="shared" si="82"/>
        <v>0.39056091084730704</v>
      </c>
      <c r="EP32" s="84">
        <f t="shared" si="82"/>
        <v>0.39012204622176055</v>
      </c>
      <c r="EQ32" s="84">
        <f t="shared" si="82"/>
        <v>0.39026651941069829</v>
      </c>
      <c r="ER32" s="84">
        <f t="shared" si="82"/>
        <v>0.38909510589849966</v>
      </c>
      <c r="ES32" s="84">
        <f t="shared" si="82"/>
        <v>0.38999730664843474</v>
      </c>
      <c r="ET32" s="84">
        <f t="shared" si="82"/>
        <v>0.39212473464003794</v>
      </c>
      <c r="EU32" s="84">
        <f t="shared" si="82"/>
        <v>0.39232103097649318</v>
      </c>
      <c r="EV32" s="84">
        <f t="shared" si="82"/>
        <v>0.39167348608837971</v>
      </c>
      <c r="EW32" s="84">
        <f>EK14/EK5</f>
        <v>0.39146194531234046</v>
      </c>
      <c r="EX32" s="84">
        <f t="shared" ref="EX32:FC32" si="83">EL14/EL5</f>
        <v>0.3915241650814319</v>
      </c>
      <c r="EY32" s="84">
        <f t="shared" si="83"/>
        <v>0.39252715599866123</v>
      </c>
      <c r="EZ32" s="84">
        <f t="shared" si="83"/>
        <v>0.3919425012365868</v>
      </c>
      <c r="FA32" s="84">
        <f t="shared" si="83"/>
        <v>0.39027727106895294</v>
      </c>
      <c r="FB32" s="84">
        <f t="shared" si="83"/>
        <v>0.38764199200675259</v>
      </c>
      <c r="FC32" s="84">
        <f t="shared" si="83"/>
        <v>0.38907936637128526</v>
      </c>
      <c r="FD32" s="84">
        <f t="shared" ref="FD32" si="84">ER14/ER5</f>
        <v>0.38772414211596223</v>
      </c>
      <c r="FE32" s="84">
        <f t="shared" ref="FE32:FG32" si="85">ES14/ES5</f>
        <v>0.38670342274181541</v>
      </c>
      <c r="FF32" s="84">
        <f t="shared" si="85"/>
        <v>0.3866362307522877</v>
      </c>
      <c r="FG32" s="84">
        <f t="shared" si="85"/>
        <v>0.38701039168665069</v>
      </c>
      <c r="FH32" s="84">
        <f t="shared" ref="FH32:FI32" si="86">EV14/EV5</f>
        <v>0.38875298329355606</v>
      </c>
      <c r="FI32" s="84">
        <f t="shared" si="86"/>
        <v>0.3882957142998506</v>
      </c>
      <c r="FJ32" s="84">
        <f t="shared" ref="FJ32" si="87">EX14/EX5</f>
        <v>0.3890326580011611</v>
      </c>
      <c r="FK32" s="84">
        <f t="shared" ref="FK32:FV32" si="88">EY14/EY5</f>
        <v>0.38765858492695038</v>
      </c>
      <c r="FL32" s="84">
        <f t="shared" si="88"/>
        <v>0.38600229792499335</v>
      </c>
      <c r="FM32" s="84">
        <f t="shared" si="88"/>
        <v>0.38385368703522166</v>
      </c>
      <c r="FN32" s="84">
        <f t="shared" si="88"/>
        <v>0.38106731027085011</v>
      </c>
      <c r="FO32" s="84">
        <f t="shared" si="88"/>
        <v>0.37995224355785495</v>
      </c>
      <c r="FP32" s="84">
        <f t="shared" si="88"/>
        <v>0.37971933359010063</v>
      </c>
      <c r="FQ32" s="84">
        <f t="shared" si="88"/>
        <v>0.37840040053797747</v>
      </c>
      <c r="FR32" s="84">
        <f t="shared" si="88"/>
        <v>0.37841958657088404</v>
      </c>
      <c r="FS32" s="84">
        <f t="shared" si="88"/>
        <v>0.37840212425319225</v>
      </c>
      <c r="FT32" s="84">
        <f t="shared" si="88"/>
        <v>0.3796012419691851</v>
      </c>
      <c r="FU32" s="84">
        <f t="shared" si="88"/>
        <v>0.37826676949811094</v>
      </c>
      <c r="FV32" s="84">
        <f t="shared" si="88"/>
        <v>0.37842370584162954</v>
      </c>
      <c r="FW32" s="84">
        <f t="shared" ref="FW32" si="89">FK14/FK5</f>
        <v>0.37679457187509102</v>
      </c>
      <c r="FX32" s="84">
        <f>FL14/FL5</f>
        <v>0.37580947387838715</v>
      </c>
      <c r="FY32" s="84">
        <f>FM14/FM5</f>
        <v>0.37522401433691754</v>
      </c>
      <c r="FZ32" s="84">
        <f>FN14/FN5</f>
        <v>0.37463409858534436</v>
      </c>
      <c r="GA32" s="84"/>
    </row>
    <row r="33" spans="1:170" x14ac:dyDescent="0.25"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</row>
    <row r="34" spans="1:170" x14ac:dyDescent="0.25">
      <c r="B34" s="44" t="s">
        <v>46</v>
      </c>
      <c r="EY34" s="83"/>
      <c r="EZ34" s="86"/>
      <c r="FA34" s="86"/>
      <c r="FB34" s="83"/>
      <c r="FC34" s="83"/>
      <c r="FD34" s="86"/>
      <c r="FE34" s="86"/>
      <c r="FF34" s="83"/>
      <c r="FG34" s="83"/>
      <c r="FH34" s="83"/>
      <c r="FI34" s="83"/>
      <c r="FJ34" s="83"/>
      <c r="FK34" s="83"/>
      <c r="FL34" s="83"/>
    </row>
    <row r="35" spans="1:170" s="87" customFormat="1" x14ac:dyDescent="0.25">
      <c r="A35" s="44" t="s">
        <v>39</v>
      </c>
      <c r="B35" s="44" t="s">
        <v>39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BE35" s="97"/>
      <c r="BH35" s="88">
        <f>(BH5/AV5-1)*100</f>
        <v>-2.5605188735900786</v>
      </c>
      <c r="BI35" s="88">
        <f t="shared" ref="BH35:DS36" si="90">(BI5/AW5-1)*100</f>
        <v>-2.4348170041642359</v>
      </c>
      <c r="BJ35" s="88">
        <f t="shared" si="90"/>
        <v>-2.4605559729526716</v>
      </c>
      <c r="BK35" s="88">
        <f t="shared" si="90"/>
        <v>-2.254501774015949</v>
      </c>
      <c r="BL35" s="88">
        <f t="shared" si="90"/>
        <v>-1.7439852011990609</v>
      </c>
      <c r="BM35" s="88">
        <f t="shared" si="90"/>
        <v>-1.4063195371606607</v>
      </c>
      <c r="BN35" s="88">
        <f t="shared" si="90"/>
        <v>-0.73920691113931181</v>
      </c>
      <c r="BO35" s="88">
        <f t="shared" si="90"/>
        <v>7.0413090128762512E-2</v>
      </c>
      <c r="BP35" s="88">
        <f t="shared" si="90"/>
        <v>0.80373056530169684</v>
      </c>
      <c r="BQ35" s="88">
        <f t="shared" si="90"/>
        <v>1.3897165472964712</v>
      </c>
      <c r="BR35" s="88">
        <f t="shared" si="90"/>
        <v>1.6833919561284327</v>
      </c>
      <c r="BS35" s="88">
        <f t="shared" si="90"/>
        <v>1.8502331002330896</v>
      </c>
      <c r="BT35" s="88">
        <f t="shared" si="90"/>
        <v>2.0495752930365985</v>
      </c>
      <c r="BU35" s="88">
        <f t="shared" si="90"/>
        <v>2.1250717929659713</v>
      </c>
      <c r="BV35" s="88">
        <f t="shared" si="90"/>
        <v>2.0989793953398728</v>
      </c>
      <c r="BW35" s="88">
        <f t="shared" si="90"/>
        <v>2.0573041123324476</v>
      </c>
      <c r="BX35" s="88">
        <f t="shared" si="90"/>
        <v>1.8951594610533862</v>
      </c>
      <c r="BY35" s="88">
        <f t="shared" si="90"/>
        <v>1.5087568836327447</v>
      </c>
      <c r="BZ35" s="88">
        <f t="shared" si="90"/>
        <v>1.1765101724950044</v>
      </c>
      <c r="CA35" s="88">
        <f t="shared" si="90"/>
        <v>1.2252191880270269</v>
      </c>
      <c r="CB35" s="88">
        <f t="shared" si="90"/>
        <v>1.2754931832840377</v>
      </c>
      <c r="CC35" s="88">
        <f t="shared" si="90"/>
        <v>1.5869143332409186</v>
      </c>
      <c r="CD35" s="88">
        <f t="shared" si="90"/>
        <v>1.6455766149085393</v>
      </c>
      <c r="CE35" s="88">
        <f t="shared" si="90"/>
        <v>1.5008307384219322</v>
      </c>
      <c r="CF35" s="88">
        <f t="shared" si="90"/>
        <v>1.1914304852471247</v>
      </c>
      <c r="CG35" s="88">
        <f t="shared" si="90"/>
        <v>1.0740593710026003</v>
      </c>
      <c r="CH35" s="88">
        <f t="shared" si="90"/>
        <v>1.2248430115161968</v>
      </c>
      <c r="CI35" s="88">
        <f t="shared" si="90"/>
        <v>1.6846917159103469</v>
      </c>
      <c r="CJ35" s="88">
        <f t="shared" si="90"/>
        <v>2.1493048985452345</v>
      </c>
      <c r="CK35" s="88">
        <f t="shared" si="90"/>
        <v>2.6024701788711857</v>
      </c>
      <c r="CL35" s="88">
        <f t="shared" si="90"/>
        <v>2.7180720754675258</v>
      </c>
      <c r="CM35" s="88">
        <f t="shared" si="90"/>
        <v>2.4737399593962373</v>
      </c>
      <c r="CN35" s="88">
        <f t="shared" si="90"/>
        <v>2.0840424714240191</v>
      </c>
      <c r="CO35" s="88">
        <f t="shared" si="90"/>
        <v>1.7302360107416481</v>
      </c>
      <c r="CP35" s="88">
        <f t="shared" si="90"/>
        <v>1.6363320068714993</v>
      </c>
      <c r="CQ35" s="88">
        <f t="shared" si="90"/>
        <v>1.7117087818574017</v>
      </c>
      <c r="CR35" s="88">
        <f t="shared" si="90"/>
        <v>1.9185693202534937</v>
      </c>
      <c r="CS35" s="88">
        <f t="shared" si="90"/>
        <v>2.0380108664819208</v>
      </c>
      <c r="CT35" s="88">
        <f t="shared" si="90"/>
        <v>2.0134154628553835</v>
      </c>
      <c r="CU35" s="88">
        <f t="shared" si="90"/>
        <v>0.35306630409754902</v>
      </c>
      <c r="CV35" s="88">
        <f t="shared" si="90"/>
        <v>-3.4737507355024344</v>
      </c>
      <c r="CW35" s="88">
        <f t="shared" si="90"/>
        <v>-7.6603029449368361</v>
      </c>
      <c r="CX35" s="88">
        <f t="shared" si="90"/>
        <v>-10.847911248286801</v>
      </c>
      <c r="CY35" s="88">
        <f t="shared" si="90"/>
        <v>-12.477119538299197</v>
      </c>
      <c r="CZ35" s="88">
        <f t="shared" si="90"/>
        <v>-12.737305181185532</v>
      </c>
      <c r="DA35" s="88">
        <f t="shared" si="90"/>
        <v>-12.056958289963626</v>
      </c>
      <c r="DB35" s="88">
        <f t="shared" si="90"/>
        <v>-10.387359727853319</v>
      </c>
      <c r="DC35" s="88">
        <f t="shared" si="90"/>
        <v>-9.3801291752819047</v>
      </c>
      <c r="DD35" s="88">
        <f t="shared" si="90"/>
        <v>-8.7830068143100455</v>
      </c>
      <c r="DE35" s="88">
        <f t="shared" si="90"/>
        <v>-8.4211876911233219</v>
      </c>
      <c r="DF35" s="88">
        <f t="shared" si="90"/>
        <v>-7.9151222132688659</v>
      </c>
      <c r="DG35" s="88">
        <f t="shared" si="90"/>
        <v>-6.5852299422003213</v>
      </c>
      <c r="DH35" s="88">
        <f t="shared" si="90"/>
        <v>-3.054658749689565</v>
      </c>
      <c r="DI35" s="88">
        <f t="shared" si="90"/>
        <v>1.5418192058574975</v>
      </c>
      <c r="DJ35" s="88">
        <f t="shared" si="90"/>
        <v>6.2122477636150197</v>
      </c>
      <c r="DK35" s="88">
        <f t="shared" si="90"/>
        <v>9.4813374996924438</v>
      </c>
      <c r="DL35" s="88">
        <f t="shared" si="90"/>
        <v>10.975113707798689</v>
      </c>
      <c r="DM35" s="88">
        <f t="shared" si="90"/>
        <v>11.359892624000967</v>
      </c>
      <c r="DN35" s="88">
        <f t="shared" si="90"/>
        <v>10.100395134238195</v>
      </c>
      <c r="DO35" s="88">
        <f t="shared" si="90"/>
        <v>9.5960011761246697</v>
      </c>
      <c r="DP35" s="88">
        <f t="shared" si="90"/>
        <v>9.708069241633698</v>
      </c>
      <c r="DQ35" s="88">
        <f t="shared" si="90"/>
        <v>9.3741973146526547</v>
      </c>
      <c r="DR35" s="88">
        <f t="shared" si="90"/>
        <v>9.0796658421617558</v>
      </c>
      <c r="DS35" s="88">
        <f t="shared" si="90"/>
        <v>9.3887433330214201</v>
      </c>
      <c r="DT35" s="88">
        <f t="shared" ref="DP35:DZ36" si="91">(DT5/DH5-1)*100</f>
        <v>10.303912435957141</v>
      </c>
      <c r="DU35" s="88">
        <f t="shared" si="91"/>
        <v>10.597656520834775</v>
      </c>
      <c r="DV35" s="88">
        <f t="shared" si="91"/>
        <v>9.9176002644085557</v>
      </c>
      <c r="DW35" s="88">
        <f t="shared" si="91"/>
        <v>8.8108053442405687</v>
      </c>
      <c r="DX35" s="88">
        <f>(DX5/DL5-1)*100</f>
        <v>7.9348683260582309</v>
      </c>
      <c r="DY35" s="88">
        <f>(DY5/DM5-1)*100</f>
        <v>6.7605325152029883</v>
      </c>
      <c r="DZ35" s="88">
        <f>(DZ5/DN5-1)*100</f>
        <v>6.0609346199718139</v>
      </c>
      <c r="EA35" s="88">
        <f>(EA5/DO5-1)*100</f>
        <v>5.0008585164835084</v>
      </c>
      <c r="EB35" s="88">
        <f t="shared" ref="EB35:EB36" si="92">(EB5/DP5-1)*100</f>
        <v>3.7557986125888343</v>
      </c>
      <c r="EC35" s="88">
        <f t="shared" ref="EC35:EC36" si="93">(EC5/DQ5-1)*100</f>
        <v>3.319847564555567</v>
      </c>
      <c r="ED35" s="88">
        <f t="shared" ref="ED35:ED36" si="94">(ED5/DR5-1)*100</f>
        <v>2.9789282276179163</v>
      </c>
      <c r="EE35" s="88">
        <f t="shared" ref="EE35:EE36" si="95">(EE5/DS5-1)*100</f>
        <v>2.6250227216834343</v>
      </c>
      <c r="EF35" s="88">
        <f t="shared" ref="EF35:EF36" si="96">(EF5/DT5-1)*100</f>
        <v>1.5285709761530208</v>
      </c>
      <c r="EG35" s="88">
        <f t="shared" ref="EG35:EG36" si="97">(EG5/DU5-1)*100</f>
        <v>0.86198790082436805</v>
      </c>
      <c r="EH35" s="88">
        <f t="shared" ref="EH35:EH36" si="98">(EH5/DV5-1)*100</f>
        <v>0.61485820934210622</v>
      </c>
      <c r="EI35" s="88">
        <f t="shared" ref="EI35:EI36" si="99">(EI5/DW5-1)*100</f>
        <v>0.64749984509573366</v>
      </c>
      <c r="EJ35" s="88">
        <f t="shared" ref="EJ35:EJ36" si="100">(EJ5/DX5-1)*100</f>
        <v>0.59993619889480154</v>
      </c>
      <c r="EK35" s="88">
        <f t="shared" ref="EK35:EK36" si="101">(EK5/DY5-1)*100</f>
        <v>0.51624159696208594</v>
      </c>
      <c r="EL35" s="88">
        <f t="shared" ref="EL35:EL36" si="102">(EL5/DZ5-1)*100</f>
        <v>0.49376405643017929</v>
      </c>
      <c r="EM35" s="88">
        <f t="shared" ref="EM35:EM36" si="103">(EM5/EA5-1)*100</f>
        <v>0.76959241241159049</v>
      </c>
      <c r="EN35" s="88">
        <f t="shared" ref="EN35:EN36" si="104">(EN5/EB5-1)*100</f>
        <v>1.584322894234913</v>
      </c>
      <c r="EO35" s="88">
        <f t="shared" ref="EO35:EO36" si="105">(EO5/EC5-1)*100</f>
        <v>1.9496017109382313</v>
      </c>
      <c r="EP35" s="88">
        <f t="shared" ref="EP35:EP36" si="106">(EP5/ED5-1)*100</f>
        <v>2.1376265904959668</v>
      </c>
      <c r="EQ35" s="88">
        <f>(EQ5/EE5-1)*100</f>
        <v>2.4099272750005118</v>
      </c>
      <c r="ER35" s="88">
        <f t="shared" ref="ER35:ER36" si="107">(ER5/EF5-1)*100</f>
        <v>2.807323996381661</v>
      </c>
      <c r="ES35" s="88">
        <f t="shared" ref="ES35:ES36" si="108">(ES5/EG5-1)*100</f>
        <v>2.9626867217767749</v>
      </c>
      <c r="ET35" s="88">
        <f t="shared" ref="ET35:ET36" si="109">(ET5/EH5-1)*100</f>
        <v>2.9308106102763798</v>
      </c>
      <c r="EU35" s="88">
        <f>(EU5/EI5-1)*100</f>
        <v>2.6872287376489057</v>
      </c>
      <c r="EV35" s="88">
        <f>(EV5/EJ5-1)*100</f>
        <v>2.8641571194762738</v>
      </c>
      <c r="EW35" s="88">
        <f>(EW5/EK5-1)*100</f>
        <v>3.1846678510894622</v>
      </c>
      <c r="EX35" s="88">
        <f t="shared" ref="EX35:FB35" si="110">(EX5/EL5-1)*100</f>
        <v>3.3834165793515947</v>
      </c>
      <c r="EY35" s="88">
        <f t="shared" si="110"/>
        <v>3.3672424110267052</v>
      </c>
      <c r="EZ35" s="88">
        <f t="shared" si="110"/>
        <v>2.7941814804720133</v>
      </c>
      <c r="FA35" s="88">
        <f t="shared" si="110"/>
        <v>2.344035023713964</v>
      </c>
      <c r="FB35" s="88">
        <f t="shared" si="110"/>
        <v>2.3898386096224078</v>
      </c>
      <c r="FC35" s="88">
        <f t="shared" ref="FC35:FJ36" si="111">(FC5/EQ5-1)*100</f>
        <v>2.2575820777080313</v>
      </c>
      <c r="FD35" s="88">
        <f t="shared" si="111"/>
        <v>2.4090536727449319</v>
      </c>
      <c r="FE35" s="88">
        <f t="shared" si="111"/>
        <v>2.4840533633820883</v>
      </c>
      <c r="FF35" s="88">
        <f t="shared" si="111"/>
        <v>2.4358743317114184</v>
      </c>
      <c r="FG35" s="88">
        <f t="shared" si="111"/>
        <v>2.3541167066347013</v>
      </c>
      <c r="FH35" s="88">
        <f t="shared" si="111"/>
        <v>1.8476531424025389</v>
      </c>
      <c r="FI35" s="88">
        <f t="shared" si="111"/>
        <v>1.3616078054959013</v>
      </c>
      <c r="FJ35" s="88">
        <f t="shared" si="111"/>
        <v>0.91312519064439268</v>
      </c>
      <c r="FK35" s="88">
        <f t="shared" ref="FK35:FK36" si="112">(FK5/EY5-1)*100</f>
        <v>1.0812720154635524</v>
      </c>
      <c r="FL35" s="88">
        <f t="shared" ref="FL35:FN36" si="113">(FL5/EZ5-1)*100</f>
        <v>1.1469984582298087</v>
      </c>
      <c r="FM35" s="88">
        <f>(FM5/FA5-1)*100</f>
        <v>1.6665181356385395</v>
      </c>
      <c r="FN35" s="88">
        <f>(FN5/FB5-1)*100</f>
        <v>1.4520822780409892</v>
      </c>
    </row>
    <row r="36" spans="1:170" x14ac:dyDescent="0.25">
      <c r="B36" s="20" t="s">
        <v>44</v>
      </c>
      <c r="BG36" s="45"/>
      <c r="BH36" s="93">
        <f t="shared" si="90"/>
        <v>-3.7854387144727997</v>
      </c>
      <c r="BI36" s="93">
        <f t="shared" si="90"/>
        <v>-4.1514930808448707</v>
      </c>
      <c r="BJ36" s="93">
        <f t="shared" si="90"/>
        <v>-4.0738155327641472</v>
      </c>
      <c r="BK36" s="93">
        <f t="shared" si="90"/>
        <v>-3.7979477376422377</v>
      </c>
      <c r="BL36" s="93">
        <f t="shared" si="90"/>
        <v>-3.3552667355484234</v>
      </c>
      <c r="BM36" s="93">
        <f t="shared" si="90"/>
        <v>-3.0394309459434887</v>
      </c>
      <c r="BN36" s="93">
        <f t="shared" si="90"/>
        <v>-2.5789941741229394</v>
      </c>
      <c r="BO36" s="93">
        <f t="shared" si="90"/>
        <v>-1.8106560665183569</v>
      </c>
      <c r="BP36" s="93">
        <f t="shared" si="90"/>
        <v>-1.7595948924388427</v>
      </c>
      <c r="BQ36" s="93">
        <f t="shared" si="90"/>
        <v>-1.5526248493040629</v>
      </c>
      <c r="BR36" s="93">
        <f t="shared" si="90"/>
        <v>-1.1164711471695399</v>
      </c>
      <c r="BS36" s="93">
        <f t="shared" si="90"/>
        <v>-0.78646547782350584</v>
      </c>
      <c r="BT36" s="93">
        <f t="shared" si="90"/>
        <v>0</v>
      </c>
      <c r="BU36" s="93">
        <f t="shared" si="90"/>
        <v>0.33360515975979776</v>
      </c>
      <c r="BV36" s="93">
        <f t="shared" si="90"/>
        <v>0.46834474651540337</v>
      </c>
      <c r="BW36" s="93">
        <f t="shared" si="90"/>
        <v>0.48364420283062426</v>
      </c>
      <c r="BX36" s="93">
        <f t="shared" si="90"/>
        <v>0.38449996248781648</v>
      </c>
      <c r="BY36" s="93">
        <f t="shared" si="90"/>
        <v>0.32563536325185272</v>
      </c>
      <c r="BZ36" s="93">
        <f t="shared" si="90"/>
        <v>0.36886620216849408</v>
      </c>
      <c r="CA36" s="93">
        <f t="shared" si="90"/>
        <v>0.65182268937213905</v>
      </c>
      <c r="CB36" s="93">
        <f t="shared" si="90"/>
        <v>0.73053603545139012</v>
      </c>
      <c r="CC36" s="93">
        <f t="shared" si="90"/>
        <v>0.84607392014248717</v>
      </c>
      <c r="CD36" s="93">
        <f t="shared" si="90"/>
        <v>0.66894576365148506</v>
      </c>
      <c r="CE36" s="93">
        <f t="shared" si="90"/>
        <v>0.61572495160844287</v>
      </c>
      <c r="CF36" s="93">
        <f t="shared" si="90"/>
        <v>0.41937204554234331</v>
      </c>
      <c r="CG36" s="93">
        <f t="shared" si="90"/>
        <v>0.51167430175853568</v>
      </c>
      <c r="CH36" s="93">
        <f t="shared" si="90"/>
        <v>1.0270410816432651</v>
      </c>
      <c r="CI36" s="93">
        <f t="shared" si="90"/>
        <v>1.3077626252262053</v>
      </c>
      <c r="CJ36" s="93">
        <f t="shared" si="90"/>
        <v>1.9300835186188525</v>
      </c>
      <c r="CK36" s="93">
        <f t="shared" si="90"/>
        <v>2.0687210864050121</v>
      </c>
      <c r="CL36" s="93">
        <f t="shared" si="90"/>
        <v>1.6890637760784033</v>
      </c>
      <c r="CM36" s="93">
        <f t="shared" si="90"/>
        <v>1.0830258302582996</v>
      </c>
      <c r="CN36" s="93">
        <f t="shared" si="90"/>
        <v>0.87433504518932281</v>
      </c>
      <c r="CO36" s="93">
        <f t="shared" si="90"/>
        <v>1.1296732410950749</v>
      </c>
      <c r="CP36" s="93">
        <f t="shared" si="90"/>
        <v>1.4097692604218226</v>
      </c>
      <c r="CQ36" s="93">
        <f t="shared" si="90"/>
        <v>1.7699115044247815</v>
      </c>
      <c r="CR36" s="93">
        <f t="shared" si="90"/>
        <v>2.0752816191959012</v>
      </c>
      <c r="CS36" s="93">
        <f t="shared" si="90"/>
        <v>2.4773491628838684</v>
      </c>
      <c r="CT36" s="93">
        <f t="shared" si="90"/>
        <v>2.1196021839439583</v>
      </c>
      <c r="CU36" s="93">
        <f t="shared" si="90"/>
        <v>1.8120212139068892</v>
      </c>
      <c r="CV36" s="93">
        <f t="shared" si="90"/>
        <v>-2.3829600029323661E-2</v>
      </c>
      <c r="CW36" s="93">
        <f t="shared" si="90"/>
        <v>-2.2936198987517642</v>
      </c>
      <c r="CX36" s="93">
        <f t="shared" si="90"/>
        <v>-4.4317891432117733</v>
      </c>
      <c r="CY36" s="93">
        <f t="shared" si="90"/>
        <v>-6.7789804150619641</v>
      </c>
      <c r="CZ36" s="93">
        <f t="shared" si="90"/>
        <v>-7.8281814532316307</v>
      </c>
      <c r="DA36" s="93">
        <f t="shared" si="90"/>
        <v>-7.6756540406796914</v>
      </c>
      <c r="DB36" s="93">
        <f t="shared" si="90"/>
        <v>-6.7644130690560189</v>
      </c>
      <c r="DC36" s="93">
        <f t="shared" si="90"/>
        <v>-6.376811594202902</v>
      </c>
      <c r="DD36" s="93">
        <f t="shared" si="90"/>
        <v>-6.4276485788113735</v>
      </c>
      <c r="DE36" s="93">
        <f t="shared" si="90"/>
        <v>-6.683883000663549</v>
      </c>
      <c r="DF36" s="93">
        <f t="shared" si="90"/>
        <v>-6.111611161116115</v>
      </c>
      <c r="DG36" s="93">
        <f t="shared" si="90"/>
        <v>-5.9741716104760538</v>
      </c>
      <c r="DH36" s="93">
        <f t="shared" si="90"/>
        <v>-4.5103683467483169</v>
      </c>
      <c r="DI36" s="93">
        <f t="shared" si="90"/>
        <v>-2.1323556918933062</v>
      </c>
      <c r="DJ36" s="93">
        <f t="shared" si="90"/>
        <v>0.38580541655526268</v>
      </c>
      <c r="DK36" s="93">
        <f t="shared" si="90"/>
        <v>4.0726019618976705</v>
      </c>
      <c r="DL36" s="93">
        <f t="shared" si="90"/>
        <v>5.772885650934434</v>
      </c>
      <c r="DM36" s="93">
        <f t="shared" si="90"/>
        <v>6.723550160600622</v>
      </c>
      <c r="DN36" s="93">
        <f t="shared" si="90"/>
        <v>6.0573114855944743</v>
      </c>
      <c r="DO36" s="93">
        <f t="shared" si="90"/>
        <v>6.1919504643962897</v>
      </c>
      <c r="DP36" s="93">
        <f t="shared" si="91"/>
        <v>6.7579488359605699</v>
      </c>
      <c r="DQ36" s="93">
        <f t="shared" si="91"/>
        <v>7.1779990006534122</v>
      </c>
      <c r="DR36" s="93">
        <f t="shared" si="91"/>
        <v>6.9466014763685191</v>
      </c>
      <c r="DS36" s="93">
        <f t="shared" si="91"/>
        <v>7.6060402039049624</v>
      </c>
      <c r="DT36" s="93">
        <f t="shared" si="91"/>
        <v>8.7440717344136942</v>
      </c>
      <c r="DU36" s="93">
        <f t="shared" si="91"/>
        <v>9.389931577539091</v>
      </c>
      <c r="DV36" s="93">
        <f t="shared" si="91"/>
        <v>10.019025875190257</v>
      </c>
      <c r="DW36" s="93">
        <f t="shared" si="91"/>
        <v>9.5046375557353393</v>
      </c>
      <c r="DX36" s="93">
        <f t="shared" si="91"/>
        <v>9.5399416036535243</v>
      </c>
      <c r="DY36" s="93">
        <f t="shared" si="91"/>
        <v>8.8203253383555733</v>
      </c>
      <c r="DZ36" s="93">
        <f t="shared" si="91"/>
        <v>8.9185033316248052</v>
      </c>
      <c r="EA36" s="93">
        <f t="shared" ref="EA36" si="114">(EA6/DO6-1)*100</f>
        <v>8.085399199608867</v>
      </c>
      <c r="EB36" s="93">
        <f t="shared" si="92"/>
        <v>7.0828094126100138</v>
      </c>
      <c r="EC36" s="93">
        <f t="shared" si="93"/>
        <v>5.7702307733687119</v>
      </c>
      <c r="ED36" s="93">
        <f t="shared" si="94"/>
        <v>5.2673096919932494</v>
      </c>
      <c r="EE36" s="93">
        <f t="shared" si="95"/>
        <v>4.6157421476965999</v>
      </c>
      <c r="EF36" s="93">
        <f t="shared" si="96"/>
        <v>3.7432682969894993</v>
      </c>
      <c r="EG36" s="93">
        <f t="shared" si="97"/>
        <v>2.8845985847820499</v>
      </c>
      <c r="EH36" s="93">
        <f t="shared" si="98"/>
        <v>2.0077473800712564</v>
      </c>
      <c r="EI36" s="93">
        <f t="shared" si="99"/>
        <v>1.7524267674598359</v>
      </c>
      <c r="EJ36" s="93">
        <f t="shared" si="100"/>
        <v>1.6146945749679675</v>
      </c>
      <c r="EK36" s="93">
        <f t="shared" si="101"/>
        <v>1.1249490973259224</v>
      </c>
      <c r="EL36" s="93">
        <f t="shared" si="102"/>
        <v>0.52941176470588935</v>
      </c>
      <c r="EM36" s="93">
        <f t="shared" si="103"/>
        <v>0.34680337756332058</v>
      </c>
      <c r="EN36" s="93">
        <f t="shared" si="104"/>
        <v>1.0450740610269627</v>
      </c>
      <c r="EO36" s="93">
        <f t="shared" si="105"/>
        <v>1.9970501975011379</v>
      </c>
      <c r="EP36" s="93">
        <f t="shared" si="106"/>
        <v>2.5529668233530867</v>
      </c>
      <c r="EQ36" s="93">
        <f t="shared" ref="EQ36" si="115">(EQ6/EE6-1)*100</f>
        <v>2.6093197313784788</v>
      </c>
      <c r="ER36" s="93">
        <f t="shared" si="107"/>
        <v>3.0380393158029095</v>
      </c>
      <c r="ES36" s="93">
        <f t="shared" si="108"/>
        <v>3.518663179703152</v>
      </c>
      <c r="ET36" s="93">
        <f t="shared" si="109"/>
        <v>3.8601725803990794</v>
      </c>
      <c r="EU36" s="93">
        <f t="shared" ref="EU36" si="116">(EU6/EI6-1)*100</f>
        <v>3.5846348670325101</v>
      </c>
      <c r="EV36" s="93">
        <f t="shared" ref="EV36" si="117">(EV6/EJ6-1)*100</f>
        <v>3.3579956280477496</v>
      </c>
      <c r="EW36" s="93">
        <f>(EW6/EK6-1)*100</f>
        <v>3.7215389519958286</v>
      </c>
      <c r="EX36" s="93">
        <f t="shared" ref="EX36:FB36" si="118">(EX6/EL6-1)*100</f>
        <v>3.8067374404413545</v>
      </c>
      <c r="EY36" s="93">
        <f t="shared" si="118"/>
        <v>4.195675765923701</v>
      </c>
      <c r="EZ36" s="93">
        <f t="shared" si="118"/>
        <v>3.7983929875821776</v>
      </c>
      <c r="FA36" s="93">
        <f t="shared" si="118"/>
        <v>3.422255464140278</v>
      </c>
      <c r="FB36" s="93">
        <f t="shared" si="118"/>
        <v>3.4891638296105532</v>
      </c>
      <c r="FC36" s="93">
        <f t="shared" si="111"/>
        <v>3.7853050892619144</v>
      </c>
      <c r="FD36" s="93">
        <f t="shared" si="111"/>
        <v>3.7479352494218743</v>
      </c>
      <c r="FE36" s="93">
        <f t="shared" si="111"/>
        <v>3.8715180944256744</v>
      </c>
      <c r="FF36" s="93">
        <f t="shared" si="111"/>
        <v>3.8081091668842992</v>
      </c>
      <c r="FG36" s="93">
        <f t="shared" si="111"/>
        <v>3.7914846449762063</v>
      </c>
      <c r="FH36" s="93">
        <f t="shared" si="111"/>
        <v>3.3725413636585433</v>
      </c>
      <c r="FI36" s="93">
        <f t="shared" si="111"/>
        <v>3.0234401540029543</v>
      </c>
      <c r="FJ36" s="93">
        <f t="shared" si="111"/>
        <v>2.6653997294337373</v>
      </c>
      <c r="FK36" s="93">
        <f t="shared" si="112"/>
        <v>2.8746314575054388</v>
      </c>
      <c r="FL36" s="93">
        <f t="shared" si="113"/>
        <v>2.8261147719275792</v>
      </c>
      <c r="FM36" s="93">
        <f t="shared" si="113"/>
        <v>3.0904474157881223</v>
      </c>
      <c r="FN36" s="93">
        <f t="shared" si="113"/>
        <v>2.5065793696642968</v>
      </c>
    </row>
    <row r="37" spans="1:170" x14ac:dyDescent="0.25">
      <c r="B37" s="20" t="s">
        <v>45</v>
      </c>
      <c r="BH37" s="93">
        <f t="shared" ref="BH37:DS37" si="119">(BH14/AV14-1)*100</f>
        <v>-0.58727941386093052</v>
      </c>
      <c r="BI37" s="93">
        <f t="shared" si="119"/>
        <v>0.34850230414746886</v>
      </c>
      <c r="BJ37" s="93">
        <f t="shared" si="119"/>
        <v>0.14145904904876438</v>
      </c>
      <c r="BK37" s="93">
        <f t="shared" si="119"/>
        <v>0.2292646119914199</v>
      </c>
      <c r="BL37" s="93">
        <f t="shared" si="119"/>
        <v>0.82730691350882957</v>
      </c>
      <c r="BM37" s="93">
        <f t="shared" si="119"/>
        <v>1.1820194990078026</v>
      </c>
      <c r="BN37" s="93">
        <f t="shared" si="119"/>
        <v>2.1798600512569433</v>
      </c>
      <c r="BO37" s="93">
        <f t="shared" si="119"/>
        <v>3.0493791510251222</v>
      </c>
      <c r="BP37" s="93">
        <f t="shared" si="119"/>
        <v>4.9052754299038215</v>
      </c>
      <c r="BQ37" s="93">
        <f t="shared" si="119"/>
        <v>6.1006638785716438</v>
      </c>
      <c r="BR37" s="93">
        <f t="shared" si="119"/>
        <v>6.1556872245410288</v>
      </c>
      <c r="BS37" s="93">
        <f t="shared" si="119"/>
        <v>6.0219347744306484</v>
      </c>
      <c r="BT37" s="93">
        <f t="shared" si="119"/>
        <v>5.245046026784439</v>
      </c>
      <c r="BU37" s="93">
        <f t="shared" si="119"/>
        <v>4.8994001320283642</v>
      </c>
      <c r="BV37" s="93">
        <f t="shared" si="119"/>
        <v>4.6183118081180918</v>
      </c>
      <c r="BW37" s="93">
        <f t="shared" si="119"/>
        <v>4.4879404696412495</v>
      </c>
      <c r="BX37" s="93">
        <f t="shared" si="119"/>
        <v>4.2058756024787591</v>
      </c>
      <c r="BY37" s="93">
        <f t="shared" si="119"/>
        <v>3.3056676709681154</v>
      </c>
      <c r="BZ37" s="93">
        <f t="shared" si="119"/>
        <v>2.3982640063127114</v>
      </c>
      <c r="CA37" s="93">
        <f t="shared" si="119"/>
        <v>2.0904556408675612</v>
      </c>
      <c r="CB37" s="93">
        <f t="shared" si="119"/>
        <v>2.0920734587280831</v>
      </c>
      <c r="CC37" s="93">
        <f t="shared" si="119"/>
        <v>2.6875051682791806</v>
      </c>
      <c r="CD37" s="93">
        <f t="shared" si="119"/>
        <v>3.0987077261479312</v>
      </c>
      <c r="CE37" s="93">
        <f t="shared" si="119"/>
        <v>2.8112888258092772</v>
      </c>
      <c r="CF37" s="93">
        <f t="shared" si="119"/>
        <v>2.3351498637602219</v>
      </c>
      <c r="CG37" s="93">
        <f t="shared" si="119"/>
        <v>1.9070810988289333</v>
      </c>
      <c r="CH37" s="93">
        <f t="shared" si="119"/>
        <v>1.5183246073298351</v>
      </c>
      <c r="CI37" s="93">
        <f t="shared" si="119"/>
        <v>2.244575608945043</v>
      </c>
      <c r="CJ37" s="93">
        <f t="shared" si="119"/>
        <v>2.4723308187875048</v>
      </c>
      <c r="CK37" s="93">
        <f t="shared" si="119"/>
        <v>3.3897372403356663</v>
      </c>
      <c r="CL37" s="93">
        <f t="shared" si="119"/>
        <v>4.243842025595157</v>
      </c>
      <c r="CM37" s="93">
        <f t="shared" si="119"/>
        <v>4.5427097057531896</v>
      </c>
      <c r="CN37" s="93">
        <f t="shared" si="119"/>
        <v>3.8725303434387515</v>
      </c>
      <c r="CO37" s="93">
        <f t="shared" si="119"/>
        <v>2.6064315241316471</v>
      </c>
      <c r="CP37" s="93">
        <f t="shared" si="119"/>
        <v>1.9654905725791316</v>
      </c>
      <c r="CQ37" s="93">
        <f t="shared" si="119"/>
        <v>1.627376022087712</v>
      </c>
      <c r="CR37" s="93">
        <f t="shared" si="119"/>
        <v>1.6907633730063543</v>
      </c>
      <c r="CS37" s="93">
        <f t="shared" si="119"/>
        <v>1.3961605584642323</v>
      </c>
      <c r="CT37" s="93">
        <f t="shared" si="119"/>
        <v>1.8566271273852575</v>
      </c>
      <c r="CU37" s="93">
        <f t="shared" si="119"/>
        <v>-1.7941838089817641</v>
      </c>
      <c r="CV37" s="93">
        <f t="shared" si="119"/>
        <v>-8.5303600214938218</v>
      </c>
      <c r="CW37" s="93">
        <f t="shared" si="119"/>
        <v>-15.474891556005</v>
      </c>
      <c r="CX37" s="93">
        <f t="shared" si="119"/>
        <v>-20.128310056234653</v>
      </c>
      <c r="CY37" s="93">
        <f t="shared" si="119"/>
        <v>-20.673720692099661</v>
      </c>
      <c r="CZ37" s="93">
        <f t="shared" si="119"/>
        <v>-19.785689957819173</v>
      </c>
      <c r="DA37" s="93">
        <f t="shared" si="119"/>
        <v>-18.357096141268801</v>
      </c>
      <c r="DB37" s="93">
        <f t="shared" si="119"/>
        <v>-15.62222105978972</v>
      </c>
      <c r="DC37" s="93">
        <f t="shared" si="119"/>
        <v>-13.737885635171498</v>
      </c>
      <c r="DD37" s="93">
        <f t="shared" si="119"/>
        <v>-12.219836614997902</v>
      </c>
      <c r="DE37" s="93">
        <f t="shared" si="119"/>
        <v>-10.986363034555801</v>
      </c>
      <c r="DF37" s="93">
        <f t="shared" si="119"/>
        <v>-10.584943371085942</v>
      </c>
      <c r="DG37" s="93">
        <f t="shared" si="119"/>
        <v>-7.5175934869601164</v>
      </c>
      <c r="DH37" s="93">
        <f t="shared" si="119"/>
        <v>-0.72257306506094965</v>
      </c>
      <c r="DI37" s="93">
        <f t="shared" si="119"/>
        <v>7.7262137145015952</v>
      </c>
      <c r="DJ37" s="93">
        <f t="shared" si="119"/>
        <v>16.29590453839289</v>
      </c>
      <c r="DK37" s="93">
        <f t="shared" si="119"/>
        <v>18.624433191010503</v>
      </c>
      <c r="DL37" s="93">
        <f t="shared" si="119"/>
        <v>19.557762027631711</v>
      </c>
      <c r="DM37" s="93">
        <f t="shared" si="119"/>
        <v>18.899000256344522</v>
      </c>
      <c r="DN37" s="93">
        <f t="shared" si="119"/>
        <v>16.555593440996862</v>
      </c>
      <c r="DO37" s="93">
        <f t="shared" si="119"/>
        <v>14.956695536309116</v>
      </c>
      <c r="DP37" s="93">
        <f t="shared" si="119"/>
        <v>14.296793437733024</v>
      </c>
      <c r="DQ37" s="93">
        <f t="shared" si="119"/>
        <v>12.773679200380773</v>
      </c>
      <c r="DR37" s="93">
        <f t="shared" si="119"/>
        <v>12.395314874973916</v>
      </c>
      <c r="DS37" s="93">
        <f t="shared" si="119"/>
        <v>12.154218017964258</v>
      </c>
      <c r="DT37" s="93">
        <f t="shared" ref="DT37:DZ37" si="120">(DT14/DH14-1)*100</f>
        <v>12.707476552560726</v>
      </c>
      <c r="DU37" s="93">
        <f t="shared" si="120"/>
        <v>12.444470423193831</v>
      </c>
      <c r="DV37" s="93">
        <f t="shared" si="120"/>
        <v>9.7660802091919408</v>
      </c>
      <c r="DW37" s="93">
        <f t="shared" si="120"/>
        <v>7.7818080357142883</v>
      </c>
      <c r="DX37" s="93">
        <f t="shared" si="120"/>
        <v>5.5921322223740022</v>
      </c>
      <c r="DY37" s="93">
        <f t="shared" si="120"/>
        <v>3.7541098474640267</v>
      </c>
      <c r="DZ37" s="93">
        <f t="shared" si="120"/>
        <v>1.9094729003776401</v>
      </c>
      <c r="EA37" s="93">
        <f t="shared" ref="EA37" si="121">(EA14/DO14-1)*100</f>
        <v>0.51368509786360317</v>
      </c>
      <c r="EB37" s="93">
        <f t="shared" ref="EB37" si="122">(EB14/DP14-1)*100</f>
        <v>-1.0778224333211517</v>
      </c>
      <c r="EC37" s="93">
        <f t="shared" ref="EC37" si="123">(EC14/DQ14-1)*100</f>
        <v>-0.28488525455024893</v>
      </c>
      <c r="ED37" s="93">
        <f t="shared" ref="ED37" si="124">(ED14/DR14-1)*100</f>
        <v>-0.40570640644888023</v>
      </c>
      <c r="EE37" s="93">
        <f t="shared" ref="EE37" si="125">(EE14/DS14-1)*100</f>
        <v>-0.33790974882929037</v>
      </c>
      <c r="EF37" s="93">
        <f t="shared" ref="EF37" si="126">(EF14/DT14-1)*100</f>
        <v>-1.7640573318632891</v>
      </c>
      <c r="EG37" s="93">
        <f t="shared" ref="EG37" si="127">(EG14/DU14-1)*100</f>
        <v>-2.1469044029734374</v>
      </c>
      <c r="EH37" s="93">
        <f t="shared" ref="EH37" si="128">(EH14/DV14-1)*100</f>
        <v>-1.4707786322794458</v>
      </c>
      <c r="EI37" s="93">
        <f t="shared" ref="EI37" si="129">(EI14/DW14-1)*100</f>
        <v>-1.0173703694115854</v>
      </c>
      <c r="EJ37" s="93">
        <f t="shared" ref="EJ37" si="130">(EJ14/DX14-1)*100</f>
        <v>-0.93656214426162121</v>
      </c>
      <c r="EK37" s="93">
        <f t="shared" ref="EK37" si="131">(EK14/DY14-1)*100</f>
        <v>-0.41559521026520718</v>
      </c>
      <c r="EL37" s="93">
        <f t="shared" ref="EL37" si="132">(EL14/DZ14-1)*100</f>
        <v>0.43841336116909879</v>
      </c>
      <c r="EM37" s="93">
        <f t="shared" ref="EM37" si="133">(EM14/EA14-1)*100</f>
        <v>1.430967606667366</v>
      </c>
      <c r="EN37" s="93">
        <f t="shared" ref="EN37" si="134">(EN14/EB14-1)*100</f>
        <v>2.4323967814272596</v>
      </c>
      <c r="EO37" s="93">
        <f t="shared" ref="EO37" si="135">(EO14/EC14-1)*100</f>
        <v>1.8755621395693423</v>
      </c>
      <c r="EP37" s="93">
        <f t="shared" ref="EP37" si="136">(EP14/ED14-1)*100</f>
        <v>1.4883250352778266</v>
      </c>
      <c r="EQ37" s="93">
        <f t="shared" ref="EQ37" si="137">(EQ14/EE14-1)*100</f>
        <v>2.0984061724110381</v>
      </c>
      <c r="ER37" s="93">
        <f t="shared" ref="ER37" si="138">(ER14/EF14-1)*100</f>
        <v>2.4450857784191093</v>
      </c>
      <c r="ES37" s="93">
        <f t="shared" ref="ES37" si="139">(ES14/EG14-1)*100</f>
        <v>2.0930726731831717</v>
      </c>
      <c r="ET37" s="93">
        <f t="shared" ref="ET37" si="140">(ET14/EH14-1)*100</f>
        <v>1.4901053848781931</v>
      </c>
      <c r="EU37" s="93">
        <f>(EU14/EI14-1)*100</f>
        <v>1.2972068207971477</v>
      </c>
      <c r="EV37" s="93">
        <f>(EV14/EJ14-1)*100</f>
        <v>2.0971533037346557</v>
      </c>
      <c r="EW37" s="93">
        <f>(EW14/EK14-1)*100</f>
        <v>2.3500873783875331</v>
      </c>
      <c r="EX37" s="93">
        <f t="shared" ref="EX37:FB37" si="141">(EX14/EL14-1)*100</f>
        <v>2.72552483891082</v>
      </c>
      <c r="EY37" s="93">
        <f t="shared" si="141"/>
        <v>2.0851635574388849</v>
      </c>
      <c r="EZ37" s="93">
        <f t="shared" si="141"/>
        <v>1.2362531228268914</v>
      </c>
      <c r="FA37" s="93">
        <f t="shared" si="141"/>
        <v>0.65955181636414562</v>
      </c>
      <c r="FB37" s="93">
        <f t="shared" si="141"/>
        <v>0.65323469227136499</v>
      </c>
      <c r="FC37" s="93">
        <f t="shared" ref="FC37:FJ37" si="142">(FC14/EQ14-1)*100</f>
        <v>-0.14120231153413876</v>
      </c>
      <c r="FD37" s="93">
        <f t="shared" si="142"/>
        <v>0.29475441479511755</v>
      </c>
      <c r="FE37" s="93">
        <f t="shared" si="142"/>
        <v>0.28358830263295332</v>
      </c>
      <c r="FF37" s="93">
        <f t="shared" si="142"/>
        <v>0.25894660520999757</v>
      </c>
      <c r="FG37" s="93">
        <f t="shared" si="142"/>
        <v>7.7455334090670291E-2</v>
      </c>
      <c r="FH37" s="93">
        <f t="shared" si="142"/>
        <v>-0.54997058296881729</v>
      </c>
      <c r="FI37" s="93">
        <f t="shared" si="142"/>
        <v>-1.2563710499490344</v>
      </c>
      <c r="FJ37" s="93">
        <f t="shared" si="142"/>
        <v>-1.8387839239193626</v>
      </c>
      <c r="FK37" s="93">
        <f t="shared" ref="FK37" si="143">(FK14/EY14-1)*100</f>
        <v>-1.7514996583056996</v>
      </c>
      <c r="FL37" s="93">
        <f t="shared" ref="FL37:FN37" si="144">(FL14/EZ14-1)*100</f>
        <v>-1.5239015951357238</v>
      </c>
      <c r="FM37" s="93">
        <f t="shared" si="144"/>
        <v>-0.61911518122017561</v>
      </c>
      <c r="FN37" s="93">
        <f t="shared" si="144"/>
        <v>-0.26064065472932718</v>
      </c>
    </row>
    <row r="38" spans="1:170" x14ac:dyDescent="0.25">
      <c r="EY38" s="83"/>
      <c r="EZ38" s="186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</row>
    <row r="39" spans="1:170" x14ac:dyDescent="0.25">
      <c r="B39" s="44" t="s">
        <v>47</v>
      </c>
      <c r="BH39" s="103">
        <v>42705</v>
      </c>
      <c r="BI39" s="103">
        <v>42736</v>
      </c>
      <c r="BJ39" s="103">
        <v>42767</v>
      </c>
      <c r="BK39" s="103">
        <v>42795</v>
      </c>
      <c r="BL39" s="103">
        <v>42826</v>
      </c>
      <c r="BM39" s="103">
        <v>42856</v>
      </c>
      <c r="BN39" s="103">
        <v>42887</v>
      </c>
      <c r="BO39" s="103">
        <v>42917</v>
      </c>
      <c r="BP39" s="103">
        <v>42948</v>
      </c>
      <c r="BQ39" s="103">
        <v>42979</v>
      </c>
      <c r="BR39" s="103">
        <v>43009</v>
      </c>
      <c r="BS39" s="103">
        <v>43040</v>
      </c>
      <c r="BT39" s="103">
        <v>43070</v>
      </c>
      <c r="BU39" s="103">
        <v>43101</v>
      </c>
      <c r="BV39" s="103">
        <v>43132</v>
      </c>
      <c r="BW39" s="103">
        <v>43160</v>
      </c>
      <c r="BX39" s="103">
        <v>43191</v>
      </c>
      <c r="BY39" s="103">
        <v>43221</v>
      </c>
      <c r="BZ39" s="103">
        <v>43252</v>
      </c>
      <c r="CA39" s="103">
        <v>43282</v>
      </c>
      <c r="CB39" s="103">
        <v>43313</v>
      </c>
      <c r="CC39" s="103">
        <v>43344</v>
      </c>
      <c r="CD39" s="103">
        <v>43374</v>
      </c>
      <c r="CE39" s="103">
        <v>43405</v>
      </c>
      <c r="CF39" s="103">
        <v>43435</v>
      </c>
      <c r="CG39" s="103">
        <v>43466</v>
      </c>
      <c r="CH39" s="103">
        <v>43497</v>
      </c>
      <c r="CI39" s="103">
        <v>43525</v>
      </c>
      <c r="CJ39" s="103">
        <v>43556</v>
      </c>
      <c r="CK39" s="103">
        <v>43586</v>
      </c>
      <c r="CL39" s="103">
        <v>43617</v>
      </c>
      <c r="CM39" s="103">
        <v>43647</v>
      </c>
      <c r="CN39" s="103">
        <v>43678</v>
      </c>
      <c r="CO39" s="103">
        <v>43709</v>
      </c>
      <c r="CP39" s="103">
        <v>43739</v>
      </c>
      <c r="CQ39" s="103">
        <v>43770</v>
      </c>
      <c r="CR39" s="103">
        <v>43800</v>
      </c>
      <c r="CS39" s="103">
        <v>43831</v>
      </c>
      <c r="CT39" s="103">
        <v>43862</v>
      </c>
      <c r="CU39" s="103">
        <v>43891</v>
      </c>
      <c r="CV39" s="103">
        <v>43922</v>
      </c>
      <c r="CW39" s="103">
        <v>43952</v>
      </c>
      <c r="CX39" s="103">
        <v>43983</v>
      </c>
      <c r="CY39" s="103">
        <v>44013</v>
      </c>
      <c r="CZ39" s="103">
        <v>44044</v>
      </c>
      <c r="DA39" s="103">
        <v>44075</v>
      </c>
      <c r="DB39" s="103">
        <v>44105</v>
      </c>
      <c r="DC39" s="103">
        <v>44136</v>
      </c>
      <c r="DD39" s="103">
        <v>44166</v>
      </c>
      <c r="DE39" s="103">
        <v>44197</v>
      </c>
      <c r="DF39" s="103">
        <v>44228</v>
      </c>
      <c r="DG39" s="103">
        <v>44256</v>
      </c>
      <c r="DH39" s="103">
        <v>44287</v>
      </c>
      <c r="DI39" s="103">
        <v>44317</v>
      </c>
      <c r="DJ39" s="103">
        <v>44348</v>
      </c>
      <c r="DK39" s="103">
        <v>44378</v>
      </c>
      <c r="DL39" s="103">
        <v>44409</v>
      </c>
      <c r="DM39" s="103">
        <v>44440</v>
      </c>
      <c r="DN39" s="103">
        <v>44470</v>
      </c>
      <c r="DO39" s="103">
        <v>44501</v>
      </c>
      <c r="DP39" s="103">
        <v>44531</v>
      </c>
      <c r="DQ39" s="103">
        <v>44562</v>
      </c>
      <c r="DR39" s="103">
        <v>44593</v>
      </c>
      <c r="DS39" s="103">
        <v>44621</v>
      </c>
      <c r="DT39" s="103">
        <v>44652</v>
      </c>
      <c r="DU39" s="103">
        <v>44682</v>
      </c>
      <c r="DV39" s="103">
        <v>44713</v>
      </c>
      <c r="DW39" s="103">
        <v>44743</v>
      </c>
      <c r="DX39" s="103">
        <v>44774</v>
      </c>
      <c r="DY39" s="103">
        <v>44805</v>
      </c>
      <c r="DZ39" s="103">
        <v>44835</v>
      </c>
      <c r="EA39" s="103">
        <v>44866</v>
      </c>
      <c r="EB39" s="103">
        <v>44896</v>
      </c>
      <c r="EC39" s="103">
        <v>44927</v>
      </c>
      <c r="ED39" s="103">
        <v>44958</v>
      </c>
      <c r="EE39" s="103">
        <v>44986</v>
      </c>
      <c r="EF39" s="103">
        <v>45017</v>
      </c>
      <c r="EG39" s="103">
        <v>45047</v>
      </c>
      <c r="EH39" s="103">
        <v>45078</v>
      </c>
      <c r="EI39" s="103">
        <v>45108</v>
      </c>
      <c r="EJ39" s="103">
        <v>45139</v>
      </c>
      <c r="EK39" s="103">
        <v>45170</v>
      </c>
      <c r="EL39" s="103">
        <v>45200</v>
      </c>
      <c r="EM39" s="103">
        <v>45231</v>
      </c>
      <c r="EN39" s="103">
        <v>45261</v>
      </c>
      <c r="EO39" s="103">
        <v>45292</v>
      </c>
      <c r="EP39" s="103">
        <v>45323</v>
      </c>
      <c r="EQ39" s="103">
        <v>45352</v>
      </c>
      <c r="ER39" s="103">
        <v>45383</v>
      </c>
      <c r="ES39" s="103">
        <v>45413</v>
      </c>
      <c r="ET39" s="103">
        <v>45444</v>
      </c>
      <c r="EU39" s="103">
        <v>45474</v>
      </c>
      <c r="EV39" s="103">
        <v>45505</v>
      </c>
      <c r="EW39" s="103">
        <v>45536</v>
      </c>
      <c r="EX39" s="103">
        <v>45566</v>
      </c>
      <c r="EY39" s="103">
        <v>45597</v>
      </c>
      <c r="EZ39" s="103">
        <v>45627</v>
      </c>
      <c r="FA39" s="103">
        <v>45658</v>
      </c>
      <c r="FB39" s="103">
        <v>45689</v>
      </c>
      <c r="FC39" s="103">
        <v>45717</v>
      </c>
      <c r="FD39" s="103">
        <v>45748</v>
      </c>
      <c r="FE39" s="103">
        <v>45778</v>
      </c>
      <c r="FF39" s="103">
        <v>45809</v>
      </c>
      <c r="FG39" s="103">
        <v>45839</v>
      </c>
      <c r="FH39" s="103">
        <v>45870</v>
      </c>
      <c r="FI39" s="103">
        <v>45901</v>
      </c>
      <c r="FJ39" s="103">
        <v>45931</v>
      </c>
      <c r="FK39" s="103">
        <v>45962</v>
      </c>
      <c r="FL39" s="103">
        <v>45992</v>
      </c>
      <c r="FM39" s="103">
        <v>46023</v>
      </c>
      <c r="FN39" s="103">
        <v>46054</v>
      </c>
    </row>
    <row r="40" spans="1:170" s="87" customFormat="1" x14ac:dyDescent="0.25">
      <c r="A40" s="44"/>
      <c r="B40" s="44" t="s">
        <v>48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BH40" s="97">
        <f>SUM(BH41:BH42)</f>
        <v>-2.5605188735900759</v>
      </c>
      <c r="BI40" s="97">
        <f t="shared" ref="BI40:CZ40" si="145">SUM(BI41:BI42)</f>
        <v>-2.4348170041642425</v>
      </c>
      <c r="BJ40" s="97">
        <f t="shared" si="145"/>
        <v>-2.4605559729526671</v>
      </c>
      <c r="BK40" s="97">
        <f t="shared" si="145"/>
        <v>-2.2545017740159428</v>
      </c>
      <c r="BL40" s="97">
        <f t="shared" si="145"/>
        <v>-1.7439852011990555</v>
      </c>
      <c r="BM40" s="97">
        <f t="shared" si="145"/>
        <v>-1.4063195371606523</v>
      </c>
      <c r="BN40" s="97">
        <f t="shared" si="145"/>
        <v>-0.73920691113931336</v>
      </c>
      <c r="BO40" s="97">
        <f t="shared" si="145"/>
        <v>7.0413090128758071E-2</v>
      </c>
      <c r="BP40" s="97">
        <f t="shared" si="145"/>
        <v>0.80373056530170839</v>
      </c>
      <c r="BQ40" s="97">
        <f t="shared" si="145"/>
        <v>1.3897165472964617</v>
      </c>
      <c r="BR40" s="97">
        <f t="shared" si="145"/>
        <v>1.683391956128423</v>
      </c>
      <c r="BS40" s="97">
        <f t="shared" si="145"/>
        <v>1.8502331002330972</v>
      </c>
      <c r="BT40" s="97">
        <f t="shared" si="145"/>
        <v>2.0495752930366007</v>
      </c>
      <c r="BU40" s="97">
        <f t="shared" si="145"/>
        <v>2.125071792965977</v>
      </c>
      <c r="BV40" s="97">
        <f t="shared" si="145"/>
        <v>2.0989793953398848</v>
      </c>
      <c r="BW40" s="97">
        <f t="shared" si="145"/>
        <v>2.05730411233244</v>
      </c>
      <c r="BX40" s="97">
        <f t="shared" si="145"/>
        <v>1.8951594610533964</v>
      </c>
      <c r="BY40" s="97">
        <f t="shared" si="145"/>
        <v>1.5087568836327496</v>
      </c>
      <c r="BZ40" s="97">
        <f t="shared" si="145"/>
        <v>1.1765101724950167</v>
      </c>
      <c r="CA40" s="97">
        <f t="shared" si="145"/>
        <v>1.2252191880270298</v>
      </c>
      <c r="CB40" s="97">
        <f t="shared" si="145"/>
        <v>1.2754931832840304</v>
      </c>
      <c r="CC40" s="97">
        <f t="shared" si="145"/>
        <v>1.586914333240919</v>
      </c>
      <c r="CD40" s="97">
        <f t="shared" si="145"/>
        <v>1.6455766149085524</v>
      </c>
      <c r="CE40" s="97">
        <f t="shared" si="145"/>
        <v>1.5008307384219299</v>
      </c>
      <c r="CF40" s="97">
        <f t="shared" si="145"/>
        <v>1.1914304852471336</v>
      </c>
      <c r="CG40" s="97">
        <f t="shared" si="145"/>
        <v>1.0740593710026016</v>
      </c>
      <c r="CH40" s="97">
        <f t="shared" si="145"/>
        <v>1.2248430115161835</v>
      </c>
      <c r="CI40" s="97">
        <f t="shared" si="145"/>
        <v>1.6846917159103585</v>
      </c>
      <c r="CJ40" s="97">
        <f t="shared" si="145"/>
        <v>2.1493048985452328</v>
      </c>
      <c r="CK40" s="97">
        <f t="shared" si="145"/>
        <v>2.6024701788711848</v>
      </c>
      <c r="CL40" s="97">
        <f t="shared" si="145"/>
        <v>2.7180720754675161</v>
      </c>
      <c r="CM40" s="97">
        <f t="shared" si="145"/>
        <v>2.4737399593962404</v>
      </c>
      <c r="CN40" s="97">
        <f t="shared" si="145"/>
        <v>2.0840424714240302</v>
      </c>
      <c r="CO40" s="97">
        <f t="shared" si="145"/>
        <v>1.7302360107416532</v>
      </c>
      <c r="CP40" s="97">
        <f t="shared" si="145"/>
        <v>1.6363320068714999</v>
      </c>
      <c r="CQ40" s="97">
        <f t="shared" si="145"/>
        <v>1.7117087818574053</v>
      </c>
      <c r="CR40" s="97">
        <f t="shared" si="145"/>
        <v>1.9185693202534928</v>
      </c>
      <c r="CS40" s="97">
        <f t="shared" si="145"/>
        <v>2.0380108664819248</v>
      </c>
      <c r="CT40" s="97">
        <f t="shared" si="145"/>
        <v>2.0134154628553866</v>
      </c>
      <c r="CU40" s="97">
        <f t="shared" si="145"/>
        <v>0.35306630409753781</v>
      </c>
      <c r="CV40" s="97">
        <f t="shared" si="145"/>
        <v>-3.4737507355024273</v>
      </c>
      <c r="CW40" s="97">
        <f t="shared" si="145"/>
        <v>-7.6603029449368343</v>
      </c>
      <c r="CX40" s="97">
        <f t="shared" si="145"/>
        <v>-10.847911248286806</v>
      </c>
      <c r="CY40" s="97">
        <f t="shared" si="145"/>
        <v>-12.477119538299196</v>
      </c>
      <c r="CZ40" s="97">
        <f t="shared" si="145"/>
        <v>-12.73730518118553</v>
      </c>
      <c r="DA40" s="97">
        <f>SUM(DA41:DA42)</f>
        <v>-12.056958289963621</v>
      </c>
      <c r="DB40" s="97">
        <f t="shared" ref="DB40:DU40" si="146">SUM(DB41:DB42)</f>
        <v>-10.387359727853315</v>
      </c>
      <c r="DC40" s="97">
        <f t="shared" si="146"/>
        <v>-9.3801291752819083</v>
      </c>
      <c r="DD40" s="97">
        <f t="shared" si="146"/>
        <v>-8.7830068143100526</v>
      </c>
      <c r="DE40" s="97">
        <f t="shared" si="146"/>
        <v>-8.4211876911233237</v>
      </c>
      <c r="DF40" s="97">
        <f t="shared" si="146"/>
        <v>-7.9151222132688712</v>
      </c>
      <c r="DG40" s="97">
        <f t="shared" si="146"/>
        <v>-6.5852299422003204</v>
      </c>
      <c r="DH40" s="97">
        <f t="shared" si="146"/>
        <v>-3.0546587496895667</v>
      </c>
      <c r="DI40" s="97">
        <f t="shared" si="146"/>
        <v>1.5418192058575018</v>
      </c>
      <c r="DJ40" s="97">
        <f t="shared" si="146"/>
        <v>6.2122477636150215</v>
      </c>
      <c r="DK40" s="97">
        <f t="shared" si="146"/>
        <v>9.4813374996924455</v>
      </c>
      <c r="DL40" s="97">
        <f t="shared" si="146"/>
        <v>10.975113707798695</v>
      </c>
      <c r="DM40" s="97">
        <f t="shared" si="146"/>
        <v>11.359892624000972</v>
      </c>
      <c r="DN40" s="97">
        <f t="shared" si="146"/>
        <v>10.100395134238202</v>
      </c>
      <c r="DO40" s="97">
        <f t="shared" si="146"/>
        <v>9.596001176124668</v>
      </c>
      <c r="DP40" s="97">
        <f t="shared" si="146"/>
        <v>9.7080692416336873</v>
      </c>
      <c r="DQ40" s="97">
        <f t="shared" si="146"/>
        <v>9.3741973146526529</v>
      </c>
      <c r="DR40" s="97">
        <f t="shared" si="146"/>
        <v>9.0796658421617575</v>
      </c>
      <c r="DS40" s="97">
        <f t="shared" si="146"/>
        <v>9.3887433330214254</v>
      </c>
      <c r="DT40" s="97">
        <f t="shared" si="146"/>
        <v>10.303912435957145</v>
      </c>
      <c r="DU40" s="97">
        <f t="shared" si="146"/>
        <v>10.597656520834782</v>
      </c>
      <c r="DV40" s="97">
        <f>SUM(DV41:DV42)</f>
        <v>9.9176002644085557</v>
      </c>
      <c r="DW40" s="97">
        <f>SUM(DW41:DW42)</f>
        <v>8.8108053442405634</v>
      </c>
      <c r="DX40" s="97">
        <f t="shared" ref="DX40:DY40" si="147">SUM(DX41:DX42)</f>
        <v>7.9348683260582327</v>
      </c>
      <c r="DY40" s="97">
        <f t="shared" si="147"/>
        <v>6.7605325152029767</v>
      </c>
      <c r="DZ40" s="97">
        <f t="shared" ref="DZ40" si="148">SUM(DZ41:DZ42)</f>
        <v>6.0609346199718086</v>
      </c>
      <c r="EA40" s="97">
        <f>SUM(EA41:EA42)</f>
        <v>5.0008585164835235</v>
      </c>
      <c r="EB40" s="97">
        <f t="shared" ref="EB40:FC40" si="149">SUM(EB41:EB42)</f>
        <v>3.755798612588837</v>
      </c>
      <c r="EC40" s="97">
        <f t="shared" si="149"/>
        <v>3.3198475645555541</v>
      </c>
      <c r="ED40" s="97">
        <f t="shared" si="149"/>
        <v>2.9789282276179199</v>
      </c>
      <c r="EE40" s="97">
        <f t="shared" si="149"/>
        <v>2.625022721683437</v>
      </c>
      <c r="EF40" s="97">
        <f t="shared" si="149"/>
        <v>1.5285709761530279</v>
      </c>
      <c r="EG40" s="97">
        <f t="shared" si="149"/>
        <v>0.86198790082437993</v>
      </c>
      <c r="EH40" s="97">
        <f t="shared" si="149"/>
        <v>0.61485820934211788</v>
      </c>
      <c r="EI40" s="97">
        <f t="shared" si="149"/>
        <v>0.64749984509572689</v>
      </c>
      <c r="EJ40" s="97">
        <f t="shared" si="149"/>
        <v>0.59993619889480143</v>
      </c>
      <c r="EK40" s="97">
        <f t="shared" si="149"/>
        <v>0.51624159696208083</v>
      </c>
      <c r="EL40" s="97">
        <f t="shared" si="149"/>
        <v>0.49376405643018073</v>
      </c>
      <c r="EM40" s="97">
        <f t="shared" si="149"/>
        <v>0.76959241241158882</v>
      </c>
      <c r="EN40" s="97">
        <f t="shared" si="149"/>
        <v>1.5843228942349168</v>
      </c>
      <c r="EO40" s="97">
        <f t="shared" si="149"/>
        <v>1.9496017109382253</v>
      </c>
      <c r="EP40" s="97">
        <f t="shared" si="149"/>
        <v>2.1376265904959721</v>
      </c>
      <c r="EQ40" s="97">
        <f t="shared" si="149"/>
        <v>2.4099272750005234</v>
      </c>
      <c r="ER40" s="97">
        <f t="shared" si="149"/>
        <v>2.8073239963816699</v>
      </c>
      <c r="ES40" s="97">
        <f t="shared" si="149"/>
        <v>2.9626867217767821</v>
      </c>
      <c r="ET40" s="97">
        <f t="shared" si="149"/>
        <v>2.9308106102763927</v>
      </c>
      <c r="EU40" s="97">
        <f t="shared" si="149"/>
        <v>2.6872287376489075</v>
      </c>
      <c r="EV40" s="97">
        <f t="shared" si="149"/>
        <v>2.8641571194762645</v>
      </c>
      <c r="EW40" s="97">
        <f t="shared" si="149"/>
        <v>3.184667851089455</v>
      </c>
      <c r="EX40" s="97">
        <f t="shared" si="149"/>
        <v>3.3834165793515889</v>
      </c>
      <c r="EY40" s="97">
        <f t="shared" si="149"/>
        <v>3.3672424110267025</v>
      </c>
      <c r="EZ40" s="97">
        <f t="shared" si="149"/>
        <v>2.7941814804720204</v>
      </c>
      <c r="FA40" s="97">
        <f t="shared" si="149"/>
        <v>2.3440350237139675</v>
      </c>
      <c r="FB40" s="97">
        <f t="shared" si="149"/>
        <v>2.3898386096223989</v>
      </c>
      <c r="FC40" s="97">
        <f t="shared" si="149"/>
        <v>2.2575820777080238</v>
      </c>
      <c r="FD40" s="97">
        <f t="shared" ref="FD40:FE40" si="150">SUM(FD41:FD42)</f>
        <v>2.4090536727449323</v>
      </c>
      <c r="FE40" s="97">
        <f t="shared" si="150"/>
        <v>2.4840533633821003</v>
      </c>
      <c r="FF40" s="97">
        <f t="shared" ref="FF40:FG40" si="151">SUM(FF41:FF42)</f>
        <v>2.4358743317114135</v>
      </c>
      <c r="FG40" s="97">
        <f t="shared" si="151"/>
        <v>2.3541167066346942</v>
      </c>
      <c r="FH40" s="97">
        <f t="shared" ref="FH40:FI40" si="152">SUM(FH41:FH42)</f>
        <v>1.8476531424025429</v>
      </c>
      <c r="FI40" s="97">
        <f t="shared" si="152"/>
        <v>1.3616078054959133</v>
      </c>
      <c r="FJ40" s="97">
        <f t="shared" ref="FJ40:FM40" si="153">SUM(FJ41:FJ42)</f>
        <v>0.91312519064440045</v>
      </c>
      <c r="FK40" s="97">
        <f t="shared" si="153"/>
        <v>1.0812720154635587</v>
      </c>
      <c r="FL40" s="97">
        <f t="shared" si="153"/>
        <v>1.1469984582298127</v>
      </c>
      <c r="FM40" s="97">
        <f t="shared" si="153"/>
        <v>1.6665181356385352</v>
      </c>
      <c r="FN40" s="97">
        <f t="shared" ref="FN40" si="154">SUM(FN41:FN42)</f>
        <v>1.4520822780409826</v>
      </c>
    </row>
    <row r="41" spans="1:170" x14ac:dyDescent="0.25">
      <c r="B41" s="20" t="s">
        <v>44</v>
      </c>
      <c r="BH41" s="45">
        <f>BH31*(BH36/100)*100</f>
        <v>-2.3355862987672391</v>
      </c>
      <c r="BI41" s="45">
        <f t="shared" ref="BI41:CZ42" si="155">BI31*(BI36/100)*100</f>
        <v>-2.5677650445540783</v>
      </c>
      <c r="BJ41" s="45">
        <f t="shared" si="155"/>
        <v>-2.5146948336058705</v>
      </c>
      <c r="BK41" s="45">
        <f t="shared" si="155"/>
        <v>-2.3423683947102041</v>
      </c>
      <c r="BL41" s="45">
        <f t="shared" si="155"/>
        <v>-2.0626943178399086</v>
      </c>
      <c r="BM41" s="45">
        <f t="shared" si="155"/>
        <v>-1.8635959056519773</v>
      </c>
      <c r="BN41" s="45">
        <f t="shared" si="155"/>
        <v>-1.5819473203749452</v>
      </c>
      <c r="BO41" s="45">
        <f t="shared" si="155"/>
        <v>-1.1098444206008553</v>
      </c>
      <c r="BP41" s="45">
        <f t="shared" si="155"/>
        <v>-1.082850385050836</v>
      </c>
      <c r="BQ41" s="45">
        <f t="shared" si="155"/>
        <v>-0.95571121780096724</v>
      </c>
      <c r="BR41" s="45">
        <f t="shared" si="155"/>
        <v>-0.68661714632474669</v>
      </c>
      <c r="BS41" s="45">
        <f t="shared" si="155"/>
        <v>-0.48188990496683004</v>
      </c>
      <c r="BT41" s="45">
        <f t="shared" si="155"/>
        <v>0</v>
      </c>
      <c r="BU41" s="45">
        <f t="shared" si="155"/>
        <v>0.20270955099834059</v>
      </c>
      <c r="BV41" s="45">
        <f t="shared" si="155"/>
        <v>0.28431938922304928</v>
      </c>
      <c r="BW41" s="45">
        <f t="shared" si="155"/>
        <v>0.2935754762067278</v>
      </c>
      <c r="BX41" s="45">
        <f t="shared" si="155"/>
        <v>0.23250011341469429</v>
      </c>
      <c r="BY41" s="45">
        <f t="shared" si="155"/>
        <v>0.19635280310552833</v>
      </c>
      <c r="BZ41" s="45">
        <f t="shared" si="155"/>
        <v>0.22206769700096932</v>
      </c>
      <c r="CA41" s="45">
        <f t="shared" si="155"/>
        <v>0.39202546490199713</v>
      </c>
      <c r="CB41" s="45">
        <f t="shared" si="155"/>
        <v>0.43813802459800089</v>
      </c>
      <c r="CC41" s="45">
        <f t="shared" si="155"/>
        <v>0.5056833934017132</v>
      </c>
      <c r="CD41" s="45">
        <f t="shared" si="155"/>
        <v>0.40006630933303988</v>
      </c>
      <c r="CE41" s="45">
        <f t="shared" si="155"/>
        <v>0.36750547407105821</v>
      </c>
      <c r="CF41" s="45">
        <f t="shared" si="155"/>
        <v>0.25036511579387244</v>
      </c>
      <c r="CG41" s="45">
        <f t="shared" si="155"/>
        <v>0.305456309823123</v>
      </c>
      <c r="CH41" s="45">
        <f t="shared" si="155"/>
        <v>0.61353096500765492</v>
      </c>
      <c r="CI41" s="45">
        <f t="shared" si="155"/>
        <v>0.7815810012264498</v>
      </c>
      <c r="CJ41" s="45">
        <f t="shared" si="155"/>
        <v>1.1497835112362633</v>
      </c>
      <c r="CK41" s="45">
        <f t="shared" si="155"/>
        <v>1.2328660522717407</v>
      </c>
      <c r="CL41" s="45">
        <f t="shared" si="155"/>
        <v>1.0087461617762805</v>
      </c>
      <c r="CM41" s="45">
        <f t="shared" si="155"/>
        <v>0.64767411068937941</v>
      </c>
      <c r="CN41" s="45">
        <f t="shared" si="155"/>
        <v>0.52155962799073641</v>
      </c>
      <c r="CO41" s="45">
        <f t="shared" si="155"/>
        <v>0.67026177324628855</v>
      </c>
      <c r="CP41" s="45">
        <f t="shared" si="155"/>
        <v>0.83501859221083818</v>
      </c>
      <c r="CQ41" s="45">
        <f t="shared" si="155"/>
        <v>1.0471885264561465</v>
      </c>
      <c r="CR41" s="45">
        <f t="shared" si="155"/>
        <v>1.2294904071534012</v>
      </c>
      <c r="CS41" s="45">
        <f t="shared" si="155"/>
        <v>1.4706845010801013</v>
      </c>
      <c r="CT41" s="45">
        <f t="shared" si="155"/>
        <v>1.2637278327012813</v>
      </c>
      <c r="CU41" s="45">
        <f t="shared" si="155"/>
        <v>1.0789355379875187</v>
      </c>
      <c r="CV41" s="45">
        <f t="shared" si="155"/>
        <v>-1.4165231982911532E-2</v>
      </c>
      <c r="CW41" s="45">
        <f t="shared" si="155"/>
        <v>-1.3597850347801621</v>
      </c>
      <c r="CX41" s="45">
        <f t="shared" si="155"/>
        <v>-2.6202475637525255</v>
      </c>
      <c r="CY41" s="45">
        <f t="shared" si="155"/>
        <v>-3.9989663414949264</v>
      </c>
      <c r="CZ41" s="45">
        <f t="shared" si="155"/>
        <v>-4.614342106678424</v>
      </c>
      <c r="DA41" s="45">
        <f>DA31*(DA36/100)*100</f>
        <v>-4.5272612162118646</v>
      </c>
      <c r="DB41" s="45">
        <f t="shared" ref="DB41:DU41" si="156">DB31*(DB36/100)*100</f>
        <v>-3.9976893205960673</v>
      </c>
      <c r="DC41" s="45">
        <f t="shared" si="156"/>
        <v>-3.7750730074819367</v>
      </c>
      <c r="DD41" s="45">
        <f t="shared" si="156"/>
        <v>-3.8138841567291339</v>
      </c>
      <c r="DE41" s="45">
        <f t="shared" si="156"/>
        <v>-3.9849881316425395</v>
      </c>
      <c r="DF41" s="45">
        <f t="shared" si="156"/>
        <v>-3.6475960247112562</v>
      </c>
      <c r="DG41" s="45">
        <f t="shared" si="156"/>
        <v>-3.60892890311725</v>
      </c>
      <c r="DH41" s="45">
        <f t="shared" si="156"/>
        <v>-2.7769624997177877</v>
      </c>
      <c r="DI41" s="45">
        <f t="shared" si="156"/>
        <v>-1.3376513658124465</v>
      </c>
      <c r="DJ41" s="45">
        <f t="shared" si="156"/>
        <v>0.24451949498251377</v>
      </c>
      <c r="DK41" s="45">
        <f t="shared" si="156"/>
        <v>2.5588662254262693</v>
      </c>
      <c r="DL41" s="45">
        <f t="shared" si="156"/>
        <v>3.5942757830122414</v>
      </c>
      <c r="DM41" s="45">
        <f t="shared" si="156"/>
        <v>4.1632603257885394</v>
      </c>
      <c r="DN41" s="45">
        <f t="shared" si="156"/>
        <v>3.7245281667442627</v>
      </c>
      <c r="DO41" s="45">
        <f t="shared" si="156"/>
        <v>3.7871214348720996</v>
      </c>
      <c r="DP41" s="45">
        <f t="shared" si="156"/>
        <v>4.1134106056892055</v>
      </c>
      <c r="DQ41" s="45">
        <f t="shared" si="156"/>
        <v>4.3607705779334465</v>
      </c>
      <c r="DR41" s="45">
        <f t="shared" si="156"/>
        <v>4.2271433238437499</v>
      </c>
      <c r="DS41" s="45">
        <f t="shared" si="156"/>
        <v>4.6247777673809241</v>
      </c>
      <c r="DT41" s="45">
        <f t="shared" si="156"/>
        <v>5.3027480204937074</v>
      </c>
      <c r="DU41" s="45">
        <f t="shared" si="156"/>
        <v>5.6772747232429719</v>
      </c>
      <c r="DV41" s="45">
        <f>DV31*(DV36/100)*100</f>
        <v>6.0016183627183928</v>
      </c>
      <c r="DW41" s="45">
        <f>DW31*(DW36/100)*100</f>
        <v>5.6768509882799822</v>
      </c>
      <c r="DX41" s="45">
        <f t="shared" ref="DX41:DY42" si="157">DX31*(DX36/100)*100</f>
        <v>5.661257538902408</v>
      </c>
      <c r="DY41" s="45">
        <f t="shared" si="157"/>
        <v>5.2342080753848625</v>
      </c>
      <c r="DZ41" s="45">
        <f t="shared" ref="DZ41" si="158">DZ31*(DZ36/100)*100</f>
        <v>5.2824460587661273</v>
      </c>
      <c r="EA41" s="45">
        <f>EA31*(EA36/100)*100</f>
        <v>4.7915951236263785</v>
      </c>
      <c r="EB41" s="45">
        <f t="shared" ref="EB41:EV41" si="159">EB31*(EB36/100)*100</f>
        <v>4.195216410605604</v>
      </c>
      <c r="EC41" s="45">
        <f t="shared" si="159"/>
        <v>3.4351348754790263</v>
      </c>
      <c r="ED41" s="45">
        <f t="shared" si="159"/>
        <v>3.1425820943416354</v>
      </c>
      <c r="EE41" s="45">
        <f t="shared" si="159"/>
        <v>2.7608181944548411</v>
      </c>
      <c r="EF41" s="45">
        <f t="shared" si="159"/>
        <v>2.2379630313842678</v>
      </c>
      <c r="EG41" s="45">
        <f t="shared" si="159"/>
        <v>1.7250206354679352</v>
      </c>
      <c r="EH41" s="45">
        <f t="shared" si="159"/>
        <v>1.203794909015506</v>
      </c>
      <c r="EI41" s="45">
        <f t="shared" si="159"/>
        <v>1.0533490302992725</v>
      </c>
      <c r="EJ41" s="45">
        <f t="shared" si="159"/>
        <v>0.97245232925486791</v>
      </c>
      <c r="EK41" s="45">
        <f t="shared" si="159"/>
        <v>0.68045363575717721</v>
      </c>
      <c r="EL41" s="45">
        <f t="shared" si="159"/>
        <v>0.32202003680229419</v>
      </c>
      <c r="EM41" s="45">
        <f t="shared" si="159"/>
        <v>0.21156126078246471</v>
      </c>
      <c r="EN41" s="45">
        <f t="shared" si="159"/>
        <v>0.63885641625136214</v>
      </c>
      <c r="EO41" s="45">
        <f t="shared" si="159"/>
        <v>1.217080453357299</v>
      </c>
      <c r="EP41" s="45">
        <f t="shared" si="159"/>
        <v>1.5569981822903125</v>
      </c>
      <c r="EQ41" s="45">
        <f t="shared" si="159"/>
        <v>1.5909896017837419</v>
      </c>
      <c r="ER41" s="45">
        <f t="shared" si="159"/>
        <v>1.8559530864967713</v>
      </c>
      <c r="ES41" s="45">
        <f t="shared" si="159"/>
        <v>2.1463940166159055</v>
      </c>
      <c r="ET41" s="45">
        <f t="shared" si="159"/>
        <v>2.3465034316453397</v>
      </c>
      <c r="EU41" s="45">
        <f t="shared" si="159"/>
        <v>2.1783072203240312</v>
      </c>
      <c r="EV41" s="45">
        <f t="shared" si="159"/>
        <v>2.0427577741407492</v>
      </c>
      <c r="EW41" s="45">
        <f>EW31*(EW36/100)*100</f>
        <v>2.2646980742918927</v>
      </c>
      <c r="EX41" s="45">
        <f t="shared" ref="EX41:FB41" si="160">EX31*(EX36/100)*100</f>
        <v>2.316307742388326</v>
      </c>
      <c r="EY41" s="45">
        <f t="shared" si="160"/>
        <v>2.5487590900331663</v>
      </c>
      <c r="EZ41" s="45">
        <f t="shared" si="160"/>
        <v>2.3096413393497071</v>
      </c>
      <c r="FA41" s="45">
        <f t="shared" si="160"/>
        <v>2.0866269406947975</v>
      </c>
      <c r="FB41" s="45">
        <f t="shared" si="160"/>
        <v>2.1366174122624089</v>
      </c>
      <c r="FC41" s="45">
        <f t="shared" ref="FC41:FG41" si="161">FC31*(FC36/100)*100</f>
        <v>2.3125209836098874</v>
      </c>
      <c r="FD41" s="45">
        <f t="shared" si="161"/>
        <v>2.2947702701336028</v>
      </c>
      <c r="FE41" s="45">
        <f t="shared" si="161"/>
        <v>2.3743887961043955</v>
      </c>
      <c r="FF41" s="45">
        <f t="shared" si="161"/>
        <v>2.3357561923069192</v>
      </c>
      <c r="FG41" s="45">
        <f t="shared" si="161"/>
        <v>2.3241406874500434</v>
      </c>
      <c r="FH41" s="45">
        <f t="shared" ref="FH41:FI41" si="162">FH31*(FH36/100)*100</f>
        <v>2.0614558472553668</v>
      </c>
      <c r="FI41" s="45">
        <f t="shared" si="162"/>
        <v>1.8494512997615269</v>
      </c>
      <c r="FJ41" s="45">
        <f t="shared" ref="FJ41:FM41" si="163">FJ31*(FJ36/100)*100</f>
        <v>1.6284721880565549</v>
      </c>
      <c r="FK41" s="45">
        <f t="shared" si="163"/>
        <v>1.7602558945023834</v>
      </c>
      <c r="FL41" s="45">
        <f t="shared" si="163"/>
        <v>1.735227975763765</v>
      </c>
      <c r="FM41" s="45">
        <f t="shared" si="163"/>
        <v>1.9041677806493791</v>
      </c>
      <c r="FN41" s="45">
        <f t="shared" ref="FN41" si="164">FN31*(FN36/100)*100</f>
        <v>1.5514039112859206</v>
      </c>
    </row>
    <row r="42" spans="1:170" x14ac:dyDescent="0.25">
      <c r="B42" s="20" t="s">
        <v>45</v>
      </c>
      <c r="BH42" s="45">
        <f>BH32*(BH37/100)*100</f>
        <v>-0.22493257482283677</v>
      </c>
      <c r="BI42" s="45">
        <f t="shared" si="155"/>
        <v>0.13294804038983574</v>
      </c>
      <c r="BJ42" s="45">
        <f t="shared" si="155"/>
        <v>5.4138860653203585E-2</v>
      </c>
      <c r="BK42" s="45">
        <f t="shared" si="155"/>
        <v>8.7866620694261391E-2</v>
      </c>
      <c r="BL42" s="45">
        <f t="shared" si="155"/>
        <v>0.31870911664085316</v>
      </c>
      <c r="BM42" s="45">
        <f t="shared" si="155"/>
        <v>0.45727636849132514</v>
      </c>
      <c r="BN42" s="45">
        <f t="shared" si="155"/>
        <v>0.84274040923563187</v>
      </c>
      <c r="BO42" s="45">
        <f t="shared" si="155"/>
        <v>1.1802575107296134</v>
      </c>
      <c r="BP42" s="45">
        <f t="shared" si="155"/>
        <v>1.8865809503525444</v>
      </c>
      <c r="BQ42" s="45">
        <f t="shared" si="155"/>
        <v>2.3454277650974289</v>
      </c>
      <c r="BR42" s="45">
        <f t="shared" si="155"/>
        <v>2.3700091024531695</v>
      </c>
      <c r="BS42" s="45">
        <f t="shared" si="155"/>
        <v>2.3321230051999273</v>
      </c>
      <c r="BT42" s="45">
        <f t="shared" si="155"/>
        <v>2.0495752930366007</v>
      </c>
      <c r="BU42" s="45">
        <f t="shared" si="155"/>
        <v>1.9223622419676365</v>
      </c>
      <c r="BV42" s="45">
        <f t="shared" si="155"/>
        <v>1.8146600061168356</v>
      </c>
      <c r="BW42" s="45">
        <f t="shared" si="155"/>
        <v>1.7637286361257121</v>
      </c>
      <c r="BX42" s="45">
        <f t="shared" si="155"/>
        <v>1.6626593476387022</v>
      </c>
      <c r="BY42" s="45">
        <f t="shared" si="155"/>
        <v>1.3124040805272212</v>
      </c>
      <c r="BZ42" s="45">
        <f t="shared" si="155"/>
        <v>0.95444247549404737</v>
      </c>
      <c r="CA42" s="45">
        <f t="shared" si="155"/>
        <v>0.83319372312503259</v>
      </c>
      <c r="CB42" s="45">
        <f t="shared" si="155"/>
        <v>0.8373551586860295</v>
      </c>
      <c r="CC42" s="45">
        <f t="shared" si="155"/>
        <v>1.0812309398392059</v>
      </c>
      <c r="CD42" s="45">
        <f t="shared" si="155"/>
        <v>1.2455103055755126</v>
      </c>
      <c r="CE42" s="45">
        <f t="shared" si="155"/>
        <v>1.1333252643508718</v>
      </c>
      <c r="CF42" s="45">
        <f t="shared" si="155"/>
        <v>0.94106536945326114</v>
      </c>
      <c r="CG42" s="45">
        <f t="shared" si="155"/>
        <v>0.76860306117947874</v>
      </c>
      <c r="CH42" s="45">
        <f t="shared" si="155"/>
        <v>0.61131204650852855</v>
      </c>
      <c r="CI42" s="45">
        <f t="shared" si="155"/>
        <v>0.90311071468390858</v>
      </c>
      <c r="CJ42" s="45">
        <f t="shared" si="155"/>
        <v>0.99952138730896956</v>
      </c>
      <c r="CK42" s="45">
        <f t="shared" si="155"/>
        <v>1.3696041265994441</v>
      </c>
      <c r="CL42" s="45">
        <f t="shared" si="155"/>
        <v>1.7093259136912353</v>
      </c>
      <c r="CM42" s="45">
        <f t="shared" si="155"/>
        <v>1.8260658487068611</v>
      </c>
      <c r="CN42" s="45">
        <f t="shared" si="155"/>
        <v>1.5624828434332938</v>
      </c>
      <c r="CO42" s="45">
        <f t="shared" si="155"/>
        <v>1.0599742374953647</v>
      </c>
      <c r="CP42" s="45">
        <f t="shared" si="155"/>
        <v>0.80131341466066175</v>
      </c>
      <c r="CQ42" s="45">
        <f t="shared" si="155"/>
        <v>0.66452025540125892</v>
      </c>
      <c r="CR42" s="45">
        <f t="shared" si="155"/>
        <v>0.68907891310009162</v>
      </c>
      <c r="CS42" s="45">
        <f t="shared" si="155"/>
        <v>0.56732636540182346</v>
      </c>
      <c r="CT42" s="45">
        <f t="shared" si="155"/>
        <v>0.74968763015410533</v>
      </c>
      <c r="CU42" s="45">
        <f t="shared" si="155"/>
        <v>-0.72586923388998092</v>
      </c>
      <c r="CV42" s="45">
        <f t="shared" si="155"/>
        <v>-3.4595855035195155</v>
      </c>
      <c r="CW42" s="45">
        <f t="shared" si="155"/>
        <v>-6.300517910156672</v>
      </c>
      <c r="CX42" s="45">
        <f t="shared" si="155"/>
        <v>-8.2276636845342797</v>
      </c>
      <c r="CY42" s="45">
        <f t="shared" si="155"/>
        <v>-8.4781531968042696</v>
      </c>
      <c r="CZ42" s="45">
        <f t="shared" si="155"/>
        <v>-8.1229630745071049</v>
      </c>
      <c r="DA42" s="45">
        <f t="shared" ref="DA42:DW42" si="165">DA32*(DA37/100)*100</f>
        <v>-7.5296970737517563</v>
      </c>
      <c r="DB42" s="45">
        <f t="shared" si="165"/>
        <v>-6.3896704072572472</v>
      </c>
      <c r="DC42" s="45">
        <f t="shared" si="165"/>
        <v>-5.6050561677999706</v>
      </c>
      <c r="DD42" s="45">
        <f t="shared" si="165"/>
        <v>-4.9691226575809182</v>
      </c>
      <c r="DE42" s="45">
        <f t="shared" si="165"/>
        <v>-4.4361995594807837</v>
      </c>
      <c r="DF42" s="45">
        <f t="shared" si="165"/>
        <v>-4.267526188557615</v>
      </c>
      <c r="DG42" s="45">
        <f t="shared" si="165"/>
        <v>-2.9763010390830704</v>
      </c>
      <c r="DH42" s="45">
        <f t="shared" si="165"/>
        <v>-0.27769624997177916</v>
      </c>
      <c r="DI42" s="45">
        <f t="shared" si="165"/>
        <v>2.8794705716699482</v>
      </c>
      <c r="DJ42" s="45">
        <f t="shared" si="165"/>
        <v>5.9677282686325075</v>
      </c>
      <c r="DK42" s="45">
        <f t="shared" si="165"/>
        <v>6.9224712742661758</v>
      </c>
      <c r="DL42" s="45">
        <f t="shared" si="165"/>
        <v>7.3808379247864524</v>
      </c>
      <c r="DM42" s="45">
        <f t="shared" si="165"/>
        <v>7.1966322982124327</v>
      </c>
      <c r="DN42" s="45">
        <f t="shared" si="165"/>
        <v>6.3758669674939386</v>
      </c>
      <c r="DO42" s="45">
        <f t="shared" si="165"/>
        <v>5.8088797412525688</v>
      </c>
      <c r="DP42" s="45">
        <f t="shared" si="165"/>
        <v>5.594658635944481</v>
      </c>
      <c r="DQ42" s="45">
        <f t="shared" si="165"/>
        <v>5.0134267367192065</v>
      </c>
      <c r="DR42" s="45">
        <f t="shared" si="165"/>
        <v>4.8525225183180076</v>
      </c>
      <c r="DS42" s="45">
        <f t="shared" si="165"/>
        <v>4.7639655656405013</v>
      </c>
      <c r="DT42" s="45">
        <f t="shared" si="165"/>
        <v>5.0011644154634372</v>
      </c>
      <c r="DU42" s="45">
        <f t="shared" si="165"/>
        <v>4.9203817975918103</v>
      </c>
      <c r="DV42" s="45">
        <f t="shared" si="165"/>
        <v>3.9159819016901638</v>
      </c>
      <c r="DW42" s="45">
        <f t="shared" si="165"/>
        <v>3.1339543559605816</v>
      </c>
      <c r="DX42" s="45">
        <f t="shared" si="157"/>
        <v>2.2736107871558242</v>
      </c>
      <c r="DY42" s="45">
        <f t="shared" si="157"/>
        <v>1.5263244398181139</v>
      </c>
      <c r="DZ42" s="45">
        <f t="shared" ref="DZ42" si="166">DZ32*(DZ37/100)*100</f>
        <v>0.77848856120568177</v>
      </c>
      <c r="EA42" s="45">
        <f>EA32*(EA37/100)*100</f>
        <v>0.2092633928571454</v>
      </c>
      <c r="EB42" s="45">
        <f t="shared" ref="EB42:EW42" si="167">EB32*(EB37/100)*100</f>
        <v>-0.43941779801676695</v>
      </c>
      <c r="EC42" s="45">
        <f t="shared" si="167"/>
        <v>-0.11528731092347204</v>
      </c>
      <c r="ED42" s="45">
        <f t="shared" si="167"/>
        <v>-0.1636538667237156</v>
      </c>
      <c r="EE42" s="45">
        <f t="shared" si="167"/>
        <v>-0.13579547277140436</v>
      </c>
      <c r="EF42" s="45">
        <f t="shared" si="167"/>
        <v>-0.70939205523123994</v>
      </c>
      <c r="EG42" s="45">
        <f t="shared" si="167"/>
        <v>-0.86303273464355523</v>
      </c>
      <c r="EH42" s="45">
        <f t="shared" si="167"/>
        <v>-0.58893669967338813</v>
      </c>
      <c r="EI42" s="45">
        <f t="shared" si="167"/>
        <v>-0.40584918520354563</v>
      </c>
      <c r="EJ42" s="45">
        <f t="shared" si="167"/>
        <v>-0.37251613036006648</v>
      </c>
      <c r="EK42" s="45">
        <f t="shared" si="167"/>
        <v>-0.16421203879509633</v>
      </c>
      <c r="EL42" s="45">
        <f t="shared" si="167"/>
        <v>0.17174401962788657</v>
      </c>
      <c r="EM42" s="45">
        <f t="shared" si="167"/>
        <v>0.55803115162912409</v>
      </c>
      <c r="EN42" s="45">
        <f t="shared" si="167"/>
        <v>0.94546647798355465</v>
      </c>
      <c r="EO42" s="45">
        <f t="shared" si="167"/>
        <v>0.73252125758092634</v>
      </c>
      <c r="EP42" s="45">
        <f t="shared" si="167"/>
        <v>0.58062840820565964</v>
      </c>
      <c r="EQ42" s="45">
        <f t="shared" si="167"/>
        <v>0.81893767321678146</v>
      </c>
      <c r="ER42" s="45">
        <f t="shared" si="167"/>
        <v>0.95137090988489881</v>
      </c>
      <c r="ES42" s="45">
        <f t="shared" si="167"/>
        <v>0.81629270516087649</v>
      </c>
      <c r="ET42" s="45">
        <f t="shared" si="167"/>
        <v>0.58430717863105308</v>
      </c>
      <c r="EU42" s="45">
        <f t="shared" si="167"/>
        <v>0.508921517324876</v>
      </c>
      <c r="EV42" s="45">
        <f t="shared" si="167"/>
        <v>0.82139934533551517</v>
      </c>
      <c r="EW42" s="45">
        <f t="shared" si="167"/>
        <v>0.91996977679756209</v>
      </c>
      <c r="EX42" s="45">
        <f t="shared" ref="EX42:FC42" si="168">EX32*(EX37/100)*100</f>
        <v>1.0671088369632629</v>
      </c>
      <c r="EY42" s="45">
        <f t="shared" si="168"/>
        <v>0.81848332099353649</v>
      </c>
      <c r="EZ42" s="45">
        <f t="shared" si="168"/>
        <v>0.48454014112231319</v>
      </c>
      <c r="FA42" s="45">
        <f t="shared" si="168"/>
        <v>0.2574080830191699</v>
      </c>
      <c r="FB42" s="45">
        <f t="shared" si="168"/>
        <v>0.25322119735998994</v>
      </c>
      <c r="FC42" s="45">
        <f t="shared" si="168"/>
        <v>-5.4938905901863531E-2</v>
      </c>
      <c r="FD42" s="45">
        <f t="shared" ref="FD42:FE42" si="169">FD32*(FD37/100)*100</f>
        <v>0.11428340261132944</v>
      </c>
      <c r="FE42" s="45">
        <f t="shared" si="169"/>
        <v>0.10966456727770484</v>
      </c>
      <c r="FF42" s="45">
        <f t="shared" ref="FF42:FG42" si="170">FF32*(FF37/100)*100</f>
        <v>0.10011813940449417</v>
      </c>
      <c r="FG42" s="45">
        <f t="shared" si="170"/>
        <v>2.9976019184650697E-2</v>
      </c>
      <c r="FH42" s="45">
        <f t="shared" ref="FH42:FI42" si="171">FH32*(FH37/100)*100</f>
        <v>-0.2138027048528239</v>
      </c>
      <c r="FI42" s="45">
        <f t="shared" si="171"/>
        <v>-0.48784349426561358</v>
      </c>
      <c r="FJ42" s="45">
        <f t="shared" ref="FJ42:FM42" si="172">FJ32*(FJ37/100)*100</f>
        <v>-0.71534699741215446</v>
      </c>
      <c r="FK42" s="45">
        <f t="shared" si="172"/>
        <v>-0.67898387903882462</v>
      </c>
      <c r="FL42" s="45">
        <f t="shared" si="172"/>
        <v>-0.58822951753395225</v>
      </c>
      <c r="FM42" s="45">
        <f t="shared" si="172"/>
        <v>-0.23764964501084385</v>
      </c>
      <c r="FN42" s="45">
        <f t="shared" ref="FN42" si="173">FN32*(FN37/100)*100</f>
        <v>-9.9321633244938035E-2</v>
      </c>
    </row>
    <row r="43" spans="1:170" x14ac:dyDescent="0.25">
      <c r="EZ43" s="186"/>
    </row>
    <row r="44" spans="1:170" x14ac:dyDescent="0.25">
      <c r="B44" s="20" t="s">
        <v>49</v>
      </c>
      <c r="BH44" s="23" t="b">
        <f>BH42&gt;BH41</f>
        <v>1</v>
      </c>
      <c r="BI44" s="23" t="b">
        <f t="shared" ref="BI44:DI44" si="174">BI42&gt;BI41</f>
        <v>1</v>
      </c>
      <c r="BJ44" s="23" t="b">
        <f t="shared" si="174"/>
        <v>1</v>
      </c>
      <c r="BK44" s="23" t="b">
        <f t="shared" si="174"/>
        <v>1</v>
      </c>
      <c r="BL44" s="23" t="b">
        <f t="shared" si="174"/>
        <v>1</v>
      </c>
      <c r="BM44" s="23" t="b">
        <f t="shared" si="174"/>
        <v>1</v>
      </c>
      <c r="BN44" s="23" t="b">
        <f t="shared" si="174"/>
        <v>1</v>
      </c>
      <c r="BO44" s="23" t="b">
        <f t="shared" si="174"/>
        <v>1</v>
      </c>
      <c r="BP44" s="23" t="b">
        <f t="shared" si="174"/>
        <v>1</v>
      </c>
      <c r="BQ44" s="23" t="b">
        <f t="shared" si="174"/>
        <v>1</v>
      </c>
      <c r="BR44" s="23" t="b">
        <f t="shared" si="174"/>
        <v>1</v>
      </c>
      <c r="BS44" s="23" t="b">
        <f t="shared" si="174"/>
        <v>1</v>
      </c>
      <c r="BT44" s="23" t="b">
        <f t="shared" si="174"/>
        <v>1</v>
      </c>
      <c r="BU44" s="23" t="b">
        <f t="shared" si="174"/>
        <v>1</v>
      </c>
      <c r="BV44" s="23" t="b">
        <f t="shared" si="174"/>
        <v>1</v>
      </c>
      <c r="BW44" s="23" t="b">
        <f t="shared" si="174"/>
        <v>1</v>
      </c>
      <c r="BX44" s="23" t="b">
        <f t="shared" si="174"/>
        <v>1</v>
      </c>
      <c r="BY44" s="23" t="b">
        <f t="shared" si="174"/>
        <v>1</v>
      </c>
      <c r="BZ44" s="23" t="b">
        <f t="shared" si="174"/>
        <v>1</v>
      </c>
      <c r="CA44" s="23" t="b">
        <f t="shared" si="174"/>
        <v>1</v>
      </c>
      <c r="CB44" s="23" t="b">
        <f t="shared" si="174"/>
        <v>1</v>
      </c>
      <c r="CC44" s="23" t="b">
        <f t="shared" si="174"/>
        <v>1</v>
      </c>
      <c r="CD44" s="23" t="b">
        <f t="shared" si="174"/>
        <v>1</v>
      </c>
      <c r="CE44" s="23" t="b">
        <f t="shared" si="174"/>
        <v>1</v>
      </c>
      <c r="CF44" s="23" t="b">
        <f t="shared" si="174"/>
        <v>1</v>
      </c>
      <c r="CG44" s="23" t="b">
        <f t="shared" si="174"/>
        <v>1</v>
      </c>
      <c r="CH44" s="23" t="b">
        <f t="shared" si="174"/>
        <v>0</v>
      </c>
      <c r="CI44" s="23" t="b">
        <f t="shared" si="174"/>
        <v>1</v>
      </c>
      <c r="CJ44" s="23" t="b">
        <f t="shared" si="174"/>
        <v>0</v>
      </c>
      <c r="CK44" s="23" t="b">
        <f t="shared" si="174"/>
        <v>1</v>
      </c>
      <c r="CL44" s="23" t="b">
        <f t="shared" si="174"/>
        <v>1</v>
      </c>
      <c r="CM44" s="23" t="b">
        <f t="shared" si="174"/>
        <v>1</v>
      </c>
      <c r="CN44" s="23" t="b">
        <f t="shared" si="174"/>
        <v>1</v>
      </c>
      <c r="CO44" s="23" t="b">
        <f t="shared" si="174"/>
        <v>1</v>
      </c>
      <c r="CP44" s="23" t="b">
        <f t="shared" si="174"/>
        <v>0</v>
      </c>
      <c r="CQ44" s="23" t="b">
        <f t="shared" si="174"/>
        <v>0</v>
      </c>
      <c r="CR44" s="23" t="b">
        <f t="shared" si="174"/>
        <v>0</v>
      </c>
      <c r="CS44" s="23" t="b">
        <f t="shared" si="174"/>
        <v>0</v>
      </c>
      <c r="CT44" s="23" t="b">
        <f t="shared" si="174"/>
        <v>0</v>
      </c>
      <c r="CU44" s="23" t="b">
        <f t="shared" si="174"/>
        <v>0</v>
      </c>
      <c r="CV44" s="23" t="b">
        <f t="shared" si="174"/>
        <v>0</v>
      </c>
      <c r="CW44" s="23" t="b">
        <f t="shared" si="174"/>
        <v>0</v>
      </c>
      <c r="CX44" s="23" t="b">
        <f t="shared" si="174"/>
        <v>0</v>
      </c>
      <c r="CY44" s="23" t="b">
        <f t="shared" si="174"/>
        <v>0</v>
      </c>
      <c r="CZ44" s="23" t="b">
        <f t="shared" si="174"/>
        <v>0</v>
      </c>
      <c r="DA44" s="23" t="b">
        <f t="shared" si="174"/>
        <v>0</v>
      </c>
      <c r="DB44" s="23" t="b">
        <f t="shared" si="174"/>
        <v>0</v>
      </c>
      <c r="DC44" s="23" t="b">
        <f t="shared" si="174"/>
        <v>0</v>
      </c>
      <c r="DD44" s="23" t="b">
        <f t="shared" si="174"/>
        <v>0</v>
      </c>
      <c r="DE44" s="23" t="b">
        <f t="shared" si="174"/>
        <v>0</v>
      </c>
      <c r="DF44" s="23" t="b">
        <f t="shared" si="174"/>
        <v>0</v>
      </c>
      <c r="DG44" s="23" t="b">
        <f t="shared" si="174"/>
        <v>1</v>
      </c>
      <c r="DH44" s="23" t="b">
        <f t="shared" si="174"/>
        <v>1</v>
      </c>
      <c r="DI44" s="23" t="b">
        <f t="shared" si="174"/>
        <v>1</v>
      </c>
      <c r="DJ44" s="23" t="b">
        <f>DJ42&gt;DJ41</f>
        <v>1</v>
      </c>
      <c r="DK44" s="23" t="b">
        <f t="shared" ref="DK44:DU44" si="175">DK42&gt;DK41</f>
        <v>1</v>
      </c>
      <c r="DL44" s="23" t="b">
        <f t="shared" si="175"/>
        <v>1</v>
      </c>
      <c r="DM44" s="23" t="b">
        <f t="shared" si="175"/>
        <v>1</v>
      </c>
      <c r="DN44" s="23" t="b">
        <f t="shared" si="175"/>
        <v>1</v>
      </c>
      <c r="DO44" s="23" t="b">
        <f t="shared" si="175"/>
        <v>1</v>
      </c>
      <c r="DP44" s="23" t="b">
        <f t="shared" si="175"/>
        <v>1</v>
      </c>
      <c r="DQ44" s="23" t="b">
        <f t="shared" si="175"/>
        <v>1</v>
      </c>
      <c r="DR44" s="23" t="b">
        <f t="shared" si="175"/>
        <v>1</v>
      </c>
      <c r="DS44" s="23" t="b">
        <f t="shared" si="175"/>
        <v>1</v>
      </c>
      <c r="DT44" s="23" t="b">
        <f t="shared" si="175"/>
        <v>0</v>
      </c>
      <c r="DU44" s="23" t="b">
        <f t="shared" si="175"/>
        <v>0</v>
      </c>
      <c r="DV44" s="23" t="b">
        <f>DV42&gt;DV41</f>
        <v>0</v>
      </c>
      <c r="DW44" s="23" t="b">
        <f>DW42&gt;DW41</f>
        <v>0</v>
      </c>
      <c r="DX44" s="23" t="b">
        <f t="shared" ref="DX44:DY44" si="176">DX42&gt;DX41</f>
        <v>0</v>
      </c>
      <c r="DY44" s="23" t="b">
        <f t="shared" si="176"/>
        <v>0</v>
      </c>
      <c r="DZ44" s="23" t="b">
        <f t="shared" ref="DZ44" si="177">DZ42&gt;DZ41</f>
        <v>0</v>
      </c>
      <c r="EA44" s="23" t="b">
        <f>EA42&gt;EA41</f>
        <v>0</v>
      </c>
      <c r="EB44" s="23" t="b">
        <f t="shared" ref="EB44:EV44" si="178">EB42&gt;EB41</f>
        <v>0</v>
      </c>
      <c r="EC44" s="23" t="b">
        <f t="shared" si="178"/>
        <v>0</v>
      </c>
      <c r="ED44" s="23" t="b">
        <f t="shared" si="178"/>
        <v>0</v>
      </c>
      <c r="EE44" s="23" t="b">
        <f t="shared" si="178"/>
        <v>0</v>
      </c>
      <c r="EF44" s="23" t="b">
        <f t="shared" si="178"/>
        <v>0</v>
      </c>
      <c r="EG44" s="23" t="b">
        <f t="shared" si="178"/>
        <v>0</v>
      </c>
      <c r="EH44" s="23" t="b">
        <f t="shared" si="178"/>
        <v>0</v>
      </c>
      <c r="EI44" s="23" t="b">
        <f t="shared" si="178"/>
        <v>0</v>
      </c>
      <c r="EJ44" s="23" t="b">
        <f t="shared" si="178"/>
        <v>0</v>
      </c>
      <c r="EK44" s="23" t="b">
        <f t="shared" si="178"/>
        <v>0</v>
      </c>
      <c r="EL44" s="23" t="b">
        <f t="shared" si="178"/>
        <v>0</v>
      </c>
      <c r="EM44" s="23" t="b">
        <f t="shared" si="178"/>
        <v>1</v>
      </c>
      <c r="EN44" s="23" t="b">
        <f t="shared" si="178"/>
        <v>1</v>
      </c>
      <c r="EO44" s="23" t="b">
        <f t="shared" si="178"/>
        <v>0</v>
      </c>
      <c r="EP44" s="23" t="b">
        <f t="shared" si="178"/>
        <v>0</v>
      </c>
      <c r="EQ44" s="23" t="b">
        <f t="shared" si="178"/>
        <v>0</v>
      </c>
      <c r="ER44" s="23" t="b">
        <f t="shared" si="178"/>
        <v>0</v>
      </c>
      <c r="ES44" s="23" t="b">
        <f t="shared" si="178"/>
        <v>0</v>
      </c>
      <c r="ET44" s="23" t="b">
        <f t="shared" si="178"/>
        <v>0</v>
      </c>
      <c r="EU44" s="23" t="b">
        <f t="shared" si="178"/>
        <v>0</v>
      </c>
      <c r="EV44" s="23" t="b">
        <f t="shared" si="178"/>
        <v>0</v>
      </c>
      <c r="EW44" s="23" t="b">
        <f>EW42&gt;EW41</f>
        <v>0</v>
      </c>
      <c r="EX44" s="23" t="b">
        <f t="shared" ref="EX44:FG44" si="179">EX42&gt;EX41</f>
        <v>0</v>
      </c>
      <c r="EY44" s="23" t="b">
        <f t="shared" si="179"/>
        <v>0</v>
      </c>
      <c r="EZ44" s="23" t="b">
        <f t="shared" si="179"/>
        <v>0</v>
      </c>
      <c r="FA44" s="23" t="b">
        <f t="shared" si="179"/>
        <v>0</v>
      </c>
      <c r="FB44" s="23" t="b">
        <f t="shared" si="179"/>
        <v>0</v>
      </c>
      <c r="FC44" s="23" t="b">
        <f t="shared" si="179"/>
        <v>0</v>
      </c>
      <c r="FD44" s="23" t="b">
        <f t="shared" si="179"/>
        <v>0</v>
      </c>
      <c r="FE44" s="23" t="b">
        <f t="shared" si="179"/>
        <v>0</v>
      </c>
      <c r="FF44" s="23" t="b">
        <f t="shared" si="179"/>
        <v>0</v>
      </c>
      <c r="FG44" s="23" t="b">
        <f t="shared" si="179"/>
        <v>0</v>
      </c>
      <c r="FH44" s="23" t="b">
        <f t="shared" ref="FH44:FI44" si="180">FH42&gt;FH41</f>
        <v>0</v>
      </c>
      <c r="FI44" s="23" t="b">
        <f t="shared" si="180"/>
        <v>0</v>
      </c>
      <c r="FJ44" s="23" t="b">
        <f t="shared" ref="FJ44:FN44" si="181">FJ42&gt;FJ41</f>
        <v>0</v>
      </c>
      <c r="FK44" s="23" t="b">
        <f t="shared" si="181"/>
        <v>0</v>
      </c>
      <c r="FL44" s="23" t="b">
        <f t="shared" si="181"/>
        <v>0</v>
      </c>
      <c r="FM44" s="23" t="b">
        <f t="shared" si="181"/>
        <v>0</v>
      </c>
      <c r="FN44" s="23" t="b">
        <f t="shared" si="181"/>
        <v>0</v>
      </c>
    </row>
    <row r="47" spans="1:170" x14ac:dyDescent="0.25">
      <c r="B47" s="44" t="s">
        <v>50</v>
      </c>
    </row>
    <row r="48" spans="1:170" x14ac:dyDescent="0.25">
      <c r="B48" s="44" t="s">
        <v>39</v>
      </c>
      <c r="CR48" s="23">
        <v>100</v>
      </c>
      <c r="CS48" s="101">
        <f>CR48*CS5/CR5</f>
        <v>99.580494037478701</v>
      </c>
      <c r="CT48" s="101">
        <f>CS48*CT5/CS5</f>
        <v>99.100298126064729</v>
      </c>
      <c r="CU48" s="101">
        <f t="shared" ref="CT48:DV49" si="182">CT48*CU5/CT5</f>
        <v>97.447827938671196</v>
      </c>
      <c r="CV48" s="101">
        <f t="shared" si="182"/>
        <v>94.320698466780229</v>
      </c>
      <c r="CW48" s="101">
        <f t="shared" si="182"/>
        <v>90.741056218057921</v>
      </c>
      <c r="CX48" s="101">
        <f t="shared" si="182"/>
        <v>87.958901192504257</v>
      </c>
      <c r="CY48" s="101">
        <f t="shared" si="182"/>
        <v>86.548126064735939</v>
      </c>
      <c r="CZ48" s="101">
        <f t="shared" si="182"/>
        <v>86.38096252129472</v>
      </c>
      <c r="DA48" s="101">
        <f t="shared" si="182"/>
        <v>87.260434412265766</v>
      </c>
      <c r="DB48" s="101">
        <f t="shared" si="182"/>
        <v>89.191865417376505</v>
      </c>
      <c r="DC48" s="101">
        <f t="shared" si="182"/>
        <v>90.529173764906318</v>
      </c>
      <c r="DD48" s="101">
        <f t="shared" si="182"/>
        <v>91.216993185689972</v>
      </c>
      <c r="DE48" s="101">
        <f t="shared" si="182"/>
        <v>91.194633730834781</v>
      </c>
      <c r="DF48" s="101">
        <f t="shared" si="182"/>
        <v>91.256388415672944</v>
      </c>
      <c r="DG48" s="101">
        <f t="shared" si="182"/>
        <v>91.030664395230019</v>
      </c>
      <c r="DH48" s="101">
        <f t="shared" si="182"/>
        <v>91.439522998296454</v>
      </c>
      <c r="DI48" s="101">
        <f t="shared" si="182"/>
        <v>92.140119250425926</v>
      </c>
      <c r="DJ48" s="101">
        <f t="shared" si="182"/>
        <v>93.423126064735968</v>
      </c>
      <c r="DK48" s="101">
        <f t="shared" si="182"/>
        <v>94.754045996592865</v>
      </c>
      <c r="DL48" s="101">
        <f t="shared" si="182"/>
        <v>95.86137137989779</v>
      </c>
      <c r="DM48" s="101">
        <f t="shared" si="182"/>
        <v>97.173126064735939</v>
      </c>
      <c r="DN48" s="101">
        <f t="shared" si="182"/>
        <v>98.200596252129472</v>
      </c>
      <c r="DO48" s="101">
        <f t="shared" si="182"/>
        <v>99.216354344122649</v>
      </c>
      <c r="DP48" s="101">
        <f t="shared" si="182"/>
        <v>100.07240204429301</v>
      </c>
      <c r="DQ48" s="101">
        <f t="shared" si="182"/>
        <v>99.743398637137986</v>
      </c>
      <c r="DR48" s="101">
        <f t="shared" si="182"/>
        <v>99.54216354344122</v>
      </c>
      <c r="DS48" s="101">
        <f t="shared" si="182"/>
        <v>99.577299829642257</v>
      </c>
      <c r="DT48" s="101">
        <f t="shared" si="182"/>
        <v>100.8613713798978</v>
      </c>
      <c r="DU48" s="101">
        <f t="shared" si="182"/>
        <v>101.90481260647361</v>
      </c>
      <c r="DV48" s="101">
        <f t="shared" si="182"/>
        <v>102.68845826235095</v>
      </c>
      <c r="DW48" s="101">
        <f>DV48*DW5/DV5</f>
        <v>103.10264054514482</v>
      </c>
      <c r="DX48" s="101">
        <f t="shared" ref="DX48:DZ49" si="183">DW48*DX5/DW5</f>
        <v>103.46784497444636</v>
      </c>
      <c r="DY48" s="101">
        <f t="shared" si="183"/>
        <v>103.74254684838164</v>
      </c>
      <c r="DZ48" s="101">
        <f t="shared" si="183"/>
        <v>104.15247018739356</v>
      </c>
      <c r="EA48" s="23">
        <v>100</v>
      </c>
      <c r="EB48" s="101">
        <f>EA48*EB5/EA5</f>
        <v>99.666816565144515</v>
      </c>
      <c r="EC48" s="101">
        <f>EB48*EC5/EB5</f>
        <v>98.921752994562766</v>
      </c>
      <c r="ED48" s="101">
        <f t="shared" ref="ED48:ED49" si="184">EC48*ED5/EC5</f>
        <v>98.39642696537345</v>
      </c>
      <c r="EE48" s="101">
        <f t="shared" ref="EE48:EE49" si="185">ED48*EE5/ED5</f>
        <v>98.092882547729033</v>
      </c>
      <c r="EF48" s="101">
        <f t="shared" ref="EF48:EF49" si="186">EE48*EF5/EE5</f>
        <v>98.296267527901549</v>
      </c>
      <c r="EG48" s="101">
        <f t="shared" ref="EG48:EG49" si="187">EF48*EG5/EF5</f>
        <v>98.661134050120594</v>
      </c>
      <c r="EH48" s="101">
        <f t="shared" ref="EH48:EH49" si="188">EG48*EH5/EG5</f>
        <v>99.176239728547472</v>
      </c>
      <c r="EI48" s="101">
        <f t="shared" ref="EI48:EI49" si="189">EH48*EI5/EH5</f>
        <v>99.608560565798612</v>
      </c>
      <c r="EJ48" s="101">
        <f t="shared" ref="EJ48:EJ49" si="190">EI48*EJ5/EI5</f>
        <v>99.914149053595509</v>
      </c>
      <c r="EK48" s="101">
        <f t="shared" ref="EK48:EK49" si="191">EJ48*EK5/EJ5</f>
        <v>100.09607129716692</v>
      </c>
      <c r="EL48" s="101">
        <f t="shared" ref="EL48:EL49" si="192">EK48*EL5/EK5</f>
        <v>100.46911409999591</v>
      </c>
      <c r="EM48" s="101">
        <f t="shared" ref="EM48:EM49" si="193">EL48*EM5/EL5</f>
        <v>100.76959241241158</v>
      </c>
      <c r="EN48" s="101">
        <f t="shared" ref="EN48:EN49" si="194">EM48*EN5/EM5</f>
        <v>101.2458607579412</v>
      </c>
      <c r="EO48" s="101">
        <f t="shared" ref="EO48:EO49" si="195">EN48*EO5/EN5</f>
        <v>100.85033318343484</v>
      </c>
      <c r="EP48" s="101">
        <f t="shared" ref="EP48:EP49" si="196">EO48*EP5/EO5</f>
        <v>100.49977515228322</v>
      </c>
      <c r="EQ48" s="101">
        <f t="shared" ref="EQ48:EQ49" si="197">EP48*EQ5/EP5</f>
        <v>100.45684967908099</v>
      </c>
      <c r="ER48" s="101">
        <f t="shared" ref="ER48:ER49" si="198">EQ48*ER5/EQ5</f>
        <v>101.05576223375985</v>
      </c>
      <c r="ES48" s="101">
        <f t="shared" ref="ES48:ES49" si="199">ER48*ES5/ER5</f>
        <v>101.58415436817791</v>
      </c>
      <c r="ET48" s="101">
        <f t="shared" ref="ET48:ET49" si="200">ES48*ET5/ES5</f>
        <v>102.08290748538488</v>
      </c>
      <c r="EU48" s="101">
        <f t="shared" ref="EU48:EU49" si="201">ET48*EU5/ET5</f>
        <v>102.28527043048116</v>
      </c>
      <c r="EV48" s="101">
        <f t="shared" ref="EV48:EV49" si="202">EU48*EV5/EU5</f>
        <v>102.77584726707821</v>
      </c>
      <c r="EW48" s="101">
        <f>EV48*EW5/EV5</f>
        <v>103.28379869997138</v>
      </c>
      <c r="EX48" s="101">
        <f t="shared" ref="EX48:FJ49" si="203">EW48*EX5/EW5</f>
        <v>103.86840276358285</v>
      </c>
      <c r="EY48" s="101">
        <f t="shared" si="203"/>
        <v>104.16274886554106</v>
      </c>
      <c r="EZ48" s="101">
        <f t="shared" si="203"/>
        <v>104.07485384898409</v>
      </c>
      <c r="FA48" s="101">
        <f t="shared" si="203"/>
        <v>103.2143003147868</v>
      </c>
      <c r="FB48" s="101">
        <f t="shared" si="203"/>
        <v>102.90155758145619</v>
      </c>
      <c r="FC48" s="101">
        <f t="shared" si="203"/>
        <v>102.724745513266</v>
      </c>
      <c r="FD48" s="101">
        <f t="shared" si="203"/>
        <v>103.49024978537261</v>
      </c>
      <c r="FE48" s="101">
        <f t="shared" si="203"/>
        <v>104.10755897142387</v>
      </c>
      <c r="FF48" s="101">
        <f t="shared" si="203"/>
        <v>104.56951882588608</v>
      </c>
      <c r="FG48" s="101">
        <f t="shared" si="203"/>
        <v>104.69318507011158</v>
      </c>
      <c r="FH48" s="101">
        <f t="shared" si="203"/>
        <v>104.67478843873918</v>
      </c>
      <c r="FI48" s="101">
        <f t="shared" si="203"/>
        <v>104.69011896488284</v>
      </c>
      <c r="FJ48" s="101">
        <f t="shared" si="203"/>
        <v>104.81685131433707</v>
      </c>
      <c r="FK48" s="101">
        <f t="shared" ref="FK48:FK49" si="204">FJ48*FK5/FJ5</f>
        <v>105.28903151956172</v>
      </c>
      <c r="FL48" s="101">
        <f t="shared" ref="FL48:FM49" si="205">FK48*FL5/FK5</f>
        <v>105.26859081803686</v>
      </c>
      <c r="FM48" s="101">
        <f t="shared" si="205"/>
        <v>104.93438534810514</v>
      </c>
    </row>
    <row r="49" spans="2:169" x14ac:dyDescent="0.25">
      <c r="B49" s="20" t="s">
        <v>44</v>
      </c>
      <c r="CR49" s="23">
        <v>100</v>
      </c>
      <c r="CS49" s="101">
        <f>CR49*CS6/CR6</f>
        <v>100.05921619293713</v>
      </c>
      <c r="CT49" s="101">
        <f t="shared" si="182"/>
        <v>99.680591444157344</v>
      </c>
      <c r="CU49" s="101">
        <f t="shared" si="182"/>
        <v>99.210450760838356</v>
      </c>
      <c r="CV49" s="101">
        <f t="shared" si="182"/>
        <v>97.870011484352574</v>
      </c>
      <c r="CW49" s="101">
        <f t="shared" si="182"/>
        <v>95.93382141831755</v>
      </c>
      <c r="CX49" s="101">
        <f t="shared" si="182"/>
        <v>93.952770600057434</v>
      </c>
      <c r="CY49" s="101">
        <f t="shared" si="182"/>
        <v>91.646927935687629</v>
      </c>
      <c r="CZ49" s="101">
        <f t="shared" si="182"/>
        <v>90.640252655756527</v>
      </c>
      <c r="DA49" s="101">
        <f t="shared" si="182"/>
        <v>91.061943726672396</v>
      </c>
      <c r="DB49" s="101">
        <f t="shared" si="182"/>
        <v>92.427505024404226</v>
      </c>
      <c r="DC49" s="101">
        <f t="shared" si="182"/>
        <v>93.315747918461071</v>
      </c>
      <c r="DD49" s="101">
        <f t="shared" si="182"/>
        <v>93.5723514211886</v>
      </c>
      <c r="DE49" s="101">
        <f t="shared" si="182"/>
        <v>93.371375251220186</v>
      </c>
      <c r="DF49" s="101">
        <f t="shared" si="182"/>
        <v>93.588501291989644</v>
      </c>
      <c r="DG49" s="101">
        <f t="shared" si="182"/>
        <v>93.283448176859011</v>
      </c>
      <c r="DH49" s="101">
        <f t="shared" si="182"/>
        <v>93.455713465403363</v>
      </c>
      <c r="DI49" s="101">
        <f t="shared" si="182"/>
        <v>93.888171116853258</v>
      </c>
      <c r="DJ49" s="101">
        <f t="shared" si="182"/>
        <v>94.315245478036147</v>
      </c>
      <c r="DK49" s="101">
        <f t="shared" si="182"/>
        <v>95.379342520815356</v>
      </c>
      <c r="DL49" s="101">
        <f t="shared" si="182"/>
        <v>95.872810795291386</v>
      </c>
      <c r="DM49" s="101">
        <f t="shared" si="182"/>
        <v>97.184539190353121</v>
      </c>
      <c r="DN49" s="101">
        <f t="shared" si="182"/>
        <v>98.026126902095868</v>
      </c>
      <c r="DO49" s="101">
        <f t="shared" si="182"/>
        <v>99.093812805053091</v>
      </c>
      <c r="DP49" s="101">
        <f t="shared" si="182"/>
        <v>99.895923054837766</v>
      </c>
      <c r="DQ49" s="101">
        <f t="shared" si="182"/>
        <v>100.07357163364914</v>
      </c>
      <c r="DR49" s="101">
        <f t="shared" si="182"/>
        <v>100.08972150445018</v>
      </c>
      <c r="DS49" s="101">
        <f t="shared" si="182"/>
        <v>100.37862474877979</v>
      </c>
      <c r="DT49" s="101">
        <f t="shared" si="182"/>
        <v>101.62754809072638</v>
      </c>
      <c r="DU49" s="101">
        <f t="shared" si="182"/>
        <v>102.70420614412862</v>
      </c>
      <c r="DV49" s="101">
        <f t="shared" si="182"/>
        <v>103.76471432672983</v>
      </c>
      <c r="DW49" s="101">
        <f>DV49*DW6/DV6</f>
        <v>104.44480333046225</v>
      </c>
      <c r="DX49" s="101">
        <f t="shared" si="183"/>
        <v>105.01902095894344</v>
      </c>
      <c r="DY49" s="101">
        <f t="shared" si="183"/>
        <v>105.75653172552398</v>
      </c>
      <c r="DZ49" s="101">
        <f t="shared" si="183"/>
        <v>106.76859029572208</v>
      </c>
      <c r="EA49" s="23">
        <v>100</v>
      </c>
      <c r="EB49" s="101">
        <f>EA49*EB6/EA6</f>
        <v>99.874346602332125</v>
      </c>
      <c r="EC49" s="101">
        <f t="shared" ref="EC49" si="206">EB49*EC6/EB6</f>
        <v>98.825559576464286</v>
      </c>
      <c r="ED49" s="101">
        <f t="shared" si="184"/>
        <v>98.371531966224381</v>
      </c>
      <c r="EE49" s="101">
        <f t="shared" si="185"/>
        <v>98.044833132287906</v>
      </c>
      <c r="EF49" s="101">
        <f t="shared" si="186"/>
        <v>98.436871733011671</v>
      </c>
      <c r="EG49" s="101">
        <f t="shared" si="187"/>
        <v>98.656346334271547</v>
      </c>
      <c r="EH49" s="101">
        <f t="shared" si="188"/>
        <v>98.825559576464272</v>
      </c>
      <c r="EI49" s="101">
        <f t="shared" si="189"/>
        <v>99.224299691730309</v>
      </c>
      <c r="EJ49" s="101">
        <f t="shared" si="190"/>
        <v>99.634767457445363</v>
      </c>
      <c r="EK49" s="101">
        <f t="shared" si="191"/>
        <v>99.850891301434103</v>
      </c>
      <c r="EL49" s="101">
        <f t="shared" si="192"/>
        <v>100.21277308671758</v>
      </c>
      <c r="EM49" s="101">
        <f t="shared" si="193"/>
        <v>100.3468033775633</v>
      </c>
      <c r="EN49" s="101">
        <f t="shared" si="194"/>
        <v>100.91810749229323</v>
      </c>
      <c r="EO49" s="101">
        <f t="shared" si="195"/>
        <v>100.79915560916764</v>
      </c>
      <c r="EP49" s="101">
        <f t="shared" si="196"/>
        <v>100.88292454094622</v>
      </c>
      <c r="EQ49" s="101">
        <f t="shared" si="197"/>
        <v>100.60313630880576</v>
      </c>
      <c r="ER49" s="101">
        <f t="shared" si="198"/>
        <v>101.427422597507</v>
      </c>
      <c r="ES49" s="101">
        <f t="shared" si="199"/>
        <v>102.12773086717596</v>
      </c>
      <c r="ET49" s="101">
        <f t="shared" si="200"/>
        <v>102.64039672966088</v>
      </c>
      <c r="EU49" s="101">
        <f t="shared" si="201"/>
        <v>102.78112853504889</v>
      </c>
      <c r="EV49" s="101">
        <f t="shared" si="202"/>
        <v>102.98049859268191</v>
      </c>
      <c r="EW49" s="101">
        <f t="shared" ref="EW49" si="207">EV49*EW6/EV6</f>
        <v>103.56688111513198</v>
      </c>
      <c r="EX49" s="101">
        <f t="shared" si="203"/>
        <v>104.02761023991418</v>
      </c>
      <c r="EY49" s="101">
        <f t="shared" si="203"/>
        <v>104.55702988875481</v>
      </c>
      <c r="EZ49" s="101">
        <f t="shared" si="203"/>
        <v>104.75137381048111</v>
      </c>
      <c r="FA49" s="101">
        <f t="shared" si="203"/>
        <v>104.24876021980963</v>
      </c>
      <c r="FB49" s="101">
        <f t="shared" si="203"/>
        <v>104.40289505428221</v>
      </c>
      <c r="FC49" s="101">
        <f t="shared" si="203"/>
        <v>104.41127194746007</v>
      </c>
      <c r="FD49" s="101">
        <f t="shared" si="203"/>
        <v>105.22885672161902</v>
      </c>
      <c r="FE49" s="101">
        <f t="shared" si="203"/>
        <v>106.08162444712498</v>
      </c>
      <c r="FF49" s="101">
        <f t="shared" si="203"/>
        <v>106.54905508644947</v>
      </c>
      <c r="FG49" s="101">
        <f t="shared" si="203"/>
        <v>106.6780592413885</v>
      </c>
      <c r="FH49" s="101">
        <f t="shared" si="203"/>
        <v>106.45355850422189</v>
      </c>
      <c r="FI49" s="101">
        <f t="shared" si="203"/>
        <v>106.69816378501534</v>
      </c>
      <c r="FJ49" s="101">
        <f t="shared" si="203"/>
        <v>106.80036188178521</v>
      </c>
      <c r="FK49" s="101">
        <f t="shared" si="204"/>
        <v>107.5626591609703</v>
      </c>
      <c r="FL49" s="101">
        <f t="shared" si="205"/>
        <v>107.71176785953618</v>
      </c>
      <c r="FM49" s="101">
        <f t="shared" si="205"/>
        <v>107.47051333601387</v>
      </c>
    </row>
    <row r="50" spans="2:169" x14ac:dyDescent="0.25">
      <c r="B50" s="20" t="s">
        <v>45</v>
      </c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23">
        <v>100</v>
      </c>
      <c r="CS50" s="101">
        <f>CR50*CS14/CR14</f>
        <v>98.881964809384158</v>
      </c>
      <c r="CT50" s="101">
        <f t="shared" ref="CT50:DV50" si="208">CS50*CT14/CS14</f>
        <v>98.253560955173853</v>
      </c>
      <c r="CU50" s="101">
        <f t="shared" si="208"/>
        <v>94.87589023879346</v>
      </c>
      <c r="CV50" s="101">
        <f t="shared" si="208"/>
        <v>89.141705069124427</v>
      </c>
      <c r="CW50" s="101">
        <f t="shared" si="208"/>
        <v>83.164013405948893</v>
      </c>
      <c r="CX50" s="101">
        <f t="shared" si="208"/>
        <v>79.212924172601589</v>
      </c>
      <c r="CY50" s="101">
        <f t="shared" si="208"/>
        <v>79.108190196899869</v>
      </c>
      <c r="CZ50" s="101">
        <f t="shared" si="208"/>
        <v>80.16600335148722</v>
      </c>
      <c r="DA50" s="101">
        <f t="shared" si="208"/>
        <v>81.713447842480093</v>
      </c>
      <c r="DB50" s="101">
        <f t="shared" si="208"/>
        <v>84.470569752827814</v>
      </c>
      <c r="DC50" s="101">
        <f t="shared" si="208"/>
        <v>86.463133640552996</v>
      </c>
      <c r="DD50" s="101">
        <f t="shared" si="208"/>
        <v>87.780163385002098</v>
      </c>
      <c r="DE50" s="101">
        <f t="shared" si="208"/>
        <v>88.018433179723502</v>
      </c>
      <c r="DF50" s="101">
        <f t="shared" si="208"/>
        <v>87.853477167993304</v>
      </c>
      <c r="DG50" s="101">
        <f t="shared" si="208"/>
        <v>87.743506493506501</v>
      </c>
      <c r="DH50" s="101">
        <f t="shared" si="208"/>
        <v>88.497591118558873</v>
      </c>
      <c r="DI50" s="101">
        <f t="shared" si="208"/>
        <v>89.589442815249285</v>
      </c>
      <c r="DJ50" s="101">
        <f t="shared" si="208"/>
        <v>92.121386677838302</v>
      </c>
      <c r="DK50" s="101">
        <f t="shared" si="208"/>
        <v>93.841642228739019</v>
      </c>
      <c r="DL50" s="101">
        <f t="shared" si="208"/>
        <v>95.844679514034368</v>
      </c>
      <c r="DM50" s="101">
        <f t="shared" si="208"/>
        <v>97.156472559698386</v>
      </c>
      <c r="DN50" s="101">
        <f t="shared" si="208"/>
        <v>98.455173858399689</v>
      </c>
      <c r="DO50" s="101">
        <f t="shared" si="208"/>
        <v>99.395161290322605</v>
      </c>
      <c r="DP50" s="101">
        <f t="shared" si="208"/>
        <v>100.32991202346044</v>
      </c>
      <c r="DQ50" s="101">
        <f t="shared" si="208"/>
        <v>99.261625471302921</v>
      </c>
      <c r="DR50" s="101">
        <f t="shared" si="208"/>
        <v>98.743192291579419</v>
      </c>
      <c r="DS50" s="101">
        <f t="shared" si="208"/>
        <v>98.408043569333927</v>
      </c>
      <c r="DT50" s="101">
        <f t="shared" si="208"/>
        <v>99.743401759530826</v>
      </c>
      <c r="DU50" s="101">
        <f t="shared" si="208"/>
        <v>100.73837452869714</v>
      </c>
      <c r="DV50" s="101">
        <f t="shared" si="208"/>
        <v>101.11803519061587</v>
      </c>
      <c r="DW50" s="101">
        <f>DV50*DW14/DV14</f>
        <v>101.1442186845413</v>
      </c>
      <c r="DX50" s="101">
        <f t="shared" ref="DX50:DZ50" si="209">DW50*DX14/DW14</f>
        <v>101.20444072056979</v>
      </c>
      <c r="DY50" s="101">
        <f t="shared" si="209"/>
        <v>100.80383326351073</v>
      </c>
      <c r="DZ50" s="101">
        <f t="shared" si="209"/>
        <v>100.33514872224553</v>
      </c>
      <c r="EA50" s="23">
        <v>100</v>
      </c>
      <c r="EB50" s="101">
        <f>EA50*EB14/EA14</f>
        <v>99.342174232099808</v>
      </c>
      <c r="EC50" s="101">
        <f t="shared" ref="EC50" si="210">EB50*EC14/EB14</f>
        <v>99.072229793479408</v>
      </c>
      <c r="ED50" s="101">
        <f t="shared" ref="ED50" si="211">EC50*ED14/EC14</f>
        <v>98.435370583918669</v>
      </c>
      <c r="EE50" s="101">
        <f t="shared" ref="EE50" si="212">ED50*EE14/ED14</f>
        <v>98.168046965090696</v>
      </c>
      <c r="EF50" s="101">
        <f t="shared" ref="EF50" si="213">EE50*EF14/EE14</f>
        <v>98.076318272355607</v>
      </c>
      <c r="EG50" s="101">
        <f t="shared" ref="EG50" si="214">EF50*EG14/EF14</f>
        <v>98.66862354544503</v>
      </c>
      <c r="EH50" s="101">
        <f t="shared" ref="EH50" si="215">EG50*EH14/EG14</f>
        <v>99.724813921794762</v>
      </c>
      <c r="EI50" s="101">
        <f t="shared" ref="EI50" si="216">EH50*EI14/EH14</f>
        <v>100.20966558339451</v>
      </c>
      <c r="EJ50" s="101">
        <f t="shared" ref="EJ50" si="217">EI50*EJ14/EI14</f>
        <v>100.35118985218578</v>
      </c>
      <c r="EK50" s="101">
        <f t="shared" ref="EK50" si="218">EJ50*EK14/EJ14</f>
        <v>100.47961002201491</v>
      </c>
      <c r="EL50" s="101">
        <f t="shared" ref="EL50" si="219">EK50*EL14/EK14</f>
        <v>100.87011217108713</v>
      </c>
      <c r="EM50" s="101">
        <f t="shared" ref="EM50" si="220">EL50*EM14/EL14</f>
        <v>101.43096760666738</v>
      </c>
      <c r="EN50" s="101">
        <f t="shared" ref="EN50" si="221">EM50*EN14/EM14</f>
        <v>101.75857008072126</v>
      </c>
      <c r="EO50" s="101">
        <f t="shared" ref="EO50" si="222">EN50*EO14/EN14</f>
        <v>100.93039102631303</v>
      </c>
      <c r="EP50" s="101">
        <f t="shared" ref="EP50" si="223">EO50*EP14/EO14</f>
        <v>99.900408847887618</v>
      </c>
      <c r="EQ50" s="101">
        <f t="shared" ref="EQ50" si="224">EP50*EQ14/EP14</f>
        <v>100.22801132194151</v>
      </c>
      <c r="ER50" s="101">
        <f t="shared" ref="ER50" si="225">EQ50*ER14/EQ14</f>
        <v>100.47436838243003</v>
      </c>
      <c r="ES50" s="101">
        <f t="shared" ref="ES50" si="226">ER50*ES14/ER14</f>
        <v>100.7338295418807</v>
      </c>
      <c r="ET50" s="101">
        <f t="shared" ref="ET50" si="227">ES50*ET14/ES14</f>
        <v>101.21081874410315</v>
      </c>
      <c r="EU50" s="101">
        <f t="shared" ref="EU50" si="228">ET50*EU14/ET14</f>
        <v>101.5095922004403</v>
      </c>
      <c r="EV50" s="101">
        <f t="shared" ref="EV50" si="229">EU50*EV14/EU14</f>
        <v>102.45570814550791</v>
      </c>
      <c r="EW50" s="101">
        <f t="shared" ref="EW50" si="230">EV50*EW14/EV14</f>
        <v>102.84096865499528</v>
      </c>
      <c r="EX50" s="101">
        <f t="shared" ref="EX50" si="231">EW50*EX14/EW14</f>
        <v>103.61935213334731</v>
      </c>
      <c r="EY50" s="101">
        <f t="shared" ref="EY50" si="232">EX50*EY14/EX14</f>
        <v>103.54596917915923</v>
      </c>
      <c r="EZ50" s="101">
        <f t="shared" ref="EZ50" si="233">EY50*EZ14/EY14</f>
        <v>103.01656358108815</v>
      </c>
      <c r="FA50" s="101">
        <f t="shared" ref="FA50" si="234">EZ50*FA14/EZ14</f>
        <v>101.5960792535905</v>
      </c>
      <c r="FB50" s="101">
        <f t="shared" ref="FB50" si="235">FA50*FB14/FA14</f>
        <v>100.55299297620294</v>
      </c>
      <c r="FC50" s="101">
        <f t="shared" ref="FC50" si="236">FB50*FC14/FB14</f>
        <v>100.08648705315021</v>
      </c>
      <c r="FD50" s="101">
        <f t="shared" ref="FD50" si="237">FC50*FD14/FC14</f>
        <v>100.77052101897472</v>
      </c>
      <c r="FE50" s="101">
        <f t="shared" ref="FE50:FJ50" si="238">FD50*FE14/FD14</f>
        <v>101.01949889925568</v>
      </c>
      <c r="FF50" s="101">
        <f t="shared" si="238"/>
        <v>101.47290072334626</v>
      </c>
      <c r="FG50" s="101">
        <f t="shared" si="238"/>
        <v>101.58821679421322</v>
      </c>
      <c r="FH50" s="101">
        <f t="shared" si="238"/>
        <v>101.89223189013524</v>
      </c>
      <c r="FI50" s="101">
        <f t="shared" si="238"/>
        <v>101.54890449732676</v>
      </c>
      <c r="FJ50" s="101">
        <f t="shared" si="238"/>
        <v>101.71401614424992</v>
      </c>
      <c r="FK50" s="101">
        <f t="shared" ref="FK50" si="239">FJ50*FK14/FJ14</f>
        <v>101.73236188279694</v>
      </c>
      <c r="FL50" s="101">
        <f t="shared" ref="FL50:FM50" si="240">FK50*FL14/FK14</f>
        <v>101.44669252542195</v>
      </c>
      <c r="FM50" s="101">
        <f t="shared" si="240"/>
        <v>100.96708250340707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B881-1AB5-4401-8380-EB50B1693579}">
  <dimension ref="B1:D169"/>
  <sheetViews>
    <sheetView topLeftCell="A127" workbookViewId="0">
      <selection activeCell="H168" sqref="H168"/>
    </sheetView>
  </sheetViews>
  <sheetFormatPr defaultRowHeight="12.75" x14ac:dyDescent="0.2"/>
  <sheetData>
    <row r="1" spans="2:3" x14ac:dyDescent="0.2">
      <c r="B1" t="s">
        <v>18</v>
      </c>
      <c r="C1" t="s">
        <v>31</v>
      </c>
    </row>
    <row r="2" spans="2:3" x14ac:dyDescent="0.2">
      <c r="B2" s="6">
        <v>40969</v>
      </c>
      <c r="C2" t="s">
        <v>23</v>
      </c>
    </row>
    <row r="3" spans="2:3" x14ac:dyDescent="0.2">
      <c r="B3" s="6">
        <v>41000</v>
      </c>
      <c r="C3" t="s">
        <v>23</v>
      </c>
    </row>
    <row r="4" spans="2:3" x14ac:dyDescent="0.2">
      <c r="B4" s="6">
        <v>41030</v>
      </c>
      <c r="C4" t="s">
        <v>23</v>
      </c>
    </row>
    <row r="5" spans="2:3" x14ac:dyDescent="0.2">
      <c r="B5" s="6">
        <v>41061</v>
      </c>
      <c r="C5" t="s">
        <v>23</v>
      </c>
    </row>
    <row r="6" spans="2:3" x14ac:dyDescent="0.2">
      <c r="B6" s="6">
        <v>41091</v>
      </c>
      <c r="C6" t="s">
        <v>23</v>
      </c>
    </row>
    <row r="7" spans="2:3" x14ac:dyDescent="0.2">
      <c r="B7" s="6">
        <v>41122</v>
      </c>
      <c r="C7" t="s">
        <v>23</v>
      </c>
    </row>
    <row r="8" spans="2:3" x14ac:dyDescent="0.2">
      <c r="B8" s="6">
        <v>41153</v>
      </c>
      <c r="C8" t="s">
        <v>23</v>
      </c>
    </row>
    <row r="9" spans="2:3" x14ac:dyDescent="0.2">
      <c r="B9" s="6">
        <v>41183</v>
      </c>
      <c r="C9" t="s">
        <v>23</v>
      </c>
    </row>
    <row r="10" spans="2:3" x14ac:dyDescent="0.2">
      <c r="B10" s="6">
        <v>41214</v>
      </c>
      <c r="C10" t="s">
        <v>23</v>
      </c>
    </row>
    <row r="11" spans="2:3" x14ac:dyDescent="0.2">
      <c r="B11" s="6">
        <v>41244</v>
      </c>
      <c r="C11" t="s">
        <v>23</v>
      </c>
    </row>
    <row r="12" spans="2:3" x14ac:dyDescent="0.2">
      <c r="B12" s="6">
        <v>41275</v>
      </c>
      <c r="C12" t="s">
        <v>23</v>
      </c>
    </row>
    <row r="13" spans="2:3" x14ac:dyDescent="0.2">
      <c r="B13" s="6">
        <v>41306</v>
      </c>
      <c r="C13" t="s">
        <v>23</v>
      </c>
    </row>
    <row r="14" spans="2:3" x14ac:dyDescent="0.2">
      <c r="B14" s="6">
        <v>41334</v>
      </c>
      <c r="C14" t="s">
        <v>23</v>
      </c>
    </row>
    <row r="15" spans="2:3" x14ac:dyDescent="0.2">
      <c r="B15" s="6">
        <v>41365</v>
      </c>
      <c r="C15" t="s">
        <v>23</v>
      </c>
    </row>
    <row r="16" spans="2:3" x14ac:dyDescent="0.2">
      <c r="B16" s="6">
        <v>41395</v>
      </c>
      <c r="C16" t="s">
        <v>23</v>
      </c>
    </row>
    <row r="17" spans="2:3" x14ac:dyDescent="0.2">
      <c r="B17" s="6">
        <v>41426</v>
      </c>
      <c r="C17" t="s">
        <v>23</v>
      </c>
    </row>
    <row r="18" spans="2:3" x14ac:dyDescent="0.2">
      <c r="B18" s="6">
        <v>41456</v>
      </c>
      <c r="C18" t="s">
        <v>23</v>
      </c>
    </row>
    <row r="19" spans="2:3" x14ac:dyDescent="0.2">
      <c r="B19" s="6">
        <v>41487</v>
      </c>
      <c r="C19" t="s">
        <v>23</v>
      </c>
    </row>
    <row r="20" spans="2:3" x14ac:dyDescent="0.2">
      <c r="B20" s="6">
        <v>41518</v>
      </c>
      <c r="C20" t="s">
        <v>23</v>
      </c>
    </row>
    <row r="21" spans="2:3" x14ac:dyDescent="0.2">
      <c r="B21" s="6">
        <v>41548</v>
      </c>
      <c r="C21" t="s">
        <v>23</v>
      </c>
    </row>
    <row r="22" spans="2:3" x14ac:dyDescent="0.2">
      <c r="B22" s="6">
        <v>41579</v>
      </c>
      <c r="C22" t="s">
        <v>23</v>
      </c>
    </row>
    <row r="23" spans="2:3" x14ac:dyDescent="0.2">
      <c r="B23" s="6">
        <v>41609</v>
      </c>
      <c r="C23" t="s">
        <v>23</v>
      </c>
    </row>
    <row r="24" spans="2:3" x14ac:dyDescent="0.2">
      <c r="B24" s="6">
        <v>41640</v>
      </c>
      <c r="C24" t="s">
        <v>23</v>
      </c>
    </row>
    <row r="25" spans="2:3" x14ac:dyDescent="0.2">
      <c r="B25" s="6">
        <v>41671</v>
      </c>
      <c r="C25" t="s">
        <v>23</v>
      </c>
    </row>
    <row r="26" spans="2:3" x14ac:dyDescent="0.2">
      <c r="B26" s="6">
        <v>41699</v>
      </c>
      <c r="C26" t="s">
        <v>23</v>
      </c>
    </row>
    <row r="27" spans="2:3" x14ac:dyDescent="0.2">
      <c r="B27" s="6">
        <v>41730</v>
      </c>
      <c r="C27" t="s">
        <v>23</v>
      </c>
    </row>
    <row r="28" spans="2:3" x14ac:dyDescent="0.2">
      <c r="B28" s="6">
        <v>41760</v>
      </c>
      <c r="C28" t="s">
        <v>23</v>
      </c>
    </row>
    <row r="29" spans="2:3" x14ac:dyDescent="0.2">
      <c r="B29" s="6">
        <v>41791</v>
      </c>
      <c r="C29" t="s">
        <v>23</v>
      </c>
    </row>
    <row r="30" spans="2:3" x14ac:dyDescent="0.2">
      <c r="B30" s="6">
        <v>41821</v>
      </c>
      <c r="C30" t="s">
        <v>23</v>
      </c>
    </row>
    <row r="31" spans="2:3" x14ac:dyDescent="0.2">
      <c r="B31" s="6">
        <v>41852</v>
      </c>
      <c r="C31" t="s">
        <v>23</v>
      </c>
    </row>
    <row r="32" spans="2:3" x14ac:dyDescent="0.2">
      <c r="B32" s="6">
        <v>41883</v>
      </c>
      <c r="C32" t="s">
        <v>23</v>
      </c>
    </row>
    <row r="33" spans="2:3" x14ac:dyDescent="0.2">
      <c r="B33" s="6">
        <v>41913</v>
      </c>
      <c r="C33" t="s">
        <v>23</v>
      </c>
    </row>
    <row r="34" spans="2:3" x14ac:dyDescent="0.2">
      <c r="B34" s="6">
        <v>41944</v>
      </c>
      <c r="C34" t="s">
        <v>23</v>
      </c>
    </row>
    <row r="35" spans="2:3" x14ac:dyDescent="0.2">
      <c r="B35" s="6">
        <v>41974</v>
      </c>
      <c r="C35" t="s">
        <v>23</v>
      </c>
    </row>
    <row r="36" spans="2:3" x14ac:dyDescent="0.2">
      <c r="B36" s="6">
        <v>42005</v>
      </c>
      <c r="C36" t="s">
        <v>23</v>
      </c>
    </row>
    <row r="37" spans="2:3" x14ac:dyDescent="0.2">
      <c r="B37" s="6">
        <v>42036</v>
      </c>
      <c r="C37" t="s">
        <v>23</v>
      </c>
    </row>
    <row r="38" spans="2:3" x14ac:dyDescent="0.2">
      <c r="B38" s="6">
        <v>42064</v>
      </c>
      <c r="C38" t="s">
        <v>23</v>
      </c>
    </row>
    <row r="39" spans="2:3" x14ac:dyDescent="0.2">
      <c r="B39" s="6">
        <v>42095</v>
      </c>
      <c r="C39" t="s">
        <v>23</v>
      </c>
    </row>
    <row r="40" spans="2:3" x14ac:dyDescent="0.2">
      <c r="B40" s="6">
        <v>42125</v>
      </c>
      <c r="C40" t="s">
        <v>23</v>
      </c>
    </row>
    <row r="41" spans="2:3" x14ac:dyDescent="0.2">
      <c r="B41" s="6">
        <v>42156</v>
      </c>
      <c r="C41" t="s">
        <v>23</v>
      </c>
    </row>
    <row r="42" spans="2:3" x14ac:dyDescent="0.2">
      <c r="B42" s="6">
        <v>42186</v>
      </c>
      <c r="C42" t="s">
        <v>23</v>
      </c>
    </row>
    <row r="43" spans="2:3" x14ac:dyDescent="0.2">
      <c r="B43" s="6">
        <v>42217</v>
      </c>
      <c r="C43" t="s">
        <v>23</v>
      </c>
    </row>
    <row r="44" spans="2:3" x14ac:dyDescent="0.2">
      <c r="B44" s="6">
        <v>42248</v>
      </c>
      <c r="C44" t="s">
        <v>23</v>
      </c>
    </row>
    <row r="45" spans="2:3" x14ac:dyDescent="0.2">
      <c r="B45" s="6">
        <v>42278</v>
      </c>
      <c r="C45" t="s">
        <v>23</v>
      </c>
    </row>
    <row r="46" spans="2:3" x14ac:dyDescent="0.2">
      <c r="B46" s="6">
        <v>42309</v>
      </c>
      <c r="C46" t="s">
        <v>23</v>
      </c>
    </row>
    <row r="47" spans="2:3" x14ac:dyDescent="0.2">
      <c r="B47" s="6">
        <v>42339</v>
      </c>
      <c r="C47">
        <v>35077</v>
      </c>
    </row>
    <row r="48" spans="2:3" x14ac:dyDescent="0.2">
      <c r="B48" s="6">
        <v>42370</v>
      </c>
      <c r="C48">
        <v>34720</v>
      </c>
    </row>
    <row r="49" spans="2:3" x14ac:dyDescent="0.2">
      <c r="B49" s="6">
        <v>42401</v>
      </c>
      <c r="C49">
        <v>34639</v>
      </c>
    </row>
    <row r="50" spans="2:3" x14ac:dyDescent="0.2">
      <c r="B50" s="6">
        <v>42430</v>
      </c>
      <c r="C50">
        <v>34458</v>
      </c>
    </row>
    <row r="51" spans="2:3" x14ac:dyDescent="0.2">
      <c r="B51" s="6">
        <v>42461</v>
      </c>
      <c r="C51">
        <v>34570</v>
      </c>
    </row>
    <row r="52" spans="2:3" x14ac:dyDescent="0.2">
      <c r="B52" s="6">
        <v>42491</v>
      </c>
      <c r="C52">
        <v>34771</v>
      </c>
    </row>
    <row r="53" spans="2:3" x14ac:dyDescent="0.2">
      <c r="B53" s="6">
        <v>42522</v>
      </c>
      <c r="C53">
        <v>34727</v>
      </c>
    </row>
    <row r="54" spans="2:3" x14ac:dyDescent="0.2">
      <c r="B54" s="6">
        <v>42552</v>
      </c>
      <c r="C54">
        <v>34630</v>
      </c>
    </row>
    <row r="55" spans="2:3" x14ac:dyDescent="0.2">
      <c r="B55" s="6">
        <v>42583</v>
      </c>
      <c r="C55">
        <v>34310</v>
      </c>
    </row>
    <row r="56" spans="2:3" x14ac:dyDescent="0.2">
      <c r="B56" s="6">
        <v>42614</v>
      </c>
      <c r="C56">
        <v>34193</v>
      </c>
    </row>
    <row r="57" spans="2:3" x14ac:dyDescent="0.2">
      <c r="B57" s="6">
        <v>42644</v>
      </c>
      <c r="C57">
        <v>34261</v>
      </c>
    </row>
    <row r="58" spans="2:3" x14ac:dyDescent="0.2">
      <c r="B58" s="6">
        <v>42675</v>
      </c>
      <c r="C58">
        <v>34557</v>
      </c>
    </row>
    <row r="59" spans="2:3" x14ac:dyDescent="0.2">
      <c r="B59" s="6">
        <v>42705</v>
      </c>
      <c r="C59">
        <v>34871</v>
      </c>
    </row>
    <row r="60" spans="2:3" x14ac:dyDescent="0.2">
      <c r="B60" s="6">
        <v>42736</v>
      </c>
      <c r="C60">
        <v>34841</v>
      </c>
    </row>
    <row r="61" spans="2:3" x14ac:dyDescent="0.2">
      <c r="B61" s="6">
        <v>42767</v>
      </c>
      <c r="C61">
        <v>34688</v>
      </c>
    </row>
    <row r="62" spans="2:3" x14ac:dyDescent="0.2">
      <c r="B62" s="6">
        <v>42795</v>
      </c>
      <c r="C62">
        <v>34537</v>
      </c>
    </row>
    <row r="63" spans="2:3" x14ac:dyDescent="0.2">
      <c r="B63" s="6">
        <v>42826</v>
      </c>
      <c r="C63">
        <v>34856</v>
      </c>
    </row>
    <row r="64" spans="2:3" x14ac:dyDescent="0.2">
      <c r="B64" s="6">
        <v>42856</v>
      </c>
      <c r="C64">
        <v>35182</v>
      </c>
    </row>
    <row r="65" spans="2:3" x14ac:dyDescent="0.2">
      <c r="B65" s="6">
        <v>42887</v>
      </c>
      <c r="C65">
        <v>35484</v>
      </c>
    </row>
    <row r="66" spans="2:3" x14ac:dyDescent="0.2">
      <c r="B66" s="6">
        <v>42917</v>
      </c>
      <c r="C66">
        <v>35686</v>
      </c>
    </row>
    <row r="67" spans="2:3" x14ac:dyDescent="0.2">
      <c r="B67" s="6">
        <v>42948</v>
      </c>
      <c r="C67">
        <v>35993</v>
      </c>
    </row>
    <row r="68" spans="2:3" x14ac:dyDescent="0.2">
      <c r="B68" s="6">
        <v>42979</v>
      </c>
      <c r="C68">
        <v>36279</v>
      </c>
    </row>
    <row r="69" spans="2:3" x14ac:dyDescent="0.2">
      <c r="B69" s="6">
        <v>43009</v>
      </c>
      <c r="C69">
        <v>36370</v>
      </c>
    </row>
    <row r="70" spans="2:3" x14ac:dyDescent="0.2">
      <c r="B70" s="6">
        <v>43040</v>
      </c>
      <c r="C70">
        <v>36638</v>
      </c>
    </row>
    <row r="71" spans="2:3" x14ac:dyDescent="0.2">
      <c r="B71" s="6">
        <v>43070</v>
      </c>
      <c r="C71">
        <v>36700</v>
      </c>
    </row>
    <row r="72" spans="2:3" x14ac:dyDescent="0.2">
      <c r="B72" s="6">
        <v>43101</v>
      </c>
      <c r="C72">
        <v>36548</v>
      </c>
    </row>
    <row r="73" spans="2:3" x14ac:dyDescent="0.2">
      <c r="B73" s="6">
        <v>43132</v>
      </c>
      <c r="C73">
        <v>36290</v>
      </c>
    </row>
    <row r="74" spans="2:3" x14ac:dyDescent="0.2">
      <c r="B74" s="6">
        <v>43160</v>
      </c>
      <c r="C74">
        <v>36087</v>
      </c>
    </row>
    <row r="75" spans="2:3" x14ac:dyDescent="0.2">
      <c r="B75" s="6">
        <v>43191</v>
      </c>
      <c r="C75">
        <v>36322</v>
      </c>
    </row>
    <row r="76" spans="2:3" x14ac:dyDescent="0.2">
      <c r="B76" s="6">
        <v>43221</v>
      </c>
      <c r="C76">
        <v>36345</v>
      </c>
    </row>
    <row r="77" spans="2:3" x14ac:dyDescent="0.2">
      <c r="B77" s="6">
        <v>43252</v>
      </c>
      <c r="C77">
        <v>36335</v>
      </c>
    </row>
    <row r="78" spans="2:3" x14ac:dyDescent="0.2">
      <c r="B78" s="6">
        <v>43282</v>
      </c>
      <c r="C78">
        <v>36432</v>
      </c>
    </row>
    <row r="79" spans="2:3" x14ac:dyDescent="0.2">
      <c r="B79" s="6">
        <v>43313</v>
      </c>
      <c r="C79">
        <v>36746</v>
      </c>
    </row>
    <row r="80" spans="2:3" x14ac:dyDescent="0.2">
      <c r="B80" s="6">
        <v>43344</v>
      </c>
      <c r="C80">
        <v>37254</v>
      </c>
    </row>
    <row r="81" spans="2:3" x14ac:dyDescent="0.2">
      <c r="B81" s="6">
        <v>43374</v>
      </c>
      <c r="C81">
        <v>37497</v>
      </c>
    </row>
    <row r="82" spans="2:3" x14ac:dyDescent="0.2">
      <c r="B82" s="6">
        <v>43405</v>
      </c>
      <c r="C82">
        <v>37668</v>
      </c>
    </row>
    <row r="83" spans="2:3" x14ac:dyDescent="0.2">
      <c r="B83" s="6">
        <v>43435</v>
      </c>
      <c r="C83">
        <v>37557</v>
      </c>
    </row>
    <row r="84" spans="2:3" x14ac:dyDescent="0.2">
      <c r="B84" s="6">
        <v>43466</v>
      </c>
      <c r="C84">
        <v>37245</v>
      </c>
    </row>
    <row r="85" spans="2:3" x14ac:dyDescent="0.2">
      <c r="B85" s="6">
        <v>43497</v>
      </c>
      <c r="C85">
        <v>36841</v>
      </c>
    </row>
    <row r="86" spans="2:3" x14ac:dyDescent="0.2">
      <c r="B86" s="6">
        <v>43525</v>
      </c>
      <c r="C86">
        <v>36897</v>
      </c>
    </row>
    <row r="87" spans="2:3" x14ac:dyDescent="0.2">
      <c r="B87" s="6">
        <v>43556</v>
      </c>
      <c r="C87">
        <v>37220</v>
      </c>
    </row>
    <row r="88" spans="2:3" x14ac:dyDescent="0.2">
      <c r="B88" s="6">
        <v>43586</v>
      </c>
      <c r="C88">
        <v>37577</v>
      </c>
    </row>
    <row r="89" spans="2:3" x14ac:dyDescent="0.2">
      <c r="B89" s="6">
        <v>43617</v>
      </c>
      <c r="C89">
        <v>37877</v>
      </c>
    </row>
    <row r="90" spans="2:3" x14ac:dyDescent="0.2">
      <c r="B90" s="6">
        <v>43647</v>
      </c>
      <c r="C90">
        <v>38087</v>
      </c>
    </row>
    <row r="91" spans="2:3" x14ac:dyDescent="0.2">
      <c r="B91" s="6">
        <v>43678</v>
      </c>
      <c r="C91">
        <v>38169</v>
      </c>
    </row>
    <row r="92" spans="2:3" x14ac:dyDescent="0.2">
      <c r="B92" s="6">
        <v>43709</v>
      </c>
      <c r="C92">
        <v>38225</v>
      </c>
    </row>
    <row r="93" spans="2:3" x14ac:dyDescent="0.2">
      <c r="B93" s="6">
        <v>43739</v>
      </c>
      <c r="C93">
        <v>38234</v>
      </c>
    </row>
    <row r="94" spans="2:3" x14ac:dyDescent="0.2">
      <c r="B94" s="6">
        <v>43770</v>
      </c>
      <c r="C94">
        <v>38281</v>
      </c>
    </row>
    <row r="95" spans="2:3" x14ac:dyDescent="0.2">
      <c r="B95" s="6">
        <v>43800</v>
      </c>
      <c r="C95">
        <v>38192</v>
      </c>
    </row>
    <row r="96" spans="2:3" x14ac:dyDescent="0.2">
      <c r="B96" s="6">
        <v>43831</v>
      </c>
      <c r="C96">
        <v>37765</v>
      </c>
    </row>
    <row r="97" spans="2:3" x14ac:dyDescent="0.2">
      <c r="B97" s="6">
        <v>43862</v>
      </c>
      <c r="C97">
        <v>37525</v>
      </c>
    </row>
    <row r="98" spans="2:3" x14ac:dyDescent="0.2">
      <c r="B98" s="6">
        <v>43891</v>
      </c>
      <c r="C98">
        <v>36235</v>
      </c>
    </row>
    <row r="99" spans="2:3" x14ac:dyDescent="0.2">
      <c r="B99" s="6">
        <v>43922</v>
      </c>
      <c r="C99">
        <v>34045</v>
      </c>
    </row>
    <row r="100" spans="2:3" x14ac:dyDescent="0.2">
      <c r="B100" s="6">
        <v>43952</v>
      </c>
      <c r="C100">
        <v>31762</v>
      </c>
    </row>
    <row r="101" spans="2:3" x14ac:dyDescent="0.2">
      <c r="B101" s="6">
        <v>43983</v>
      </c>
      <c r="C101">
        <v>30253</v>
      </c>
    </row>
    <row r="102" spans="2:3" x14ac:dyDescent="0.2">
      <c r="B102" s="6">
        <v>44013</v>
      </c>
      <c r="C102">
        <v>30213</v>
      </c>
    </row>
    <row r="103" spans="2:3" x14ac:dyDescent="0.2">
      <c r="B103" s="6">
        <v>44044</v>
      </c>
      <c r="C103">
        <v>30617</v>
      </c>
    </row>
    <row r="104" spans="2:3" x14ac:dyDescent="0.2">
      <c r="B104" s="6">
        <v>44075</v>
      </c>
      <c r="C104">
        <v>31208</v>
      </c>
    </row>
    <row r="105" spans="2:3" x14ac:dyDescent="0.2">
      <c r="B105" s="6">
        <v>44105</v>
      </c>
      <c r="C105">
        <v>32261</v>
      </c>
    </row>
    <row r="106" spans="2:3" x14ac:dyDescent="0.2">
      <c r="B106" s="6">
        <v>44136</v>
      </c>
      <c r="C106">
        <v>33022</v>
      </c>
    </row>
    <row r="107" spans="2:3" x14ac:dyDescent="0.2">
      <c r="B107" s="6">
        <v>44166</v>
      </c>
      <c r="C107">
        <v>33525</v>
      </c>
    </row>
    <row r="108" spans="2:3" x14ac:dyDescent="0.2">
      <c r="B108" s="6">
        <v>44197</v>
      </c>
      <c r="C108">
        <v>33616</v>
      </c>
    </row>
    <row r="109" spans="2:3" x14ac:dyDescent="0.2">
      <c r="B109" s="6">
        <v>44228</v>
      </c>
      <c r="C109">
        <v>33553</v>
      </c>
    </row>
    <row r="110" spans="2:3" x14ac:dyDescent="0.2">
      <c r="B110" s="6">
        <v>44256</v>
      </c>
      <c r="C110">
        <v>33511</v>
      </c>
    </row>
    <row r="111" spans="2:3" x14ac:dyDescent="0.2">
      <c r="B111" s="6">
        <v>44287</v>
      </c>
      <c r="C111">
        <v>33799</v>
      </c>
    </row>
    <row r="112" spans="2:3" x14ac:dyDescent="0.2">
      <c r="B112" s="6">
        <v>44317</v>
      </c>
      <c r="C112">
        <v>34216</v>
      </c>
    </row>
    <row r="113" spans="2:3" x14ac:dyDescent="0.2">
      <c r="B113" s="6">
        <v>44348</v>
      </c>
      <c r="C113">
        <v>35183</v>
      </c>
    </row>
    <row r="114" spans="2:3" x14ac:dyDescent="0.2">
      <c r="B114" s="6">
        <v>44378</v>
      </c>
      <c r="C114">
        <v>35840</v>
      </c>
    </row>
    <row r="115" spans="2:3" x14ac:dyDescent="0.2">
      <c r="B115" s="6">
        <v>44409</v>
      </c>
      <c r="C115">
        <v>36605</v>
      </c>
    </row>
    <row r="116" spans="2:3" x14ac:dyDescent="0.2">
      <c r="B116" s="6">
        <v>44440</v>
      </c>
      <c r="C116">
        <v>37106</v>
      </c>
    </row>
    <row r="117" spans="2:3" x14ac:dyDescent="0.2">
      <c r="B117" s="6">
        <v>44470</v>
      </c>
      <c r="C117">
        <v>37602</v>
      </c>
    </row>
    <row r="118" spans="2:3" x14ac:dyDescent="0.2">
      <c r="B118" s="6">
        <v>44501</v>
      </c>
      <c r="C118">
        <v>37961</v>
      </c>
    </row>
    <row r="119" spans="2:3" x14ac:dyDescent="0.2">
      <c r="B119" s="6">
        <v>44531</v>
      </c>
      <c r="C119">
        <v>38318</v>
      </c>
    </row>
    <row r="120" spans="2:3" x14ac:dyDescent="0.2">
      <c r="B120" s="6">
        <v>44562</v>
      </c>
      <c r="C120">
        <v>37910</v>
      </c>
    </row>
    <row r="121" spans="2:3" x14ac:dyDescent="0.2">
      <c r="B121" s="6">
        <v>44593</v>
      </c>
      <c r="C121">
        <v>37712</v>
      </c>
    </row>
    <row r="122" spans="2:3" x14ac:dyDescent="0.2">
      <c r="B122" s="6">
        <v>44621</v>
      </c>
      <c r="C122">
        <v>37584</v>
      </c>
    </row>
    <row r="123" spans="2:3" x14ac:dyDescent="0.2">
      <c r="B123" s="6">
        <v>44652</v>
      </c>
      <c r="C123">
        <v>38094</v>
      </c>
    </row>
    <row r="124" spans="2:3" x14ac:dyDescent="0.2">
      <c r="B124" s="6">
        <v>44682</v>
      </c>
      <c r="C124">
        <v>38474</v>
      </c>
    </row>
    <row r="125" spans="2:3" x14ac:dyDescent="0.2">
      <c r="B125" s="6">
        <v>44713</v>
      </c>
      <c r="C125">
        <v>38619</v>
      </c>
    </row>
    <row r="126" spans="2:3" x14ac:dyDescent="0.2">
      <c r="B126" s="6">
        <v>44743</v>
      </c>
      <c r="C126">
        <v>38629</v>
      </c>
    </row>
    <row r="127" spans="2:3" x14ac:dyDescent="0.2">
      <c r="B127" s="6">
        <v>44774</v>
      </c>
      <c r="C127">
        <v>38652</v>
      </c>
    </row>
    <row r="128" spans="2:3" x14ac:dyDescent="0.2">
      <c r="B128" s="6">
        <v>44805</v>
      </c>
      <c r="C128">
        <v>38499</v>
      </c>
    </row>
    <row r="129" spans="2:3" x14ac:dyDescent="0.2">
      <c r="B129" s="6">
        <v>44835</v>
      </c>
      <c r="C129">
        <v>38320</v>
      </c>
    </row>
    <row r="130" spans="2:3" x14ac:dyDescent="0.2">
      <c r="B130" s="6">
        <v>44866</v>
      </c>
      <c r="C130">
        <v>38156</v>
      </c>
    </row>
    <row r="131" spans="2:3" x14ac:dyDescent="0.2">
      <c r="B131" s="6">
        <v>44896</v>
      </c>
      <c r="C131">
        <v>37905</v>
      </c>
    </row>
    <row r="132" spans="2:3" x14ac:dyDescent="0.2">
      <c r="B132" s="6">
        <v>44927</v>
      </c>
      <c r="C132">
        <v>37802</v>
      </c>
    </row>
    <row r="133" spans="2:3" x14ac:dyDescent="0.2">
      <c r="B133" s="6">
        <v>44958</v>
      </c>
      <c r="C133">
        <v>37559</v>
      </c>
    </row>
    <row r="134" spans="2:3" x14ac:dyDescent="0.2">
      <c r="B134" s="6">
        <v>44986</v>
      </c>
      <c r="C134">
        <v>37457</v>
      </c>
    </row>
    <row r="135" spans="2:3" x14ac:dyDescent="0.2">
      <c r="B135" s="6">
        <v>45017</v>
      </c>
      <c r="C135">
        <v>37422</v>
      </c>
    </row>
    <row r="136" spans="2:3" x14ac:dyDescent="0.2">
      <c r="B136" s="6">
        <v>45047</v>
      </c>
      <c r="C136">
        <v>37648</v>
      </c>
    </row>
    <row r="137" spans="2:3" x14ac:dyDescent="0.2">
      <c r="B137" s="6">
        <v>45078</v>
      </c>
      <c r="C137">
        <v>38051</v>
      </c>
    </row>
    <row r="138" spans="2:3" x14ac:dyDescent="0.2">
      <c r="B138" s="6">
        <v>45108</v>
      </c>
      <c r="C138">
        <v>38236</v>
      </c>
    </row>
    <row r="139" spans="2:3" x14ac:dyDescent="0.2">
      <c r="B139" s="6">
        <v>45139</v>
      </c>
      <c r="C139">
        <v>38290</v>
      </c>
    </row>
    <row r="140" spans="2:3" x14ac:dyDescent="0.2">
      <c r="B140" s="6">
        <v>45170</v>
      </c>
      <c r="C140">
        <v>38339</v>
      </c>
    </row>
    <row r="141" spans="2:3" x14ac:dyDescent="0.2">
      <c r="B141" s="6">
        <v>45200</v>
      </c>
      <c r="C141">
        <v>38488</v>
      </c>
    </row>
    <row r="142" spans="2:3" x14ac:dyDescent="0.2">
      <c r="B142" s="6">
        <v>45231</v>
      </c>
      <c r="C142">
        <v>38702</v>
      </c>
    </row>
    <row r="143" spans="2:3" x14ac:dyDescent="0.2">
      <c r="B143" s="6">
        <v>45261</v>
      </c>
      <c r="C143">
        <v>38827</v>
      </c>
    </row>
    <row r="144" spans="2:3" x14ac:dyDescent="0.2">
      <c r="B144" s="6">
        <v>45292</v>
      </c>
      <c r="C144">
        <v>38511</v>
      </c>
    </row>
    <row r="145" spans="2:4" x14ac:dyDescent="0.2">
      <c r="B145" s="6">
        <v>45323</v>
      </c>
      <c r="C145">
        <v>38118</v>
      </c>
    </row>
    <row r="146" spans="2:4" x14ac:dyDescent="0.2">
      <c r="B146" s="6">
        <v>45352</v>
      </c>
      <c r="C146">
        <v>38243</v>
      </c>
    </row>
    <row r="147" spans="2:4" x14ac:dyDescent="0.2">
      <c r="B147" s="6">
        <v>45383</v>
      </c>
      <c r="C147">
        <v>38337</v>
      </c>
    </row>
    <row r="148" spans="2:4" x14ac:dyDescent="0.2">
      <c r="B148" s="6">
        <v>45413</v>
      </c>
      <c r="C148">
        <v>38436</v>
      </c>
    </row>
    <row r="149" spans="2:4" x14ac:dyDescent="0.2">
      <c r="B149" s="6">
        <v>45444</v>
      </c>
      <c r="C149">
        <v>38618</v>
      </c>
    </row>
    <row r="150" spans="2:4" x14ac:dyDescent="0.2">
      <c r="B150" s="6">
        <v>45474</v>
      </c>
      <c r="C150">
        <v>38732</v>
      </c>
    </row>
    <row r="151" spans="2:4" x14ac:dyDescent="0.2">
      <c r="B151" s="6">
        <v>45505</v>
      </c>
      <c r="C151">
        <v>39093</v>
      </c>
    </row>
    <row r="152" spans="2:4" x14ac:dyDescent="0.2">
      <c r="B152" s="6">
        <v>45536</v>
      </c>
      <c r="C152">
        <v>39240</v>
      </c>
    </row>
    <row r="153" spans="2:4" x14ac:dyDescent="0.2">
      <c r="B153" s="6">
        <v>45566</v>
      </c>
      <c r="C153">
        <v>39537</v>
      </c>
    </row>
    <row r="154" spans="2:4" x14ac:dyDescent="0.2">
      <c r="B154" s="6">
        <v>45597</v>
      </c>
      <c r="C154">
        <v>39509</v>
      </c>
    </row>
    <row r="155" spans="2:4" x14ac:dyDescent="0.2">
      <c r="B155" s="6">
        <v>45627</v>
      </c>
      <c r="C155">
        <v>39307</v>
      </c>
    </row>
    <row r="156" spans="2:4" x14ac:dyDescent="0.2">
      <c r="B156" s="6">
        <v>45658</v>
      </c>
      <c r="C156">
        <v>38765</v>
      </c>
    </row>
    <row r="157" spans="2:4" x14ac:dyDescent="0.2">
      <c r="B157" s="6">
        <v>45689</v>
      </c>
      <c r="C157">
        <v>38367</v>
      </c>
    </row>
    <row r="158" spans="2:4" x14ac:dyDescent="0.2">
      <c r="B158" s="6">
        <v>45717</v>
      </c>
      <c r="C158">
        <v>38189</v>
      </c>
    </row>
    <row r="159" spans="2:4" x14ac:dyDescent="0.2">
      <c r="B159" s="6">
        <v>45748</v>
      </c>
      <c r="C159">
        <v>38450</v>
      </c>
    </row>
    <row r="160" spans="2:4" x14ac:dyDescent="0.2">
      <c r="B160" s="6">
        <v>45778</v>
      </c>
      <c r="C160">
        <v>38545</v>
      </c>
      <c r="D160">
        <f t="shared" ref="D160:D168" si="0">C160/C148-1</f>
        <v>2.8358830263295332E-3</v>
      </c>
    </row>
    <row r="161" spans="2:4" x14ac:dyDescent="0.2">
      <c r="B161" s="6">
        <v>45809</v>
      </c>
      <c r="C161">
        <v>38718</v>
      </c>
      <c r="D161">
        <f t="shared" si="0"/>
        <v>2.5894660520999757E-3</v>
      </c>
    </row>
    <row r="162" spans="2:4" x14ac:dyDescent="0.2">
      <c r="B162" s="6">
        <v>45839</v>
      </c>
      <c r="C162">
        <v>38762</v>
      </c>
      <c r="D162">
        <f t="shared" si="0"/>
        <v>7.7455334090670291E-4</v>
      </c>
    </row>
    <row r="163" spans="2:4" x14ac:dyDescent="0.2">
      <c r="B163" s="6">
        <v>45870</v>
      </c>
      <c r="C163">
        <v>38878</v>
      </c>
      <c r="D163">
        <f t="shared" si="0"/>
        <v>-5.4997058296881729E-3</v>
      </c>
    </row>
    <row r="164" spans="2:4" x14ac:dyDescent="0.2">
      <c r="B164" s="6">
        <v>45901</v>
      </c>
      <c r="C164">
        <v>38747</v>
      </c>
      <c r="D164">
        <f t="shared" si="0"/>
        <v>-1.2563710499490344E-2</v>
      </c>
    </row>
    <row r="165" spans="2:4" x14ac:dyDescent="0.2">
      <c r="B165" s="6">
        <v>45931</v>
      </c>
      <c r="C165">
        <v>38810</v>
      </c>
      <c r="D165">
        <f t="shared" si="0"/>
        <v>-1.8387839239193626E-2</v>
      </c>
    </row>
    <row r="166" spans="2:4" x14ac:dyDescent="0.2">
      <c r="B166" s="6">
        <v>45962</v>
      </c>
      <c r="C166">
        <v>38817</v>
      </c>
      <c r="D166">
        <f t="shared" si="0"/>
        <v>-1.7514996583056996E-2</v>
      </c>
    </row>
    <row r="167" spans="2:4" x14ac:dyDescent="0.2">
      <c r="B167" s="6">
        <v>45992</v>
      </c>
      <c r="C167">
        <v>38708</v>
      </c>
      <c r="D167">
        <f t="shared" si="0"/>
        <v>-1.5239015951357238E-2</v>
      </c>
    </row>
    <row r="168" spans="2:4" x14ac:dyDescent="0.2">
      <c r="B168" s="6">
        <v>46023</v>
      </c>
      <c r="C168">
        <v>38525</v>
      </c>
      <c r="D168">
        <f t="shared" si="0"/>
        <v>-6.1911518122017561E-3</v>
      </c>
    </row>
    <row r="169" spans="2:4" x14ac:dyDescent="0.2">
      <c r="B169" s="6">
        <v>46054</v>
      </c>
      <c r="C169">
        <v>38267</v>
      </c>
      <c r="D169" s="9">
        <f>C169/C157-1</f>
        <v>-2.6064065472932718E-3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8842-1E8D-4630-8DA3-42B49FD67994}">
  <sheetPr codeName="Planilha9"/>
  <dimension ref="A1:U173"/>
  <sheetViews>
    <sheetView workbookViewId="0">
      <selection activeCell="R4" sqref="R4"/>
    </sheetView>
  </sheetViews>
  <sheetFormatPr defaultColWidth="9.140625" defaultRowHeight="15" x14ac:dyDescent="0.25"/>
  <cols>
    <col min="1" max="3" width="9.140625" style="196"/>
    <col min="4" max="4" width="15.42578125" style="196" customWidth="1"/>
    <col min="5" max="9" width="9.140625" style="196"/>
    <col min="10" max="11" width="12.42578125" style="196" bestFit="1" customWidth="1"/>
    <col min="12" max="16384" width="9.140625" style="196"/>
  </cols>
  <sheetData>
    <row r="1" spans="1:21" x14ac:dyDescent="0.25">
      <c r="A1" s="213" t="s">
        <v>123</v>
      </c>
      <c r="B1" s="213"/>
      <c r="C1" s="213"/>
      <c r="D1" s="213"/>
      <c r="E1" s="213"/>
      <c r="F1" s="213"/>
      <c r="G1" s="213"/>
      <c r="H1" s="213"/>
      <c r="I1" s="213"/>
    </row>
    <row r="2" spans="1:21" x14ac:dyDescent="0.25">
      <c r="A2" s="213" t="s">
        <v>124</v>
      </c>
      <c r="B2" s="213"/>
      <c r="C2" s="213"/>
      <c r="D2" s="213"/>
      <c r="E2" s="213"/>
      <c r="F2" s="213"/>
      <c r="G2" s="213"/>
      <c r="H2" s="213"/>
      <c r="I2" s="213"/>
    </row>
    <row r="3" spans="1:21" x14ac:dyDescent="0.25">
      <c r="A3" s="213"/>
      <c r="B3" s="213" t="s">
        <v>125</v>
      </c>
      <c r="C3" s="213" t="s">
        <v>126</v>
      </c>
      <c r="D3" s="213"/>
      <c r="E3" s="213"/>
      <c r="F3" s="213"/>
      <c r="G3" s="213"/>
      <c r="H3" s="213"/>
      <c r="I3" s="213"/>
    </row>
    <row r="4" spans="1:21" x14ac:dyDescent="0.25">
      <c r="A4" s="213"/>
      <c r="B4" s="213"/>
      <c r="C4" s="196" t="s">
        <v>97</v>
      </c>
      <c r="D4" s="197" t="s">
        <v>127</v>
      </c>
      <c r="E4" s="196" t="s">
        <v>128</v>
      </c>
      <c r="F4" s="196" t="s">
        <v>129</v>
      </c>
      <c r="G4" s="196" t="s">
        <v>41</v>
      </c>
      <c r="H4" s="196" t="s">
        <v>130</v>
      </c>
      <c r="I4" s="196" t="s">
        <v>131</v>
      </c>
      <c r="O4" s="196" t="s">
        <v>97</v>
      </c>
      <c r="P4" s="196" t="s">
        <v>127</v>
      </c>
      <c r="Q4" s="196" t="s">
        <v>128</v>
      </c>
      <c r="R4" s="196" t="s">
        <v>129</v>
      </c>
      <c r="S4" s="196" t="s">
        <v>41</v>
      </c>
      <c r="T4" s="196" t="s">
        <v>130</v>
      </c>
      <c r="U4" s="196" t="s">
        <v>131</v>
      </c>
    </row>
    <row r="5" spans="1:21" x14ac:dyDescent="0.25">
      <c r="A5" s="213" t="s">
        <v>132</v>
      </c>
      <c r="B5" s="196" t="s">
        <v>133</v>
      </c>
      <c r="C5" s="196">
        <v>87713</v>
      </c>
      <c r="D5" s="196">
        <v>45223</v>
      </c>
      <c r="E5" s="196">
        <v>5948</v>
      </c>
      <c r="F5" s="196">
        <v>10737</v>
      </c>
      <c r="G5" s="196">
        <v>3383</v>
      </c>
      <c r="H5" s="196">
        <v>20096</v>
      </c>
      <c r="I5" s="196">
        <v>2326</v>
      </c>
      <c r="J5" s="196" t="b">
        <f t="shared" ref="J5:J68" si="0">C5&lt;$C$166</f>
        <v>1</v>
      </c>
      <c r="K5" s="196" t="b">
        <f t="shared" ref="K5:K68" si="1">D5&lt;$D$166</f>
        <v>1</v>
      </c>
      <c r="O5" s="196" t="s">
        <v>306</v>
      </c>
      <c r="P5" s="196" t="s">
        <v>306</v>
      </c>
      <c r="Q5" s="196" t="s">
        <v>306</v>
      </c>
      <c r="R5" s="196" t="s">
        <v>306</v>
      </c>
      <c r="S5" s="196" t="s">
        <v>306</v>
      </c>
      <c r="T5" s="196" t="s">
        <v>306</v>
      </c>
      <c r="U5" s="196" t="s">
        <v>306</v>
      </c>
    </row>
    <row r="6" spans="1:21" x14ac:dyDescent="0.25">
      <c r="A6" s="213"/>
      <c r="B6" s="196" t="s">
        <v>134</v>
      </c>
      <c r="C6" s="196">
        <v>88535</v>
      </c>
      <c r="D6" s="196">
        <v>45583</v>
      </c>
      <c r="E6" s="196">
        <v>5942</v>
      </c>
      <c r="F6" s="196">
        <v>10853</v>
      </c>
      <c r="G6" s="196">
        <v>3488</v>
      </c>
      <c r="H6" s="196">
        <v>20129</v>
      </c>
      <c r="I6" s="196">
        <v>2541</v>
      </c>
      <c r="J6" s="196" t="b">
        <f t="shared" si="0"/>
        <v>1</v>
      </c>
      <c r="K6" s="196" t="b">
        <f t="shared" si="1"/>
        <v>1</v>
      </c>
      <c r="O6" s="196" t="s">
        <v>306</v>
      </c>
      <c r="P6" s="196" t="s">
        <v>306</v>
      </c>
      <c r="Q6" s="196" t="s">
        <v>306</v>
      </c>
      <c r="R6" s="196" t="s">
        <v>306</v>
      </c>
      <c r="S6" s="196" t="s">
        <v>306</v>
      </c>
      <c r="T6" s="196" t="s">
        <v>306</v>
      </c>
      <c r="U6" s="196" t="s">
        <v>306</v>
      </c>
    </row>
    <row r="7" spans="1:21" x14ac:dyDescent="0.25">
      <c r="A7" s="213"/>
      <c r="B7" s="196" t="s">
        <v>135</v>
      </c>
      <c r="C7" s="196">
        <v>89059</v>
      </c>
      <c r="D7" s="196">
        <v>45824</v>
      </c>
      <c r="E7" s="196">
        <v>5995</v>
      </c>
      <c r="F7" s="196">
        <v>10893</v>
      </c>
      <c r="G7" s="196">
        <v>3499</v>
      </c>
      <c r="H7" s="196">
        <v>20090</v>
      </c>
      <c r="I7" s="196">
        <v>2759</v>
      </c>
      <c r="J7" s="196" t="b">
        <f t="shared" si="0"/>
        <v>1</v>
      </c>
      <c r="K7" s="196" t="b">
        <f t="shared" si="1"/>
        <v>1</v>
      </c>
      <c r="O7" s="196" t="s">
        <v>306</v>
      </c>
      <c r="P7" s="196" t="s">
        <v>306</v>
      </c>
      <c r="Q7" s="196" t="s">
        <v>306</v>
      </c>
      <c r="R7" s="196" t="s">
        <v>306</v>
      </c>
      <c r="S7" s="196" t="s">
        <v>306</v>
      </c>
      <c r="T7" s="196" t="s">
        <v>306</v>
      </c>
      <c r="U7" s="196" t="s">
        <v>306</v>
      </c>
    </row>
    <row r="8" spans="1:21" x14ac:dyDescent="0.25">
      <c r="A8" s="213"/>
      <c r="B8" s="196" t="s">
        <v>136</v>
      </c>
      <c r="C8" s="196">
        <v>89318</v>
      </c>
      <c r="D8" s="196">
        <v>46083</v>
      </c>
      <c r="E8" s="196">
        <v>5994</v>
      </c>
      <c r="F8" s="196">
        <v>10997</v>
      </c>
      <c r="G8" s="196">
        <v>3490</v>
      </c>
      <c r="H8" s="196">
        <v>19855</v>
      </c>
      <c r="I8" s="196">
        <v>2900</v>
      </c>
      <c r="J8" s="196" t="b">
        <f t="shared" si="0"/>
        <v>1</v>
      </c>
      <c r="K8" s="196" t="b">
        <f t="shared" si="1"/>
        <v>1</v>
      </c>
      <c r="O8" s="196" t="s">
        <v>306</v>
      </c>
      <c r="P8" s="196" t="s">
        <v>306</v>
      </c>
      <c r="Q8" s="196" t="s">
        <v>306</v>
      </c>
      <c r="R8" s="196" t="s">
        <v>306</v>
      </c>
      <c r="S8" s="196" t="s">
        <v>306</v>
      </c>
      <c r="T8" s="196" t="s">
        <v>306</v>
      </c>
      <c r="U8" s="196" t="s">
        <v>306</v>
      </c>
    </row>
    <row r="9" spans="1:21" x14ac:dyDescent="0.25">
      <c r="A9" s="213"/>
      <c r="B9" s="196" t="s">
        <v>137</v>
      </c>
      <c r="C9" s="196">
        <v>89445</v>
      </c>
      <c r="D9" s="196">
        <v>46219</v>
      </c>
      <c r="E9" s="196">
        <v>5984</v>
      </c>
      <c r="F9" s="196">
        <v>11085</v>
      </c>
      <c r="G9" s="196">
        <v>3496</v>
      </c>
      <c r="H9" s="196">
        <v>19767</v>
      </c>
      <c r="I9" s="196">
        <v>2895</v>
      </c>
      <c r="J9" s="196" t="b">
        <f t="shared" si="0"/>
        <v>1</v>
      </c>
      <c r="K9" s="196" t="b">
        <f t="shared" si="1"/>
        <v>1</v>
      </c>
      <c r="O9" s="196" t="s">
        <v>306</v>
      </c>
      <c r="P9" s="196" t="s">
        <v>306</v>
      </c>
      <c r="Q9" s="196" t="s">
        <v>306</v>
      </c>
      <c r="R9" s="196" t="s">
        <v>306</v>
      </c>
      <c r="S9" s="196" t="s">
        <v>306</v>
      </c>
      <c r="T9" s="196" t="s">
        <v>306</v>
      </c>
      <c r="U9" s="196" t="s">
        <v>306</v>
      </c>
    </row>
    <row r="10" spans="1:21" x14ac:dyDescent="0.25">
      <c r="A10" s="213"/>
      <c r="B10" s="196" t="s">
        <v>138</v>
      </c>
      <c r="C10" s="196">
        <v>89732</v>
      </c>
      <c r="D10" s="196">
        <v>46413</v>
      </c>
      <c r="E10" s="196">
        <v>5988</v>
      </c>
      <c r="F10" s="196">
        <v>11169</v>
      </c>
      <c r="G10" s="196">
        <v>3529</v>
      </c>
      <c r="H10" s="196">
        <v>19760</v>
      </c>
      <c r="I10" s="196">
        <v>2872</v>
      </c>
      <c r="J10" s="196" t="b">
        <f t="shared" si="0"/>
        <v>1</v>
      </c>
      <c r="K10" s="196" t="b">
        <f t="shared" si="1"/>
        <v>1</v>
      </c>
      <c r="O10" s="196" t="s">
        <v>306</v>
      </c>
      <c r="P10" s="196" t="s">
        <v>306</v>
      </c>
      <c r="Q10" s="196" t="s">
        <v>306</v>
      </c>
      <c r="R10" s="196" t="s">
        <v>306</v>
      </c>
      <c r="S10" s="196" t="s">
        <v>306</v>
      </c>
      <c r="T10" s="196" t="s">
        <v>306</v>
      </c>
      <c r="U10" s="196" t="s">
        <v>306</v>
      </c>
    </row>
    <row r="11" spans="1:21" x14ac:dyDescent="0.25">
      <c r="A11" s="213"/>
      <c r="B11" s="196" t="s">
        <v>139</v>
      </c>
      <c r="C11" s="196">
        <v>89958</v>
      </c>
      <c r="D11" s="196">
        <v>46698</v>
      </c>
      <c r="E11" s="196">
        <v>5982</v>
      </c>
      <c r="F11" s="196">
        <v>11122</v>
      </c>
      <c r="G11" s="196">
        <v>3533</v>
      </c>
      <c r="H11" s="196">
        <v>19806</v>
      </c>
      <c r="I11" s="196">
        <v>2816</v>
      </c>
      <c r="J11" s="196" t="b">
        <f t="shared" si="0"/>
        <v>1</v>
      </c>
      <c r="K11" s="196" t="b">
        <f t="shared" si="1"/>
        <v>1</v>
      </c>
      <c r="O11" s="196" t="s">
        <v>306</v>
      </c>
      <c r="P11" s="196" t="s">
        <v>306</v>
      </c>
      <c r="Q11" s="196" t="s">
        <v>306</v>
      </c>
      <c r="R11" s="196" t="s">
        <v>306</v>
      </c>
      <c r="S11" s="196" t="s">
        <v>306</v>
      </c>
      <c r="T11" s="196" t="s">
        <v>306</v>
      </c>
      <c r="U11" s="196" t="s">
        <v>306</v>
      </c>
    </row>
    <row r="12" spans="1:21" x14ac:dyDescent="0.25">
      <c r="A12" s="213"/>
      <c r="B12" s="196" t="s">
        <v>140</v>
      </c>
      <c r="C12" s="196">
        <v>90099</v>
      </c>
      <c r="D12" s="196">
        <v>46838</v>
      </c>
      <c r="E12" s="196">
        <v>5949</v>
      </c>
      <c r="F12" s="196">
        <v>11091</v>
      </c>
      <c r="G12" s="196">
        <v>3538</v>
      </c>
      <c r="H12" s="196">
        <v>19943</v>
      </c>
      <c r="I12" s="196">
        <v>2740</v>
      </c>
      <c r="J12" s="196" t="b">
        <f t="shared" si="0"/>
        <v>1</v>
      </c>
      <c r="K12" s="196" t="b">
        <f t="shared" si="1"/>
        <v>1</v>
      </c>
      <c r="O12" s="196" t="s">
        <v>306</v>
      </c>
      <c r="P12" s="196" t="s">
        <v>306</v>
      </c>
      <c r="Q12" s="196" t="s">
        <v>306</v>
      </c>
      <c r="R12" s="196" t="s">
        <v>306</v>
      </c>
      <c r="S12" s="196" t="s">
        <v>306</v>
      </c>
      <c r="T12" s="196" t="s">
        <v>306</v>
      </c>
      <c r="U12" s="196" t="s">
        <v>306</v>
      </c>
    </row>
    <row r="13" spans="1:21" x14ac:dyDescent="0.25">
      <c r="A13" s="213"/>
      <c r="B13" s="196" t="s">
        <v>141</v>
      </c>
      <c r="C13" s="196">
        <v>90178</v>
      </c>
      <c r="D13" s="196">
        <v>46831</v>
      </c>
      <c r="E13" s="196">
        <v>5955</v>
      </c>
      <c r="F13" s="196">
        <v>11002</v>
      </c>
      <c r="G13" s="196">
        <v>3597</v>
      </c>
      <c r="H13" s="196">
        <v>20040</v>
      </c>
      <c r="I13" s="196">
        <v>2754</v>
      </c>
      <c r="J13" s="196" t="b">
        <f t="shared" si="0"/>
        <v>1</v>
      </c>
      <c r="K13" s="196" t="b">
        <f t="shared" si="1"/>
        <v>1</v>
      </c>
      <c r="O13" s="196" t="s">
        <v>306</v>
      </c>
      <c r="P13" s="196" t="s">
        <v>306</v>
      </c>
      <c r="Q13" s="196" t="s">
        <v>306</v>
      </c>
      <c r="R13" s="196" t="s">
        <v>306</v>
      </c>
      <c r="S13" s="196" t="s">
        <v>306</v>
      </c>
      <c r="T13" s="196" t="s">
        <v>306</v>
      </c>
      <c r="U13" s="196" t="s">
        <v>306</v>
      </c>
    </row>
    <row r="14" spans="1:21" x14ac:dyDescent="0.25">
      <c r="A14" s="213"/>
      <c r="B14" s="196" t="s">
        <v>142</v>
      </c>
      <c r="C14" s="196">
        <v>90209</v>
      </c>
      <c r="D14" s="196">
        <v>46806</v>
      </c>
      <c r="E14" s="196">
        <v>5988</v>
      </c>
      <c r="F14" s="196">
        <v>10865</v>
      </c>
      <c r="G14" s="196">
        <v>3625</v>
      </c>
      <c r="H14" s="196">
        <v>20146</v>
      </c>
      <c r="I14" s="196">
        <v>2778</v>
      </c>
      <c r="J14" s="196" t="b">
        <f t="shared" si="0"/>
        <v>1</v>
      </c>
      <c r="K14" s="196" t="b">
        <f t="shared" si="1"/>
        <v>1</v>
      </c>
      <c r="O14" s="196" t="s">
        <v>306</v>
      </c>
      <c r="P14" s="196" t="s">
        <v>306</v>
      </c>
      <c r="Q14" s="196" t="s">
        <v>306</v>
      </c>
      <c r="R14" s="196" t="s">
        <v>306</v>
      </c>
      <c r="S14" s="196" t="s">
        <v>306</v>
      </c>
      <c r="T14" s="196" t="s">
        <v>306</v>
      </c>
      <c r="U14" s="196" t="s">
        <v>306</v>
      </c>
    </row>
    <row r="15" spans="1:21" x14ac:dyDescent="0.25">
      <c r="A15" s="213"/>
      <c r="B15" s="196" t="s">
        <v>143</v>
      </c>
      <c r="C15" s="196">
        <v>89898</v>
      </c>
      <c r="D15" s="196">
        <v>46772</v>
      </c>
      <c r="E15" s="196">
        <v>5993</v>
      </c>
      <c r="F15" s="196">
        <v>10653</v>
      </c>
      <c r="G15" s="196">
        <v>3620</v>
      </c>
      <c r="H15" s="196">
        <v>20094</v>
      </c>
      <c r="I15" s="196">
        <v>2766</v>
      </c>
      <c r="J15" s="196" t="b">
        <f t="shared" si="0"/>
        <v>1</v>
      </c>
      <c r="K15" s="196" t="b">
        <f t="shared" si="1"/>
        <v>1</v>
      </c>
      <c r="O15" s="196" t="s">
        <v>306</v>
      </c>
      <c r="P15" s="196" t="s">
        <v>306</v>
      </c>
      <c r="Q15" s="196" t="s">
        <v>306</v>
      </c>
      <c r="R15" s="196" t="s">
        <v>306</v>
      </c>
      <c r="S15" s="196" t="s">
        <v>306</v>
      </c>
      <c r="T15" s="196" t="s">
        <v>306</v>
      </c>
      <c r="U15" s="196" t="s">
        <v>306</v>
      </c>
    </row>
    <row r="16" spans="1:21" x14ac:dyDescent="0.25">
      <c r="A16" s="213"/>
      <c r="B16" s="196" t="s">
        <v>144</v>
      </c>
      <c r="C16" s="196">
        <v>89513</v>
      </c>
      <c r="D16" s="196">
        <v>46715</v>
      </c>
      <c r="E16" s="196">
        <v>5950</v>
      </c>
      <c r="F16" s="196">
        <v>10585</v>
      </c>
      <c r="G16" s="196">
        <v>3603</v>
      </c>
      <c r="H16" s="196">
        <v>19939</v>
      </c>
      <c r="I16" s="196">
        <v>2722</v>
      </c>
      <c r="J16" s="196" t="b">
        <f t="shared" si="0"/>
        <v>1</v>
      </c>
      <c r="K16" s="196" t="b">
        <f t="shared" si="1"/>
        <v>1</v>
      </c>
      <c r="O16" s="196" t="s">
        <v>306</v>
      </c>
      <c r="P16" s="196" t="s">
        <v>306</v>
      </c>
      <c r="Q16" s="196" t="s">
        <v>306</v>
      </c>
      <c r="R16" s="196" t="s">
        <v>306</v>
      </c>
      <c r="S16" s="196" t="s">
        <v>306</v>
      </c>
      <c r="T16" s="196" t="s">
        <v>306</v>
      </c>
      <c r="U16" s="196" t="s">
        <v>306</v>
      </c>
    </row>
    <row r="17" spans="1:21" x14ac:dyDescent="0.25">
      <c r="A17" s="213"/>
      <c r="B17" s="196" t="s">
        <v>145</v>
      </c>
      <c r="C17" s="196">
        <v>89298</v>
      </c>
      <c r="D17" s="196">
        <v>46443</v>
      </c>
      <c r="E17" s="196">
        <v>5917</v>
      </c>
      <c r="F17" s="196">
        <v>10621</v>
      </c>
      <c r="G17" s="196">
        <v>3598</v>
      </c>
      <c r="H17" s="196">
        <v>20005</v>
      </c>
      <c r="I17" s="196">
        <v>2714</v>
      </c>
      <c r="J17" s="196" t="b">
        <f t="shared" si="0"/>
        <v>1</v>
      </c>
      <c r="K17" s="196" t="b">
        <f t="shared" si="1"/>
        <v>1</v>
      </c>
      <c r="O17" s="196">
        <v>1.8</v>
      </c>
      <c r="P17" s="196">
        <v>2.7</v>
      </c>
      <c r="Q17" s="196">
        <v>-0.5</v>
      </c>
      <c r="R17" s="196">
        <v>-1.1000000000000001</v>
      </c>
      <c r="S17" s="196">
        <v>6.4</v>
      </c>
      <c r="T17" s="196">
        <v>-0.5</v>
      </c>
      <c r="U17" s="196">
        <v>16.7</v>
      </c>
    </row>
    <row r="18" spans="1:21" x14ac:dyDescent="0.25">
      <c r="A18" s="213"/>
      <c r="B18" s="196" t="s">
        <v>146</v>
      </c>
      <c r="C18" s="196">
        <v>89682</v>
      </c>
      <c r="D18" s="196">
        <v>46480</v>
      </c>
      <c r="E18" s="196">
        <v>5927</v>
      </c>
      <c r="F18" s="196">
        <v>10819</v>
      </c>
      <c r="G18" s="196">
        <v>3653</v>
      </c>
      <c r="H18" s="196">
        <v>20069</v>
      </c>
      <c r="I18" s="196">
        <v>2734</v>
      </c>
      <c r="J18" s="196" t="b">
        <f t="shared" si="0"/>
        <v>1</v>
      </c>
      <c r="K18" s="196" t="b">
        <f t="shared" si="1"/>
        <v>1</v>
      </c>
      <c r="O18" s="196">
        <v>1.3</v>
      </c>
      <c r="P18" s="196">
        <v>2</v>
      </c>
      <c r="Q18" s="196">
        <v>-0.3</v>
      </c>
      <c r="R18" s="196">
        <v>-0.3</v>
      </c>
      <c r="S18" s="196">
        <v>4.7</v>
      </c>
      <c r="T18" s="196">
        <v>-0.3</v>
      </c>
      <c r="U18" s="196">
        <v>7.6</v>
      </c>
    </row>
    <row r="19" spans="1:21" x14ac:dyDescent="0.25">
      <c r="A19" s="213"/>
      <c r="B19" s="196" t="s">
        <v>147</v>
      </c>
      <c r="C19" s="196">
        <v>90128</v>
      </c>
      <c r="D19" s="196">
        <v>46698</v>
      </c>
      <c r="E19" s="196">
        <v>5928</v>
      </c>
      <c r="F19" s="196">
        <v>10865</v>
      </c>
      <c r="G19" s="196">
        <v>3609</v>
      </c>
      <c r="H19" s="196">
        <v>20270</v>
      </c>
      <c r="I19" s="196">
        <v>2758</v>
      </c>
      <c r="J19" s="196" t="b">
        <f t="shared" si="0"/>
        <v>1</v>
      </c>
      <c r="K19" s="196" t="b">
        <f t="shared" si="1"/>
        <v>1</v>
      </c>
      <c r="O19" s="196">
        <v>1.2</v>
      </c>
      <c r="P19" s="196">
        <v>1.9</v>
      </c>
      <c r="Q19" s="196">
        <v>-1.1000000000000001</v>
      </c>
      <c r="R19" s="196">
        <v>-0.2</v>
      </c>
      <c r="S19" s="196">
        <v>3.1</v>
      </c>
      <c r="T19" s="196">
        <v>0.9</v>
      </c>
      <c r="U19" s="196">
        <v>0</v>
      </c>
    </row>
    <row r="20" spans="1:21" x14ac:dyDescent="0.25">
      <c r="A20" s="213"/>
      <c r="B20" s="196" t="s">
        <v>148</v>
      </c>
      <c r="C20" s="196">
        <v>90419</v>
      </c>
      <c r="D20" s="196">
        <v>46850</v>
      </c>
      <c r="E20" s="196">
        <v>5816</v>
      </c>
      <c r="F20" s="196">
        <v>11004</v>
      </c>
      <c r="G20" s="196">
        <v>3662</v>
      </c>
      <c r="H20" s="196">
        <v>20334</v>
      </c>
      <c r="I20" s="196">
        <v>2752</v>
      </c>
      <c r="J20" s="196" t="b">
        <f t="shared" si="0"/>
        <v>1</v>
      </c>
      <c r="K20" s="196" t="b">
        <f t="shared" si="1"/>
        <v>1</v>
      </c>
      <c r="O20" s="196">
        <v>1.2</v>
      </c>
      <c r="P20" s="196">
        <v>1.7</v>
      </c>
      <c r="Q20" s="196">
        <v>-3</v>
      </c>
      <c r="R20" s="196">
        <v>0.1</v>
      </c>
      <c r="S20" s="196">
        <v>4.9000000000000004</v>
      </c>
      <c r="T20" s="196">
        <v>2.4</v>
      </c>
      <c r="U20" s="196">
        <v>-5.0999999999999996</v>
      </c>
    </row>
    <row r="21" spans="1:21" x14ac:dyDescent="0.25">
      <c r="A21" s="213"/>
      <c r="B21" s="196" t="s">
        <v>149</v>
      </c>
      <c r="C21" s="196">
        <v>90663</v>
      </c>
      <c r="D21" s="196">
        <v>46993</v>
      </c>
      <c r="E21" s="196">
        <v>5806</v>
      </c>
      <c r="F21" s="196">
        <v>11052</v>
      </c>
      <c r="G21" s="196">
        <v>3678</v>
      </c>
      <c r="H21" s="196">
        <v>20422</v>
      </c>
      <c r="I21" s="196">
        <v>2711</v>
      </c>
      <c r="J21" s="196" t="b">
        <f t="shared" si="0"/>
        <v>1</v>
      </c>
      <c r="K21" s="196" t="b">
        <f t="shared" si="1"/>
        <v>1</v>
      </c>
      <c r="O21" s="196">
        <v>1.4</v>
      </c>
      <c r="P21" s="196">
        <v>1.7</v>
      </c>
      <c r="Q21" s="196">
        <v>-3</v>
      </c>
      <c r="R21" s="196">
        <v>-0.3</v>
      </c>
      <c r="S21" s="196">
        <v>5.2</v>
      </c>
      <c r="T21" s="196">
        <v>3.3</v>
      </c>
      <c r="U21" s="196">
        <v>-6.4</v>
      </c>
    </row>
    <row r="22" spans="1:21" x14ac:dyDescent="0.25">
      <c r="A22" s="213"/>
      <c r="B22" s="196" t="s">
        <v>150</v>
      </c>
      <c r="C22" s="196">
        <v>90782</v>
      </c>
      <c r="D22" s="196">
        <v>47224</v>
      </c>
      <c r="E22" s="196">
        <v>5723</v>
      </c>
      <c r="F22" s="196">
        <v>11081</v>
      </c>
      <c r="G22" s="196">
        <v>3676</v>
      </c>
      <c r="H22" s="196">
        <v>20432</v>
      </c>
      <c r="I22" s="196">
        <v>2647</v>
      </c>
      <c r="J22" s="196" t="b">
        <f t="shared" si="0"/>
        <v>1</v>
      </c>
      <c r="K22" s="196" t="b">
        <f t="shared" si="1"/>
        <v>1</v>
      </c>
      <c r="O22" s="196">
        <v>1.2</v>
      </c>
      <c r="P22" s="196">
        <v>1.7</v>
      </c>
      <c r="Q22" s="196">
        <v>-4.4000000000000004</v>
      </c>
      <c r="R22" s="196">
        <v>-0.8</v>
      </c>
      <c r="S22" s="196">
        <v>4.2</v>
      </c>
      <c r="T22" s="196">
        <v>3.4</v>
      </c>
      <c r="U22" s="196">
        <v>-7.9</v>
      </c>
    </row>
    <row r="23" spans="1:21" x14ac:dyDescent="0.25">
      <c r="A23" s="213"/>
      <c r="B23" s="196" t="s">
        <v>151</v>
      </c>
      <c r="C23" s="196">
        <v>90982</v>
      </c>
      <c r="D23" s="196">
        <v>47393</v>
      </c>
      <c r="E23" s="196">
        <v>5797</v>
      </c>
      <c r="F23" s="196">
        <v>11044</v>
      </c>
      <c r="G23" s="196">
        <v>3644</v>
      </c>
      <c r="H23" s="196">
        <v>20497</v>
      </c>
      <c r="I23" s="196">
        <v>2607</v>
      </c>
      <c r="J23" s="196" t="b">
        <f t="shared" si="0"/>
        <v>1</v>
      </c>
      <c r="K23" s="196" t="b">
        <f t="shared" si="1"/>
        <v>1</v>
      </c>
      <c r="O23" s="196">
        <v>1.1000000000000001</v>
      </c>
      <c r="P23" s="196">
        <v>1.5</v>
      </c>
      <c r="Q23" s="196">
        <v>-3.1</v>
      </c>
      <c r="R23" s="196">
        <v>-0.7</v>
      </c>
      <c r="S23" s="196">
        <v>3.1</v>
      </c>
      <c r="T23" s="196">
        <v>3.5</v>
      </c>
      <c r="U23" s="196">
        <v>-7.4</v>
      </c>
    </row>
    <row r="24" spans="1:21" x14ac:dyDescent="0.25">
      <c r="A24" s="213"/>
      <c r="B24" s="196" t="s">
        <v>152</v>
      </c>
      <c r="C24" s="196">
        <v>91139</v>
      </c>
      <c r="D24" s="196">
        <v>47564</v>
      </c>
      <c r="E24" s="196">
        <v>5795</v>
      </c>
      <c r="F24" s="196">
        <v>11045</v>
      </c>
      <c r="G24" s="196">
        <v>3680</v>
      </c>
      <c r="H24" s="196">
        <v>20455</v>
      </c>
      <c r="I24" s="196">
        <v>2601</v>
      </c>
      <c r="J24" s="196" t="b">
        <f t="shared" si="0"/>
        <v>1</v>
      </c>
      <c r="K24" s="196" t="b">
        <f t="shared" si="1"/>
        <v>1</v>
      </c>
      <c r="O24" s="196">
        <v>1.2</v>
      </c>
      <c r="P24" s="196">
        <v>1.5</v>
      </c>
      <c r="Q24" s="196">
        <v>-2.6</v>
      </c>
      <c r="R24" s="196">
        <v>-0.4</v>
      </c>
      <c r="S24" s="196">
        <v>4</v>
      </c>
      <c r="T24" s="196">
        <v>2.6</v>
      </c>
      <c r="U24" s="196">
        <v>-5.0999999999999996</v>
      </c>
    </row>
    <row r="25" spans="1:21" x14ac:dyDescent="0.25">
      <c r="A25" s="213"/>
      <c r="B25" s="196" t="s">
        <v>153</v>
      </c>
      <c r="C25" s="196">
        <v>91521</v>
      </c>
      <c r="D25" s="196">
        <v>47668</v>
      </c>
      <c r="E25" s="196">
        <v>5838</v>
      </c>
      <c r="F25" s="196">
        <v>11040</v>
      </c>
      <c r="G25" s="196">
        <v>3752</v>
      </c>
      <c r="H25" s="196">
        <v>20571</v>
      </c>
      <c r="I25" s="196">
        <v>2651</v>
      </c>
      <c r="J25" s="196" t="b">
        <f t="shared" si="0"/>
        <v>1</v>
      </c>
      <c r="K25" s="196" t="b">
        <f t="shared" si="1"/>
        <v>1</v>
      </c>
      <c r="O25" s="196">
        <v>1.5</v>
      </c>
      <c r="P25" s="196">
        <v>1.8</v>
      </c>
      <c r="Q25" s="196">
        <v>-2</v>
      </c>
      <c r="R25" s="196">
        <v>0.3</v>
      </c>
      <c r="S25" s="196">
        <v>4.3</v>
      </c>
      <c r="T25" s="196">
        <v>2.7</v>
      </c>
      <c r="U25" s="196">
        <v>-3.7</v>
      </c>
    </row>
    <row r="26" spans="1:21" x14ac:dyDescent="0.25">
      <c r="A26" s="213"/>
      <c r="B26" s="196" t="s">
        <v>154</v>
      </c>
      <c r="C26" s="196">
        <v>91683</v>
      </c>
      <c r="D26" s="196">
        <v>47672</v>
      </c>
      <c r="E26" s="196">
        <v>5824</v>
      </c>
      <c r="F26" s="196">
        <v>10945</v>
      </c>
      <c r="G26" s="196">
        <v>3727</v>
      </c>
      <c r="H26" s="196">
        <v>20794</v>
      </c>
      <c r="I26" s="196">
        <v>2721</v>
      </c>
      <c r="J26" s="196" t="b">
        <f t="shared" si="0"/>
        <v>1</v>
      </c>
      <c r="K26" s="196" t="b">
        <f t="shared" si="1"/>
        <v>1</v>
      </c>
      <c r="O26" s="196">
        <v>1.6</v>
      </c>
      <c r="P26" s="196">
        <v>1.8</v>
      </c>
      <c r="Q26" s="196">
        <v>-2.7</v>
      </c>
      <c r="R26" s="196">
        <v>0.7</v>
      </c>
      <c r="S26" s="196">
        <v>2.8</v>
      </c>
      <c r="T26" s="196">
        <v>3.2</v>
      </c>
      <c r="U26" s="196">
        <v>-2.1</v>
      </c>
    </row>
    <row r="27" spans="1:21" x14ac:dyDescent="0.25">
      <c r="A27" s="213"/>
      <c r="B27" s="196" t="s">
        <v>155</v>
      </c>
      <c r="C27" s="196">
        <v>91374</v>
      </c>
      <c r="D27" s="196">
        <v>47565</v>
      </c>
      <c r="E27" s="196">
        <v>5803</v>
      </c>
      <c r="F27" s="196">
        <v>10816</v>
      </c>
      <c r="G27" s="196">
        <v>3646</v>
      </c>
      <c r="H27" s="196">
        <v>20829</v>
      </c>
      <c r="I27" s="196">
        <v>2714</v>
      </c>
      <c r="J27" s="196" t="b">
        <f t="shared" si="0"/>
        <v>1</v>
      </c>
      <c r="K27" s="196" t="b">
        <f t="shared" si="1"/>
        <v>1</v>
      </c>
      <c r="O27" s="196">
        <v>1.6</v>
      </c>
      <c r="P27" s="196">
        <v>1.7</v>
      </c>
      <c r="Q27" s="196">
        <v>-3.2</v>
      </c>
      <c r="R27" s="196">
        <v>1.5</v>
      </c>
      <c r="S27" s="196">
        <v>0.7</v>
      </c>
      <c r="T27" s="196">
        <v>3.7</v>
      </c>
      <c r="U27" s="196">
        <v>-1.9</v>
      </c>
    </row>
    <row r="28" spans="1:21" x14ac:dyDescent="0.25">
      <c r="A28" s="213"/>
      <c r="B28" s="196" t="s">
        <v>156</v>
      </c>
      <c r="C28" s="196">
        <v>91198</v>
      </c>
      <c r="D28" s="196">
        <v>47578</v>
      </c>
      <c r="E28" s="196">
        <v>5796</v>
      </c>
      <c r="F28" s="196">
        <v>10791</v>
      </c>
      <c r="G28" s="196">
        <v>3621</v>
      </c>
      <c r="H28" s="196">
        <v>20720</v>
      </c>
      <c r="I28" s="196">
        <v>2692</v>
      </c>
      <c r="J28" s="196" t="b">
        <f t="shared" si="0"/>
        <v>1</v>
      </c>
      <c r="K28" s="196" t="b">
        <f t="shared" si="1"/>
        <v>1</v>
      </c>
      <c r="O28" s="196">
        <v>1.9</v>
      </c>
      <c r="P28" s="196">
        <v>1.8</v>
      </c>
      <c r="Q28" s="196">
        <v>-2.6</v>
      </c>
      <c r="R28" s="196">
        <v>1.9</v>
      </c>
      <c r="S28" s="196">
        <v>0.5</v>
      </c>
      <c r="T28" s="196">
        <v>3.9</v>
      </c>
      <c r="U28" s="196">
        <v>-1.1000000000000001</v>
      </c>
    </row>
    <row r="29" spans="1:21" x14ac:dyDescent="0.25">
      <c r="A29" s="213"/>
      <c r="B29" s="196" t="s">
        <v>157</v>
      </c>
      <c r="C29" s="196">
        <v>90947</v>
      </c>
      <c r="D29" s="196">
        <v>47637</v>
      </c>
      <c r="E29" s="196">
        <v>5761</v>
      </c>
      <c r="F29" s="196">
        <v>10907</v>
      </c>
      <c r="G29" s="196">
        <v>3638</v>
      </c>
      <c r="H29" s="196">
        <v>20440</v>
      </c>
      <c r="I29" s="196">
        <v>2565</v>
      </c>
      <c r="J29" s="196" t="b">
        <f t="shared" si="0"/>
        <v>1</v>
      </c>
      <c r="K29" s="196" t="b">
        <f t="shared" si="1"/>
        <v>1</v>
      </c>
      <c r="O29" s="196">
        <v>1.8</v>
      </c>
      <c r="P29" s="196">
        <v>2.6</v>
      </c>
      <c r="Q29" s="196">
        <v>-2.6</v>
      </c>
      <c r="R29" s="196">
        <v>2.7</v>
      </c>
      <c r="S29" s="196">
        <v>1.1000000000000001</v>
      </c>
      <c r="T29" s="196">
        <v>2.2000000000000002</v>
      </c>
      <c r="U29" s="196">
        <v>-5.5</v>
      </c>
    </row>
    <row r="30" spans="1:21" x14ac:dyDescent="0.25">
      <c r="A30" s="213"/>
      <c r="B30" s="196" t="s">
        <v>158</v>
      </c>
      <c r="C30" s="196">
        <v>91175</v>
      </c>
      <c r="D30" s="196">
        <v>47774</v>
      </c>
      <c r="E30" s="196">
        <v>5766</v>
      </c>
      <c r="F30" s="196">
        <v>11069</v>
      </c>
      <c r="G30" s="196">
        <v>3619</v>
      </c>
      <c r="H30" s="196">
        <v>20398</v>
      </c>
      <c r="I30" s="196">
        <v>2549</v>
      </c>
      <c r="J30" s="196" t="b">
        <f t="shared" si="0"/>
        <v>1</v>
      </c>
      <c r="K30" s="196" t="b">
        <f t="shared" si="1"/>
        <v>1</v>
      </c>
      <c r="O30" s="196">
        <v>1.7</v>
      </c>
      <c r="P30" s="196">
        <v>2.8</v>
      </c>
      <c r="Q30" s="196">
        <v>-2.7</v>
      </c>
      <c r="R30" s="196">
        <v>2.2999999999999998</v>
      </c>
      <c r="S30" s="196">
        <v>-0.9</v>
      </c>
      <c r="T30" s="196">
        <v>1.6</v>
      </c>
      <c r="U30" s="196">
        <v>-6.8</v>
      </c>
    </row>
    <row r="31" spans="1:21" x14ac:dyDescent="0.25">
      <c r="A31" s="213"/>
      <c r="B31" s="196" t="s">
        <v>159</v>
      </c>
      <c r="C31" s="196">
        <v>91358</v>
      </c>
      <c r="D31" s="196">
        <v>47762</v>
      </c>
      <c r="E31" s="196">
        <v>5780</v>
      </c>
      <c r="F31" s="196">
        <v>11141</v>
      </c>
      <c r="G31" s="196">
        <v>3588</v>
      </c>
      <c r="H31" s="196">
        <v>20571</v>
      </c>
      <c r="I31" s="196">
        <v>2516</v>
      </c>
      <c r="J31" s="196" t="b">
        <f t="shared" si="0"/>
        <v>1</v>
      </c>
      <c r="K31" s="196" t="b">
        <f t="shared" si="1"/>
        <v>1</v>
      </c>
      <c r="O31" s="196">
        <v>1.4</v>
      </c>
      <c r="P31" s="196">
        <v>2.2999999999999998</v>
      </c>
      <c r="Q31" s="196">
        <v>-2.5</v>
      </c>
      <c r="R31" s="196">
        <v>2.5</v>
      </c>
      <c r="S31" s="196">
        <v>-0.6</v>
      </c>
      <c r="T31" s="196">
        <v>1.5</v>
      </c>
      <c r="U31" s="196">
        <v>-8.8000000000000007</v>
      </c>
    </row>
    <row r="32" spans="1:21" x14ac:dyDescent="0.25">
      <c r="A32" s="213"/>
      <c r="B32" s="196" t="s">
        <v>160</v>
      </c>
      <c r="C32" s="196">
        <v>91573</v>
      </c>
      <c r="D32" s="196">
        <v>47902</v>
      </c>
      <c r="E32" s="196">
        <v>5835</v>
      </c>
      <c r="F32" s="196">
        <v>11073</v>
      </c>
      <c r="G32" s="196">
        <v>3637</v>
      </c>
      <c r="H32" s="196">
        <v>20556</v>
      </c>
      <c r="I32" s="196">
        <v>2570</v>
      </c>
      <c r="J32" s="196" t="b">
        <f t="shared" si="0"/>
        <v>1</v>
      </c>
      <c r="K32" s="196" t="b">
        <f t="shared" si="1"/>
        <v>1</v>
      </c>
      <c r="O32" s="196">
        <v>1.3</v>
      </c>
      <c r="P32" s="196">
        <v>2.2000000000000002</v>
      </c>
      <c r="Q32" s="196">
        <v>0.3</v>
      </c>
      <c r="R32" s="196">
        <v>0.6</v>
      </c>
      <c r="S32" s="196">
        <v>-0.7</v>
      </c>
      <c r="T32" s="196">
        <v>1.1000000000000001</v>
      </c>
      <c r="U32" s="196">
        <v>-6.6</v>
      </c>
    </row>
    <row r="33" spans="1:21" x14ac:dyDescent="0.25">
      <c r="A33" s="213"/>
      <c r="B33" s="196" t="s">
        <v>161</v>
      </c>
      <c r="C33" s="196">
        <v>91503</v>
      </c>
      <c r="D33" s="196">
        <v>47678</v>
      </c>
      <c r="E33" s="196">
        <v>5837</v>
      </c>
      <c r="F33" s="196">
        <v>11131</v>
      </c>
      <c r="G33" s="196">
        <v>3610</v>
      </c>
      <c r="H33" s="196">
        <v>20697</v>
      </c>
      <c r="I33" s="196">
        <v>2549</v>
      </c>
      <c r="J33" s="196" t="b">
        <f t="shared" si="0"/>
        <v>1</v>
      </c>
      <c r="K33" s="196" t="b">
        <f t="shared" si="1"/>
        <v>1</v>
      </c>
      <c r="O33" s="196">
        <v>0.9</v>
      </c>
      <c r="P33" s="196">
        <v>1.5</v>
      </c>
      <c r="Q33" s="196">
        <v>0.5</v>
      </c>
      <c r="R33" s="196">
        <v>0.7</v>
      </c>
      <c r="S33" s="196">
        <v>-1.9</v>
      </c>
      <c r="T33" s="196">
        <v>1.3</v>
      </c>
      <c r="U33" s="196">
        <v>-6</v>
      </c>
    </row>
    <row r="34" spans="1:21" x14ac:dyDescent="0.25">
      <c r="A34" s="213"/>
      <c r="B34" s="196" t="s">
        <v>162</v>
      </c>
      <c r="C34" s="196">
        <v>91495</v>
      </c>
      <c r="D34" s="196">
        <v>47576</v>
      </c>
      <c r="E34" s="196">
        <v>5787</v>
      </c>
      <c r="F34" s="196">
        <v>11209</v>
      </c>
      <c r="G34" s="196">
        <v>3686</v>
      </c>
      <c r="H34" s="196">
        <v>20685</v>
      </c>
      <c r="I34" s="196">
        <v>2552</v>
      </c>
      <c r="J34" s="196" t="b">
        <f t="shared" si="0"/>
        <v>1</v>
      </c>
      <c r="K34" s="196" t="b">
        <f t="shared" si="1"/>
        <v>1</v>
      </c>
      <c r="O34" s="196">
        <v>0.8</v>
      </c>
      <c r="P34" s="196">
        <v>0.7</v>
      </c>
      <c r="Q34" s="196">
        <v>1.1000000000000001</v>
      </c>
      <c r="R34" s="196">
        <v>1.2</v>
      </c>
      <c r="S34" s="196">
        <v>0.3</v>
      </c>
      <c r="T34" s="196">
        <v>1.2</v>
      </c>
      <c r="U34" s="196">
        <v>-3.6</v>
      </c>
    </row>
    <row r="35" spans="1:21" x14ac:dyDescent="0.25">
      <c r="A35" s="213"/>
      <c r="B35" s="196" t="s">
        <v>163</v>
      </c>
      <c r="C35" s="196">
        <v>91827</v>
      </c>
      <c r="D35" s="196">
        <v>47657</v>
      </c>
      <c r="E35" s="196">
        <v>5814</v>
      </c>
      <c r="F35" s="196">
        <v>11265</v>
      </c>
      <c r="G35" s="196">
        <v>3665</v>
      </c>
      <c r="H35" s="196">
        <v>20921</v>
      </c>
      <c r="I35" s="196">
        <v>2504</v>
      </c>
      <c r="J35" s="196" t="b">
        <f t="shared" si="0"/>
        <v>1</v>
      </c>
      <c r="K35" s="196" t="b">
        <f t="shared" si="1"/>
        <v>1</v>
      </c>
      <c r="O35" s="196">
        <v>0.9</v>
      </c>
      <c r="P35" s="196">
        <v>0.6</v>
      </c>
      <c r="Q35" s="196">
        <v>0.3</v>
      </c>
      <c r="R35" s="196">
        <v>2</v>
      </c>
      <c r="S35" s="196">
        <v>0.6</v>
      </c>
      <c r="T35" s="196">
        <v>2.1</v>
      </c>
      <c r="U35" s="196">
        <v>-3.9</v>
      </c>
    </row>
    <row r="36" spans="1:21" x14ac:dyDescent="0.25">
      <c r="A36" s="213"/>
      <c r="B36" s="196" t="s">
        <v>164</v>
      </c>
      <c r="C36" s="196">
        <v>92098</v>
      </c>
      <c r="D36" s="196">
        <v>47719</v>
      </c>
      <c r="E36" s="196">
        <v>5813</v>
      </c>
      <c r="F36" s="196">
        <v>11358</v>
      </c>
      <c r="G36" s="196">
        <v>3739</v>
      </c>
      <c r="H36" s="196">
        <v>20999</v>
      </c>
      <c r="I36" s="196">
        <v>2470</v>
      </c>
      <c r="J36" s="196" t="b">
        <f t="shared" si="0"/>
        <v>1</v>
      </c>
      <c r="K36" s="196" t="b">
        <f t="shared" si="1"/>
        <v>1</v>
      </c>
      <c r="O36" s="196">
        <v>1.1000000000000001</v>
      </c>
      <c r="P36" s="196">
        <v>0.3</v>
      </c>
      <c r="Q36" s="196">
        <v>0.3</v>
      </c>
      <c r="R36" s="196">
        <v>2.8</v>
      </c>
      <c r="S36" s="196">
        <v>1.6</v>
      </c>
      <c r="T36" s="196">
        <v>2.7</v>
      </c>
      <c r="U36" s="196">
        <v>-5</v>
      </c>
    </row>
    <row r="37" spans="1:21" x14ac:dyDescent="0.25">
      <c r="A37" s="213"/>
      <c r="B37" s="196" t="s">
        <v>165</v>
      </c>
      <c r="C37" s="196">
        <v>92267</v>
      </c>
      <c r="D37" s="196">
        <v>47816</v>
      </c>
      <c r="E37" s="196">
        <v>5815</v>
      </c>
      <c r="F37" s="196">
        <v>11328</v>
      </c>
      <c r="G37" s="196">
        <v>3796</v>
      </c>
      <c r="H37" s="196">
        <v>21066</v>
      </c>
      <c r="I37" s="196">
        <v>2446</v>
      </c>
      <c r="J37" s="196" t="b">
        <f t="shared" si="0"/>
        <v>1</v>
      </c>
      <c r="K37" s="196" t="b">
        <f t="shared" si="1"/>
        <v>1</v>
      </c>
      <c r="O37" s="196">
        <v>0.8</v>
      </c>
      <c r="P37" s="196">
        <v>0.3</v>
      </c>
      <c r="Q37" s="196">
        <v>-0.4</v>
      </c>
      <c r="R37" s="196">
        <v>2.6</v>
      </c>
      <c r="S37" s="196">
        <v>1.2</v>
      </c>
      <c r="T37" s="196">
        <v>2.4</v>
      </c>
      <c r="U37" s="196">
        <v>-7.7</v>
      </c>
    </row>
    <row r="38" spans="1:21" x14ac:dyDescent="0.25">
      <c r="A38" s="213"/>
      <c r="B38" s="196" t="s">
        <v>166</v>
      </c>
      <c r="C38" s="196">
        <v>92340</v>
      </c>
      <c r="D38" s="196">
        <v>47799</v>
      </c>
      <c r="E38" s="196">
        <v>5785</v>
      </c>
      <c r="F38" s="196">
        <v>11264</v>
      </c>
      <c r="G38" s="196">
        <v>3831</v>
      </c>
      <c r="H38" s="196">
        <v>21164</v>
      </c>
      <c r="I38" s="196">
        <v>2499</v>
      </c>
      <c r="J38" s="196" t="b">
        <f t="shared" si="0"/>
        <v>1</v>
      </c>
      <c r="K38" s="196" t="b">
        <f t="shared" si="1"/>
        <v>1</v>
      </c>
      <c r="O38" s="196">
        <v>0.7</v>
      </c>
      <c r="P38" s="196">
        <v>0.3</v>
      </c>
      <c r="Q38" s="196">
        <v>-0.7</v>
      </c>
      <c r="R38" s="196">
        <v>2.9</v>
      </c>
      <c r="S38" s="196">
        <v>2.8</v>
      </c>
      <c r="T38" s="196">
        <v>1.8</v>
      </c>
      <c r="U38" s="196">
        <v>-8.1999999999999993</v>
      </c>
    </row>
    <row r="39" spans="1:21" x14ac:dyDescent="0.25">
      <c r="A39" s="213"/>
      <c r="B39" s="196" t="s">
        <v>167</v>
      </c>
      <c r="C39" s="196">
        <v>92109</v>
      </c>
      <c r="D39" s="196">
        <v>47709</v>
      </c>
      <c r="E39" s="196">
        <v>5804</v>
      </c>
      <c r="F39" s="196">
        <v>11081</v>
      </c>
      <c r="G39" s="196">
        <v>3831</v>
      </c>
      <c r="H39" s="196">
        <v>21127</v>
      </c>
      <c r="I39" s="196">
        <v>2556</v>
      </c>
      <c r="J39" s="196" t="b">
        <f t="shared" si="0"/>
        <v>1</v>
      </c>
      <c r="K39" s="196" t="b">
        <f t="shared" si="1"/>
        <v>1</v>
      </c>
      <c r="O39" s="196">
        <v>0.8</v>
      </c>
      <c r="P39" s="196">
        <v>0.3</v>
      </c>
      <c r="Q39" s="196">
        <v>0</v>
      </c>
      <c r="R39" s="196">
        <v>2.4</v>
      </c>
      <c r="S39" s="196">
        <v>5.0999999999999996</v>
      </c>
      <c r="T39" s="196">
        <v>1.4</v>
      </c>
      <c r="U39" s="196">
        <v>-5.9</v>
      </c>
    </row>
    <row r="40" spans="1:21" x14ac:dyDescent="0.25">
      <c r="A40" s="213"/>
      <c r="B40" s="196" t="s">
        <v>168</v>
      </c>
      <c r="C40" s="196">
        <v>91667</v>
      </c>
      <c r="D40" s="196">
        <v>47278</v>
      </c>
      <c r="E40" s="196">
        <v>5840</v>
      </c>
      <c r="F40" s="196">
        <v>10994</v>
      </c>
      <c r="G40" s="196">
        <v>3854</v>
      </c>
      <c r="H40" s="196">
        <v>21105</v>
      </c>
      <c r="I40" s="196">
        <v>2597</v>
      </c>
      <c r="J40" s="196" t="b">
        <f t="shared" si="0"/>
        <v>1</v>
      </c>
      <c r="K40" s="196" t="b">
        <f t="shared" si="1"/>
        <v>1</v>
      </c>
      <c r="O40" s="196">
        <v>0.5</v>
      </c>
      <c r="P40" s="196">
        <v>-0.6</v>
      </c>
      <c r="Q40" s="196">
        <v>0.8</v>
      </c>
      <c r="R40" s="196">
        <v>1.9</v>
      </c>
      <c r="S40" s="196">
        <v>6.5</v>
      </c>
      <c r="T40" s="196">
        <v>1.9</v>
      </c>
      <c r="U40" s="196">
        <v>-3.5</v>
      </c>
    </row>
    <row r="41" spans="1:21" x14ac:dyDescent="0.25">
      <c r="A41" s="213"/>
      <c r="B41" s="196" t="s">
        <v>169</v>
      </c>
      <c r="C41" s="196">
        <v>91312</v>
      </c>
      <c r="D41" s="196">
        <v>46863</v>
      </c>
      <c r="E41" s="196">
        <v>5820</v>
      </c>
      <c r="F41" s="196">
        <v>10963</v>
      </c>
      <c r="G41" s="196">
        <v>3949</v>
      </c>
      <c r="H41" s="196">
        <v>21122</v>
      </c>
      <c r="I41" s="196">
        <v>2595</v>
      </c>
      <c r="J41" s="196" t="b">
        <f t="shared" si="0"/>
        <v>1</v>
      </c>
      <c r="K41" s="196" t="b">
        <f t="shared" si="1"/>
        <v>1</v>
      </c>
      <c r="O41" s="196">
        <v>0.4</v>
      </c>
      <c r="P41" s="196">
        <v>-1.6</v>
      </c>
      <c r="Q41" s="196">
        <v>1</v>
      </c>
      <c r="R41" s="196">
        <v>0.5</v>
      </c>
      <c r="S41" s="196">
        <v>8.6</v>
      </c>
      <c r="T41" s="196">
        <v>3.3</v>
      </c>
      <c r="U41" s="196">
        <v>1.2</v>
      </c>
    </row>
    <row r="42" spans="1:21" x14ac:dyDescent="0.25">
      <c r="A42" s="213"/>
      <c r="B42" s="196" t="s">
        <v>170</v>
      </c>
      <c r="C42" s="196">
        <v>91507</v>
      </c>
      <c r="D42" s="196">
        <v>46842</v>
      </c>
      <c r="E42" s="196">
        <v>5788</v>
      </c>
      <c r="F42" s="196">
        <v>11088</v>
      </c>
      <c r="G42" s="196">
        <v>3915</v>
      </c>
      <c r="H42" s="196">
        <v>21279</v>
      </c>
      <c r="I42" s="196">
        <v>2595</v>
      </c>
      <c r="J42" s="196" t="b">
        <f t="shared" si="0"/>
        <v>1</v>
      </c>
      <c r="K42" s="196" t="b">
        <f t="shared" si="1"/>
        <v>1</v>
      </c>
      <c r="O42" s="196">
        <v>0.4</v>
      </c>
      <c r="P42" s="196">
        <v>-2</v>
      </c>
      <c r="Q42" s="196">
        <v>0.4</v>
      </c>
      <c r="R42" s="196">
        <v>0.2</v>
      </c>
      <c r="S42" s="196">
        <v>8.1999999999999993</v>
      </c>
      <c r="T42" s="196">
        <v>4.3</v>
      </c>
      <c r="U42" s="196">
        <v>1.8</v>
      </c>
    </row>
    <row r="43" spans="1:21" x14ac:dyDescent="0.25">
      <c r="A43" s="213"/>
      <c r="B43" s="196" t="s">
        <v>171</v>
      </c>
      <c r="C43" s="196">
        <v>91466</v>
      </c>
      <c r="D43" s="196">
        <v>46803</v>
      </c>
      <c r="E43" s="196">
        <v>5781</v>
      </c>
      <c r="F43" s="196">
        <v>11065</v>
      </c>
      <c r="G43" s="196">
        <v>3850</v>
      </c>
      <c r="H43" s="196">
        <v>21392</v>
      </c>
      <c r="I43" s="196">
        <v>2574</v>
      </c>
      <c r="J43" s="196" t="b">
        <f t="shared" si="0"/>
        <v>1</v>
      </c>
      <c r="K43" s="196" t="b">
        <f t="shared" si="1"/>
        <v>1</v>
      </c>
      <c r="O43" s="196">
        <v>0.1</v>
      </c>
      <c r="P43" s="196">
        <v>-2</v>
      </c>
      <c r="Q43" s="196">
        <v>0</v>
      </c>
      <c r="R43" s="196">
        <v>-0.7</v>
      </c>
      <c r="S43" s="196">
        <v>7.3</v>
      </c>
      <c r="T43" s="196">
        <v>4</v>
      </c>
      <c r="U43" s="196">
        <v>2.2999999999999998</v>
      </c>
    </row>
    <row r="44" spans="1:21" x14ac:dyDescent="0.25">
      <c r="A44" s="213"/>
      <c r="B44" s="196" t="s">
        <v>172</v>
      </c>
      <c r="C44" s="196">
        <v>91553</v>
      </c>
      <c r="D44" s="196">
        <v>46747</v>
      </c>
      <c r="E44" s="196">
        <v>5801</v>
      </c>
      <c r="F44" s="196">
        <v>11081</v>
      </c>
      <c r="G44" s="196">
        <v>3876</v>
      </c>
      <c r="H44" s="196">
        <v>21428</v>
      </c>
      <c r="I44" s="196">
        <v>2621</v>
      </c>
      <c r="J44" s="196" t="b">
        <f t="shared" si="0"/>
        <v>1</v>
      </c>
      <c r="K44" s="196" t="b">
        <f t="shared" si="1"/>
        <v>1</v>
      </c>
      <c r="O44" s="196">
        <v>0</v>
      </c>
      <c r="P44" s="196">
        <v>-2.4</v>
      </c>
      <c r="Q44" s="196">
        <v>-0.6</v>
      </c>
      <c r="R44" s="196">
        <v>0.1</v>
      </c>
      <c r="S44" s="196">
        <v>6.6</v>
      </c>
      <c r="T44" s="196">
        <v>4.2</v>
      </c>
      <c r="U44" s="196">
        <v>2</v>
      </c>
    </row>
    <row r="45" spans="1:21" x14ac:dyDescent="0.25">
      <c r="A45" s="213"/>
      <c r="B45" s="196" t="s">
        <v>173</v>
      </c>
      <c r="C45" s="196">
        <v>91523</v>
      </c>
      <c r="D45" s="196">
        <v>46555</v>
      </c>
      <c r="E45" s="196">
        <v>5848</v>
      </c>
      <c r="F45" s="196">
        <v>11114</v>
      </c>
      <c r="G45" s="196">
        <v>3895</v>
      </c>
      <c r="H45" s="196">
        <v>21475</v>
      </c>
      <c r="I45" s="196">
        <v>2637</v>
      </c>
      <c r="J45" s="196" t="b">
        <f t="shared" si="0"/>
        <v>1</v>
      </c>
      <c r="K45" s="196" t="b">
        <f t="shared" si="1"/>
        <v>1</v>
      </c>
      <c r="O45" s="196">
        <v>0</v>
      </c>
      <c r="P45" s="196">
        <v>-2.4</v>
      </c>
      <c r="Q45" s="196">
        <v>0.2</v>
      </c>
      <c r="R45" s="196">
        <v>-0.2</v>
      </c>
      <c r="S45" s="196">
        <v>7.9</v>
      </c>
      <c r="T45" s="196">
        <v>3.8</v>
      </c>
      <c r="U45" s="196">
        <v>3.4</v>
      </c>
    </row>
    <row r="46" spans="1:21" x14ac:dyDescent="0.25">
      <c r="A46" s="213"/>
      <c r="B46" s="196" t="s">
        <v>174</v>
      </c>
      <c r="C46" s="196">
        <v>91453</v>
      </c>
      <c r="D46" s="196">
        <v>46368</v>
      </c>
      <c r="E46" s="196">
        <v>5841</v>
      </c>
      <c r="F46" s="196">
        <v>11182</v>
      </c>
      <c r="G46" s="196">
        <v>3944</v>
      </c>
      <c r="H46" s="196">
        <v>21502</v>
      </c>
      <c r="I46" s="196">
        <v>2616</v>
      </c>
      <c r="J46" s="196" t="b">
        <f t="shared" si="0"/>
        <v>1</v>
      </c>
      <c r="K46" s="196" t="b">
        <f t="shared" si="1"/>
        <v>1</v>
      </c>
      <c r="O46" s="196">
        <v>0</v>
      </c>
      <c r="P46" s="196">
        <v>-2.5</v>
      </c>
      <c r="Q46" s="196">
        <v>0.9</v>
      </c>
      <c r="R46" s="196">
        <v>-0.2</v>
      </c>
      <c r="S46" s="196">
        <v>7</v>
      </c>
      <c r="T46" s="196">
        <v>4</v>
      </c>
      <c r="U46" s="196">
        <v>2.5</v>
      </c>
    </row>
    <row r="47" spans="1:21" x14ac:dyDescent="0.25">
      <c r="A47" s="213"/>
      <c r="B47" s="196" t="s">
        <v>175</v>
      </c>
      <c r="C47" s="196">
        <v>91466</v>
      </c>
      <c r="D47" s="196">
        <v>46358</v>
      </c>
      <c r="E47" s="196">
        <v>5821</v>
      </c>
      <c r="F47" s="196">
        <v>11190</v>
      </c>
      <c r="G47" s="196">
        <v>3948</v>
      </c>
      <c r="H47" s="196">
        <v>21586</v>
      </c>
      <c r="I47" s="196">
        <v>2563</v>
      </c>
      <c r="J47" s="196" t="b">
        <f t="shared" si="0"/>
        <v>1</v>
      </c>
      <c r="K47" s="196" t="b">
        <f t="shared" si="1"/>
        <v>1</v>
      </c>
      <c r="O47" s="196">
        <v>-0.4</v>
      </c>
      <c r="P47" s="196">
        <v>-2.7</v>
      </c>
      <c r="Q47" s="196">
        <v>0.1</v>
      </c>
      <c r="R47" s="196">
        <v>-0.7</v>
      </c>
      <c r="S47" s="196">
        <v>7.7</v>
      </c>
      <c r="T47" s="196">
        <v>3.2</v>
      </c>
      <c r="U47" s="196">
        <v>2.2999999999999998</v>
      </c>
    </row>
    <row r="48" spans="1:21" x14ac:dyDescent="0.25">
      <c r="A48" s="213"/>
      <c r="B48" s="196" t="s">
        <v>176</v>
      </c>
      <c r="C48" s="196">
        <v>91636</v>
      </c>
      <c r="D48" s="196">
        <v>46317</v>
      </c>
      <c r="E48" s="196">
        <v>5947</v>
      </c>
      <c r="F48" s="196">
        <v>11152</v>
      </c>
      <c r="G48" s="196">
        <v>3938</v>
      </c>
      <c r="H48" s="196">
        <v>21819</v>
      </c>
      <c r="I48" s="196">
        <v>2463</v>
      </c>
      <c r="J48" s="196" t="b">
        <f t="shared" si="0"/>
        <v>1</v>
      </c>
      <c r="K48" s="196" t="b">
        <f t="shared" si="1"/>
        <v>1</v>
      </c>
      <c r="O48" s="196">
        <v>-0.5</v>
      </c>
      <c r="P48" s="196">
        <v>-2.9</v>
      </c>
      <c r="Q48" s="196">
        <v>2.2999999999999998</v>
      </c>
      <c r="R48" s="196">
        <v>-1.8</v>
      </c>
      <c r="S48" s="196">
        <v>5.3</v>
      </c>
      <c r="T48" s="196">
        <v>3.9</v>
      </c>
      <c r="U48" s="196">
        <v>-0.3</v>
      </c>
    </row>
    <row r="49" spans="1:21" x14ac:dyDescent="0.25">
      <c r="A49" s="213"/>
      <c r="B49" s="196" t="s">
        <v>177</v>
      </c>
      <c r="C49" s="196">
        <v>91521</v>
      </c>
      <c r="D49" s="196">
        <v>46258</v>
      </c>
      <c r="E49" s="196">
        <v>6024</v>
      </c>
      <c r="F49" s="196">
        <v>11032</v>
      </c>
      <c r="G49" s="196">
        <v>3901</v>
      </c>
      <c r="H49" s="196">
        <v>21970</v>
      </c>
      <c r="I49" s="196">
        <v>2335</v>
      </c>
      <c r="J49" s="196" t="b">
        <f t="shared" si="0"/>
        <v>1</v>
      </c>
      <c r="K49" s="196" t="b">
        <f t="shared" si="1"/>
        <v>1</v>
      </c>
      <c r="O49" s="196">
        <v>-0.8</v>
      </c>
      <c r="P49" s="196">
        <v>-3.3</v>
      </c>
      <c r="Q49" s="196">
        <v>3.6</v>
      </c>
      <c r="R49" s="196">
        <v>-2.6</v>
      </c>
      <c r="S49" s="196">
        <v>2.8</v>
      </c>
      <c r="T49" s="196">
        <v>4.3</v>
      </c>
      <c r="U49" s="196">
        <v>-4.5999999999999996</v>
      </c>
    </row>
    <row r="50" spans="1:21" x14ac:dyDescent="0.25">
      <c r="A50" s="213"/>
      <c r="B50" s="196" t="s">
        <v>178</v>
      </c>
      <c r="C50" s="196">
        <v>91585</v>
      </c>
      <c r="D50" s="196">
        <v>46150</v>
      </c>
      <c r="E50" s="196">
        <v>6082</v>
      </c>
      <c r="F50" s="196">
        <v>10972</v>
      </c>
      <c r="G50" s="196">
        <v>3864</v>
      </c>
      <c r="H50" s="196">
        <v>22269</v>
      </c>
      <c r="I50" s="196">
        <v>2248</v>
      </c>
      <c r="J50" s="196" t="b">
        <f t="shared" si="0"/>
        <v>1</v>
      </c>
      <c r="K50" s="196" t="b">
        <f t="shared" si="1"/>
        <v>1</v>
      </c>
      <c r="O50" s="196">
        <v>-0.8</v>
      </c>
      <c r="P50" s="196">
        <v>-3.4</v>
      </c>
      <c r="Q50" s="196">
        <v>5.0999999999999996</v>
      </c>
      <c r="R50" s="196">
        <v>-2.6</v>
      </c>
      <c r="S50" s="196">
        <v>0.9</v>
      </c>
      <c r="T50" s="196">
        <v>5.2</v>
      </c>
      <c r="U50" s="196">
        <v>-10</v>
      </c>
    </row>
    <row r="51" spans="1:21" x14ac:dyDescent="0.25">
      <c r="A51" s="213"/>
      <c r="B51" s="196" t="s">
        <v>179</v>
      </c>
      <c r="C51" s="196">
        <v>91014</v>
      </c>
      <c r="D51" s="196">
        <v>45671</v>
      </c>
      <c r="E51" s="196">
        <v>6047</v>
      </c>
      <c r="F51" s="196">
        <v>10851</v>
      </c>
      <c r="G51" s="196">
        <v>3762</v>
      </c>
      <c r="H51" s="196">
        <v>22479</v>
      </c>
      <c r="I51" s="196">
        <v>2204</v>
      </c>
      <c r="J51" s="196" t="b">
        <f t="shared" si="0"/>
        <v>1</v>
      </c>
      <c r="K51" s="196" t="b">
        <f t="shared" si="1"/>
        <v>1</v>
      </c>
      <c r="O51" s="196">
        <v>-1.2</v>
      </c>
      <c r="P51" s="196">
        <v>-4.3</v>
      </c>
      <c r="Q51" s="196">
        <v>4.2</v>
      </c>
      <c r="R51" s="196">
        <v>-2.1</v>
      </c>
      <c r="S51" s="196">
        <v>-1.8</v>
      </c>
      <c r="T51" s="196">
        <v>6.4</v>
      </c>
      <c r="U51" s="196">
        <v>-13.8</v>
      </c>
    </row>
    <row r="52" spans="1:21" x14ac:dyDescent="0.25">
      <c r="A52" s="213"/>
      <c r="B52" s="196" t="s">
        <v>180</v>
      </c>
      <c r="C52" s="196">
        <v>90508</v>
      </c>
      <c r="D52" s="196">
        <v>45286</v>
      </c>
      <c r="E52" s="196">
        <v>6023</v>
      </c>
      <c r="F52" s="196">
        <v>10694</v>
      </c>
      <c r="G52" s="196">
        <v>3674</v>
      </c>
      <c r="H52" s="196">
        <v>22654</v>
      </c>
      <c r="I52" s="196">
        <v>2178</v>
      </c>
      <c r="J52" s="196" t="b">
        <f t="shared" si="0"/>
        <v>1</v>
      </c>
      <c r="K52" s="196" t="b">
        <f t="shared" si="1"/>
        <v>1</v>
      </c>
      <c r="O52" s="196">
        <v>-1.3</v>
      </c>
      <c r="P52" s="196">
        <v>-4.2</v>
      </c>
      <c r="Q52" s="196">
        <v>3.1</v>
      </c>
      <c r="R52" s="196">
        <v>-2.7</v>
      </c>
      <c r="S52" s="196">
        <v>-4.7</v>
      </c>
      <c r="T52" s="196">
        <v>7.3</v>
      </c>
      <c r="U52" s="196">
        <v>-16.100000000000001</v>
      </c>
    </row>
    <row r="53" spans="1:21" x14ac:dyDescent="0.25">
      <c r="A53" s="213"/>
      <c r="B53" s="196" t="s">
        <v>181</v>
      </c>
      <c r="C53" s="196">
        <v>89909</v>
      </c>
      <c r="D53" s="196">
        <v>44992</v>
      </c>
      <c r="E53" s="196">
        <v>6038</v>
      </c>
      <c r="F53" s="196">
        <v>10606</v>
      </c>
      <c r="G53" s="196">
        <v>3606</v>
      </c>
      <c r="H53" s="196">
        <v>22558</v>
      </c>
      <c r="I53" s="196">
        <v>2109</v>
      </c>
      <c r="J53" s="196" t="b">
        <f t="shared" si="0"/>
        <v>1</v>
      </c>
      <c r="K53" s="196" t="b">
        <f t="shared" si="1"/>
        <v>1</v>
      </c>
      <c r="O53" s="196">
        <v>-1.5</v>
      </c>
      <c r="P53" s="196">
        <v>-4</v>
      </c>
      <c r="Q53" s="196">
        <v>3.7</v>
      </c>
      <c r="R53" s="196">
        <v>-3.3</v>
      </c>
      <c r="S53" s="196">
        <v>-8.6999999999999993</v>
      </c>
      <c r="T53" s="196">
        <v>6.8</v>
      </c>
      <c r="U53" s="196">
        <v>-18.7</v>
      </c>
    </row>
    <row r="54" spans="1:21" x14ac:dyDescent="0.25">
      <c r="A54" s="213"/>
      <c r="B54" s="196" t="s">
        <v>182</v>
      </c>
      <c r="C54" s="196">
        <v>89737</v>
      </c>
      <c r="D54" s="196">
        <v>45012</v>
      </c>
      <c r="E54" s="196">
        <v>6024</v>
      </c>
      <c r="F54" s="196">
        <v>10699</v>
      </c>
      <c r="G54" s="196">
        <v>3620</v>
      </c>
      <c r="H54" s="196">
        <v>22322</v>
      </c>
      <c r="I54" s="196">
        <v>2059</v>
      </c>
      <c r="J54" s="196" t="b">
        <f t="shared" si="0"/>
        <v>1</v>
      </c>
      <c r="K54" s="196" t="b">
        <f t="shared" si="1"/>
        <v>1</v>
      </c>
      <c r="O54" s="196">
        <v>-1.9</v>
      </c>
      <c r="P54" s="196">
        <v>-3.9</v>
      </c>
      <c r="Q54" s="196">
        <v>4.0999999999999996</v>
      </c>
      <c r="R54" s="196">
        <v>-3.5</v>
      </c>
      <c r="S54" s="196">
        <v>-7.5</v>
      </c>
      <c r="T54" s="196">
        <v>4.9000000000000004</v>
      </c>
      <c r="U54" s="196">
        <v>-20.6</v>
      </c>
    </row>
    <row r="55" spans="1:21" x14ac:dyDescent="0.25">
      <c r="A55" s="213"/>
      <c r="B55" s="196" t="s">
        <v>183</v>
      </c>
      <c r="C55" s="196">
        <v>89879</v>
      </c>
      <c r="D55" s="196">
        <v>44990</v>
      </c>
      <c r="E55" s="196">
        <v>6075</v>
      </c>
      <c r="F55" s="196">
        <v>10792</v>
      </c>
      <c r="G55" s="196">
        <v>3659</v>
      </c>
      <c r="H55" s="196">
        <v>22307</v>
      </c>
      <c r="I55" s="196">
        <v>2056</v>
      </c>
      <c r="J55" s="196" t="b">
        <f t="shared" si="0"/>
        <v>1</v>
      </c>
      <c r="K55" s="196" t="b">
        <f t="shared" si="1"/>
        <v>1</v>
      </c>
      <c r="O55" s="196">
        <v>-1.7</v>
      </c>
      <c r="P55" s="196">
        <v>-3.9</v>
      </c>
      <c r="Q55" s="196">
        <v>5.0999999999999996</v>
      </c>
      <c r="R55" s="196">
        <v>-2.5</v>
      </c>
      <c r="S55" s="196">
        <v>-4.9000000000000004</v>
      </c>
      <c r="T55" s="196">
        <v>4.3</v>
      </c>
      <c r="U55" s="196">
        <v>-20.100000000000001</v>
      </c>
    </row>
    <row r="56" spans="1:21" x14ac:dyDescent="0.25">
      <c r="A56" s="213"/>
      <c r="B56" s="196" t="s">
        <v>184</v>
      </c>
      <c r="C56" s="196">
        <v>89827</v>
      </c>
      <c r="D56" s="196">
        <v>44984</v>
      </c>
      <c r="E56" s="196">
        <v>6031</v>
      </c>
      <c r="F56" s="196">
        <v>10910</v>
      </c>
      <c r="G56" s="196">
        <v>3606</v>
      </c>
      <c r="H56" s="196">
        <v>22242</v>
      </c>
      <c r="I56" s="196">
        <v>2053</v>
      </c>
      <c r="J56" s="196" t="b">
        <f t="shared" si="0"/>
        <v>1</v>
      </c>
      <c r="K56" s="196" t="b">
        <f t="shared" si="1"/>
        <v>1</v>
      </c>
      <c r="O56" s="196">
        <v>-1.9</v>
      </c>
      <c r="P56" s="196">
        <v>-3.8</v>
      </c>
      <c r="Q56" s="196">
        <v>4</v>
      </c>
      <c r="R56" s="196">
        <v>-1.5</v>
      </c>
      <c r="S56" s="196">
        <v>-6.9</v>
      </c>
      <c r="T56" s="196">
        <v>3.8</v>
      </c>
      <c r="U56" s="196">
        <v>-21.7</v>
      </c>
    </row>
    <row r="57" spans="1:21" x14ac:dyDescent="0.25">
      <c r="A57" s="213"/>
      <c r="B57" s="196" t="s">
        <v>185</v>
      </c>
      <c r="C57" s="196">
        <v>89472</v>
      </c>
      <c r="D57" s="196">
        <v>44942</v>
      </c>
      <c r="E57" s="196">
        <v>5976</v>
      </c>
      <c r="F57" s="196">
        <v>10857</v>
      </c>
      <c r="G57" s="196">
        <v>3712</v>
      </c>
      <c r="H57" s="196">
        <v>21961</v>
      </c>
      <c r="I57" s="196">
        <v>2025</v>
      </c>
      <c r="J57" s="196" t="b">
        <f t="shared" si="0"/>
        <v>1</v>
      </c>
      <c r="K57" s="196" t="b">
        <f t="shared" si="1"/>
        <v>1</v>
      </c>
      <c r="O57" s="196">
        <v>-2.2000000000000002</v>
      </c>
      <c r="P57" s="196">
        <v>-3.5</v>
      </c>
      <c r="Q57" s="196">
        <v>2.2000000000000002</v>
      </c>
      <c r="R57" s="196">
        <v>-2.2999999999999998</v>
      </c>
      <c r="S57" s="196">
        <v>-4.7</v>
      </c>
      <c r="T57" s="196">
        <v>2.2999999999999998</v>
      </c>
      <c r="U57" s="196">
        <v>-23.2</v>
      </c>
    </row>
    <row r="58" spans="1:21" x14ac:dyDescent="0.25">
      <c r="A58" s="213"/>
      <c r="B58" s="196" t="s">
        <v>186</v>
      </c>
      <c r="C58" s="196">
        <v>89210</v>
      </c>
      <c r="D58" s="196">
        <v>44854</v>
      </c>
      <c r="E58" s="196">
        <v>5926</v>
      </c>
      <c r="F58" s="196">
        <v>10986</v>
      </c>
      <c r="G58" s="196">
        <v>3836</v>
      </c>
      <c r="H58" s="196">
        <v>21597</v>
      </c>
      <c r="I58" s="196">
        <v>2010</v>
      </c>
      <c r="J58" s="196" t="b">
        <f t="shared" si="0"/>
        <v>1</v>
      </c>
      <c r="K58" s="196" t="b">
        <f t="shared" si="1"/>
        <v>1</v>
      </c>
      <c r="O58" s="196">
        <v>-2.5</v>
      </c>
      <c r="P58" s="196">
        <v>-3.3</v>
      </c>
      <c r="Q58" s="196">
        <v>1.5</v>
      </c>
      <c r="R58" s="196">
        <v>-1.7</v>
      </c>
      <c r="S58" s="196">
        <v>-2.7</v>
      </c>
      <c r="T58" s="196">
        <v>0.4</v>
      </c>
      <c r="U58" s="196">
        <v>-23.2</v>
      </c>
    </row>
    <row r="59" spans="1:21" x14ac:dyDescent="0.25">
      <c r="A59" s="213"/>
      <c r="B59" s="196" t="s">
        <v>187</v>
      </c>
      <c r="C59" s="196">
        <v>88939</v>
      </c>
      <c r="D59" s="196">
        <v>44829</v>
      </c>
      <c r="E59" s="196">
        <v>5933</v>
      </c>
      <c r="F59" s="196">
        <v>10968</v>
      </c>
      <c r="G59" s="196">
        <v>3976</v>
      </c>
      <c r="H59" s="196">
        <v>21251</v>
      </c>
      <c r="I59" s="196">
        <v>1982</v>
      </c>
      <c r="J59" s="196" t="b">
        <f t="shared" si="0"/>
        <v>1</v>
      </c>
      <c r="K59" s="196" t="b">
        <f t="shared" si="1"/>
        <v>1</v>
      </c>
      <c r="O59" s="196">
        <v>-2.8</v>
      </c>
      <c r="P59" s="196">
        <v>-3.3</v>
      </c>
      <c r="Q59" s="196">
        <v>1.9</v>
      </c>
      <c r="R59" s="196">
        <v>-2</v>
      </c>
      <c r="S59" s="196">
        <v>0.7</v>
      </c>
      <c r="T59" s="196">
        <v>-1.6</v>
      </c>
      <c r="U59" s="196">
        <v>-22.7</v>
      </c>
    </row>
    <row r="60" spans="1:21" x14ac:dyDescent="0.25">
      <c r="A60" s="213"/>
      <c r="B60" s="196" t="s">
        <v>188</v>
      </c>
      <c r="C60" s="196">
        <v>88985</v>
      </c>
      <c r="D60" s="196">
        <v>44848</v>
      </c>
      <c r="E60" s="196">
        <v>5947</v>
      </c>
      <c r="F60" s="196">
        <v>11027</v>
      </c>
      <c r="G60" s="196">
        <v>4020</v>
      </c>
      <c r="H60" s="196">
        <v>21152</v>
      </c>
      <c r="I60" s="196">
        <v>1992</v>
      </c>
      <c r="J60" s="196" t="b">
        <f t="shared" si="0"/>
        <v>1</v>
      </c>
      <c r="K60" s="196" t="b">
        <f t="shared" si="1"/>
        <v>1</v>
      </c>
      <c r="O60" s="196">
        <v>-2.9</v>
      </c>
      <c r="P60" s="196">
        <v>-3.2</v>
      </c>
      <c r="Q60" s="196">
        <v>0</v>
      </c>
      <c r="R60" s="196">
        <v>-1.1000000000000001</v>
      </c>
      <c r="S60" s="196">
        <v>2.1</v>
      </c>
      <c r="T60" s="196">
        <v>-3.1</v>
      </c>
      <c r="U60" s="196">
        <v>-19.100000000000001</v>
      </c>
    </row>
    <row r="61" spans="1:21" x14ac:dyDescent="0.25">
      <c r="A61" s="213"/>
      <c r="B61" s="196" t="s">
        <v>189</v>
      </c>
      <c r="C61" s="196">
        <v>89232</v>
      </c>
      <c r="D61" s="196">
        <v>44911</v>
      </c>
      <c r="E61" s="196">
        <v>5887</v>
      </c>
      <c r="F61" s="196">
        <v>11036</v>
      </c>
      <c r="G61" s="196">
        <v>4062</v>
      </c>
      <c r="H61" s="196">
        <v>21320</v>
      </c>
      <c r="I61" s="196">
        <v>2016</v>
      </c>
      <c r="J61" s="196" t="b">
        <f t="shared" si="0"/>
        <v>1</v>
      </c>
      <c r="K61" s="196" t="b">
        <f t="shared" si="1"/>
        <v>1</v>
      </c>
      <c r="O61" s="196">
        <v>-2.5</v>
      </c>
      <c r="P61" s="196">
        <v>-2.9</v>
      </c>
      <c r="Q61" s="196">
        <v>-2.2999999999999998</v>
      </c>
      <c r="R61" s="196">
        <v>0</v>
      </c>
      <c r="S61" s="196">
        <v>4.0999999999999996</v>
      </c>
      <c r="T61" s="196">
        <v>-3</v>
      </c>
      <c r="U61" s="196">
        <v>-13.6</v>
      </c>
    </row>
    <row r="62" spans="1:21" x14ac:dyDescent="0.25">
      <c r="A62" s="213"/>
      <c r="B62" s="196" t="s">
        <v>190</v>
      </c>
      <c r="C62" s="196">
        <v>89239</v>
      </c>
      <c r="D62" s="196">
        <v>44893</v>
      </c>
      <c r="E62" s="196">
        <v>5915</v>
      </c>
      <c r="F62" s="196">
        <v>10860</v>
      </c>
      <c r="G62" s="196">
        <v>4040</v>
      </c>
      <c r="H62" s="196">
        <v>21506</v>
      </c>
      <c r="I62" s="196">
        <v>2024</v>
      </c>
      <c r="J62" s="196" t="b">
        <f t="shared" si="0"/>
        <v>1</v>
      </c>
      <c r="K62" s="196" t="b">
        <f t="shared" si="1"/>
        <v>1</v>
      </c>
      <c r="O62" s="196">
        <v>-2.6</v>
      </c>
      <c r="P62" s="196">
        <v>-2.7</v>
      </c>
      <c r="Q62" s="196">
        <v>-2.7</v>
      </c>
      <c r="R62" s="196">
        <v>-1</v>
      </c>
      <c r="S62" s="196">
        <v>4.5</v>
      </c>
      <c r="T62" s="196">
        <v>-3.4</v>
      </c>
      <c r="U62" s="196">
        <v>-10</v>
      </c>
    </row>
    <row r="63" spans="1:21" x14ac:dyDescent="0.25">
      <c r="A63" s="213"/>
      <c r="B63" s="196" t="s">
        <v>191</v>
      </c>
      <c r="C63" s="196">
        <v>88798</v>
      </c>
      <c r="D63" s="196">
        <v>44596</v>
      </c>
      <c r="E63" s="196">
        <v>5855</v>
      </c>
      <c r="F63" s="196">
        <v>10597</v>
      </c>
      <c r="G63" s="196">
        <v>4080</v>
      </c>
      <c r="H63" s="196">
        <v>21592</v>
      </c>
      <c r="I63" s="196">
        <v>2078</v>
      </c>
      <c r="J63" s="196" t="b">
        <f t="shared" si="0"/>
        <v>1</v>
      </c>
      <c r="K63" s="196" t="b">
        <f t="shared" si="1"/>
        <v>1</v>
      </c>
      <c r="O63" s="196">
        <v>-2.4</v>
      </c>
      <c r="P63" s="196">
        <v>-2.4</v>
      </c>
      <c r="Q63" s="196">
        <v>-3.2</v>
      </c>
      <c r="R63" s="196">
        <v>-2.2999999999999998</v>
      </c>
      <c r="S63" s="196">
        <v>8.5</v>
      </c>
      <c r="T63" s="196">
        <v>-3.9</v>
      </c>
      <c r="U63" s="196">
        <v>-5.7</v>
      </c>
    </row>
    <row r="64" spans="1:21" x14ac:dyDescent="0.25">
      <c r="A64" s="213"/>
      <c r="B64" s="196" t="s">
        <v>192</v>
      </c>
      <c r="C64" s="196">
        <v>88282</v>
      </c>
      <c r="D64" s="196">
        <v>44287</v>
      </c>
      <c r="E64" s="196">
        <v>5843</v>
      </c>
      <c r="F64" s="196">
        <v>10450</v>
      </c>
      <c r="G64" s="196">
        <v>4011</v>
      </c>
      <c r="H64" s="196">
        <v>21580</v>
      </c>
      <c r="I64" s="196">
        <v>2110</v>
      </c>
      <c r="J64" s="196" t="b">
        <f t="shared" si="0"/>
        <v>1</v>
      </c>
      <c r="K64" s="196" t="b">
        <f t="shared" si="1"/>
        <v>1</v>
      </c>
      <c r="O64" s="196">
        <v>-2.5</v>
      </c>
      <c r="P64" s="196">
        <v>-2.2000000000000002</v>
      </c>
      <c r="Q64" s="196">
        <v>-3</v>
      </c>
      <c r="R64" s="196">
        <v>-2.2999999999999998</v>
      </c>
      <c r="S64" s="196">
        <v>9.1999999999999993</v>
      </c>
      <c r="T64" s="196">
        <v>-4.7</v>
      </c>
      <c r="U64" s="196">
        <v>-3.1</v>
      </c>
    </row>
    <row r="65" spans="1:21" x14ac:dyDescent="0.25">
      <c r="A65" s="213"/>
      <c r="B65" s="196" t="s">
        <v>193</v>
      </c>
      <c r="C65" s="196">
        <v>87880</v>
      </c>
      <c r="D65" s="196">
        <v>43915</v>
      </c>
      <c r="E65" s="196">
        <v>5842</v>
      </c>
      <c r="F65" s="196">
        <v>10482</v>
      </c>
      <c r="G65" s="196">
        <v>4015</v>
      </c>
      <c r="H65" s="196">
        <v>21527</v>
      </c>
      <c r="I65" s="196">
        <v>2101</v>
      </c>
      <c r="J65" s="196" t="b">
        <f t="shared" si="0"/>
        <v>1</v>
      </c>
      <c r="K65" s="196" t="b">
        <f t="shared" si="1"/>
        <v>1</v>
      </c>
      <c r="O65" s="196">
        <v>-2.2999999999999998</v>
      </c>
      <c r="P65" s="196">
        <v>-2.4</v>
      </c>
      <c r="Q65" s="196">
        <v>-3.3</v>
      </c>
      <c r="R65" s="196">
        <v>-1.2</v>
      </c>
      <c r="S65" s="196">
        <v>11.3</v>
      </c>
      <c r="T65" s="196">
        <v>-4.5999999999999996</v>
      </c>
      <c r="U65" s="196">
        <v>-0.4</v>
      </c>
    </row>
    <row r="66" spans="1:21" x14ac:dyDescent="0.25">
      <c r="A66" s="213"/>
      <c r="B66" s="196" t="s">
        <v>194</v>
      </c>
      <c r="C66" s="196">
        <v>88171</v>
      </c>
      <c r="D66" s="196">
        <v>43862</v>
      </c>
      <c r="E66" s="196">
        <v>5898</v>
      </c>
      <c r="F66" s="196">
        <v>10623</v>
      </c>
      <c r="G66" s="196">
        <v>4010</v>
      </c>
      <c r="H66" s="196">
        <v>21688</v>
      </c>
      <c r="I66" s="196">
        <v>2089</v>
      </c>
      <c r="J66" s="196" t="b">
        <f t="shared" si="0"/>
        <v>1</v>
      </c>
      <c r="K66" s="196" t="b">
        <f t="shared" si="1"/>
        <v>1</v>
      </c>
      <c r="O66" s="196">
        <v>-1.7</v>
      </c>
      <c r="P66" s="196">
        <v>-2.6</v>
      </c>
      <c r="Q66" s="196">
        <v>-2.1</v>
      </c>
      <c r="R66" s="196">
        <v>-0.7</v>
      </c>
      <c r="S66" s="196">
        <v>10.8</v>
      </c>
      <c r="T66" s="196">
        <v>-2.8</v>
      </c>
      <c r="U66" s="196">
        <v>1.4</v>
      </c>
    </row>
    <row r="67" spans="1:21" x14ac:dyDescent="0.25">
      <c r="A67" s="213"/>
      <c r="B67" s="196" t="s">
        <v>195</v>
      </c>
      <c r="C67" s="196">
        <v>88615</v>
      </c>
      <c r="D67" s="196">
        <v>44040</v>
      </c>
      <c r="E67" s="196">
        <v>5926</v>
      </c>
      <c r="F67" s="196">
        <v>10773</v>
      </c>
      <c r="G67" s="196">
        <v>4012</v>
      </c>
      <c r="H67" s="196">
        <v>21782</v>
      </c>
      <c r="I67" s="196">
        <v>2082</v>
      </c>
      <c r="J67" s="196" t="b">
        <f t="shared" si="0"/>
        <v>1</v>
      </c>
      <c r="K67" s="196" t="b">
        <f t="shared" si="1"/>
        <v>1</v>
      </c>
      <c r="O67" s="196">
        <v>-1.4</v>
      </c>
      <c r="P67" s="196">
        <v>-2.1</v>
      </c>
      <c r="Q67" s="196">
        <v>-2.4</v>
      </c>
      <c r="R67" s="196">
        <v>-0.2</v>
      </c>
      <c r="S67" s="196">
        <v>9.6</v>
      </c>
      <c r="T67" s="196">
        <v>-2.4</v>
      </c>
      <c r="U67" s="196">
        <v>1.3</v>
      </c>
    </row>
    <row r="68" spans="1:21" x14ac:dyDescent="0.25">
      <c r="A68" s="213"/>
      <c r="B68" s="196" t="s">
        <v>196</v>
      </c>
      <c r="C68" s="196">
        <v>89163</v>
      </c>
      <c r="D68" s="196">
        <v>44283</v>
      </c>
      <c r="E68" s="196">
        <v>5895</v>
      </c>
      <c r="F68" s="196">
        <v>10912</v>
      </c>
      <c r="G68" s="196">
        <v>4083</v>
      </c>
      <c r="H68" s="196">
        <v>21900</v>
      </c>
      <c r="I68" s="196">
        <v>2090</v>
      </c>
      <c r="J68" s="196" t="b">
        <f t="shared" si="0"/>
        <v>1</v>
      </c>
      <c r="K68" s="196" t="b">
        <f t="shared" si="1"/>
        <v>1</v>
      </c>
      <c r="O68" s="196">
        <v>-0.7</v>
      </c>
      <c r="P68" s="196">
        <v>-1.6</v>
      </c>
      <c r="Q68" s="196">
        <v>-2.2999999999999998</v>
      </c>
      <c r="R68" s="196">
        <v>0</v>
      </c>
      <c r="S68" s="196">
        <v>13.2</v>
      </c>
      <c r="T68" s="196">
        <v>-1.5</v>
      </c>
      <c r="U68" s="196">
        <v>1.8</v>
      </c>
    </row>
    <row r="69" spans="1:21" x14ac:dyDescent="0.25">
      <c r="A69" s="213"/>
      <c r="B69" s="196" t="s">
        <v>197</v>
      </c>
      <c r="C69" s="196">
        <v>89535</v>
      </c>
      <c r="D69" s="196">
        <v>44356</v>
      </c>
      <c r="E69" s="196">
        <v>5870</v>
      </c>
      <c r="F69" s="196">
        <v>11038</v>
      </c>
      <c r="G69" s="196">
        <v>4125</v>
      </c>
      <c r="H69" s="196">
        <v>22009</v>
      </c>
      <c r="I69" s="196">
        <v>2137</v>
      </c>
      <c r="J69" s="196" t="b">
        <f t="shared" ref="J69:J132" si="2">C69&lt;$C$166</f>
        <v>1</v>
      </c>
      <c r="K69" s="196" t="b">
        <f t="shared" ref="K69:K132" si="3">D69&lt;$D$166</f>
        <v>1</v>
      </c>
      <c r="O69" s="196">
        <v>0.1</v>
      </c>
      <c r="P69" s="196">
        <v>-1.3</v>
      </c>
      <c r="Q69" s="196">
        <v>-1.8</v>
      </c>
      <c r="R69" s="196">
        <v>1.7</v>
      </c>
      <c r="S69" s="196">
        <v>11.1</v>
      </c>
      <c r="T69" s="196">
        <v>0.2</v>
      </c>
      <c r="U69" s="196">
        <v>5.5</v>
      </c>
    </row>
    <row r="70" spans="1:21" x14ac:dyDescent="0.25">
      <c r="A70" s="213"/>
      <c r="B70" s="196" t="s">
        <v>198</v>
      </c>
      <c r="C70" s="196">
        <v>89928</v>
      </c>
      <c r="D70" s="196">
        <v>44485</v>
      </c>
      <c r="E70" s="196">
        <v>5896</v>
      </c>
      <c r="F70" s="196">
        <v>11059</v>
      </c>
      <c r="G70" s="196">
        <v>4094</v>
      </c>
      <c r="H70" s="196">
        <v>22223</v>
      </c>
      <c r="I70" s="196">
        <v>2171</v>
      </c>
      <c r="J70" s="196" t="b">
        <f t="shared" si="2"/>
        <v>1</v>
      </c>
      <c r="K70" s="196" t="b">
        <f t="shared" si="3"/>
        <v>1</v>
      </c>
      <c r="O70" s="196">
        <v>0.8</v>
      </c>
      <c r="P70" s="196">
        <v>-0.8</v>
      </c>
      <c r="Q70" s="196">
        <v>-0.5</v>
      </c>
      <c r="R70" s="196">
        <v>0.7</v>
      </c>
      <c r="S70" s="196">
        <v>6.7</v>
      </c>
      <c r="T70" s="196">
        <v>2.9</v>
      </c>
      <c r="U70" s="196">
        <v>8</v>
      </c>
    </row>
    <row r="71" spans="1:21" x14ac:dyDescent="0.25">
      <c r="A71" s="213"/>
      <c r="B71" s="196" t="s">
        <v>199</v>
      </c>
      <c r="C71" s="196">
        <v>90176</v>
      </c>
      <c r="D71" s="196">
        <v>44557</v>
      </c>
      <c r="E71" s="196">
        <v>5953</v>
      </c>
      <c r="F71" s="196">
        <v>11083</v>
      </c>
      <c r="G71" s="196">
        <v>4124</v>
      </c>
      <c r="H71" s="196">
        <v>22284</v>
      </c>
      <c r="I71" s="196">
        <v>2175</v>
      </c>
      <c r="J71" s="196" t="b">
        <f t="shared" si="2"/>
        <v>1</v>
      </c>
      <c r="K71" s="196" t="b">
        <f t="shared" si="3"/>
        <v>1</v>
      </c>
      <c r="O71" s="196">
        <v>1.4</v>
      </c>
      <c r="P71" s="196">
        <v>-0.6</v>
      </c>
      <c r="Q71" s="196">
        <v>0.3</v>
      </c>
      <c r="R71" s="196">
        <v>1</v>
      </c>
      <c r="S71" s="196">
        <v>3.7</v>
      </c>
      <c r="T71" s="196">
        <v>4.9000000000000004</v>
      </c>
      <c r="U71" s="196">
        <v>9.6999999999999993</v>
      </c>
    </row>
    <row r="72" spans="1:21" x14ac:dyDescent="0.25">
      <c r="A72" s="213"/>
      <c r="B72" s="196" t="s">
        <v>200</v>
      </c>
      <c r="C72" s="196">
        <v>90484</v>
      </c>
      <c r="D72" s="196">
        <v>44669</v>
      </c>
      <c r="E72" s="196">
        <v>6031</v>
      </c>
      <c r="F72" s="196">
        <v>11123</v>
      </c>
      <c r="G72" s="196">
        <v>4191</v>
      </c>
      <c r="H72" s="196">
        <v>22345</v>
      </c>
      <c r="I72" s="196">
        <v>2126</v>
      </c>
      <c r="J72" s="196" t="b">
        <f t="shared" si="2"/>
        <v>1</v>
      </c>
      <c r="K72" s="196" t="b">
        <f t="shared" si="3"/>
        <v>1</v>
      </c>
      <c r="O72" s="196">
        <v>1.7</v>
      </c>
      <c r="P72" s="196">
        <v>-0.4</v>
      </c>
      <c r="Q72" s="196">
        <v>1.4</v>
      </c>
      <c r="R72" s="196">
        <v>0.9</v>
      </c>
      <c r="S72" s="196">
        <v>4.3</v>
      </c>
      <c r="T72" s="196">
        <v>5.6</v>
      </c>
      <c r="U72" s="196">
        <v>6.7</v>
      </c>
    </row>
    <row r="73" spans="1:21" x14ac:dyDescent="0.25">
      <c r="A73" s="213"/>
      <c r="B73" s="196" t="s">
        <v>201</v>
      </c>
      <c r="C73" s="196">
        <v>90882</v>
      </c>
      <c r="D73" s="196">
        <v>44792</v>
      </c>
      <c r="E73" s="196">
        <v>6092</v>
      </c>
      <c r="F73" s="196">
        <v>11143</v>
      </c>
      <c r="G73" s="196">
        <v>4287</v>
      </c>
      <c r="H73" s="196">
        <v>22418</v>
      </c>
      <c r="I73" s="196">
        <v>2150</v>
      </c>
      <c r="J73" s="196" t="b">
        <f t="shared" si="2"/>
        <v>1</v>
      </c>
      <c r="K73" s="196" t="b">
        <f t="shared" si="3"/>
        <v>1</v>
      </c>
      <c r="O73" s="196">
        <v>1.8</v>
      </c>
      <c r="P73" s="196">
        <v>-0.3</v>
      </c>
      <c r="Q73" s="196">
        <v>3.5</v>
      </c>
      <c r="R73" s="196">
        <v>1</v>
      </c>
      <c r="S73" s="196">
        <v>5.5</v>
      </c>
      <c r="T73" s="196">
        <v>5.0999999999999996</v>
      </c>
      <c r="U73" s="196">
        <v>6.7</v>
      </c>
    </row>
    <row r="74" spans="1:21" x14ac:dyDescent="0.25">
      <c r="A74" s="213"/>
      <c r="B74" s="196" t="s">
        <v>202</v>
      </c>
      <c r="C74" s="196">
        <v>91066</v>
      </c>
      <c r="D74" s="196">
        <v>44856</v>
      </c>
      <c r="E74" s="196">
        <v>6130</v>
      </c>
      <c r="F74" s="196">
        <v>11065</v>
      </c>
      <c r="G74" s="196">
        <v>4291</v>
      </c>
      <c r="H74" s="196">
        <v>22588</v>
      </c>
      <c r="I74" s="196">
        <v>2137</v>
      </c>
      <c r="J74" s="196" t="b">
        <f t="shared" si="2"/>
        <v>1</v>
      </c>
      <c r="K74" s="196" t="b">
        <f t="shared" si="3"/>
        <v>1</v>
      </c>
      <c r="O74" s="196">
        <v>2</v>
      </c>
      <c r="P74" s="196">
        <v>-0.1</v>
      </c>
      <c r="Q74" s="196">
        <v>3.6</v>
      </c>
      <c r="R74" s="196">
        <v>1.9</v>
      </c>
      <c r="S74" s="196">
        <v>6.2</v>
      </c>
      <c r="T74" s="196">
        <v>5</v>
      </c>
      <c r="U74" s="196">
        <v>5.5</v>
      </c>
    </row>
    <row r="75" spans="1:21" x14ac:dyDescent="0.25">
      <c r="A75" s="213"/>
      <c r="B75" s="196" t="s">
        <v>203</v>
      </c>
      <c r="C75" s="196">
        <v>90684</v>
      </c>
      <c r="D75" s="196">
        <v>44722</v>
      </c>
      <c r="E75" s="196">
        <v>6092</v>
      </c>
      <c r="F75" s="196">
        <v>10904</v>
      </c>
      <c r="G75" s="196">
        <v>4248</v>
      </c>
      <c r="H75" s="196">
        <v>22558</v>
      </c>
      <c r="I75" s="196">
        <v>2161</v>
      </c>
      <c r="J75" s="196" t="b">
        <f t="shared" si="2"/>
        <v>1</v>
      </c>
      <c r="K75" s="196" t="b">
        <f t="shared" si="3"/>
        <v>1</v>
      </c>
      <c r="O75" s="196">
        <v>2.1</v>
      </c>
      <c r="P75" s="196">
        <v>0.3</v>
      </c>
      <c r="Q75" s="196">
        <v>4.0999999999999996</v>
      </c>
      <c r="R75" s="196">
        <v>2.9</v>
      </c>
      <c r="S75" s="196">
        <v>4.0999999999999996</v>
      </c>
      <c r="T75" s="196">
        <v>4.5</v>
      </c>
      <c r="U75" s="196">
        <v>4</v>
      </c>
    </row>
    <row r="76" spans="1:21" x14ac:dyDescent="0.25">
      <c r="A76" s="213"/>
      <c r="B76" s="196" t="s">
        <v>204</v>
      </c>
      <c r="C76" s="196">
        <v>90133</v>
      </c>
      <c r="D76" s="196">
        <v>44368</v>
      </c>
      <c r="E76" s="196">
        <v>6058</v>
      </c>
      <c r="F76" s="196">
        <v>10797</v>
      </c>
      <c r="G76" s="196">
        <v>4233</v>
      </c>
      <c r="H76" s="196">
        <v>22528</v>
      </c>
      <c r="I76" s="196">
        <v>2149</v>
      </c>
      <c r="J76" s="196" t="b">
        <f t="shared" si="2"/>
        <v>1</v>
      </c>
      <c r="K76" s="196" t="b">
        <f t="shared" si="3"/>
        <v>1</v>
      </c>
      <c r="O76" s="196">
        <v>2.1</v>
      </c>
      <c r="P76" s="196">
        <v>0.2</v>
      </c>
      <c r="Q76" s="196">
        <v>3.7</v>
      </c>
      <c r="R76" s="196">
        <v>3.3</v>
      </c>
      <c r="S76" s="196">
        <v>5.5</v>
      </c>
      <c r="T76" s="196">
        <v>4.4000000000000004</v>
      </c>
      <c r="U76" s="196">
        <v>1.8</v>
      </c>
    </row>
    <row r="77" spans="1:21" x14ac:dyDescent="0.25">
      <c r="A77" s="213"/>
      <c r="B77" s="196" t="s">
        <v>205</v>
      </c>
      <c r="C77" s="196">
        <v>89691</v>
      </c>
      <c r="D77" s="196">
        <v>44127</v>
      </c>
      <c r="E77" s="196">
        <v>5974</v>
      </c>
      <c r="F77" s="196">
        <v>10833</v>
      </c>
      <c r="G77" s="196">
        <v>4243</v>
      </c>
      <c r="H77" s="196">
        <v>22367</v>
      </c>
      <c r="I77" s="196">
        <v>2147</v>
      </c>
      <c r="J77" s="196" t="b">
        <f t="shared" si="2"/>
        <v>1</v>
      </c>
      <c r="K77" s="196" t="b">
        <f t="shared" si="3"/>
        <v>1</v>
      </c>
      <c r="O77" s="196">
        <v>2.1</v>
      </c>
      <c r="P77" s="196">
        <v>0.5</v>
      </c>
      <c r="Q77" s="196">
        <v>2.2999999999999998</v>
      </c>
      <c r="R77" s="196">
        <v>3.3</v>
      </c>
      <c r="S77" s="196">
        <v>5.7</v>
      </c>
      <c r="T77" s="196">
        <v>3.9</v>
      </c>
      <c r="U77" s="196">
        <v>2.2000000000000002</v>
      </c>
    </row>
    <row r="78" spans="1:21" x14ac:dyDescent="0.25">
      <c r="A78" s="213"/>
      <c r="B78" s="196" t="s">
        <v>206</v>
      </c>
      <c r="C78" s="196">
        <v>89844</v>
      </c>
      <c r="D78" s="196">
        <v>44182</v>
      </c>
      <c r="E78" s="196">
        <v>5935</v>
      </c>
      <c r="F78" s="196">
        <v>10962</v>
      </c>
      <c r="G78" s="196">
        <v>4237</v>
      </c>
      <c r="H78" s="196">
        <v>22424</v>
      </c>
      <c r="I78" s="196">
        <v>2105</v>
      </c>
      <c r="J78" s="196" t="b">
        <f t="shared" si="2"/>
        <v>1</v>
      </c>
      <c r="K78" s="196" t="b">
        <f t="shared" si="3"/>
        <v>1</v>
      </c>
      <c r="O78" s="196">
        <v>1.9</v>
      </c>
      <c r="P78" s="196">
        <v>0.7</v>
      </c>
      <c r="Q78" s="196">
        <v>0.6</v>
      </c>
      <c r="R78" s="196">
        <v>3.2</v>
      </c>
      <c r="S78" s="196">
        <v>5.7</v>
      </c>
      <c r="T78" s="196">
        <v>3.4</v>
      </c>
      <c r="U78" s="196">
        <v>0.7</v>
      </c>
    </row>
    <row r="79" spans="1:21" x14ac:dyDescent="0.25">
      <c r="A79" s="213"/>
      <c r="B79" s="196" t="s">
        <v>207</v>
      </c>
      <c r="C79" s="196">
        <v>89951</v>
      </c>
      <c r="D79" s="196">
        <v>44361</v>
      </c>
      <c r="E79" s="196">
        <v>5906</v>
      </c>
      <c r="F79" s="196">
        <v>11072</v>
      </c>
      <c r="G79" s="196">
        <v>4226</v>
      </c>
      <c r="H79" s="196">
        <v>22324</v>
      </c>
      <c r="I79" s="196">
        <v>2062</v>
      </c>
      <c r="J79" s="196" t="b">
        <f t="shared" si="2"/>
        <v>1</v>
      </c>
      <c r="K79" s="196" t="b">
        <f t="shared" si="3"/>
        <v>1</v>
      </c>
      <c r="O79" s="196">
        <v>1.5</v>
      </c>
      <c r="P79" s="196">
        <v>0.7</v>
      </c>
      <c r="Q79" s="196">
        <v>-0.3</v>
      </c>
      <c r="R79" s="196">
        <v>2.8</v>
      </c>
      <c r="S79" s="196">
        <v>5.3</v>
      </c>
      <c r="T79" s="196">
        <v>2.5</v>
      </c>
      <c r="U79" s="196">
        <v>-1</v>
      </c>
    </row>
    <row r="80" spans="1:21" x14ac:dyDescent="0.25">
      <c r="A80" s="213"/>
      <c r="B80" s="196" t="s">
        <v>208</v>
      </c>
      <c r="C80" s="196">
        <v>90212</v>
      </c>
      <c r="D80" s="196">
        <v>44302</v>
      </c>
      <c r="E80" s="196">
        <v>5996</v>
      </c>
      <c r="F80" s="196">
        <v>11184</v>
      </c>
      <c r="G80" s="196">
        <v>4240</v>
      </c>
      <c r="H80" s="196">
        <v>22421</v>
      </c>
      <c r="I80" s="196">
        <v>2068</v>
      </c>
      <c r="J80" s="196" t="b">
        <f t="shared" si="2"/>
        <v>1</v>
      </c>
      <c r="K80" s="196" t="b">
        <f t="shared" si="3"/>
        <v>1</v>
      </c>
      <c r="O80" s="196">
        <v>1.2</v>
      </c>
      <c r="P80" s="196">
        <v>0</v>
      </c>
      <c r="Q80" s="196">
        <v>1.7</v>
      </c>
      <c r="R80" s="196">
        <v>2.5</v>
      </c>
      <c r="S80" s="196">
        <v>3.9</v>
      </c>
      <c r="T80" s="196">
        <v>2.4</v>
      </c>
      <c r="U80" s="196">
        <v>-1</v>
      </c>
    </row>
    <row r="81" spans="1:21" x14ac:dyDescent="0.25">
      <c r="A81" s="213"/>
      <c r="B81" s="196" t="s">
        <v>209</v>
      </c>
      <c r="C81" s="196">
        <v>90632</v>
      </c>
      <c r="D81" s="196">
        <v>44562</v>
      </c>
      <c r="E81" s="196">
        <v>6039</v>
      </c>
      <c r="F81" s="196">
        <v>11236</v>
      </c>
      <c r="G81" s="196">
        <v>4264</v>
      </c>
      <c r="H81" s="196">
        <v>22463</v>
      </c>
      <c r="I81" s="196">
        <v>2068</v>
      </c>
      <c r="J81" s="196" t="b">
        <f t="shared" si="2"/>
        <v>1</v>
      </c>
      <c r="K81" s="196" t="b">
        <f t="shared" si="3"/>
        <v>1</v>
      </c>
      <c r="O81" s="196">
        <v>1.2</v>
      </c>
      <c r="P81" s="196">
        <v>0.5</v>
      </c>
      <c r="Q81" s="196">
        <v>2.9</v>
      </c>
      <c r="R81" s="196">
        <v>1.8</v>
      </c>
      <c r="S81" s="196">
        <v>3.4</v>
      </c>
      <c r="T81" s="196">
        <v>2.1</v>
      </c>
      <c r="U81" s="196">
        <v>-3.2</v>
      </c>
    </row>
    <row r="82" spans="1:21" x14ac:dyDescent="0.25">
      <c r="A82" s="213"/>
      <c r="B82" s="196" t="s">
        <v>210</v>
      </c>
      <c r="C82" s="196">
        <v>91073</v>
      </c>
      <c r="D82" s="196">
        <v>44668</v>
      </c>
      <c r="E82" s="196">
        <v>6072</v>
      </c>
      <c r="F82" s="196">
        <v>11303</v>
      </c>
      <c r="G82" s="196">
        <v>4290</v>
      </c>
      <c r="H82" s="196">
        <v>22624</v>
      </c>
      <c r="I82" s="196">
        <v>2115</v>
      </c>
      <c r="J82" s="196" t="b">
        <f t="shared" si="2"/>
        <v>1</v>
      </c>
      <c r="K82" s="196" t="b">
        <f t="shared" si="3"/>
        <v>1</v>
      </c>
      <c r="O82" s="196">
        <v>1.3</v>
      </c>
      <c r="P82" s="196">
        <v>0.4</v>
      </c>
      <c r="Q82" s="196">
        <v>3</v>
      </c>
      <c r="R82" s="196">
        <v>2.2000000000000002</v>
      </c>
      <c r="S82" s="196">
        <v>4.8</v>
      </c>
      <c r="T82" s="196">
        <v>1.8</v>
      </c>
      <c r="U82" s="196">
        <v>-2.5</v>
      </c>
    </row>
    <row r="83" spans="1:21" x14ac:dyDescent="0.25">
      <c r="A83" s="213"/>
      <c r="B83" s="196" t="s">
        <v>211</v>
      </c>
      <c r="C83" s="196">
        <v>91607</v>
      </c>
      <c r="D83" s="196">
        <v>44987</v>
      </c>
      <c r="E83" s="196">
        <v>6035</v>
      </c>
      <c r="F83" s="196">
        <v>11320</v>
      </c>
      <c r="G83" s="196">
        <v>4292</v>
      </c>
      <c r="H83" s="196">
        <v>22826</v>
      </c>
      <c r="I83" s="196">
        <v>2147</v>
      </c>
      <c r="J83" s="196" t="b">
        <f t="shared" si="2"/>
        <v>1</v>
      </c>
      <c r="K83" s="196" t="b">
        <f t="shared" si="3"/>
        <v>1</v>
      </c>
      <c r="O83" s="196">
        <v>1.6</v>
      </c>
      <c r="P83" s="196">
        <v>1</v>
      </c>
      <c r="Q83" s="196">
        <v>1.4</v>
      </c>
      <c r="R83" s="196">
        <v>2.1</v>
      </c>
      <c r="S83" s="196">
        <v>4.0999999999999996</v>
      </c>
      <c r="T83" s="196">
        <v>2.4</v>
      </c>
      <c r="U83" s="196">
        <v>-1.3</v>
      </c>
    </row>
    <row r="84" spans="1:21" x14ac:dyDescent="0.25">
      <c r="A84" s="213"/>
      <c r="B84" s="196" t="s">
        <v>212</v>
      </c>
      <c r="C84" s="196">
        <v>91973</v>
      </c>
      <c r="D84" s="196">
        <v>45124</v>
      </c>
      <c r="E84" s="196">
        <v>6027</v>
      </c>
      <c r="F84" s="196">
        <v>11311</v>
      </c>
      <c r="G84" s="196">
        <v>4380</v>
      </c>
      <c r="H84" s="196">
        <v>22959</v>
      </c>
      <c r="I84" s="196">
        <v>2172</v>
      </c>
      <c r="J84" s="196" t="b">
        <f t="shared" si="2"/>
        <v>1</v>
      </c>
      <c r="K84" s="196" t="b">
        <f t="shared" si="3"/>
        <v>1</v>
      </c>
      <c r="O84" s="196">
        <v>1.6</v>
      </c>
      <c r="P84" s="196">
        <v>1</v>
      </c>
      <c r="Q84" s="196">
        <v>-0.1</v>
      </c>
      <c r="R84" s="196">
        <v>1.7</v>
      </c>
      <c r="S84" s="196">
        <v>4.5</v>
      </c>
      <c r="T84" s="196">
        <v>2.8</v>
      </c>
      <c r="U84" s="196">
        <v>2.2000000000000002</v>
      </c>
    </row>
    <row r="85" spans="1:21" x14ac:dyDescent="0.25">
      <c r="A85" s="213"/>
      <c r="B85" s="196" t="s">
        <v>213</v>
      </c>
      <c r="C85" s="196">
        <v>92247</v>
      </c>
      <c r="D85" s="196">
        <v>45239</v>
      </c>
      <c r="E85" s="196">
        <v>6011</v>
      </c>
      <c r="F85" s="196">
        <v>11350</v>
      </c>
      <c r="G85" s="196">
        <v>4344</v>
      </c>
      <c r="H85" s="196">
        <v>23161</v>
      </c>
      <c r="I85" s="196">
        <v>2142</v>
      </c>
      <c r="J85" s="196" t="b">
        <f t="shared" si="2"/>
        <v>1</v>
      </c>
      <c r="K85" s="196" t="b">
        <f t="shared" si="3"/>
        <v>1</v>
      </c>
      <c r="O85" s="196">
        <v>1.5</v>
      </c>
      <c r="P85" s="196">
        <v>1</v>
      </c>
      <c r="Q85" s="196">
        <v>-1.3</v>
      </c>
      <c r="R85" s="196">
        <v>1.9</v>
      </c>
      <c r="S85" s="196">
        <v>1.3</v>
      </c>
      <c r="T85" s="196">
        <v>3.3</v>
      </c>
      <c r="U85" s="196">
        <v>-0.4</v>
      </c>
    </row>
    <row r="86" spans="1:21" x14ac:dyDescent="0.25">
      <c r="A86" s="213"/>
      <c r="B86" s="196" t="s">
        <v>214</v>
      </c>
      <c r="C86" s="196">
        <v>92152</v>
      </c>
      <c r="D86" s="196">
        <v>45182</v>
      </c>
      <c r="E86" s="196">
        <v>6020</v>
      </c>
      <c r="F86" s="196">
        <v>11226</v>
      </c>
      <c r="G86" s="196">
        <v>4399</v>
      </c>
      <c r="H86" s="196">
        <v>23223</v>
      </c>
      <c r="I86" s="196">
        <v>2103</v>
      </c>
      <c r="J86" s="196" t="b">
        <f t="shared" si="2"/>
        <v>1</v>
      </c>
      <c r="K86" s="196" t="b">
        <f t="shared" si="3"/>
        <v>1</v>
      </c>
      <c r="O86" s="196">
        <v>1.2</v>
      </c>
      <c r="P86" s="196">
        <v>0.7</v>
      </c>
      <c r="Q86" s="196">
        <v>-1.8</v>
      </c>
      <c r="R86" s="196">
        <v>1.4</v>
      </c>
      <c r="S86" s="196">
        <v>2.5</v>
      </c>
      <c r="T86" s="196">
        <v>2.8</v>
      </c>
      <c r="U86" s="196">
        <v>-1.6</v>
      </c>
    </row>
    <row r="87" spans="1:21" x14ac:dyDescent="0.25">
      <c r="A87" s="213"/>
      <c r="B87" s="196" t="s">
        <v>215</v>
      </c>
      <c r="C87" s="196">
        <v>91658</v>
      </c>
      <c r="D87" s="196">
        <v>44844</v>
      </c>
      <c r="E87" s="196">
        <v>5987</v>
      </c>
      <c r="F87" s="196">
        <v>11079</v>
      </c>
      <c r="G87" s="196">
        <v>4383</v>
      </c>
      <c r="H87" s="196">
        <v>23266</v>
      </c>
      <c r="I87" s="196">
        <v>2099</v>
      </c>
      <c r="J87" s="196" t="b">
        <f t="shared" si="2"/>
        <v>1</v>
      </c>
      <c r="K87" s="196" t="b">
        <f t="shared" si="3"/>
        <v>1</v>
      </c>
      <c r="O87" s="196">
        <v>1.1000000000000001</v>
      </c>
      <c r="P87" s="196">
        <v>0.3</v>
      </c>
      <c r="Q87" s="196">
        <v>-1.7</v>
      </c>
      <c r="R87" s="196">
        <v>1.6</v>
      </c>
      <c r="S87" s="196">
        <v>3.2</v>
      </c>
      <c r="T87" s="196">
        <v>3.1</v>
      </c>
      <c r="U87" s="196">
        <v>-2.8</v>
      </c>
    </row>
    <row r="88" spans="1:21" x14ac:dyDescent="0.25">
      <c r="A88" s="213"/>
      <c r="B88" s="196" t="s">
        <v>216</v>
      </c>
      <c r="C88" s="196">
        <v>91237</v>
      </c>
      <c r="D88" s="196">
        <v>44756</v>
      </c>
      <c r="E88" s="196">
        <v>5923</v>
      </c>
      <c r="F88" s="196">
        <v>10909</v>
      </c>
      <c r="G88" s="196">
        <v>4398</v>
      </c>
      <c r="H88" s="196">
        <v>23164</v>
      </c>
      <c r="I88" s="196">
        <v>2087</v>
      </c>
      <c r="J88" s="196" t="b">
        <f t="shared" si="2"/>
        <v>1</v>
      </c>
      <c r="K88" s="196" t="b">
        <f t="shared" si="3"/>
        <v>1</v>
      </c>
      <c r="O88" s="196">
        <v>1.2</v>
      </c>
      <c r="P88" s="196">
        <v>0.9</v>
      </c>
      <c r="Q88" s="196">
        <v>-2.2000000000000002</v>
      </c>
      <c r="R88" s="196">
        <v>1</v>
      </c>
      <c r="S88" s="196">
        <v>3.9</v>
      </c>
      <c r="T88" s="196">
        <v>2.8</v>
      </c>
      <c r="U88" s="196">
        <v>-2.9</v>
      </c>
    </row>
    <row r="89" spans="1:21" x14ac:dyDescent="0.25">
      <c r="A89" s="213"/>
      <c r="B89" s="196" t="s">
        <v>217</v>
      </c>
      <c r="C89" s="196">
        <v>91203</v>
      </c>
      <c r="D89" s="196">
        <v>44745</v>
      </c>
      <c r="E89" s="196">
        <v>5874</v>
      </c>
      <c r="F89" s="196">
        <v>10982</v>
      </c>
      <c r="G89" s="196">
        <v>4315</v>
      </c>
      <c r="H89" s="196">
        <v>23180</v>
      </c>
      <c r="I89" s="196">
        <v>2108</v>
      </c>
      <c r="J89" s="196" t="b">
        <f t="shared" si="2"/>
        <v>1</v>
      </c>
      <c r="K89" s="196" t="b">
        <f t="shared" si="3"/>
        <v>1</v>
      </c>
      <c r="O89" s="196">
        <v>1.7</v>
      </c>
      <c r="P89" s="196">
        <v>1.4</v>
      </c>
      <c r="Q89" s="196">
        <v>-1.7</v>
      </c>
      <c r="R89" s="196">
        <v>1.4</v>
      </c>
      <c r="S89" s="196">
        <v>1.7</v>
      </c>
      <c r="T89" s="196">
        <v>3.6</v>
      </c>
      <c r="U89" s="196">
        <v>-1.8</v>
      </c>
    </row>
    <row r="90" spans="1:21" x14ac:dyDescent="0.25">
      <c r="A90" s="213"/>
      <c r="B90" s="196" t="s">
        <v>218</v>
      </c>
      <c r="C90" s="196">
        <v>91773</v>
      </c>
      <c r="D90" s="196">
        <v>45085</v>
      </c>
      <c r="E90" s="196">
        <v>5920</v>
      </c>
      <c r="F90" s="196">
        <v>11088</v>
      </c>
      <c r="G90" s="196">
        <v>4268</v>
      </c>
      <c r="H90" s="196">
        <v>23329</v>
      </c>
      <c r="I90" s="196">
        <v>2084</v>
      </c>
      <c r="J90" s="196" t="b">
        <f t="shared" si="2"/>
        <v>1</v>
      </c>
      <c r="K90" s="196" t="b">
        <f t="shared" si="3"/>
        <v>1</v>
      </c>
      <c r="O90" s="196">
        <v>2.1</v>
      </c>
      <c r="P90" s="196">
        <v>2</v>
      </c>
      <c r="Q90" s="196">
        <v>-0.3</v>
      </c>
      <c r="R90" s="196">
        <v>1.2</v>
      </c>
      <c r="S90" s="196">
        <v>0.7</v>
      </c>
      <c r="T90" s="196">
        <v>4</v>
      </c>
      <c r="U90" s="196">
        <v>-1</v>
      </c>
    </row>
    <row r="91" spans="1:21" x14ac:dyDescent="0.25">
      <c r="A91" s="213"/>
      <c r="B91" s="196" t="s">
        <v>219</v>
      </c>
      <c r="C91" s="196">
        <v>92293</v>
      </c>
      <c r="D91" s="196">
        <v>45316</v>
      </c>
      <c r="E91" s="196">
        <v>5964</v>
      </c>
      <c r="F91" s="196">
        <v>11163</v>
      </c>
      <c r="G91" s="196">
        <v>4306</v>
      </c>
      <c r="H91" s="196">
        <v>23443</v>
      </c>
      <c r="I91" s="196">
        <v>2101</v>
      </c>
      <c r="J91" s="196" t="b">
        <f t="shared" si="2"/>
        <v>1</v>
      </c>
      <c r="K91" s="196" t="b">
        <f t="shared" si="3"/>
        <v>1</v>
      </c>
      <c r="O91" s="196">
        <v>2.6</v>
      </c>
      <c r="P91" s="196">
        <v>2.2000000000000002</v>
      </c>
      <c r="Q91" s="196">
        <v>1</v>
      </c>
      <c r="R91" s="196">
        <v>0.8</v>
      </c>
      <c r="S91" s="196">
        <v>1.9</v>
      </c>
      <c r="T91" s="196">
        <v>5</v>
      </c>
      <c r="U91" s="196">
        <v>1.9</v>
      </c>
    </row>
    <row r="92" spans="1:21" x14ac:dyDescent="0.25">
      <c r="A92" s="213"/>
      <c r="B92" s="196" t="s">
        <v>220</v>
      </c>
      <c r="C92" s="196">
        <v>92662</v>
      </c>
      <c r="D92" s="196">
        <v>45422</v>
      </c>
      <c r="E92" s="196">
        <v>6029</v>
      </c>
      <c r="F92" s="196">
        <v>11273</v>
      </c>
      <c r="G92" s="196">
        <v>4255</v>
      </c>
      <c r="H92" s="196">
        <v>23545</v>
      </c>
      <c r="I92" s="196">
        <v>2139</v>
      </c>
      <c r="J92" s="196" t="b">
        <f t="shared" si="2"/>
        <v>1</v>
      </c>
      <c r="K92" s="196" t="b">
        <f t="shared" si="3"/>
        <v>1</v>
      </c>
      <c r="O92" s="196">
        <v>2.7</v>
      </c>
      <c r="P92" s="196">
        <v>2.5</v>
      </c>
      <c r="Q92" s="196">
        <v>0.5</v>
      </c>
      <c r="R92" s="196">
        <v>0.8</v>
      </c>
      <c r="S92" s="196">
        <v>0.3</v>
      </c>
      <c r="T92" s="196">
        <v>5</v>
      </c>
      <c r="U92" s="196">
        <v>3.4</v>
      </c>
    </row>
    <row r="93" spans="1:21" x14ac:dyDescent="0.25">
      <c r="A93" s="213"/>
      <c r="B93" s="196" t="s">
        <v>221</v>
      </c>
      <c r="C93" s="196">
        <v>92875</v>
      </c>
      <c r="D93" s="196">
        <v>45497</v>
      </c>
      <c r="E93" s="196">
        <v>6052</v>
      </c>
      <c r="F93" s="196">
        <v>11329</v>
      </c>
      <c r="G93" s="196">
        <v>4213</v>
      </c>
      <c r="H93" s="196">
        <v>23619</v>
      </c>
      <c r="I93" s="196">
        <v>2165</v>
      </c>
      <c r="J93" s="196" t="b">
        <f t="shared" si="2"/>
        <v>1</v>
      </c>
      <c r="K93" s="196" t="b">
        <f t="shared" si="3"/>
        <v>1</v>
      </c>
      <c r="O93" s="196">
        <v>2.5</v>
      </c>
      <c r="P93" s="196">
        <v>2.1</v>
      </c>
      <c r="Q93" s="196">
        <v>0.2</v>
      </c>
      <c r="R93" s="196">
        <v>0.8</v>
      </c>
      <c r="S93" s="196">
        <v>-1.2</v>
      </c>
      <c r="T93" s="196">
        <v>5.0999999999999996</v>
      </c>
      <c r="U93" s="196">
        <v>4.7</v>
      </c>
    </row>
    <row r="94" spans="1:21" x14ac:dyDescent="0.25">
      <c r="A94" s="213"/>
      <c r="B94" s="196" t="s">
        <v>222</v>
      </c>
      <c r="C94" s="196">
        <v>92972</v>
      </c>
      <c r="D94" s="196">
        <v>45568</v>
      </c>
      <c r="E94" s="196">
        <v>6063</v>
      </c>
      <c r="F94" s="196">
        <v>11288</v>
      </c>
      <c r="G94" s="196">
        <v>4230</v>
      </c>
      <c r="H94" s="196">
        <v>23691</v>
      </c>
      <c r="I94" s="196">
        <v>2131</v>
      </c>
      <c r="J94" s="196" t="b">
        <f t="shared" si="2"/>
        <v>1</v>
      </c>
      <c r="K94" s="196" t="b">
        <f t="shared" si="3"/>
        <v>1</v>
      </c>
      <c r="O94" s="196">
        <v>2.1</v>
      </c>
      <c r="P94" s="196">
        <v>2</v>
      </c>
      <c r="Q94" s="196">
        <v>-0.1</v>
      </c>
      <c r="R94" s="196">
        <v>-0.1</v>
      </c>
      <c r="S94" s="196">
        <v>-1.4</v>
      </c>
      <c r="T94" s="196">
        <v>4.7</v>
      </c>
      <c r="U94" s="196">
        <v>0.8</v>
      </c>
    </row>
    <row r="95" spans="1:21" x14ac:dyDescent="0.25">
      <c r="A95" s="213"/>
      <c r="B95" s="196" t="s">
        <v>223</v>
      </c>
      <c r="C95" s="196">
        <v>93191</v>
      </c>
      <c r="D95" s="196">
        <v>45648</v>
      </c>
      <c r="E95" s="196">
        <v>6063</v>
      </c>
      <c r="F95" s="196">
        <v>11309</v>
      </c>
      <c r="G95" s="196">
        <v>4255</v>
      </c>
      <c r="H95" s="196">
        <v>23849</v>
      </c>
      <c r="I95" s="196">
        <v>2067</v>
      </c>
      <c r="J95" s="196" t="b">
        <f t="shared" si="2"/>
        <v>1</v>
      </c>
      <c r="K95" s="196" t="b">
        <f t="shared" si="3"/>
        <v>1</v>
      </c>
      <c r="O95" s="196">
        <v>1.7</v>
      </c>
      <c r="P95" s="196">
        <v>1.5</v>
      </c>
      <c r="Q95" s="196">
        <v>0.5</v>
      </c>
      <c r="R95" s="196">
        <v>-0.1</v>
      </c>
      <c r="S95" s="196">
        <v>-0.9</v>
      </c>
      <c r="T95" s="196">
        <v>4.5</v>
      </c>
      <c r="U95" s="196">
        <v>-3.7</v>
      </c>
    </row>
    <row r="96" spans="1:21" x14ac:dyDescent="0.25">
      <c r="A96" s="213"/>
      <c r="B96" s="196" t="s">
        <v>224</v>
      </c>
      <c r="C96" s="196">
        <v>93479</v>
      </c>
      <c r="D96" s="196">
        <v>45833</v>
      </c>
      <c r="E96" s="196">
        <v>6094</v>
      </c>
      <c r="F96" s="196">
        <v>11297</v>
      </c>
      <c r="G96" s="196">
        <v>4347</v>
      </c>
      <c r="H96" s="196">
        <v>23855</v>
      </c>
      <c r="I96" s="196">
        <v>2053</v>
      </c>
      <c r="J96" s="196" t="b">
        <f t="shared" si="2"/>
        <v>1</v>
      </c>
      <c r="K96" s="196" t="b">
        <f t="shared" si="3"/>
        <v>1</v>
      </c>
      <c r="O96" s="196">
        <v>1.6</v>
      </c>
      <c r="P96" s="196">
        <v>1.6</v>
      </c>
      <c r="Q96" s="196">
        <v>1.1000000000000001</v>
      </c>
      <c r="R96" s="196">
        <v>-0.1</v>
      </c>
      <c r="S96" s="196">
        <v>-0.8</v>
      </c>
      <c r="T96" s="196">
        <v>3.9</v>
      </c>
      <c r="U96" s="196">
        <v>-5.5</v>
      </c>
    </row>
    <row r="97" spans="1:21" x14ac:dyDescent="0.25">
      <c r="A97" s="213"/>
      <c r="B97" s="196" t="s">
        <v>225</v>
      </c>
      <c r="C97" s="196">
        <v>93828</v>
      </c>
      <c r="D97" s="196">
        <v>45984</v>
      </c>
      <c r="E97" s="196">
        <v>6127</v>
      </c>
      <c r="F97" s="196">
        <v>11310</v>
      </c>
      <c r="G97" s="196">
        <v>4378</v>
      </c>
      <c r="H97" s="196">
        <v>24026</v>
      </c>
      <c r="I97" s="196">
        <v>2004</v>
      </c>
      <c r="J97" s="196" t="b">
        <f t="shared" si="2"/>
        <v>1</v>
      </c>
      <c r="K97" s="196" t="b">
        <f t="shared" si="3"/>
        <v>1</v>
      </c>
      <c r="O97" s="196">
        <v>1.7</v>
      </c>
      <c r="P97" s="196">
        <v>1.6</v>
      </c>
      <c r="Q97" s="196">
        <v>1.9</v>
      </c>
      <c r="R97" s="196">
        <v>-0.4</v>
      </c>
      <c r="S97" s="196">
        <v>0.8</v>
      </c>
      <c r="T97" s="196">
        <v>3.7</v>
      </c>
      <c r="U97" s="196">
        <v>-6.4</v>
      </c>
    </row>
    <row r="98" spans="1:21" x14ac:dyDescent="0.25">
      <c r="A98" s="213"/>
      <c r="B98" s="196" t="s">
        <v>226</v>
      </c>
      <c r="C98" s="196">
        <v>93920</v>
      </c>
      <c r="D98" s="196">
        <v>46263</v>
      </c>
      <c r="E98" s="196">
        <v>6117</v>
      </c>
      <c r="F98" s="196">
        <v>11243</v>
      </c>
      <c r="G98" s="196">
        <v>4337</v>
      </c>
      <c r="H98" s="196">
        <v>23983</v>
      </c>
      <c r="I98" s="196">
        <v>1977</v>
      </c>
      <c r="J98" s="196" t="b">
        <f t="shared" si="2"/>
        <v>1</v>
      </c>
      <c r="K98" s="196" t="b">
        <f t="shared" si="3"/>
        <v>1</v>
      </c>
      <c r="O98" s="196">
        <v>1.9</v>
      </c>
      <c r="P98" s="196">
        <v>2.4</v>
      </c>
      <c r="Q98" s="196">
        <v>1.6</v>
      </c>
      <c r="R98" s="196">
        <v>0.2</v>
      </c>
      <c r="S98" s="196">
        <v>-1.4</v>
      </c>
      <c r="T98" s="196">
        <v>3.3</v>
      </c>
      <c r="U98" s="196">
        <v>-6</v>
      </c>
    </row>
    <row r="99" spans="1:21" x14ac:dyDescent="0.25">
      <c r="A99" s="213"/>
      <c r="B99" s="196" t="s">
        <v>227</v>
      </c>
      <c r="C99" s="196">
        <v>93524</v>
      </c>
      <c r="D99" s="196">
        <v>46140</v>
      </c>
      <c r="E99" s="196">
        <v>6035</v>
      </c>
      <c r="F99" s="196">
        <v>11124</v>
      </c>
      <c r="G99" s="196">
        <v>4310</v>
      </c>
      <c r="H99" s="196">
        <v>23989</v>
      </c>
      <c r="I99" s="196">
        <v>1927</v>
      </c>
      <c r="J99" s="196" t="b">
        <f t="shared" si="2"/>
        <v>1</v>
      </c>
      <c r="K99" s="196" t="b">
        <f t="shared" si="3"/>
        <v>1</v>
      </c>
      <c r="O99" s="196">
        <v>2</v>
      </c>
      <c r="P99" s="196">
        <v>2.9</v>
      </c>
      <c r="Q99" s="196">
        <v>0.8</v>
      </c>
      <c r="R99" s="196">
        <v>0.4</v>
      </c>
      <c r="S99" s="196">
        <v>-1.7</v>
      </c>
      <c r="T99" s="196">
        <v>3.1</v>
      </c>
      <c r="U99" s="196">
        <v>-8.1999999999999993</v>
      </c>
    </row>
    <row r="100" spans="1:21" x14ac:dyDescent="0.25">
      <c r="A100" s="213"/>
      <c r="B100" s="196" t="s">
        <v>228</v>
      </c>
      <c r="C100" s="196">
        <v>93076</v>
      </c>
      <c r="D100" s="196">
        <v>46013</v>
      </c>
      <c r="E100" s="196">
        <v>5987</v>
      </c>
      <c r="F100" s="196">
        <v>10976</v>
      </c>
      <c r="G100" s="196">
        <v>4303</v>
      </c>
      <c r="H100" s="196">
        <v>23876</v>
      </c>
      <c r="I100" s="196">
        <v>1921</v>
      </c>
      <c r="J100" s="196" t="b">
        <f t="shared" si="2"/>
        <v>1</v>
      </c>
      <c r="K100" s="196" t="b">
        <f t="shared" si="3"/>
        <v>1</v>
      </c>
      <c r="O100" s="196">
        <v>2</v>
      </c>
      <c r="P100" s="196">
        <v>2.8</v>
      </c>
      <c r="Q100" s="196">
        <v>1.1000000000000001</v>
      </c>
      <c r="R100" s="196">
        <v>0.6</v>
      </c>
      <c r="S100" s="196">
        <v>-2.2000000000000002</v>
      </c>
      <c r="T100" s="196">
        <v>3.1</v>
      </c>
      <c r="U100" s="196">
        <v>-7.9</v>
      </c>
    </row>
    <row r="101" spans="1:21" x14ac:dyDescent="0.25">
      <c r="A101" s="213"/>
      <c r="B101" s="196" t="s">
        <v>229</v>
      </c>
      <c r="C101" s="196">
        <v>91523</v>
      </c>
      <c r="D101" s="196">
        <v>44897</v>
      </c>
      <c r="E101" s="196">
        <v>5738</v>
      </c>
      <c r="F101" s="196">
        <v>11209</v>
      </c>
      <c r="G101" s="196">
        <v>4280</v>
      </c>
      <c r="H101" s="196">
        <v>23512</v>
      </c>
      <c r="I101" s="196">
        <v>1888</v>
      </c>
      <c r="J101" s="196" t="b">
        <f t="shared" si="2"/>
        <v>1</v>
      </c>
      <c r="K101" s="196" t="b">
        <f t="shared" si="3"/>
        <v>1</v>
      </c>
      <c r="O101" s="196">
        <v>0.4</v>
      </c>
      <c r="P101" s="196">
        <v>0.3</v>
      </c>
      <c r="Q101" s="196">
        <v>-2.2999999999999998</v>
      </c>
      <c r="R101" s="196">
        <v>2.1</v>
      </c>
      <c r="S101" s="196">
        <v>-0.8</v>
      </c>
      <c r="T101" s="196">
        <v>1.4</v>
      </c>
      <c r="U101" s="196">
        <v>-10.5</v>
      </c>
    </row>
    <row r="102" spans="1:21" x14ac:dyDescent="0.25">
      <c r="A102" s="213"/>
      <c r="B102" s="196" t="s">
        <v>230</v>
      </c>
      <c r="C102" s="196">
        <v>88585</v>
      </c>
      <c r="D102" s="196">
        <v>43188</v>
      </c>
      <c r="E102" s="196">
        <v>5289</v>
      </c>
      <c r="F102" s="196">
        <v>11419</v>
      </c>
      <c r="G102" s="196">
        <v>4098</v>
      </c>
      <c r="H102" s="196">
        <v>22741</v>
      </c>
      <c r="I102" s="196">
        <v>1851</v>
      </c>
      <c r="J102" s="196" t="b">
        <f t="shared" si="2"/>
        <v>1</v>
      </c>
      <c r="K102" s="196" t="b">
        <f t="shared" si="3"/>
        <v>1</v>
      </c>
      <c r="O102" s="196">
        <v>-3.5</v>
      </c>
      <c r="P102" s="196">
        <v>-4.2</v>
      </c>
      <c r="Q102" s="196">
        <v>-10.7</v>
      </c>
      <c r="R102" s="196">
        <v>3</v>
      </c>
      <c r="S102" s="196">
        <v>-4</v>
      </c>
      <c r="T102" s="196">
        <v>-2.5</v>
      </c>
      <c r="U102" s="196">
        <v>-11.2</v>
      </c>
    </row>
    <row r="103" spans="1:21" x14ac:dyDescent="0.25">
      <c r="A103" s="213"/>
      <c r="B103" s="196" t="s">
        <v>231</v>
      </c>
      <c r="C103" s="196">
        <v>85226</v>
      </c>
      <c r="D103" s="196">
        <v>41193</v>
      </c>
      <c r="E103" s="196">
        <v>4801</v>
      </c>
      <c r="F103" s="196">
        <v>11700</v>
      </c>
      <c r="G103" s="196">
        <v>3936</v>
      </c>
      <c r="H103" s="196">
        <v>21766</v>
      </c>
      <c r="I103" s="196">
        <v>1830</v>
      </c>
      <c r="J103" s="196" t="b">
        <f t="shared" si="2"/>
        <v>1</v>
      </c>
      <c r="K103" s="196" t="b">
        <f t="shared" si="3"/>
        <v>1</v>
      </c>
      <c r="O103" s="196">
        <v>-7.7</v>
      </c>
      <c r="P103" s="196">
        <v>-9.1</v>
      </c>
      <c r="Q103" s="196">
        <v>-19.5</v>
      </c>
      <c r="R103" s="196">
        <v>4.8</v>
      </c>
      <c r="S103" s="196">
        <v>-8.6</v>
      </c>
      <c r="T103" s="196">
        <v>-7.2</v>
      </c>
      <c r="U103" s="196">
        <v>-12.9</v>
      </c>
    </row>
    <row r="104" spans="1:21" x14ac:dyDescent="0.25">
      <c r="A104" s="213"/>
      <c r="B104" s="196" t="s">
        <v>232</v>
      </c>
      <c r="C104" s="196">
        <v>82610</v>
      </c>
      <c r="D104" s="196">
        <v>39692</v>
      </c>
      <c r="E104" s="196">
        <v>4487</v>
      </c>
      <c r="F104" s="196">
        <v>11755</v>
      </c>
      <c r="G104" s="196">
        <v>3836</v>
      </c>
      <c r="H104" s="196">
        <v>21029</v>
      </c>
      <c r="I104" s="196">
        <v>1811</v>
      </c>
      <c r="J104" s="196" t="b">
        <f t="shared" si="2"/>
        <v>1</v>
      </c>
      <c r="K104" s="196" t="b">
        <f t="shared" si="3"/>
        <v>1</v>
      </c>
      <c r="O104" s="196">
        <v>-10.8</v>
      </c>
      <c r="P104" s="196">
        <v>-12.6</v>
      </c>
      <c r="Q104" s="196">
        <v>-25.6</v>
      </c>
      <c r="R104" s="196">
        <v>4.3</v>
      </c>
      <c r="S104" s="196">
        <v>-9.8000000000000007</v>
      </c>
      <c r="T104" s="196">
        <v>-10.7</v>
      </c>
      <c r="U104" s="196">
        <v>-15.3</v>
      </c>
    </row>
    <row r="105" spans="1:21" x14ac:dyDescent="0.25">
      <c r="A105" s="213"/>
      <c r="B105" s="196" t="s">
        <v>233</v>
      </c>
      <c r="C105" s="196">
        <v>81285</v>
      </c>
      <c r="D105" s="196">
        <v>38973</v>
      </c>
      <c r="E105" s="196">
        <v>4366</v>
      </c>
      <c r="F105" s="196">
        <v>11498</v>
      </c>
      <c r="G105" s="196">
        <v>3821</v>
      </c>
      <c r="H105" s="196">
        <v>20786</v>
      </c>
      <c r="I105" s="196">
        <v>1842</v>
      </c>
      <c r="J105" s="196" t="b">
        <f t="shared" si="2"/>
        <v>1</v>
      </c>
      <c r="K105" s="196" t="b">
        <f t="shared" si="3"/>
        <v>1</v>
      </c>
      <c r="O105" s="196">
        <v>-12.5</v>
      </c>
      <c r="P105" s="196">
        <v>-14.3</v>
      </c>
      <c r="Q105" s="196">
        <v>-27.9</v>
      </c>
      <c r="R105" s="196">
        <v>1.5</v>
      </c>
      <c r="S105" s="196">
        <v>-9.3000000000000007</v>
      </c>
      <c r="T105" s="196">
        <v>-12</v>
      </c>
      <c r="U105" s="196">
        <v>-14.9</v>
      </c>
    </row>
    <row r="106" spans="1:21" x14ac:dyDescent="0.25">
      <c r="A106" s="213"/>
      <c r="B106" s="196" t="s">
        <v>234</v>
      </c>
      <c r="C106" s="196">
        <v>81129</v>
      </c>
      <c r="D106" s="196">
        <v>38892</v>
      </c>
      <c r="E106" s="196">
        <v>4321</v>
      </c>
      <c r="F106" s="196">
        <v>11309</v>
      </c>
      <c r="G106" s="196">
        <v>3786</v>
      </c>
      <c r="H106" s="196">
        <v>20928</v>
      </c>
      <c r="I106" s="196">
        <v>1894</v>
      </c>
      <c r="J106" s="196" t="b">
        <f t="shared" si="2"/>
        <v>1</v>
      </c>
      <c r="K106" s="196" t="b">
        <f t="shared" si="3"/>
        <v>1</v>
      </c>
      <c r="O106" s="196">
        <v>-12.7</v>
      </c>
      <c r="P106" s="196">
        <v>-14.7</v>
      </c>
      <c r="Q106" s="196">
        <v>-28.7</v>
      </c>
      <c r="R106" s="196">
        <v>0.2</v>
      </c>
      <c r="S106" s="196">
        <v>-10.5</v>
      </c>
      <c r="T106" s="196">
        <v>-11.7</v>
      </c>
      <c r="U106" s="196">
        <v>-11.2</v>
      </c>
    </row>
    <row r="107" spans="1:21" x14ac:dyDescent="0.25">
      <c r="A107" s="213"/>
      <c r="B107" s="196" t="s">
        <v>235</v>
      </c>
      <c r="C107" s="196">
        <v>81954</v>
      </c>
      <c r="D107" s="196">
        <v>39500</v>
      </c>
      <c r="E107" s="196">
        <v>4376</v>
      </c>
      <c r="F107" s="196">
        <v>11221</v>
      </c>
      <c r="G107" s="196">
        <v>3741</v>
      </c>
      <c r="H107" s="196">
        <v>21170</v>
      </c>
      <c r="I107" s="196">
        <v>1947</v>
      </c>
      <c r="J107" s="196" t="b">
        <f t="shared" si="2"/>
        <v>1</v>
      </c>
      <c r="K107" s="196" t="b">
        <f t="shared" si="3"/>
        <v>1</v>
      </c>
      <c r="O107" s="196">
        <v>-12.1</v>
      </c>
      <c r="P107" s="196">
        <v>-13.5</v>
      </c>
      <c r="Q107" s="196">
        <v>-27.8</v>
      </c>
      <c r="R107" s="196">
        <v>-0.8</v>
      </c>
      <c r="S107" s="196">
        <v>-12.1</v>
      </c>
      <c r="T107" s="196">
        <v>-11.2</v>
      </c>
      <c r="U107" s="196">
        <v>-5.8</v>
      </c>
    </row>
    <row r="108" spans="1:21" x14ac:dyDescent="0.25">
      <c r="A108" s="213"/>
      <c r="B108" s="196" t="s">
        <v>236</v>
      </c>
      <c r="C108" s="196">
        <v>83767</v>
      </c>
      <c r="D108" s="196">
        <v>40440</v>
      </c>
      <c r="E108" s="196">
        <v>4470</v>
      </c>
      <c r="F108" s="196">
        <v>11347</v>
      </c>
      <c r="G108" s="196">
        <v>3760</v>
      </c>
      <c r="H108" s="196">
        <v>21797</v>
      </c>
      <c r="I108" s="196">
        <v>1954</v>
      </c>
      <c r="J108" s="196" t="b">
        <f t="shared" si="2"/>
        <v>1</v>
      </c>
      <c r="K108" s="196" t="b">
        <f t="shared" si="3"/>
        <v>1</v>
      </c>
      <c r="O108" s="196">
        <v>-10.4</v>
      </c>
      <c r="P108" s="196">
        <v>-11.8</v>
      </c>
      <c r="Q108" s="196">
        <v>-26.7</v>
      </c>
      <c r="R108" s="196">
        <v>0.4</v>
      </c>
      <c r="S108" s="196">
        <v>-13.5</v>
      </c>
      <c r="T108" s="196">
        <v>-8.6</v>
      </c>
      <c r="U108" s="196">
        <v>-4.8</v>
      </c>
    </row>
    <row r="109" spans="1:21" x14ac:dyDescent="0.25">
      <c r="A109" s="213"/>
      <c r="B109" s="196" t="s">
        <v>237</v>
      </c>
      <c r="C109" s="196">
        <v>85025</v>
      </c>
      <c r="D109" s="196">
        <v>40960</v>
      </c>
      <c r="E109" s="196">
        <v>4540</v>
      </c>
      <c r="F109" s="196">
        <v>11498</v>
      </c>
      <c r="G109" s="196">
        <v>3798</v>
      </c>
      <c r="H109" s="196">
        <v>22253</v>
      </c>
      <c r="I109" s="196">
        <v>1975</v>
      </c>
      <c r="J109" s="196" t="b">
        <f t="shared" si="2"/>
        <v>1</v>
      </c>
      <c r="K109" s="196" t="b">
        <f t="shared" si="3"/>
        <v>1</v>
      </c>
      <c r="O109" s="196">
        <v>-9.4</v>
      </c>
      <c r="P109" s="196">
        <v>-10.9</v>
      </c>
      <c r="Q109" s="196">
        <v>-25.9</v>
      </c>
      <c r="R109" s="196">
        <v>1.7</v>
      </c>
      <c r="S109" s="196">
        <v>-13.2</v>
      </c>
      <c r="T109" s="196">
        <v>-7.4</v>
      </c>
      <c r="U109" s="196">
        <v>-1.4</v>
      </c>
    </row>
    <row r="110" spans="1:21" x14ac:dyDescent="0.25">
      <c r="A110" s="213"/>
      <c r="B110" s="196" t="s">
        <v>238</v>
      </c>
      <c r="C110" s="196">
        <v>85669</v>
      </c>
      <c r="D110" s="196">
        <v>41234</v>
      </c>
      <c r="E110" s="196">
        <v>4627</v>
      </c>
      <c r="F110" s="196">
        <v>11479</v>
      </c>
      <c r="G110" s="196">
        <v>3790</v>
      </c>
      <c r="H110" s="196">
        <v>22576</v>
      </c>
      <c r="I110" s="196">
        <v>1963</v>
      </c>
      <c r="J110" s="196" t="b">
        <f t="shared" si="2"/>
        <v>1</v>
      </c>
      <c r="K110" s="196" t="b">
        <f t="shared" si="3"/>
        <v>1</v>
      </c>
      <c r="O110" s="196">
        <v>-8.8000000000000007</v>
      </c>
      <c r="P110" s="196">
        <v>-10.9</v>
      </c>
      <c r="Q110" s="196">
        <v>-24.4</v>
      </c>
      <c r="R110" s="196">
        <v>2.1</v>
      </c>
      <c r="S110" s="196">
        <v>-12.6</v>
      </c>
      <c r="T110" s="196">
        <v>-5.9</v>
      </c>
      <c r="U110" s="196">
        <v>-0.7</v>
      </c>
    </row>
    <row r="111" spans="1:21" x14ac:dyDescent="0.25">
      <c r="A111" s="213"/>
      <c r="B111" s="196" t="s">
        <v>239</v>
      </c>
      <c r="C111" s="196">
        <v>85648</v>
      </c>
      <c r="D111" s="196">
        <v>41086</v>
      </c>
      <c r="E111" s="196">
        <v>4648</v>
      </c>
      <c r="F111" s="196">
        <v>11381</v>
      </c>
      <c r="G111" s="196">
        <v>3743</v>
      </c>
      <c r="H111" s="196">
        <v>22798</v>
      </c>
      <c r="I111" s="196">
        <v>1993</v>
      </c>
      <c r="J111" s="196" t="b">
        <f t="shared" si="2"/>
        <v>1</v>
      </c>
      <c r="K111" s="196" t="b">
        <f t="shared" si="3"/>
        <v>1</v>
      </c>
      <c r="O111" s="196">
        <v>-8.4</v>
      </c>
      <c r="P111" s="196">
        <v>-11</v>
      </c>
      <c r="Q111" s="196">
        <v>-23</v>
      </c>
      <c r="R111" s="196">
        <v>2.2999999999999998</v>
      </c>
      <c r="S111" s="196">
        <v>-13.2</v>
      </c>
      <c r="T111" s="196">
        <v>-5</v>
      </c>
      <c r="U111" s="196">
        <v>3.4</v>
      </c>
    </row>
    <row r="112" spans="1:21" x14ac:dyDescent="0.25">
      <c r="A112" s="213"/>
      <c r="B112" s="196" t="s">
        <v>240</v>
      </c>
      <c r="C112" s="196">
        <v>85709</v>
      </c>
      <c r="D112" s="196">
        <v>41097</v>
      </c>
      <c r="E112" s="196">
        <v>4648</v>
      </c>
      <c r="F112" s="196">
        <v>11351</v>
      </c>
      <c r="G112" s="196">
        <v>3723</v>
      </c>
      <c r="H112" s="196">
        <v>22955</v>
      </c>
      <c r="I112" s="196">
        <v>1935</v>
      </c>
      <c r="J112" s="196" t="b">
        <f t="shared" si="2"/>
        <v>1</v>
      </c>
      <c r="K112" s="196" t="b">
        <f t="shared" si="3"/>
        <v>1</v>
      </c>
      <c r="O112" s="196">
        <v>-7.9</v>
      </c>
      <c r="P112" s="196">
        <v>-10.7</v>
      </c>
      <c r="Q112" s="196">
        <v>-22.4</v>
      </c>
      <c r="R112" s="196">
        <v>3.4</v>
      </c>
      <c r="S112" s="196">
        <v>-13.5</v>
      </c>
      <c r="T112" s="196">
        <v>-3.9</v>
      </c>
      <c r="U112" s="196">
        <v>0.7</v>
      </c>
    </row>
    <row r="113" spans="1:21" x14ac:dyDescent="0.25">
      <c r="A113" s="213"/>
      <c r="B113" s="196" t="s">
        <v>241</v>
      </c>
      <c r="C113" s="196">
        <v>85497</v>
      </c>
      <c r="D113" s="196">
        <v>40880</v>
      </c>
      <c r="E113" s="196">
        <v>4672</v>
      </c>
      <c r="F113" s="196">
        <v>11208</v>
      </c>
      <c r="G113" s="196">
        <v>3638</v>
      </c>
      <c r="H113" s="196">
        <v>23161</v>
      </c>
      <c r="I113" s="196">
        <v>1937</v>
      </c>
      <c r="J113" s="196" t="b">
        <f t="shared" si="2"/>
        <v>1</v>
      </c>
      <c r="K113" s="196" t="b">
        <f t="shared" si="3"/>
        <v>1</v>
      </c>
      <c r="O113" s="196">
        <v>-6.6</v>
      </c>
      <c r="P113" s="196">
        <v>-8.9</v>
      </c>
      <c r="Q113" s="196">
        <v>-18.600000000000001</v>
      </c>
      <c r="R113" s="196">
        <v>0</v>
      </c>
      <c r="S113" s="196">
        <v>-15</v>
      </c>
      <c r="T113" s="196">
        <v>-1.5</v>
      </c>
      <c r="U113" s="196">
        <v>2.6</v>
      </c>
    </row>
    <row r="114" spans="1:21" x14ac:dyDescent="0.25">
      <c r="A114" s="213"/>
      <c r="B114" s="196" t="s">
        <v>242</v>
      </c>
      <c r="C114" s="196">
        <v>85880</v>
      </c>
      <c r="D114" s="196">
        <v>41030</v>
      </c>
      <c r="E114" s="196">
        <v>4664</v>
      </c>
      <c r="F114" s="196">
        <v>11211</v>
      </c>
      <c r="G114" s="196">
        <v>3643</v>
      </c>
      <c r="H114" s="196">
        <v>23426</v>
      </c>
      <c r="I114" s="196">
        <v>1905</v>
      </c>
      <c r="J114" s="196" t="b">
        <f t="shared" si="2"/>
        <v>1</v>
      </c>
      <c r="K114" s="196" t="b">
        <f t="shared" si="3"/>
        <v>1</v>
      </c>
      <c r="O114" s="196">
        <v>-3.1</v>
      </c>
      <c r="P114" s="196">
        <v>-5</v>
      </c>
      <c r="Q114" s="196">
        <v>-11.8</v>
      </c>
      <c r="R114" s="196">
        <v>-1.8</v>
      </c>
      <c r="S114" s="196">
        <v>-11.1</v>
      </c>
      <c r="T114" s="196">
        <v>3</v>
      </c>
      <c r="U114" s="196">
        <v>2.9</v>
      </c>
    </row>
    <row r="115" spans="1:21" x14ac:dyDescent="0.25">
      <c r="A115" s="213"/>
      <c r="B115" s="196" t="s">
        <v>243</v>
      </c>
      <c r="C115" s="196">
        <v>86536</v>
      </c>
      <c r="D115" s="196">
        <v>41221</v>
      </c>
      <c r="E115" s="196">
        <v>4750</v>
      </c>
      <c r="F115" s="196">
        <v>11333</v>
      </c>
      <c r="G115" s="196">
        <v>3587</v>
      </c>
      <c r="H115" s="196">
        <v>23705</v>
      </c>
      <c r="I115" s="196">
        <v>1940</v>
      </c>
      <c r="J115" s="196" t="b">
        <f t="shared" si="2"/>
        <v>1</v>
      </c>
      <c r="K115" s="196" t="b">
        <f t="shared" si="3"/>
        <v>1</v>
      </c>
      <c r="O115" s="196">
        <v>1.5</v>
      </c>
      <c r="P115" s="196">
        <v>0.1</v>
      </c>
      <c r="Q115" s="196">
        <v>-1.1000000000000001</v>
      </c>
      <c r="R115" s="196">
        <v>-3.1</v>
      </c>
      <c r="S115" s="196">
        <v>-8.9</v>
      </c>
      <c r="T115" s="196">
        <v>8.9</v>
      </c>
      <c r="U115" s="196">
        <v>6</v>
      </c>
    </row>
    <row r="116" spans="1:21" x14ac:dyDescent="0.25">
      <c r="A116" s="213"/>
      <c r="B116" s="196" t="s">
        <v>244</v>
      </c>
      <c r="C116" s="196">
        <v>87743</v>
      </c>
      <c r="D116" s="196">
        <v>41812</v>
      </c>
      <c r="E116" s="196">
        <v>4864</v>
      </c>
      <c r="F116" s="196">
        <v>11253</v>
      </c>
      <c r="G116" s="196">
        <v>3657</v>
      </c>
      <c r="H116" s="196">
        <v>24213</v>
      </c>
      <c r="I116" s="196">
        <v>1945</v>
      </c>
      <c r="J116" s="196" t="b">
        <f t="shared" si="2"/>
        <v>1</v>
      </c>
      <c r="K116" s="196" t="b">
        <f t="shared" si="3"/>
        <v>1</v>
      </c>
      <c r="O116" s="196">
        <v>6.2</v>
      </c>
      <c r="P116" s="196">
        <v>5.3</v>
      </c>
      <c r="Q116" s="196">
        <v>8.4</v>
      </c>
      <c r="R116" s="196">
        <v>-4.3</v>
      </c>
      <c r="S116" s="196">
        <v>-4.7</v>
      </c>
      <c r="T116" s="196">
        <v>15.1</v>
      </c>
      <c r="U116" s="196">
        <v>7.4</v>
      </c>
    </row>
    <row r="117" spans="1:21" x14ac:dyDescent="0.25">
      <c r="A117" s="213"/>
      <c r="B117" s="196" t="s">
        <v>245</v>
      </c>
      <c r="C117" s="196">
        <v>88992</v>
      </c>
      <c r="D117" s="196">
        <v>42561</v>
      </c>
      <c r="E117" s="196">
        <v>5068</v>
      </c>
      <c r="F117" s="196">
        <v>11236</v>
      </c>
      <c r="G117" s="196">
        <v>3618</v>
      </c>
      <c r="H117" s="196">
        <v>24559</v>
      </c>
      <c r="I117" s="196">
        <v>1951</v>
      </c>
      <c r="J117" s="196" t="b">
        <f t="shared" si="2"/>
        <v>1</v>
      </c>
      <c r="K117" s="196" t="b">
        <f t="shared" si="3"/>
        <v>1</v>
      </c>
      <c r="O117" s="196">
        <v>9.5</v>
      </c>
      <c r="P117" s="196">
        <v>9.1999999999999993</v>
      </c>
      <c r="Q117" s="196">
        <v>16.100000000000001</v>
      </c>
      <c r="R117" s="196">
        <v>-2.2999999999999998</v>
      </c>
      <c r="S117" s="196">
        <v>-5.3</v>
      </c>
      <c r="T117" s="196">
        <v>18.2</v>
      </c>
      <c r="U117" s="196">
        <v>5.9</v>
      </c>
    </row>
    <row r="118" spans="1:21" x14ac:dyDescent="0.25">
      <c r="A118" s="213"/>
      <c r="B118" s="196" t="s">
        <v>246</v>
      </c>
      <c r="C118" s="196">
        <v>90033</v>
      </c>
      <c r="D118" s="196">
        <v>43308</v>
      </c>
      <c r="E118" s="196">
        <v>5249</v>
      </c>
      <c r="F118" s="196">
        <v>11038</v>
      </c>
      <c r="G118" s="196">
        <v>3670</v>
      </c>
      <c r="H118" s="196">
        <v>24804</v>
      </c>
      <c r="I118" s="196">
        <v>1964</v>
      </c>
      <c r="J118" s="196" t="b">
        <f t="shared" si="2"/>
        <v>1</v>
      </c>
      <c r="K118" s="196" t="b">
        <f t="shared" si="3"/>
        <v>1</v>
      </c>
      <c r="O118" s="196">
        <v>11</v>
      </c>
      <c r="P118" s="196">
        <v>11.4</v>
      </c>
      <c r="Q118" s="196">
        <v>21.5</v>
      </c>
      <c r="R118" s="196">
        <v>-2.4</v>
      </c>
      <c r="S118" s="196">
        <v>-3.1</v>
      </c>
      <c r="T118" s="196">
        <v>18.5</v>
      </c>
      <c r="U118" s="196">
        <v>3.7</v>
      </c>
    </row>
    <row r="119" spans="1:21" x14ac:dyDescent="0.25">
      <c r="A119" s="213"/>
      <c r="B119" s="196" t="s">
        <v>247</v>
      </c>
      <c r="C119" s="196">
        <v>91265</v>
      </c>
      <c r="D119" s="196">
        <v>44254</v>
      </c>
      <c r="E119" s="196">
        <v>5311</v>
      </c>
      <c r="F119" s="196">
        <v>10975</v>
      </c>
      <c r="G119" s="196">
        <v>3734</v>
      </c>
      <c r="H119" s="196">
        <v>25009</v>
      </c>
      <c r="I119" s="196">
        <v>1982</v>
      </c>
      <c r="J119" s="196" t="b">
        <f t="shared" si="2"/>
        <v>1</v>
      </c>
      <c r="K119" s="196" t="b">
        <f t="shared" si="3"/>
        <v>1</v>
      </c>
      <c r="O119" s="196">
        <v>11.4</v>
      </c>
      <c r="P119" s="196">
        <v>12</v>
      </c>
      <c r="Q119" s="196">
        <v>21.4</v>
      </c>
      <c r="R119" s="196">
        <v>-2.2000000000000002</v>
      </c>
      <c r="S119" s="196">
        <v>-0.2</v>
      </c>
      <c r="T119" s="196">
        <v>18.100000000000001</v>
      </c>
      <c r="U119" s="196">
        <v>1.8</v>
      </c>
    </row>
    <row r="120" spans="1:21" x14ac:dyDescent="0.25">
      <c r="A120" s="213"/>
      <c r="B120" s="196" t="s">
        <v>248</v>
      </c>
      <c r="C120" s="196">
        <v>92230</v>
      </c>
      <c r="D120" s="196">
        <v>44875</v>
      </c>
      <c r="E120" s="196">
        <v>5466</v>
      </c>
      <c r="F120" s="196">
        <v>10957</v>
      </c>
      <c r="G120" s="196">
        <v>3792</v>
      </c>
      <c r="H120" s="196">
        <v>25183</v>
      </c>
      <c r="I120" s="196">
        <v>1956</v>
      </c>
      <c r="J120" s="196" t="b">
        <f t="shared" si="2"/>
        <v>1</v>
      </c>
      <c r="K120" s="196" t="b">
        <f t="shared" si="3"/>
        <v>1</v>
      </c>
      <c r="O120" s="196">
        <v>10.1</v>
      </c>
      <c r="P120" s="196">
        <v>11</v>
      </c>
      <c r="Q120" s="196">
        <v>22.3</v>
      </c>
      <c r="R120" s="196">
        <v>-3.4</v>
      </c>
      <c r="S120" s="196">
        <v>0.9</v>
      </c>
      <c r="T120" s="196">
        <v>15.5</v>
      </c>
      <c r="U120" s="196">
        <v>0.1</v>
      </c>
    </row>
    <row r="121" spans="1:21" x14ac:dyDescent="0.25">
      <c r="A121" s="213"/>
      <c r="B121" s="196" t="s">
        <v>249</v>
      </c>
      <c r="C121" s="196">
        <v>93184</v>
      </c>
      <c r="D121" s="196">
        <v>45443</v>
      </c>
      <c r="E121" s="196">
        <v>5562</v>
      </c>
      <c r="F121" s="196">
        <v>11074</v>
      </c>
      <c r="G121" s="196">
        <v>3800</v>
      </c>
      <c r="H121" s="196">
        <v>25380</v>
      </c>
      <c r="I121" s="196">
        <v>1926</v>
      </c>
      <c r="J121" s="196" t="b">
        <f t="shared" si="2"/>
        <v>1</v>
      </c>
      <c r="K121" s="196" t="b">
        <f t="shared" si="3"/>
        <v>1</v>
      </c>
      <c r="O121" s="196">
        <v>9.6</v>
      </c>
      <c r="P121" s="196">
        <v>10.9</v>
      </c>
      <c r="Q121" s="196">
        <v>22.5</v>
      </c>
      <c r="R121" s="196">
        <v>-3.7</v>
      </c>
      <c r="S121" s="196">
        <v>0</v>
      </c>
      <c r="T121" s="196">
        <v>14</v>
      </c>
      <c r="U121" s="196">
        <v>-2.5</v>
      </c>
    </row>
    <row r="122" spans="1:21" x14ac:dyDescent="0.25">
      <c r="A122" s="213"/>
      <c r="B122" s="196" t="s">
        <v>250</v>
      </c>
      <c r="C122" s="196">
        <v>93988</v>
      </c>
      <c r="D122" s="196">
        <v>45972</v>
      </c>
      <c r="E122" s="196">
        <v>5650</v>
      </c>
      <c r="F122" s="196">
        <v>11172</v>
      </c>
      <c r="G122" s="196">
        <v>3808</v>
      </c>
      <c r="H122" s="196">
        <v>25476</v>
      </c>
      <c r="I122" s="196">
        <v>1910</v>
      </c>
      <c r="J122" s="196" t="b">
        <f t="shared" si="2"/>
        <v>1</v>
      </c>
      <c r="K122" s="196" t="b">
        <f t="shared" si="3"/>
        <v>1</v>
      </c>
      <c r="O122" s="196">
        <v>9.6999999999999993</v>
      </c>
      <c r="P122" s="196">
        <v>11.5</v>
      </c>
      <c r="Q122" s="196">
        <v>22.1</v>
      </c>
      <c r="R122" s="196">
        <v>-2.7</v>
      </c>
      <c r="S122" s="196">
        <v>0.5</v>
      </c>
      <c r="T122" s="196">
        <v>12.8</v>
      </c>
      <c r="U122" s="196">
        <v>-2.7</v>
      </c>
    </row>
    <row r="123" spans="1:21" x14ac:dyDescent="0.25">
      <c r="A123" s="213"/>
      <c r="B123" s="196" t="s">
        <v>251</v>
      </c>
      <c r="C123" s="196">
        <v>93679</v>
      </c>
      <c r="D123" s="196">
        <v>45977</v>
      </c>
      <c r="E123" s="196">
        <v>5575</v>
      </c>
      <c r="F123" s="196">
        <v>11159</v>
      </c>
      <c r="G123" s="196">
        <v>3937</v>
      </c>
      <c r="H123" s="196">
        <v>25118</v>
      </c>
      <c r="I123" s="196">
        <v>1913</v>
      </c>
      <c r="J123" s="196" t="b">
        <f t="shared" si="2"/>
        <v>1</v>
      </c>
      <c r="K123" s="196" t="b">
        <f t="shared" si="3"/>
        <v>1</v>
      </c>
      <c r="O123" s="196">
        <v>9.4</v>
      </c>
      <c r="P123" s="196">
        <v>11.9</v>
      </c>
      <c r="Q123" s="196">
        <v>19.899999999999999</v>
      </c>
      <c r="R123" s="196">
        <v>-2</v>
      </c>
      <c r="S123" s="196">
        <v>5.2</v>
      </c>
      <c r="T123" s="196">
        <v>10.199999999999999</v>
      </c>
      <c r="U123" s="196">
        <v>-4</v>
      </c>
    </row>
    <row r="124" spans="1:21" x14ac:dyDescent="0.25">
      <c r="A124" s="213"/>
      <c r="B124" s="196" t="s">
        <v>252</v>
      </c>
      <c r="C124" s="196">
        <v>93490</v>
      </c>
      <c r="D124" s="196">
        <v>45920</v>
      </c>
      <c r="E124" s="196">
        <v>5617</v>
      </c>
      <c r="F124" s="196">
        <v>11139</v>
      </c>
      <c r="G124" s="196">
        <v>3992</v>
      </c>
      <c r="H124" s="196">
        <v>24902</v>
      </c>
      <c r="I124" s="196">
        <v>1920</v>
      </c>
      <c r="J124" s="196" t="b">
        <f t="shared" si="2"/>
        <v>1</v>
      </c>
      <c r="K124" s="196" t="b">
        <f t="shared" si="3"/>
        <v>1</v>
      </c>
      <c r="O124" s="196">
        <v>9.1</v>
      </c>
      <c r="P124" s="196">
        <v>11.7</v>
      </c>
      <c r="Q124" s="196">
        <v>20.8</v>
      </c>
      <c r="R124" s="196">
        <v>-1.9</v>
      </c>
      <c r="S124" s="196">
        <v>7.2</v>
      </c>
      <c r="T124" s="196">
        <v>8.5</v>
      </c>
      <c r="U124" s="196">
        <v>-0.8</v>
      </c>
    </row>
    <row r="125" spans="1:21" x14ac:dyDescent="0.25">
      <c r="A125" s="213"/>
      <c r="B125" s="196" t="s">
        <v>253</v>
      </c>
      <c r="C125" s="196">
        <v>93523</v>
      </c>
      <c r="D125" s="196">
        <v>46131</v>
      </c>
      <c r="E125" s="196">
        <v>5562</v>
      </c>
      <c r="F125" s="196">
        <v>11060</v>
      </c>
      <c r="G125" s="196">
        <v>4017</v>
      </c>
      <c r="H125" s="196">
        <v>24829</v>
      </c>
      <c r="I125" s="196">
        <v>1923</v>
      </c>
      <c r="J125" s="196" t="b">
        <f t="shared" si="2"/>
        <v>1</v>
      </c>
      <c r="K125" s="196" t="b">
        <f t="shared" si="3"/>
        <v>1</v>
      </c>
      <c r="O125" s="196">
        <v>9.4</v>
      </c>
      <c r="P125" s="196">
        <v>12.8</v>
      </c>
      <c r="Q125" s="196">
        <v>19.100000000000001</v>
      </c>
      <c r="R125" s="196">
        <v>-1.3</v>
      </c>
      <c r="S125" s="196">
        <v>10.4</v>
      </c>
      <c r="T125" s="196">
        <v>7.2</v>
      </c>
      <c r="U125" s="196">
        <v>-0.7</v>
      </c>
    </row>
    <row r="126" spans="1:21" x14ac:dyDescent="0.25">
      <c r="A126" s="213"/>
      <c r="B126" s="196" t="s">
        <v>254</v>
      </c>
      <c r="C126" s="196">
        <v>94729</v>
      </c>
      <c r="D126" s="196">
        <v>46742</v>
      </c>
      <c r="E126" s="196">
        <v>5722</v>
      </c>
      <c r="F126" s="196">
        <v>11278</v>
      </c>
      <c r="G126" s="196">
        <v>4039</v>
      </c>
      <c r="H126" s="196">
        <v>25083</v>
      </c>
      <c r="I126" s="196">
        <v>1864</v>
      </c>
      <c r="J126" s="196" t="b">
        <f t="shared" si="2"/>
        <v>1</v>
      </c>
      <c r="K126" s="196" t="b">
        <f t="shared" si="3"/>
        <v>1</v>
      </c>
      <c r="O126" s="196">
        <v>10.3</v>
      </c>
      <c r="P126" s="196">
        <v>13.9</v>
      </c>
      <c r="Q126" s="196">
        <v>22.7</v>
      </c>
      <c r="R126" s="196">
        <v>0.6</v>
      </c>
      <c r="S126" s="196">
        <v>10.9</v>
      </c>
      <c r="T126" s="196">
        <v>7.1</v>
      </c>
      <c r="U126" s="196">
        <v>-2.2000000000000002</v>
      </c>
    </row>
    <row r="127" spans="1:21" x14ac:dyDescent="0.25">
      <c r="A127" s="213"/>
      <c r="B127" s="196" t="s">
        <v>255</v>
      </c>
      <c r="C127" s="196">
        <v>95709</v>
      </c>
      <c r="D127" s="196">
        <v>47388</v>
      </c>
      <c r="E127" s="196">
        <v>5741</v>
      </c>
      <c r="F127" s="196">
        <v>11410</v>
      </c>
      <c r="G127" s="196">
        <v>4154</v>
      </c>
      <c r="H127" s="196">
        <v>25188</v>
      </c>
      <c r="I127" s="196">
        <v>1828</v>
      </c>
      <c r="J127" s="196" t="b">
        <f t="shared" si="2"/>
        <v>1</v>
      </c>
      <c r="K127" s="196" t="b">
        <f t="shared" si="3"/>
        <v>1</v>
      </c>
      <c r="O127" s="196">
        <v>10.6</v>
      </c>
      <c r="P127" s="196">
        <v>15</v>
      </c>
      <c r="Q127" s="196">
        <v>20.9</v>
      </c>
      <c r="R127" s="196">
        <v>0.7</v>
      </c>
      <c r="S127" s="196">
        <v>15.8</v>
      </c>
      <c r="T127" s="196">
        <v>6.3</v>
      </c>
      <c r="U127" s="196">
        <v>-5.8</v>
      </c>
    </row>
    <row r="128" spans="1:21" x14ac:dyDescent="0.25">
      <c r="A128" s="213"/>
      <c r="B128" s="196" t="s">
        <v>256</v>
      </c>
      <c r="C128" s="196">
        <v>96445</v>
      </c>
      <c r="D128" s="196">
        <v>47829</v>
      </c>
      <c r="E128" s="196">
        <v>5807</v>
      </c>
      <c r="F128" s="196">
        <v>11653</v>
      </c>
      <c r="G128" s="196">
        <v>4155</v>
      </c>
      <c r="H128" s="196">
        <v>25241</v>
      </c>
      <c r="I128" s="196">
        <v>1761</v>
      </c>
      <c r="J128" s="196" t="b">
        <f t="shared" si="2"/>
        <v>1</v>
      </c>
      <c r="K128" s="196" t="b">
        <f t="shared" si="3"/>
        <v>1</v>
      </c>
      <c r="O128" s="196">
        <v>9.9</v>
      </c>
      <c r="P128" s="196">
        <v>14.4</v>
      </c>
      <c r="Q128" s="196">
        <v>19.399999999999999</v>
      </c>
      <c r="R128" s="196">
        <v>3.6</v>
      </c>
      <c r="S128" s="196">
        <v>13.6</v>
      </c>
      <c r="T128" s="196">
        <v>4.2</v>
      </c>
      <c r="U128" s="196">
        <v>-9.5</v>
      </c>
    </row>
    <row r="129" spans="1:21" x14ac:dyDescent="0.25">
      <c r="A129" s="213"/>
      <c r="B129" s="196" t="s">
        <v>257</v>
      </c>
      <c r="C129" s="196">
        <v>96833</v>
      </c>
      <c r="D129" s="196">
        <v>47891</v>
      </c>
      <c r="E129" s="196">
        <v>5783</v>
      </c>
      <c r="F129" s="196">
        <v>11810</v>
      </c>
      <c r="G129" s="196">
        <v>4198</v>
      </c>
      <c r="H129" s="196">
        <v>25383</v>
      </c>
      <c r="I129" s="196">
        <v>1769</v>
      </c>
      <c r="J129" s="196" t="b">
        <f t="shared" si="2"/>
        <v>1</v>
      </c>
      <c r="K129" s="196" t="b">
        <f t="shared" si="3"/>
        <v>1</v>
      </c>
      <c r="O129" s="196">
        <v>8.8000000000000007</v>
      </c>
      <c r="P129" s="196">
        <v>12.5</v>
      </c>
      <c r="Q129" s="196">
        <v>14.1</v>
      </c>
      <c r="R129" s="196">
        <v>5.0999999999999996</v>
      </c>
      <c r="S129" s="196">
        <v>16</v>
      </c>
      <c r="T129" s="196">
        <v>3.4</v>
      </c>
      <c r="U129" s="196">
        <v>-9.3000000000000007</v>
      </c>
    </row>
    <row r="130" spans="1:21" x14ac:dyDescent="0.25">
      <c r="A130" s="213"/>
      <c r="B130" s="196" t="s">
        <v>258</v>
      </c>
      <c r="C130" s="196">
        <v>97179</v>
      </c>
      <c r="D130" s="196">
        <v>48146</v>
      </c>
      <c r="E130" s="196">
        <v>5804</v>
      </c>
      <c r="F130" s="196">
        <v>11879</v>
      </c>
      <c r="G130" s="196">
        <v>4223</v>
      </c>
      <c r="H130" s="196">
        <v>25377</v>
      </c>
      <c r="I130" s="196">
        <v>1750</v>
      </c>
      <c r="J130" s="196" t="b">
        <f t="shared" si="2"/>
        <v>1</v>
      </c>
      <c r="K130" s="196" t="b">
        <f t="shared" si="3"/>
        <v>1</v>
      </c>
      <c r="O130" s="196">
        <v>7.9</v>
      </c>
      <c r="P130" s="196">
        <v>11.2</v>
      </c>
      <c r="Q130" s="196">
        <v>10.6</v>
      </c>
      <c r="R130" s="196">
        <v>7.6</v>
      </c>
      <c r="S130" s="196">
        <v>15.1</v>
      </c>
      <c r="T130" s="196">
        <v>2.2999999999999998</v>
      </c>
      <c r="U130" s="196">
        <v>-10.9</v>
      </c>
    </row>
    <row r="131" spans="1:21" x14ac:dyDescent="0.25">
      <c r="A131" s="213"/>
      <c r="B131" s="196" t="s">
        <v>259</v>
      </c>
      <c r="C131" s="196">
        <v>97435</v>
      </c>
      <c r="D131" s="196">
        <v>48481</v>
      </c>
      <c r="E131" s="196">
        <v>5842</v>
      </c>
      <c r="F131" s="196">
        <v>11940</v>
      </c>
      <c r="G131" s="196">
        <v>4270</v>
      </c>
      <c r="H131" s="196">
        <v>25200</v>
      </c>
      <c r="I131" s="196">
        <v>1702</v>
      </c>
      <c r="J131" s="196" t="b">
        <f t="shared" si="2"/>
        <v>1</v>
      </c>
      <c r="K131" s="196" t="b">
        <f t="shared" si="3"/>
        <v>1</v>
      </c>
      <c r="O131" s="196">
        <v>6.8</v>
      </c>
      <c r="P131" s="196">
        <v>9.6</v>
      </c>
      <c r="Q131" s="196">
        <v>10</v>
      </c>
      <c r="R131" s="196">
        <v>8.8000000000000007</v>
      </c>
      <c r="S131" s="196">
        <v>14.3</v>
      </c>
      <c r="T131" s="196">
        <v>0.8</v>
      </c>
      <c r="U131" s="196">
        <v>-14.2</v>
      </c>
    </row>
    <row r="132" spans="1:21" x14ac:dyDescent="0.25">
      <c r="A132" s="213"/>
      <c r="B132" s="196" t="s">
        <v>260</v>
      </c>
      <c r="C132" s="196">
        <v>97821</v>
      </c>
      <c r="D132" s="196">
        <v>48990</v>
      </c>
      <c r="E132" s="196">
        <v>5837</v>
      </c>
      <c r="F132" s="196">
        <v>12087</v>
      </c>
      <c r="G132" s="196">
        <v>4288</v>
      </c>
      <c r="H132" s="196">
        <v>24933</v>
      </c>
      <c r="I132" s="196">
        <v>1686</v>
      </c>
      <c r="J132" s="196" t="b">
        <f t="shared" si="2"/>
        <v>1</v>
      </c>
      <c r="K132" s="196" t="b">
        <f t="shared" si="3"/>
        <v>1</v>
      </c>
      <c r="O132" s="196">
        <v>6.1</v>
      </c>
      <c r="P132" s="196">
        <v>9.1999999999999993</v>
      </c>
      <c r="Q132" s="196">
        <v>6.8</v>
      </c>
      <c r="R132" s="196">
        <v>10.3</v>
      </c>
      <c r="S132" s="196">
        <v>13.1</v>
      </c>
      <c r="T132" s="196">
        <v>-1</v>
      </c>
      <c r="U132" s="196">
        <v>-13.8</v>
      </c>
    </row>
    <row r="133" spans="1:21" x14ac:dyDescent="0.25">
      <c r="A133" s="213"/>
      <c r="B133" s="196" t="s">
        <v>261</v>
      </c>
      <c r="C133" s="196">
        <v>97843</v>
      </c>
      <c r="D133" s="196">
        <v>49100</v>
      </c>
      <c r="E133" s="196">
        <v>5817</v>
      </c>
      <c r="F133" s="196">
        <v>12047</v>
      </c>
      <c r="G133" s="196">
        <v>4249</v>
      </c>
      <c r="H133" s="196">
        <v>25006</v>
      </c>
      <c r="I133" s="196">
        <v>1624</v>
      </c>
      <c r="J133" s="196" t="b">
        <f t="shared" ref="J133:J165" si="4">C133&lt;$C$166</f>
        <v>1</v>
      </c>
      <c r="K133" s="196" t="b">
        <f t="shared" ref="K133:K165" si="5">D133&lt;$D$166</f>
        <v>1</v>
      </c>
      <c r="O133" s="196">
        <v>5</v>
      </c>
      <c r="P133" s="196">
        <v>8</v>
      </c>
      <c r="Q133" s="196">
        <v>4.5999999999999996</v>
      </c>
      <c r="R133" s="196">
        <v>8.8000000000000007</v>
      </c>
      <c r="S133" s="196">
        <v>11.8</v>
      </c>
      <c r="T133" s="196">
        <v>-1.5</v>
      </c>
      <c r="U133" s="196">
        <v>-15.7</v>
      </c>
    </row>
    <row r="134" spans="1:21" x14ac:dyDescent="0.25">
      <c r="A134" s="213"/>
      <c r="B134" s="196" t="s">
        <v>262</v>
      </c>
      <c r="C134" s="196">
        <v>97517</v>
      </c>
      <c r="D134" s="196">
        <v>49094</v>
      </c>
      <c r="E134" s="196">
        <v>5786</v>
      </c>
      <c r="F134" s="196">
        <v>11909</v>
      </c>
      <c r="G134" s="196">
        <v>4167</v>
      </c>
      <c r="H134" s="196">
        <v>24972</v>
      </c>
      <c r="I134" s="196">
        <v>1589</v>
      </c>
      <c r="J134" s="196" t="b">
        <f t="shared" si="4"/>
        <v>1</v>
      </c>
      <c r="K134" s="196" t="b">
        <f t="shared" si="5"/>
        <v>1</v>
      </c>
      <c r="O134" s="196">
        <v>3.8</v>
      </c>
      <c r="P134" s="196">
        <v>6.8</v>
      </c>
      <c r="Q134" s="196">
        <v>2.4</v>
      </c>
      <c r="R134" s="196">
        <v>6.6</v>
      </c>
      <c r="S134" s="196">
        <v>9.4</v>
      </c>
      <c r="T134" s="196">
        <v>-2</v>
      </c>
      <c r="U134" s="196">
        <v>-16.8</v>
      </c>
    </row>
    <row r="135" spans="1:21" x14ac:dyDescent="0.25">
      <c r="A135" s="213"/>
      <c r="B135" s="196" t="s">
        <v>263</v>
      </c>
      <c r="C135" s="196">
        <v>96788</v>
      </c>
      <c r="D135" s="196">
        <v>48922</v>
      </c>
      <c r="E135" s="196">
        <v>5832</v>
      </c>
      <c r="F135" s="196">
        <v>11593</v>
      </c>
      <c r="G135" s="196">
        <v>4115</v>
      </c>
      <c r="H135" s="196">
        <v>24804</v>
      </c>
      <c r="I135" s="196">
        <v>1523</v>
      </c>
      <c r="J135" s="196" t="b">
        <f t="shared" si="4"/>
        <v>1</v>
      </c>
      <c r="K135" s="196" t="b">
        <f t="shared" si="5"/>
        <v>1</v>
      </c>
      <c r="O135" s="196">
        <v>3.3</v>
      </c>
      <c r="P135" s="196">
        <v>6.4</v>
      </c>
      <c r="Q135" s="196">
        <v>4.5999999999999996</v>
      </c>
      <c r="R135" s="196">
        <v>3.9</v>
      </c>
      <c r="S135" s="196">
        <v>4.5</v>
      </c>
      <c r="T135" s="196">
        <v>-1.2</v>
      </c>
      <c r="U135" s="196">
        <v>-20.399999999999999</v>
      </c>
    </row>
    <row r="136" spans="1:21" x14ac:dyDescent="0.25">
      <c r="A136" s="213"/>
      <c r="B136" s="196" t="s">
        <v>264</v>
      </c>
      <c r="C136" s="196">
        <v>96274</v>
      </c>
      <c r="D136" s="196">
        <v>48768</v>
      </c>
      <c r="E136" s="196">
        <v>5729</v>
      </c>
      <c r="F136" s="196">
        <v>11522</v>
      </c>
      <c r="G136" s="196">
        <v>4045</v>
      </c>
      <c r="H136" s="196">
        <v>24707</v>
      </c>
      <c r="I136" s="196">
        <v>1502</v>
      </c>
      <c r="J136" s="196" t="b">
        <f t="shared" si="4"/>
        <v>1</v>
      </c>
      <c r="K136" s="196" t="b">
        <f t="shared" si="5"/>
        <v>1</v>
      </c>
      <c r="O136" s="196">
        <v>3</v>
      </c>
      <c r="P136" s="196">
        <v>6.2</v>
      </c>
      <c r="Q136" s="196">
        <v>2</v>
      </c>
      <c r="R136" s="196">
        <v>3.4</v>
      </c>
      <c r="S136" s="196">
        <v>1.3</v>
      </c>
      <c r="T136" s="196">
        <v>-0.8</v>
      </c>
      <c r="U136" s="196">
        <v>-21.8</v>
      </c>
    </row>
    <row r="137" spans="1:21" x14ac:dyDescent="0.25">
      <c r="A137" s="213"/>
      <c r="B137" s="196" t="s">
        <v>265</v>
      </c>
      <c r="C137" s="196">
        <v>95978</v>
      </c>
      <c r="D137" s="196">
        <v>48493</v>
      </c>
      <c r="E137" s="196">
        <v>5649</v>
      </c>
      <c r="F137" s="196">
        <v>11568</v>
      </c>
      <c r="G137" s="196">
        <v>4077</v>
      </c>
      <c r="H137" s="196">
        <v>24704</v>
      </c>
      <c r="I137" s="196">
        <v>1487</v>
      </c>
      <c r="J137" s="196" t="b">
        <f t="shared" si="4"/>
        <v>1</v>
      </c>
      <c r="K137" s="196" t="b">
        <f t="shared" si="5"/>
        <v>1</v>
      </c>
      <c r="O137" s="196">
        <v>2.6</v>
      </c>
      <c r="P137" s="196">
        <v>5.0999999999999996</v>
      </c>
      <c r="Q137" s="196">
        <v>1.6</v>
      </c>
      <c r="R137" s="196">
        <v>4.5999999999999996</v>
      </c>
      <c r="S137" s="196">
        <v>1.5</v>
      </c>
      <c r="T137" s="196">
        <v>-0.5</v>
      </c>
      <c r="U137" s="196">
        <v>-22.7</v>
      </c>
    </row>
    <row r="138" spans="1:21" x14ac:dyDescent="0.25">
      <c r="A138" s="213"/>
      <c r="B138" s="196" t="s">
        <v>266</v>
      </c>
      <c r="C138" s="196">
        <v>96176</v>
      </c>
      <c r="D138" s="196">
        <v>48535</v>
      </c>
      <c r="E138" s="196">
        <v>5644</v>
      </c>
      <c r="F138" s="196">
        <v>11733</v>
      </c>
      <c r="G138" s="196">
        <v>4034</v>
      </c>
      <c r="H138" s="196">
        <v>24723</v>
      </c>
      <c r="I138" s="196">
        <v>1506</v>
      </c>
      <c r="J138" s="196" t="b">
        <f t="shared" si="4"/>
        <v>1</v>
      </c>
      <c r="K138" s="196" t="b">
        <f t="shared" si="5"/>
        <v>1</v>
      </c>
      <c r="O138" s="196">
        <v>1.5</v>
      </c>
      <c r="P138" s="196">
        <v>3.8</v>
      </c>
      <c r="Q138" s="196">
        <v>-1.4</v>
      </c>
      <c r="R138" s="196">
        <v>4</v>
      </c>
      <c r="S138" s="196">
        <v>-0.1</v>
      </c>
      <c r="T138" s="196">
        <v>-1.4</v>
      </c>
      <c r="U138" s="196">
        <v>-19.2</v>
      </c>
    </row>
    <row r="139" spans="1:21" x14ac:dyDescent="0.25">
      <c r="A139" s="213"/>
      <c r="B139" s="196" t="s">
        <v>267</v>
      </c>
      <c r="C139" s="196">
        <v>96535</v>
      </c>
      <c r="D139" s="196">
        <v>48756</v>
      </c>
      <c r="E139" s="196">
        <v>5680</v>
      </c>
      <c r="F139" s="196">
        <v>11844</v>
      </c>
      <c r="G139" s="196">
        <v>4047</v>
      </c>
      <c r="H139" s="196">
        <v>24719</v>
      </c>
      <c r="I139" s="196">
        <v>1488</v>
      </c>
      <c r="J139" s="196" t="b">
        <f t="shared" si="4"/>
        <v>1</v>
      </c>
      <c r="K139" s="196" t="b">
        <f t="shared" si="5"/>
        <v>1</v>
      </c>
      <c r="O139" s="196">
        <v>0.9</v>
      </c>
      <c r="P139" s="196">
        <v>2.9</v>
      </c>
      <c r="Q139" s="196">
        <v>-1.1000000000000001</v>
      </c>
      <c r="R139" s="196">
        <v>3.8</v>
      </c>
      <c r="S139" s="196">
        <v>-2.6</v>
      </c>
      <c r="T139" s="196">
        <v>-1.9</v>
      </c>
      <c r="U139" s="196">
        <v>-18.600000000000001</v>
      </c>
    </row>
    <row r="140" spans="1:21" x14ac:dyDescent="0.25">
      <c r="A140" s="213"/>
      <c r="B140" s="196" t="s">
        <v>268</v>
      </c>
      <c r="C140" s="196">
        <v>97038</v>
      </c>
      <c r="D140" s="196">
        <v>48888</v>
      </c>
      <c r="E140" s="196">
        <v>5793</v>
      </c>
      <c r="F140" s="196">
        <v>12006</v>
      </c>
      <c r="G140" s="196">
        <v>4088</v>
      </c>
      <c r="H140" s="196">
        <v>24718</v>
      </c>
      <c r="I140" s="196">
        <v>1545</v>
      </c>
      <c r="J140" s="196" t="b">
        <f t="shared" si="4"/>
        <v>1</v>
      </c>
      <c r="K140" s="196" t="b">
        <f t="shared" si="5"/>
        <v>1</v>
      </c>
      <c r="O140" s="196">
        <v>0.6</v>
      </c>
      <c r="P140" s="196">
        <v>2.2000000000000002</v>
      </c>
      <c r="Q140" s="196">
        <v>-0.2</v>
      </c>
      <c r="R140" s="196">
        <v>3</v>
      </c>
      <c r="S140" s="196">
        <v>-1.6</v>
      </c>
      <c r="T140" s="196">
        <v>-2.1</v>
      </c>
      <c r="U140" s="196">
        <v>-12.2</v>
      </c>
    </row>
    <row r="141" spans="1:21" x14ac:dyDescent="0.25">
      <c r="A141" s="213"/>
      <c r="B141" s="196" t="s">
        <v>269</v>
      </c>
      <c r="C141" s="196">
        <v>97463</v>
      </c>
      <c r="D141" s="196">
        <v>49218</v>
      </c>
      <c r="E141" s="196">
        <v>5821</v>
      </c>
      <c r="F141" s="196">
        <v>12035</v>
      </c>
      <c r="G141" s="196">
        <v>4121</v>
      </c>
      <c r="H141" s="196">
        <v>24765</v>
      </c>
      <c r="I141" s="196">
        <v>1503</v>
      </c>
      <c r="J141" s="196" t="b">
        <f t="shared" si="4"/>
        <v>1</v>
      </c>
      <c r="K141" s="196" t="b">
        <f t="shared" si="5"/>
        <v>1</v>
      </c>
      <c r="O141" s="196">
        <v>0.6</v>
      </c>
      <c r="P141" s="196">
        <v>2.8</v>
      </c>
      <c r="Q141" s="196">
        <v>0.7</v>
      </c>
      <c r="R141" s="196">
        <v>1.9</v>
      </c>
      <c r="S141" s="196">
        <v>-1.8</v>
      </c>
      <c r="T141" s="196">
        <v>-2.4</v>
      </c>
      <c r="U141" s="196">
        <v>-15</v>
      </c>
    </row>
    <row r="142" spans="1:21" x14ac:dyDescent="0.25">
      <c r="A142" s="213"/>
      <c r="B142" s="196" t="s">
        <v>270</v>
      </c>
      <c r="C142" s="196">
        <v>97760</v>
      </c>
      <c r="D142" s="196">
        <v>49404</v>
      </c>
      <c r="E142" s="196">
        <v>5832</v>
      </c>
      <c r="F142" s="196">
        <v>12003</v>
      </c>
      <c r="G142" s="196">
        <v>4131</v>
      </c>
      <c r="H142" s="196">
        <v>24886</v>
      </c>
      <c r="I142" s="196">
        <v>1504</v>
      </c>
      <c r="J142" s="196" t="b">
        <f t="shared" si="4"/>
        <v>1</v>
      </c>
      <c r="K142" s="196" t="b">
        <f t="shared" si="5"/>
        <v>1</v>
      </c>
      <c r="O142" s="196">
        <v>0.6</v>
      </c>
      <c r="P142" s="196">
        <v>2.6</v>
      </c>
      <c r="Q142" s="196">
        <v>0.5</v>
      </c>
      <c r="R142" s="196">
        <v>1</v>
      </c>
      <c r="S142" s="196">
        <v>-2.2000000000000002</v>
      </c>
      <c r="T142" s="196">
        <v>-1.9</v>
      </c>
      <c r="U142" s="196">
        <v>-14.1</v>
      </c>
    </row>
    <row r="143" spans="1:21" x14ac:dyDescent="0.25">
      <c r="A143" s="213"/>
      <c r="B143" s="196" t="s">
        <v>271</v>
      </c>
      <c r="C143" s="196">
        <v>97938</v>
      </c>
      <c r="D143" s="196">
        <v>49609</v>
      </c>
      <c r="E143" s="196">
        <v>5758</v>
      </c>
      <c r="F143" s="196">
        <v>11989</v>
      </c>
      <c r="G143" s="196">
        <v>4129</v>
      </c>
      <c r="H143" s="196">
        <v>24968</v>
      </c>
      <c r="I143" s="196">
        <v>1484</v>
      </c>
      <c r="J143" s="196" t="b">
        <f t="shared" si="4"/>
        <v>1</v>
      </c>
      <c r="K143" s="196" t="b">
        <f t="shared" si="5"/>
        <v>1</v>
      </c>
      <c r="O143" s="196">
        <v>0.5</v>
      </c>
      <c r="P143" s="196">
        <v>2.2999999999999998</v>
      </c>
      <c r="Q143" s="196">
        <v>-1.4</v>
      </c>
      <c r="R143" s="196">
        <v>0.4</v>
      </c>
      <c r="S143" s="196">
        <v>-3.3</v>
      </c>
      <c r="T143" s="196">
        <v>-0.9</v>
      </c>
      <c r="U143" s="196">
        <v>-12.8</v>
      </c>
    </row>
    <row r="144" spans="1:21" x14ac:dyDescent="0.25">
      <c r="A144" s="213"/>
      <c r="B144" s="196" t="s">
        <v>272</v>
      </c>
      <c r="C144" s="196">
        <v>98302</v>
      </c>
      <c r="D144" s="196">
        <v>49917</v>
      </c>
      <c r="E144" s="196">
        <v>5765</v>
      </c>
      <c r="F144" s="196">
        <v>11912</v>
      </c>
      <c r="G144" s="196">
        <v>4152</v>
      </c>
      <c r="H144" s="196">
        <v>25063</v>
      </c>
      <c r="I144" s="196">
        <v>1493</v>
      </c>
      <c r="J144" s="196" t="b">
        <f t="shared" si="4"/>
        <v>1</v>
      </c>
      <c r="K144" s="196" t="b">
        <f t="shared" si="5"/>
        <v>1</v>
      </c>
      <c r="O144" s="196">
        <v>0.5</v>
      </c>
      <c r="P144" s="196">
        <v>1.9</v>
      </c>
      <c r="Q144" s="196">
        <v>-1.2</v>
      </c>
      <c r="R144" s="196">
        <v>-1.5</v>
      </c>
      <c r="S144" s="196">
        <v>-3.2</v>
      </c>
      <c r="T144" s="196">
        <v>0.5</v>
      </c>
      <c r="U144" s="196">
        <v>-11.5</v>
      </c>
    </row>
    <row r="145" spans="1:21" x14ac:dyDescent="0.25">
      <c r="A145" s="213"/>
      <c r="B145" s="196" t="s">
        <v>273</v>
      </c>
      <c r="C145" s="196">
        <v>98599</v>
      </c>
      <c r="D145" s="196">
        <v>50159</v>
      </c>
      <c r="E145" s="196">
        <v>5881</v>
      </c>
      <c r="F145" s="196">
        <v>11928</v>
      </c>
      <c r="G145" s="196">
        <v>4131</v>
      </c>
      <c r="H145" s="196">
        <v>25040</v>
      </c>
      <c r="I145" s="196">
        <v>1460</v>
      </c>
      <c r="J145" s="196" t="b">
        <f t="shared" si="4"/>
        <v>1</v>
      </c>
      <c r="K145" s="196" t="b">
        <f t="shared" si="5"/>
        <v>1</v>
      </c>
      <c r="O145" s="196">
        <v>0.8</v>
      </c>
      <c r="P145" s="196">
        <v>2.2000000000000002</v>
      </c>
      <c r="Q145" s="196">
        <v>1.1000000000000001</v>
      </c>
      <c r="R145" s="196">
        <v>-1</v>
      </c>
      <c r="S145" s="196">
        <v>-2.8</v>
      </c>
      <c r="T145" s="196">
        <v>0.1</v>
      </c>
      <c r="U145" s="196">
        <v>-10.1</v>
      </c>
    </row>
    <row r="146" spans="1:21" x14ac:dyDescent="0.25">
      <c r="A146" s="213"/>
      <c r="B146" s="196" t="s">
        <v>274</v>
      </c>
      <c r="C146" s="196">
        <v>99062</v>
      </c>
      <c r="D146" s="196">
        <v>50488</v>
      </c>
      <c r="E146" s="196">
        <v>5978</v>
      </c>
      <c r="F146" s="196">
        <v>11967</v>
      </c>
      <c r="G146" s="196">
        <v>4140</v>
      </c>
      <c r="H146" s="196">
        <v>25089</v>
      </c>
      <c r="I146" s="196">
        <v>1400</v>
      </c>
      <c r="J146" s="196" t="b">
        <f t="shared" si="4"/>
        <v>1</v>
      </c>
      <c r="K146" s="196" t="b">
        <f t="shared" si="5"/>
        <v>1</v>
      </c>
      <c r="O146" s="196">
        <v>1.6</v>
      </c>
      <c r="P146" s="196">
        <v>2.8</v>
      </c>
      <c r="Q146" s="196">
        <v>3.3</v>
      </c>
      <c r="R146" s="196">
        <v>0.5</v>
      </c>
      <c r="S146" s="196">
        <v>-0.6</v>
      </c>
      <c r="T146" s="196">
        <v>0.5</v>
      </c>
      <c r="U146" s="196">
        <v>-11.9</v>
      </c>
    </row>
    <row r="147" spans="1:21" x14ac:dyDescent="0.25">
      <c r="A147" s="213"/>
      <c r="B147" s="196" t="s">
        <v>275</v>
      </c>
      <c r="C147" s="196">
        <v>98677</v>
      </c>
      <c r="D147" s="196">
        <v>50377</v>
      </c>
      <c r="E147" s="196">
        <v>5890</v>
      </c>
      <c r="F147" s="196">
        <v>11890</v>
      </c>
      <c r="G147" s="196">
        <v>4124</v>
      </c>
      <c r="H147" s="196">
        <v>25030</v>
      </c>
      <c r="I147" s="196">
        <v>1365</v>
      </c>
      <c r="J147" s="196" t="b">
        <f t="shared" si="4"/>
        <v>1</v>
      </c>
      <c r="K147" s="196" t="b">
        <f t="shared" si="5"/>
        <v>1</v>
      </c>
      <c r="O147" s="196">
        <v>2</v>
      </c>
      <c r="P147" s="196">
        <v>3</v>
      </c>
      <c r="Q147" s="196">
        <v>1</v>
      </c>
      <c r="R147" s="196">
        <v>2.6</v>
      </c>
      <c r="S147" s="196">
        <v>0.2</v>
      </c>
      <c r="T147" s="196">
        <v>0.9</v>
      </c>
      <c r="U147" s="196">
        <v>-10.4</v>
      </c>
    </row>
    <row r="148" spans="1:21" x14ac:dyDescent="0.25">
      <c r="A148" s="213"/>
      <c r="B148" s="196" t="s">
        <v>276</v>
      </c>
      <c r="C148" s="196">
        <v>98334</v>
      </c>
      <c r="D148" s="196">
        <v>50271</v>
      </c>
      <c r="E148" s="196">
        <v>5862</v>
      </c>
      <c r="F148" s="196">
        <v>11782</v>
      </c>
      <c r="G148" s="196">
        <v>4128</v>
      </c>
      <c r="H148" s="196">
        <v>24913</v>
      </c>
      <c r="I148" s="196">
        <v>1378</v>
      </c>
      <c r="J148" s="196" t="b">
        <f t="shared" si="4"/>
        <v>1</v>
      </c>
      <c r="K148" s="196" t="b">
        <f t="shared" si="5"/>
        <v>1</v>
      </c>
      <c r="O148" s="196">
        <v>2.1</v>
      </c>
      <c r="P148" s="196">
        <v>3.1</v>
      </c>
      <c r="Q148" s="196">
        <v>2.2999999999999998</v>
      </c>
      <c r="R148" s="196">
        <v>2.2999999999999998</v>
      </c>
      <c r="S148" s="196">
        <v>2</v>
      </c>
      <c r="T148" s="196">
        <v>0.8</v>
      </c>
      <c r="U148" s="196">
        <v>-8.3000000000000007</v>
      </c>
    </row>
    <row r="149" spans="1:21" x14ac:dyDescent="0.25">
      <c r="A149" s="213"/>
      <c r="B149" s="196" t="s">
        <v>277</v>
      </c>
      <c r="C149" s="196">
        <v>98290</v>
      </c>
      <c r="D149" s="196">
        <v>50351</v>
      </c>
      <c r="E149" s="196">
        <v>5846</v>
      </c>
      <c r="F149" s="196">
        <v>11785</v>
      </c>
      <c r="G149" s="196">
        <v>4048</v>
      </c>
      <c r="H149" s="196">
        <v>24890</v>
      </c>
      <c r="I149" s="196">
        <v>1371</v>
      </c>
      <c r="J149" s="196" t="b">
        <f t="shared" si="4"/>
        <v>1</v>
      </c>
      <c r="K149" s="196" t="b">
        <f t="shared" si="5"/>
        <v>1</v>
      </c>
      <c r="O149" s="196">
        <v>2.4</v>
      </c>
      <c r="P149" s="196">
        <v>3.8</v>
      </c>
      <c r="Q149" s="196">
        <v>3.5</v>
      </c>
      <c r="R149" s="196">
        <v>1.9</v>
      </c>
      <c r="S149" s="196">
        <v>-0.7</v>
      </c>
      <c r="T149" s="196">
        <v>0.8</v>
      </c>
      <c r="U149" s="196">
        <v>-7.8</v>
      </c>
    </row>
    <row r="150" spans="1:21" x14ac:dyDescent="0.25">
      <c r="A150" s="213"/>
      <c r="B150" s="196" t="s">
        <v>278</v>
      </c>
      <c r="C150" s="196">
        <v>98877</v>
      </c>
      <c r="D150" s="196">
        <v>50703</v>
      </c>
      <c r="E150" s="196">
        <v>5820</v>
      </c>
      <c r="F150" s="196">
        <v>12032</v>
      </c>
      <c r="G150" s="196">
        <v>4069</v>
      </c>
      <c r="H150" s="196">
        <v>24928</v>
      </c>
      <c r="I150" s="196">
        <v>1324</v>
      </c>
      <c r="J150" s="196" t="b">
        <f t="shared" si="4"/>
        <v>1</v>
      </c>
      <c r="K150" s="196" t="b">
        <f t="shared" si="5"/>
        <v>1</v>
      </c>
      <c r="O150" s="196">
        <v>2.8</v>
      </c>
      <c r="P150" s="196">
        <v>4.5</v>
      </c>
      <c r="Q150" s="196">
        <v>3.1</v>
      </c>
      <c r="R150" s="196">
        <v>2.5</v>
      </c>
      <c r="S150" s="196">
        <v>0.9</v>
      </c>
      <c r="T150" s="196">
        <v>0.8</v>
      </c>
      <c r="U150" s="196">
        <v>-12.1</v>
      </c>
    </row>
    <row r="151" spans="1:21" x14ac:dyDescent="0.25">
      <c r="A151" s="213"/>
      <c r="B151" s="196" t="s">
        <v>279</v>
      </c>
      <c r="C151" s="196">
        <v>99393</v>
      </c>
      <c r="D151" s="196">
        <v>50969</v>
      </c>
      <c r="E151" s="196">
        <v>5771</v>
      </c>
      <c r="F151" s="196">
        <v>12294</v>
      </c>
      <c r="G151" s="196">
        <v>4119</v>
      </c>
      <c r="H151" s="196">
        <v>24947</v>
      </c>
      <c r="I151" s="196">
        <v>1294</v>
      </c>
      <c r="J151" s="196" t="b">
        <f t="shared" si="4"/>
        <v>1</v>
      </c>
      <c r="K151" s="196" t="b">
        <f t="shared" si="5"/>
        <v>1</v>
      </c>
      <c r="O151" s="196">
        <v>3</v>
      </c>
      <c r="P151" s="196">
        <v>4.5</v>
      </c>
      <c r="Q151" s="196">
        <v>1.6</v>
      </c>
      <c r="R151" s="196">
        <v>3.8</v>
      </c>
      <c r="S151" s="196">
        <v>1.8</v>
      </c>
      <c r="T151" s="196">
        <v>0.9</v>
      </c>
      <c r="U151" s="196">
        <v>-13</v>
      </c>
    </row>
    <row r="152" spans="1:21" x14ac:dyDescent="0.25">
      <c r="A152" s="213"/>
      <c r="B152" s="196" t="s">
        <v>280</v>
      </c>
      <c r="C152" s="196">
        <v>99883</v>
      </c>
      <c r="D152" s="196">
        <v>51156</v>
      </c>
      <c r="E152" s="196">
        <v>5782</v>
      </c>
      <c r="F152" s="196">
        <v>12413</v>
      </c>
      <c r="G152" s="196">
        <v>4212</v>
      </c>
      <c r="H152" s="196">
        <v>25011</v>
      </c>
      <c r="I152" s="196">
        <v>1309</v>
      </c>
      <c r="J152" s="196" t="b">
        <f t="shared" si="4"/>
        <v>1</v>
      </c>
      <c r="K152" s="196" t="b">
        <f t="shared" si="5"/>
        <v>1</v>
      </c>
      <c r="O152" s="196">
        <v>2.9</v>
      </c>
      <c r="P152" s="196">
        <v>4.5999999999999996</v>
      </c>
      <c r="Q152" s="196">
        <v>-0.2</v>
      </c>
      <c r="R152" s="196">
        <v>3.4</v>
      </c>
      <c r="S152" s="196">
        <v>3</v>
      </c>
      <c r="T152" s="196">
        <v>1.2</v>
      </c>
      <c r="U152" s="196">
        <v>-15.3</v>
      </c>
    </row>
    <row r="153" spans="1:21" x14ac:dyDescent="0.25">
      <c r="A153" s="213"/>
      <c r="B153" s="196" t="s">
        <v>281</v>
      </c>
      <c r="C153" s="196">
        <v>100081</v>
      </c>
      <c r="D153" s="196">
        <v>51433</v>
      </c>
      <c r="E153" s="196">
        <v>5774</v>
      </c>
      <c r="F153" s="196">
        <v>12450</v>
      </c>
      <c r="G153" s="196">
        <v>4174</v>
      </c>
      <c r="H153" s="196">
        <v>24895</v>
      </c>
      <c r="I153" s="196">
        <v>1355</v>
      </c>
      <c r="J153" s="196" t="b">
        <f t="shared" si="4"/>
        <v>1</v>
      </c>
      <c r="K153" s="196" t="b">
        <f t="shared" si="5"/>
        <v>1</v>
      </c>
      <c r="O153" s="196">
        <v>2.7</v>
      </c>
      <c r="P153" s="196">
        <v>4.5</v>
      </c>
      <c r="Q153" s="196">
        <v>-0.8</v>
      </c>
      <c r="R153" s="196">
        <v>3.5</v>
      </c>
      <c r="S153" s="196">
        <v>1.3</v>
      </c>
      <c r="T153" s="196">
        <v>0.5</v>
      </c>
      <c r="U153" s="196">
        <v>-9.9</v>
      </c>
    </row>
    <row r="154" spans="1:21" x14ac:dyDescent="0.25">
      <c r="A154" s="213"/>
      <c r="B154" s="196" t="s">
        <v>282</v>
      </c>
      <c r="C154" s="196">
        <v>100559</v>
      </c>
      <c r="D154" s="196">
        <v>51858</v>
      </c>
      <c r="E154" s="196">
        <v>5752</v>
      </c>
      <c r="F154" s="196">
        <v>12511</v>
      </c>
      <c r="G154" s="196">
        <v>4213</v>
      </c>
      <c r="H154" s="196">
        <v>24860</v>
      </c>
      <c r="I154" s="196">
        <v>1366</v>
      </c>
      <c r="J154" s="196" t="b">
        <f t="shared" si="4"/>
        <v>1</v>
      </c>
      <c r="K154" s="196" t="b">
        <f t="shared" si="5"/>
        <v>1</v>
      </c>
      <c r="O154" s="196">
        <v>2.9</v>
      </c>
      <c r="P154" s="196">
        <v>5</v>
      </c>
      <c r="Q154" s="196">
        <v>-1.4</v>
      </c>
      <c r="R154" s="196">
        <v>4.2</v>
      </c>
      <c r="S154" s="196">
        <v>2</v>
      </c>
      <c r="T154" s="196">
        <v>-0.1</v>
      </c>
      <c r="U154" s="196">
        <v>-9.1999999999999993</v>
      </c>
    </row>
    <row r="155" spans="1:21" x14ac:dyDescent="0.25">
      <c r="A155" s="213"/>
      <c r="B155" s="196" t="s">
        <v>283</v>
      </c>
      <c r="C155" s="196">
        <v>101058</v>
      </c>
      <c r="D155" s="196">
        <v>52257</v>
      </c>
      <c r="E155" s="196">
        <v>5837</v>
      </c>
      <c r="F155" s="196">
        <v>12546</v>
      </c>
      <c r="G155" s="196">
        <v>4213</v>
      </c>
      <c r="H155" s="196">
        <v>24861</v>
      </c>
      <c r="I155" s="196">
        <v>1344</v>
      </c>
      <c r="J155" s="196" t="b">
        <f t="shared" si="4"/>
        <v>1</v>
      </c>
      <c r="K155" s="196" t="b">
        <f t="shared" si="5"/>
        <v>1</v>
      </c>
      <c r="O155" s="196">
        <v>3.2</v>
      </c>
      <c r="P155" s="196">
        <v>5.3</v>
      </c>
      <c r="Q155" s="196">
        <v>1.4</v>
      </c>
      <c r="R155" s="196">
        <v>4.5999999999999996</v>
      </c>
      <c r="S155" s="196">
        <v>2</v>
      </c>
      <c r="T155" s="196">
        <v>-0.4</v>
      </c>
      <c r="U155" s="196">
        <v>-9.5</v>
      </c>
    </row>
    <row r="156" spans="1:21" x14ac:dyDescent="0.25">
      <c r="A156" s="213"/>
      <c r="B156" s="196" t="s">
        <v>284</v>
      </c>
      <c r="C156" s="196">
        <v>101628</v>
      </c>
      <c r="D156" s="196">
        <v>52409</v>
      </c>
      <c r="E156" s="196">
        <v>5907</v>
      </c>
      <c r="F156" s="196">
        <v>12607</v>
      </c>
      <c r="G156" s="196">
        <v>4253</v>
      </c>
      <c r="H156" s="196">
        <v>25133</v>
      </c>
      <c r="I156" s="196">
        <v>1320</v>
      </c>
      <c r="J156" s="196" t="b">
        <f t="shared" si="4"/>
        <v>1</v>
      </c>
      <c r="K156" s="196" t="b">
        <f t="shared" si="5"/>
        <v>1</v>
      </c>
      <c r="O156" s="196">
        <v>3.4</v>
      </c>
      <c r="P156" s="196">
        <v>5</v>
      </c>
      <c r="Q156" s="196">
        <v>2.5</v>
      </c>
      <c r="R156" s="196">
        <v>5.8</v>
      </c>
      <c r="S156" s="196">
        <v>2.4</v>
      </c>
      <c r="T156" s="196">
        <v>0.3</v>
      </c>
      <c r="U156" s="196">
        <v>-11.6</v>
      </c>
    </row>
    <row r="157" spans="1:21" x14ac:dyDescent="0.25">
      <c r="A157" s="213"/>
      <c r="B157" s="196" t="s">
        <v>285</v>
      </c>
      <c r="C157" s="196">
        <v>101916</v>
      </c>
      <c r="D157" s="196">
        <v>52493</v>
      </c>
      <c r="E157" s="196">
        <v>5938</v>
      </c>
      <c r="F157" s="196">
        <v>12617</v>
      </c>
      <c r="G157" s="196">
        <v>4262</v>
      </c>
      <c r="H157" s="196">
        <v>25311</v>
      </c>
      <c r="I157" s="196">
        <v>1295</v>
      </c>
      <c r="J157" s="196" t="b">
        <f t="shared" si="4"/>
        <v>1</v>
      </c>
      <c r="K157" s="196" t="b">
        <f t="shared" si="5"/>
        <v>1</v>
      </c>
      <c r="O157" s="196">
        <v>3.4</v>
      </c>
      <c r="P157" s="196">
        <v>4.7</v>
      </c>
      <c r="Q157" s="196">
        <v>1</v>
      </c>
      <c r="R157" s="196">
        <v>5.8</v>
      </c>
      <c r="S157" s="196">
        <v>3.2</v>
      </c>
      <c r="T157" s="196">
        <v>1.1000000000000001</v>
      </c>
      <c r="U157" s="196">
        <v>-11.3</v>
      </c>
    </row>
    <row r="158" spans="1:21" x14ac:dyDescent="0.25">
      <c r="A158" s="213"/>
      <c r="B158" s="196" t="s">
        <v>286</v>
      </c>
      <c r="C158" s="196">
        <v>101832</v>
      </c>
      <c r="D158" s="196">
        <v>52396</v>
      </c>
      <c r="E158" s="196">
        <v>5875</v>
      </c>
      <c r="F158" s="196">
        <v>12521</v>
      </c>
      <c r="G158" s="196">
        <v>4259</v>
      </c>
      <c r="H158" s="196">
        <v>25471</v>
      </c>
      <c r="I158" s="196">
        <v>1309</v>
      </c>
      <c r="J158" s="196" t="b">
        <f t="shared" si="4"/>
        <v>1</v>
      </c>
      <c r="K158" s="196" t="b">
        <f t="shared" si="5"/>
        <v>1</v>
      </c>
      <c r="O158" s="196">
        <v>2.8</v>
      </c>
      <c r="P158" s="196">
        <v>3.8</v>
      </c>
      <c r="Q158" s="196">
        <v>-1.7</v>
      </c>
      <c r="R158" s="196">
        <v>4.5999999999999996</v>
      </c>
      <c r="S158" s="196">
        <v>2.9</v>
      </c>
      <c r="T158" s="196">
        <v>1.5</v>
      </c>
      <c r="U158" s="196">
        <v>-6.5</v>
      </c>
    </row>
    <row r="159" spans="1:21" x14ac:dyDescent="0.25">
      <c r="A159" s="213"/>
      <c r="B159" s="196" t="s">
        <v>287</v>
      </c>
      <c r="C159" s="196">
        <v>100988</v>
      </c>
      <c r="D159" s="196">
        <v>52159</v>
      </c>
      <c r="E159" s="196">
        <v>5769</v>
      </c>
      <c r="F159" s="196">
        <v>12246</v>
      </c>
      <c r="G159" s="196">
        <v>4235</v>
      </c>
      <c r="H159" s="196">
        <v>25261</v>
      </c>
      <c r="I159" s="196">
        <v>1317</v>
      </c>
      <c r="J159" s="196" t="b">
        <f t="shared" si="4"/>
        <v>1</v>
      </c>
      <c r="K159" s="196" t="b">
        <f t="shared" si="5"/>
        <v>1</v>
      </c>
      <c r="O159" s="196">
        <v>2.2999999999999998</v>
      </c>
      <c r="P159" s="196">
        <v>3.5</v>
      </c>
      <c r="Q159" s="196">
        <v>-2.1</v>
      </c>
      <c r="R159" s="196">
        <v>3</v>
      </c>
      <c r="S159" s="196">
        <v>2.7</v>
      </c>
      <c r="T159" s="196">
        <v>0.9</v>
      </c>
      <c r="U159" s="196">
        <v>-3.5</v>
      </c>
    </row>
    <row r="160" spans="1:21" x14ac:dyDescent="0.25">
      <c r="A160" s="213"/>
      <c r="B160" s="196" t="s">
        <v>288</v>
      </c>
      <c r="C160" s="196">
        <v>100683</v>
      </c>
      <c r="D160" s="196">
        <v>52056</v>
      </c>
      <c r="E160" s="196">
        <v>5648</v>
      </c>
      <c r="F160" s="196">
        <v>12120</v>
      </c>
      <c r="G160" s="196">
        <v>4219</v>
      </c>
      <c r="H160" s="196">
        <v>25310</v>
      </c>
      <c r="I160" s="196">
        <v>1330</v>
      </c>
      <c r="J160" s="196" t="b">
        <f t="shared" si="4"/>
        <v>1</v>
      </c>
      <c r="K160" s="196" t="b">
        <f t="shared" si="5"/>
        <v>1</v>
      </c>
      <c r="O160" s="196">
        <v>2.4</v>
      </c>
      <c r="P160" s="196">
        <v>3.6</v>
      </c>
      <c r="Q160" s="196">
        <v>-3.7</v>
      </c>
      <c r="R160" s="196">
        <v>2.9</v>
      </c>
      <c r="S160" s="196">
        <v>2.2000000000000002</v>
      </c>
      <c r="T160" s="196">
        <v>1.6</v>
      </c>
      <c r="U160" s="196">
        <v>-3.5</v>
      </c>
    </row>
    <row r="161" spans="1:21" x14ac:dyDescent="0.25">
      <c r="A161" s="213"/>
      <c r="B161" s="196" t="s">
        <v>289</v>
      </c>
      <c r="C161" s="196">
        <v>100511</v>
      </c>
      <c r="D161" s="196">
        <v>51864</v>
      </c>
      <c r="E161" s="196">
        <v>5641</v>
      </c>
      <c r="F161" s="196">
        <v>12227</v>
      </c>
      <c r="G161" s="196">
        <v>4202</v>
      </c>
      <c r="H161" s="196">
        <v>25352</v>
      </c>
      <c r="I161" s="196">
        <v>1224</v>
      </c>
      <c r="J161" s="196" t="b">
        <f t="shared" si="4"/>
        <v>1</v>
      </c>
      <c r="K161" s="196" t="b">
        <f t="shared" si="5"/>
        <v>1</v>
      </c>
      <c r="O161" s="196">
        <v>2.2999999999999998</v>
      </c>
      <c r="P161" s="196">
        <v>3</v>
      </c>
      <c r="Q161" s="196">
        <v>-3.5</v>
      </c>
      <c r="R161" s="196">
        <v>3.8</v>
      </c>
      <c r="S161" s="196">
        <v>3.8</v>
      </c>
      <c r="T161" s="196">
        <v>1.9</v>
      </c>
      <c r="U161" s="196">
        <v>-10.7</v>
      </c>
    </row>
    <row r="162" spans="1:21" x14ac:dyDescent="0.25">
      <c r="A162" s="213"/>
      <c r="B162" s="196" t="s">
        <v>290</v>
      </c>
      <c r="C162" s="196">
        <v>101260</v>
      </c>
      <c r="D162" s="196">
        <v>52250</v>
      </c>
      <c r="E162" s="196">
        <v>5701</v>
      </c>
      <c r="F162" s="196">
        <v>12462</v>
      </c>
      <c r="G162" s="196">
        <v>4201</v>
      </c>
      <c r="H162" s="196">
        <v>25445</v>
      </c>
      <c r="I162" s="196">
        <v>1201</v>
      </c>
      <c r="J162" s="196" t="b">
        <f t="shared" si="4"/>
        <v>1</v>
      </c>
      <c r="K162" s="196" t="b">
        <f t="shared" si="5"/>
        <v>1</v>
      </c>
      <c r="O162" s="196">
        <v>2.4</v>
      </c>
      <c r="P162" s="196">
        <v>3.1</v>
      </c>
      <c r="Q162" s="196">
        <v>-2.1</v>
      </c>
      <c r="R162" s="196">
        <v>3.6</v>
      </c>
      <c r="S162" s="196">
        <v>3.2</v>
      </c>
      <c r="T162" s="196">
        <v>2.1</v>
      </c>
      <c r="U162" s="196">
        <v>-9.3000000000000007</v>
      </c>
    </row>
    <row r="163" spans="1:21" x14ac:dyDescent="0.25">
      <c r="A163" s="213"/>
      <c r="B163" s="196" t="s">
        <v>291</v>
      </c>
      <c r="C163" s="196">
        <v>101863</v>
      </c>
      <c r="D163" s="196">
        <v>52412</v>
      </c>
      <c r="E163" s="196">
        <v>5745</v>
      </c>
      <c r="F163" s="196">
        <v>12721</v>
      </c>
      <c r="G163" s="196">
        <v>4165</v>
      </c>
      <c r="H163" s="196">
        <v>25633</v>
      </c>
      <c r="I163" s="196">
        <v>1187</v>
      </c>
      <c r="J163" s="196" t="b">
        <f t="shared" si="4"/>
        <v>1</v>
      </c>
      <c r="K163" s="196" t="b">
        <f t="shared" si="5"/>
        <v>1</v>
      </c>
      <c r="O163" s="196">
        <v>2.5</v>
      </c>
      <c r="P163" s="196">
        <v>2.8</v>
      </c>
      <c r="Q163" s="196">
        <v>-0.4</v>
      </c>
      <c r="R163" s="196">
        <v>3.5</v>
      </c>
      <c r="S163" s="196">
        <v>1.1000000000000001</v>
      </c>
      <c r="T163" s="196">
        <v>2.8</v>
      </c>
      <c r="U163" s="196">
        <v>-8.3000000000000007</v>
      </c>
    </row>
    <row r="164" spans="1:21" x14ac:dyDescent="0.25">
      <c r="A164" s="213"/>
      <c r="B164" s="196" t="s">
        <v>292</v>
      </c>
      <c r="C164" s="196">
        <v>102316</v>
      </c>
      <c r="D164" s="196">
        <v>52559</v>
      </c>
      <c r="E164" s="196">
        <v>5700</v>
      </c>
      <c r="F164" s="196">
        <v>12837</v>
      </c>
      <c r="G164" s="196">
        <v>4223</v>
      </c>
      <c r="H164" s="196">
        <v>25778</v>
      </c>
      <c r="I164" s="196">
        <v>1219</v>
      </c>
      <c r="J164" s="196" t="b">
        <f t="shared" si="4"/>
        <v>1</v>
      </c>
      <c r="K164" s="196" t="b">
        <f t="shared" si="5"/>
        <v>1</v>
      </c>
      <c r="O164" s="196">
        <v>2.4</v>
      </c>
      <c r="P164" s="196">
        <v>2.7</v>
      </c>
      <c r="Q164" s="196">
        <v>-1.4</v>
      </c>
      <c r="R164" s="196">
        <v>3.4</v>
      </c>
      <c r="S164" s="196">
        <v>0.3</v>
      </c>
      <c r="T164" s="196">
        <v>3.1</v>
      </c>
      <c r="U164" s="196">
        <v>-6.9</v>
      </c>
    </row>
    <row r="165" spans="1:21" x14ac:dyDescent="0.25">
      <c r="A165" s="213"/>
      <c r="B165" s="196" t="s">
        <v>293</v>
      </c>
      <c r="C165" s="196">
        <v>102437</v>
      </c>
      <c r="D165" s="196">
        <v>52583</v>
      </c>
      <c r="E165" s="196">
        <v>5645</v>
      </c>
      <c r="F165" s="196">
        <v>12884</v>
      </c>
      <c r="G165" s="196">
        <v>4151</v>
      </c>
      <c r="H165" s="196">
        <v>25938</v>
      </c>
      <c r="I165" s="196">
        <v>1237</v>
      </c>
      <c r="J165" s="196" t="b">
        <f t="shared" si="4"/>
        <v>0</v>
      </c>
      <c r="K165" s="196" t="b">
        <f t="shared" si="5"/>
        <v>1</v>
      </c>
      <c r="O165" s="196">
        <v>2.4</v>
      </c>
      <c r="P165" s="196">
        <v>2.2000000000000002</v>
      </c>
      <c r="Q165" s="196">
        <v>-2.2000000000000002</v>
      </c>
      <c r="R165" s="196">
        <v>3.5</v>
      </c>
      <c r="S165" s="196">
        <v>-0.6</v>
      </c>
      <c r="T165" s="196">
        <v>4.2</v>
      </c>
      <c r="U165" s="196">
        <v>-8.6999999999999993</v>
      </c>
    </row>
    <row r="166" spans="1:21" x14ac:dyDescent="0.25">
      <c r="A166" s="213"/>
      <c r="B166" s="196" t="s">
        <v>294</v>
      </c>
      <c r="C166" s="196">
        <v>102418</v>
      </c>
      <c r="D166" s="197">
        <v>52626</v>
      </c>
      <c r="E166" s="196">
        <v>5555</v>
      </c>
      <c r="F166" s="196">
        <v>12850</v>
      </c>
      <c r="G166" s="196">
        <v>4194</v>
      </c>
      <c r="H166" s="196">
        <v>25933</v>
      </c>
      <c r="I166" s="196">
        <v>1259</v>
      </c>
      <c r="J166" s="196" t="b">
        <f t="shared" ref="J166:J172" si="6">C166&lt;$C$166</f>
        <v>0</v>
      </c>
      <c r="K166" s="196" t="b">
        <f>D166&lt;$D$166</f>
        <v>0</v>
      </c>
      <c r="O166" s="196">
        <v>1.8</v>
      </c>
      <c r="P166" s="196">
        <v>1.5</v>
      </c>
      <c r="Q166" s="196">
        <v>-3.4</v>
      </c>
      <c r="R166" s="196">
        <v>2.7</v>
      </c>
      <c r="S166" s="196">
        <v>-0.4</v>
      </c>
      <c r="T166" s="196">
        <v>4.3</v>
      </c>
      <c r="U166" s="196">
        <v>-7.8</v>
      </c>
    </row>
    <row r="167" spans="1:21" x14ac:dyDescent="0.25">
      <c r="A167" s="214"/>
      <c r="B167" s="205" t="s">
        <v>307</v>
      </c>
      <c r="C167" s="196">
        <v>102433</v>
      </c>
      <c r="D167" s="206">
        <v>52728</v>
      </c>
      <c r="E167" s="196">
        <v>5507</v>
      </c>
      <c r="F167" s="196">
        <v>12845</v>
      </c>
      <c r="G167" s="196">
        <v>4221</v>
      </c>
      <c r="H167" s="196">
        <v>25890</v>
      </c>
      <c r="I167" s="196">
        <v>1243</v>
      </c>
      <c r="J167" s="196" t="b">
        <f t="shared" si="6"/>
        <v>0</v>
      </c>
      <c r="K167" s="196" t="b">
        <f>D167&lt;$D$166</f>
        <v>0</v>
      </c>
    </row>
    <row r="168" spans="1:21" x14ac:dyDescent="0.25">
      <c r="A168" s="214"/>
      <c r="B168" s="205" t="s">
        <v>308</v>
      </c>
      <c r="C168" s="196">
        <v>102555</v>
      </c>
      <c r="D168" s="206">
        <v>52786</v>
      </c>
      <c r="E168" s="196">
        <v>5547</v>
      </c>
      <c r="F168" s="196">
        <v>12905</v>
      </c>
      <c r="G168" s="196">
        <v>4225</v>
      </c>
      <c r="H168" s="196">
        <v>25903</v>
      </c>
      <c r="I168" s="196">
        <v>1188</v>
      </c>
      <c r="J168" s="196" t="b">
        <f t="shared" si="6"/>
        <v>0</v>
      </c>
      <c r="K168" s="196" t="b">
        <f>D168&lt;$D$166</f>
        <v>0</v>
      </c>
    </row>
    <row r="169" spans="1:21" x14ac:dyDescent="0.25">
      <c r="A169" s="214"/>
      <c r="B169" s="205" t="s">
        <v>309</v>
      </c>
      <c r="C169" s="196">
        <v>103019</v>
      </c>
      <c r="D169" s="206">
        <v>52986</v>
      </c>
      <c r="E169" s="196">
        <v>5561</v>
      </c>
      <c r="F169" s="196">
        <v>13100</v>
      </c>
      <c r="G169" s="196">
        <v>4158</v>
      </c>
      <c r="H169" s="196">
        <v>26045</v>
      </c>
      <c r="I169" s="196">
        <v>1168</v>
      </c>
      <c r="J169" s="196" t="b">
        <f t="shared" si="6"/>
        <v>0</v>
      </c>
      <c r="K169" s="196" t="b">
        <f t="shared" ref="K169:K172" si="7">D169&lt;$D$166</f>
        <v>0</v>
      </c>
    </row>
    <row r="170" spans="1:21" x14ac:dyDescent="0.25">
      <c r="A170" s="214"/>
      <c r="B170" s="205" t="s">
        <v>310</v>
      </c>
      <c r="C170" s="196">
        <v>102998</v>
      </c>
      <c r="D170" s="206">
        <v>52974</v>
      </c>
      <c r="E170" s="196">
        <v>5570</v>
      </c>
      <c r="F170" s="196">
        <v>13004</v>
      </c>
      <c r="G170" s="196">
        <v>4152</v>
      </c>
      <c r="H170" s="196">
        <v>26109</v>
      </c>
      <c r="I170" s="196">
        <v>1190</v>
      </c>
      <c r="J170" s="196" t="b">
        <f t="shared" si="6"/>
        <v>0</v>
      </c>
      <c r="K170" s="196" t="b">
        <f t="shared" si="7"/>
        <v>0</v>
      </c>
    </row>
    <row r="171" spans="1:21" x14ac:dyDescent="0.25">
      <c r="A171" s="214"/>
      <c r="B171" s="205" t="s">
        <v>311</v>
      </c>
      <c r="C171" s="196">
        <v>102671</v>
      </c>
      <c r="D171" s="206">
        <v>52778</v>
      </c>
      <c r="E171" s="196">
        <v>5512</v>
      </c>
      <c r="F171" s="196">
        <v>12802</v>
      </c>
      <c r="G171" s="196">
        <v>4188</v>
      </c>
      <c r="H171" s="196">
        <v>26188</v>
      </c>
      <c r="I171" s="196">
        <v>1203</v>
      </c>
      <c r="J171" s="196" t="b">
        <f t="shared" si="6"/>
        <v>0</v>
      </c>
      <c r="K171" s="196" t="b">
        <f t="shared" si="7"/>
        <v>0</v>
      </c>
    </row>
    <row r="172" spans="1:21" x14ac:dyDescent="0.25">
      <c r="A172" s="214"/>
      <c r="B172" s="196" t="s">
        <v>312</v>
      </c>
      <c r="C172" s="196">
        <v>102145</v>
      </c>
      <c r="D172" s="196">
        <v>52510</v>
      </c>
      <c r="E172" s="196">
        <v>5490</v>
      </c>
      <c r="F172" s="196">
        <v>12620</v>
      </c>
      <c r="G172" s="196">
        <v>4209</v>
      </c>
      <c r="H172" s="196">
        <v>26108</v>
      </c>
      <c r="I172" s="196">
        <v>1207</v>
      </c>
      <c r="J172" s="196" t="b">
        <f t="shared" si="6"/>
        <v>1</v>
      </c>
      <c r="K172" s="196" t="b">
        <f t="shared" si="7"/>
        <v>1</v>
      </c>
    </row>
    <row r="173" spans="1:21" x14ac:dyDescent="0.25">
      <c r="A173" s="213" t="s">
        <v>295</v>
      </c>
      <c r="B173" s="213"/>
      <c r="C173" s="213"/>
      <c r="D173" s="213"/>
      <c r="E173" s="213"/>
      <c r="F173" s="213"/>
      <c r="G173" s="213"/>
      <c r="H173" s="213"/>
      <c r="I173" s="213"/>
    </row>
  </sheetData>
  <mergeCells count="7">
    <mergeCell ref="A173:I173"/>
    <mergeCell ref="A1:I1"/>
    <mergeCell ref="A2:I2"/>
    <mergeCell ref="A3:A4"/>
    <mergeCell ref="B3:B4"/>
    <mergeCell ref="C3:I3"/>
    <mergeCell ref="A5:A172"/>
  </mergeCells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D6B8-A5A3-4963-B27E-18F6B57DE373}">
  <sheetPr codeName="Planilha10"/>
  <dimension ref="A1:U19"/>
  <sheetViews>
    <sheetView workbookViewId="0">
      <selection activeCell="F4" sqref="F4"/>
    </sheetView>
  </sheetViews>
  <sheetFormatPr defaultColWidth="9.140625" defaultRowHeight="15" x14ac:dyDescent="0.25"/>
  <cols>
    <col min="1" max="1" width="9.140625" style="196"/>
    <col min="2" max="2" width="10.7109375" style="196" customWidth="1"/>
    <col min="3" max="16384" width="9.140625" style="196"/>
  </cols>
  <sheetData>
    <row r="1" spans="1:21" x14ac:dyDescent="0.25">
      <c r="A1" s="213" t="s">
        <v>123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</row>
    <row r="2" spans="1:21" x14ac:dyDescent="0.25">
      <c r="A2" s="213" t="s">
        <v>296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</row>
    <row r="3" spans="1:21" x14ac:dyDescent="0.25">
      <c r="A3" s="213"/>
      <c r="B3" s="196" t="s">
        <v>125</v>
      </c>
      <c r="C3" s="196" t="s">
        <v>126</v>
      </c>
    </row>
    <row r="4" spans="1:21" x14ac:dyDescent="0.25">
      <c r="A4" s="213"/>
      <c r="C4" s="196" t="s">
        <v>97</v>
      </c>
      <c r="D4" s="196" t="s">
        <v>40</v>
      </c>
      <c r="E4" s="196" t="s">
        <v>127</v>
      </c>
      <c r="F4" s="196" t="s">
        <v>297</v>
      </c>
      <c r="G4" s="196" t="s">
        <v>298</v>
      </c>
      <c r="H4" s="196" t="s">
        <v>128</v>
      </c>
      <c r="I4" s="196" t="s">
        <v>299</v>
      </c>
      <c r="J4" s="196" t="s">
        <v>300</v>
      </c>
      <c r="K4" s="196" t="s">
        <v>129</v>
      </c>
      <c r="L4" s="196" t="s">
        <v>301</v>
      </c>
      <c r="M4" s="196" t="s">
        <v>302</v>
      </c>
      <c r="N4" s="196" t="s">
        <v>303</v>
      </c>
      <c r="O4" s="196" t="s">
        <v>41</v>
      </c>
      <c r="P4" s="196" t="s">
        <v>29</v>
      </c>
      <c r="Q4" s="196" t="s">
        <v>34</v>
      </c>
      <c r="R4" s="209" t="s">
        <v>130</v>
      </c>
      <c r="S4" s="196" t="s">
        <v>304</v>
      </c>
      <c r="T4" s="196" t="s">
        <v>305</v>
      </c>
      <c r="U4" s="196" t="s">
        <v>131</v>
      </c>
    </row>
    <row r="5" spans="1:21" x14ac:dyDescent="0.25">
      <c r="A5" s="213" t="s">
        <v>132</v>
      </c>
      <c r="B5" s="196" t="s">
        <v>287</v>
      </c>
      <c r="C5" s="196">
        <v>2.2999999999999998</v>
      </c>
      <c r="D5" s="196">
        <v>3</v>
      </c>
      <c r="E5" s="196">
        <v>3.5</v>
      </c>
      <c r="F5" s="196">
        <v>3.6</v>
      </c>
      <c r="G5" s="196">
        <v>3.2</v>
      </c>
      <c r="H5" s="196">
        <v>-2.1</v>
      </c>
      <c r="I5" s="196">
        <v>-0.3</v>
      </c>
      <c r="J5" s="196">
        <v>-2.6</v>
      </c>
      <c r="K5" s="196">
        <v>3</v>
      </c>
      <c r="L5" s="196">
        <v>-1.6</v>
      </c>
      <c r="M5" s="196">
        <v>2.2000000000000002</v>
      </c>
      <c r="N5" s="196">
        <v>4.2</v>
      </c>
      <c r="O5" s="196">
        <v>2.7</v>
      </c>
      <c r="P5" s="196">
        <v>2.7</v>
      </c>
      <c r="Q5" s="196">
        <v>2.8</v>
      </c>
      <c r="R5" s="209">
        <v>0.9</v>
      </c>
      <c r="S5" s="196">
        <v>4.0999999999999996</v>
      </c>
      <c r="T5" s="196">
        <v>-0.2</v>
      </c>
      <c r="U5" s="196">
        <v>-3.5</v>
      </c>
    </row>
    <row r="6" spans="1:21" x14ac:dyDescent="0.25">
      <c r="A6" s="213"/>
      <c r="B6" s="196" t="s">
        <v>288</v>
      </c>
      <c r="C6" s="196">
        <v>2.4</v>
      </c>
      <c r="D6" s="196">
        <v>2.8</v>
      </c>
      <c r="E6" s="196">
        <v>3.6</v>
      </c>
      <c r="F6" s="196">
        <v>4.0999999999999996</v>
      </c>
      <c r="G6" s="196">
        <v>1.9</v>
      </c>
      <c r="H6" s="196">
        <v>-3.7</v>
      </c>
      <c r="I6" s="196">
        <v>-5</v>
      </c>
      <c r="J6" s="196">
        <v>-3.2</v>
      </c>
      <c r="K6" s="196">
        <v>2.9</v>
      </c>
      <c r="L6" s="196">
        <v>-0.5</v>
      </c>
      <c r="M6" s="196">
        <v>0.2</v>
      </c>
      <c r="N6" s="196">
        <v>4.5</v>
      </c>
      <c r="O6" s="196">
        <v>2.2000000000000002</v>
      </c>
      <c r="P6" s="196">
        <v>1.8</v>
      </c>
      <c r="Q6" s="196">
        <v>4</v>
      </c>
      <c r="R6" s="209">
        <v>1.6</v>
      </c>
      <c r="S6" s="196">
        <v>3.8</v>
      </c>
      <c r="T6" s="196">
        <v>0.8</v>
      </c>
      <c r="U6" s="196">
        <v>-3.5</v>
      </c>
    </row>
    <row r="7" spans="1:21" x14ac:dyDescent="0.25">
      <c r="A7" s="213"/>
      <c r="B7" s="196" t="s">
        <v>289</v>
      </c>
      <c r="C7" s="196">
        <v>2.2999999999999998</v>
      </c>
      <c r="D7" s="196">
        <v>2.6</v>
      </c>
      <c r="E7" s="196">
        <v>3</v>
      </c>
      <c r="F7" s="196">
        <v>3.9</v>
      </c>
      <c r="G7" s="196">
        <v>0.6</v>
      </c>
      <c r="H7" s="196">
        <v>-3.5</v>
      </c>
      <c r="I7" s="196">
        <v>-6.4</v>
      </c>
      <c r="J7" s="196">
        <v>-2.5</v>
      </c>
      <c r="K7" s="196">
        <v>3.8</v>
      </c>
      <c r="L7" s="196">
        <v>7.6</v>
      </c>
      <c r="M7" s="196">
        <v>-2.8</v>
      </c>
      <c r="N7" s="196">
        <v>5.5</v>
      </c>
      <c r="O7" s="196">
        <v>3.8</v>
      </c>
      <c r="P7" s="196">
        <v>4.3</v>
      </c>
      <c r="Q7" s="196">
        <v>1.9</v>
      </c>
      <c r="R7" s="209">
        <v>1.9</v>
      </c>
      <c r="S7" s="196">
        <v>5.5</v>
      </c>
      <c r="T7" s="196">
        <v>0.6</v>
      </c>
      <c r="U7" s="196">
        <v>-10.7</v>
      </c>
    </row>
    <row r="8" spans="1:21" x14ac:dyDescent="0.25">
      <c r="A8" s="213"/>
      <c r="B8" s="196" t="s">
        <v>290</v>
      </c>
      <c r="C8" s="196">
        <v>2.4</v>
      </c>
      <c r="D8" s="196">
        <v>2.7</v>
      </c>
      <c r="E8" s="196">
        <v>3.1</v>
      </c>
      <c r="F8" s="196">
        <v>3.8</v>
      </c>
      <c r="G8" s="196">
        <v>0.9</v>
      </c>
      <c r="H8" s="196">
        <v>-2.1</v>
      </c>
      <c r="I8" s="196">
        <v>-4.8</v>
      </c>
      <c r="J8" s="196">
        <v>-1.1000000000000001</v>
      </c>
      <c r="K8" s="196">
        <v>3.6</v>
      </c>
      <c r="L8" s="196">
        <v>9.3000000000000007</v>
      </c>
      <c r="M8" s="196">
        <v>-1.2</v>
      </c>
      <c r="N8" s="196">
        <v>4.4000000000000004</v>
      </c>
      <c r="O8" s="196">
        <v>3.2</v>
      </c>
      <c r="P8" s="196">
        <v>3.2</v>
      </c>
      <c r="Q8" s="196">
        <v>3.2</v>
      </c>
      <c r="R8" s="209">
        <v>2.1</v>
      </c>
      <c r="S8" s="196">
        <v>6</v>
      </c>
      <c r="T8" s="196">
        <v>0.7</v>
      </c>
      <c r="U8" s="196">
        <v>-9.3000000000000007</v>
      </c>
    </row>
    <row r="9" spans="1:21" x14ac:dyDescent="0.25">
      <c r="A9" s="213"/>
      <c r="B9" s="196" t="s">
        <v>291</v>
      </c>
      <c r="C9" s="196">
        <v>2.5</v>
      </c>
      <c r="D9" s="196">
        <v>2.7</v>
      </c>
      <c r="E9" s="196">
        <v>2.8</v>
      </c>
      <c r="F9" s="196">
        <v>3.8</v>
      </c>
      <c r="G9" s="196">
        <v>0.2</v>
      </c>
      <c r="H9" s="196">
        <v>-0.4</v>
      </c>
      <c r="I9" s="196">
        <v>-3.6</v>
      </c>
      <c r="J9" s="196">
        <v>0.6</v>
      </c>
      <c r="K9" s="196">
        <v>3.5</v>
      </c>
      <c r="L9" s="196">
        <v>9</v>
      </c>
      <c r="M9" s="196">
        <v>-0.3</v>
      </c>
      <c r="N9" s="196">
        <v>4</v>
      </c>
      <c r="O9" s="196">
        <v>1.1000000000000001</v>
      </c>
      <c r="P9" s="196">
        <v>1.3</v>
      </c>
      <c r="Q9" s="196">
        <v>0.6</v>
      </c>
      <c r="R9" s="209">
        <v>2.8</v>
      </c>
      <c r="S9" s="196">
        <v>8.4</v>
      </c>
      <c r="T9" s="196">
        <v>0.8</v>
      </c>
      <c r="U9" s="196">
        <v>-8.3000000000000007</v>
      </c>
    </row>
    <row r="10" spans="1:21" x14ac:dyDescent="0.25">
      <c r="A10" s="213"/>
      <c r="B10" s="196" t="s">
        <v>292</v>
      </c>
      <c r="C10" s="196">
        <v>2.4</v>
      </c>
      <c r="D10" s="196">
        <v>2.5</v>
      </c>
      <c r="E10" s="196">
        <v>2.7</v>
      </c>
      <c r="F10" s="196">
        <v>3.7</v>
      </c>
      <c r="G10" s="196">
        <v>0</v>
      </c>
      <c r="H10" s="196">
        <v>-1.4</v>
      </c>
      <c r="I10" s="196">
        <v>-1.2</v>
      </c>
      <c r="J10" s="196">
        <v>-1.5</v>
      </c>
      <c r="K10" s="196">
        <v>3.4</v>
      </c>
      <c r="L10" s="196">
        <v>8.1999999999999993</v>
      </c>
      <c r="M10" s="196">
        <v>1.4</v>
      </c>
      <c r="N10" s="196">
        <v>3.3</v>
      </c>
      <c r="O10" s="196">
        <v>0.3</v>
      </c>
      <c r="P10" s="196">
        <v>-0.3</v>
      </c>
      <c r="Q10" s="196">
        <v>2.6</v>
      </c>
      <c r="R10" s="209">
        <v>3.1</v>
      </c>
      <c r="S10" s="196">
        <v>8.3000000000000007</v>
      </c>
      <c r="T10" s="196">
        <v>1.3</v>
      </c>
      <c r="U10" s="196">
        <v>-6.9</v>
      </c>
    </row>
    <row r="11" spans="1:21" x14ac:dyDescent="0.25">
      <c r="A11" s="213"/>
      <c r="B11" s="196" t="s">
        <v>293</v>
      </c>
      <c r="C11" s="196">
        <v>2.4</v>
      </c>
      <c r="D11" s="196">
        <v>2.1</v>
      </c>
      <c r="E11" s="196">
        <v>2.2000000000000002</v>
      </c>
      <c r="F11" s="196">
        <v>3.5</v>
      </c>
      <c r="G11" s="196">
        <v>-1.4</v>
      </c>
      <c r="H11" s="196">
        <v>-2.2000000000000002</v>
      </c>
      <c r="I11" s="196">
        <v>-1.8</v>
      </c>
      <c r="J11" s="196">
        <v>-2.4</v>
      </c>
      <c r="K11" s="196">
        <v>3.5</v>
      </c>
      <c r="L11" s="196">
        <v>9.1</v>
      </c>
      <c r="M11" s="196">
        <v>0.8</v>
      </c>
      <c r="N11" s="196">
        <v>3.5</v>
      </c>
      <c r="O11" s="196">
        <v>-0.6</v>
      </c>
      <c r="P11" s="196">
        <v>-0.4</v>
      </c>
      <c r="Q11" s="196">
        <v>-1.4</v>
      </c>
      <c r="R11" s="209">
        <v>4.2</v>
      </c>
      <c r="S11" s="196">
        <v>9.4</v>
      </c>
      <c r="T11" s="196">
        <v>2.4</v>
      </c>
      <c r="U11" s="196">
        <v>-8.6999999999999993</v>
      </c>
    </row>
    <row r="12" spans="1:21" x14ac:dyDescent="0.25">
      <c r="A12" s="213"/>
      <c r="B12" s="196" t="s">
        <v>294</v>
      </c>
      <c r="C12" s="196">
        <v>1.8</v>
      </c>
      <c r="D12" s="196">
        <v>1.3</v>
      </c>
      <c r="E12" s="196">
        <v>1.5</v>
      </c>
      <c r="F12" s="196">
        <v>3.3</v>
      </c>
      <c r="G12" s="196">
        <v>-3.3</v>
      </c>
      <c r="H12" s="196">
        <v>-3.4</v>
      </c>
      <c r="I12" s="196">
        <v>-1.8</v>
      </c>
      <c r="J12" s="196">
        <v>-3.9</v>
      </c>
      <c r="K12" s="196">
        <v>2.7</v>
      </c>
      <c r="L12" s="196">
        <v>12.8</v>
      </c>
      <c r="M12" s="196">
        <v>0.8</v>
      </c>
      <c r="N12" s="196">
        <v>1.6</v>
      </c>
      <c r="O12" s="196">
        <v>-0.4</v>
      </c>
      <c r="P12" s="196">
        <v>-0.2</v>
      </c>
      <c r="Q12" s="196">
        <v>-1.7</v>
      </c>
      <c r="R12" s="209">
        <v>4.3</v>
      </c>
      <c r="S12" s="196">
        <v>8.5</v>
      </c>
      <c r="T12" s="196">
        <v>2.9</v>
      </c>
      <c r="U12" s="196">
        <v>-7.8</v>
      </c>
    </row>
    <row r="13" spans="1:21" x14ac:dyDescent="0.25">
      <c r="A13" s="214"/>
      <c r="B13" s="205" t="s">
        <v>307</v>
      </c>
      <c r="C13" s="205">
        <v>1.4</v>
      </c>
      <c r="D13" s="205">
        <v>0.6</v>
      </c>
      <c r="E13" s="205">
        <v>0.9</v>
      </c>
      <c r="F13" s="205">
        <v>2.7</v>
      </c>
      <c r="G13" s="205">
        <v>-4</v>
      </c>
      <c r="H13" s="205">
        <v>-5.7</v>
      </c>
      <c r="I13" s="205">
        <v>-2</v>
      </c>
      <c r="J13" s="205">
        <v>-6.8</v>
      </c>
      <c r="K13" s="205">
        <v>2.4</v>
      </c>
      <c r="L13" s="205">
        <v>7.4</v>
      </c>
      <c r="M13" s="205">
        <v>0.6</v>
      </c>
      <c r="N13" s="205">
        <v>2.2000000000000002</v>
      </c>
      <c r="O13" s="205">
        <v>0.2</v>
      </c>
      <c r="P13" s="205">
        <v>-0.5</v>
      </c>
      <c r="Q13" s="205">
        <v>3.2</v>
      </c>
      <c r="R13" s="210">
        <v>4.0999999999999996</v>
      </c>
      <c r="S13" s="205">
        <v>9.1</v>
      </c>
      <c r="T13" s="205">
        <v>2.4</v>
      </c>
      <c r="U13" s="205">
        <v>-7.5</v>
      </c>
    </row>
    <row r="14" spans="1:21" x14ac:dyDescent="0.25">
      <c r="A14" s="214"/>
      <c r="B14" s="205" t="s">
        <v>308</v>
      </c>
      <c r="C14" s="205">
        <v>0.9</v>
      </c>
      <c r="D14" s="205">
        <v>0.4</v>
      </c>
      <c r="E14" s="205">
        <v>0.7</v>
      </c>
      <c r="F14" s="205">
        <v>2.4</v>
      </c>
      <c r="G14" s="205">
        <v>-3.9</v>
      </c>
      <c r="H14" s="205">
        <v>-6.1</v>
      </c>
      <c r="I14" s="205">
        <v>-0.3</v>
      </c>
      <c r="J14" s="205">
        <v>-7.9</v>
      </c>
      <c r="K14" s="205">
        <v>2.4</v>
      </c>
      <c r="L14" s="205">
        <v>6.2</v>
      </c>
      <c r="M14" s="205">
        <v>1</v>
      </c>
      <c r="N14" s="205">
        <v>2.2000000000000002</v>
      </c>
      <c r="O14" s="205">
        <v>-0.6</v>
      </c>
      <c r="P14" s="205">
        <v>-1.3</v>
      </c>
      <c r="Q14" s="205">
        <v>1.9</v>
      </c>
      <c r="R14" s="210">
        <v>3.1</v>
      </c>
      <c r="S14" s="205">
        <v>7.4</v>
      </c>
      <c r="T14" s="205">
        <v>1.6</v>
      </c>
      <c r="U14" s="205">
        <v>-10</v>
      </c>
    </row>
    <row r="15" spans="1:21" x14ac:dyDescent="0.25">
      <c r="A15" s="214"/>
      <c r="B15" s="205" t="s">
        <v>309</v>
      </c>
      <c r="C15" s="205">
        <v>1.1000000000000001</v>
      </c>
      <c r="D15" s="205">
        <v>0.8</v>
      </c>
      <c r="E15" s="205">
        <v>0.9</v>
      </c>
      <c r="F15" s="205">
        <v>2.6</v>
      </c>
      <c r="G15" s="205">
        <v>-3.4</v>
      </c>
      <c r="H15" s="205">
        <v>-6.3</v>
      </c>
      <c r="I15" s="205">
        <v>1</v>
      </c>
      <c r="J15" s="205">
        <v>-8.6</v>
      </c>
      <c r="K15" s="205">
        <v>3.8</v>
      </c>
      <c r="L15" s="205">
        <v>8.4</v>
      </c>
      <c r="M15" s="205">
        <v>4</v>
      </c>
      <c r="N15" s="205">
        <v>2.9</v>
      </c>
      <c r="O15" s="205">
        <v>-2.4</v>
      </c>
      <c r="P15" s="205">
        <v>-2.7</v>
      </c>
      <c r="Q15" s="205">
        <v>-1.4</v>
      </c>
      <c r="R15" s="210">
        <v>2.9</v>
      </c>
      <c r="S15" s="205">
        <v>6.2</v>
      </c>
      <c r="T15" s="205">
        <v>1.7</v>
      </c>
      <c r="U15" s="205">
        <v>-9.8000000000000007</v>
      </c>
    </row>
    <row r="16" spans="1:21" x14ac:dyDescent="0.25">
      <c r="A16" s="214"/>
      <c r="B16" s="205" t="s">
        <v>310</v>
      </c>
      <c r="C16" s="205">
        <v>1.1000000000000001</v>
      </c>
      <c r="D16" s="205">
        <v>1.1000000000000001</v>
      </c>
      <c r="E16" s="205">
        <v>1.1000000000000001</v>
      </c>
      <c r="F16" s="205">
        <v>2.4</v>
      </c>
      <c r="G16" s="205">
        <v>-2.6</v>
      </c>
      <c r="H16" s="205">
        <v>-5.2</v>
      </c>
      <c r="I16" s="205">
        <v>-4.3</v>
      </c>
      <c r="J16" s="205">
        <v>-5.5</v>
      </c>
      <c r="K16" s="205">
        <v>3.9</v>
      </c>
      <c r="L16" s="205">
        <v>9.9</v>
      </c>
      <c r="M16" s="205">
        <v>2.6</v>
      </c>
      <c r="N16" s="205">
        <v>3.2</v>
      </c>
      <c r="O16" s="205">
        <v>-2.5</v>
      </c>
      <c r="P16" s="205">
        <v>-2</v>
      </c>
      <c r="Q16" s="205">
        <v>-4.8</v>
      </c>
      <c r="R16" s="210">
        <v>2.5</v>
      </c>
      <c r="S16" s="205">
        <v>7.1</v>
      </c>
      <c r="T16" s="205">
        <v>0.9</v>
      </c>
      <c r="U16" s="205">
        <v>-9.1</v>
      </c>
    </row>
    <row r="17" spans="1:21" x14ac:dyDescent="0.25">
      <c r="A17" s="214"/>
      <c r="B17" s="205" t="s">
        <v>311</v>
      </c>
      <c r="C17" s="205">
        <v>1.7</v>
      </c>
      <c r="D17" s="205">
        <v>1.3</v>
      </c>
      <c r="E17" s="205">
        <v>1.2</v>
      </c>
      <c r="F17" s="205">
        <v>2.1</v>
      </c>
      <c r="G17" s="205">
        <v>-1.3</v>
      </c>
      <c r="H17" s="205">
        <v>-4.5</v>
      </c>
      <c r="I17" s="205">
        <v>-4.8</v>
      </c>
      <c r="J17" s="205">
        <v>-4.4000000000000004</v>
      </c>
      <c r="K17" s="205">
        <v>4.5</v>
      </c>
      <c r="L17" s="205">
        <v>11</v>
      </c>
      <c r="M17" s="205">
        <v>6.1</v>
      </c>
      <c r="N17" s="205">
        <v>2.8</v>
      </c>
      <c r="O17" s="205">
        <v>-1.1000000000000001</v>
      </c>
      <c r="P17" s="205">
        <v>-0.3</v>
      </c>
      <c r="Q17" s="205">
        <v>-4.7</v>
      </c>
      <c r="R17" s="210">
        <v>3.7</v>
      </c>
      <c r="S17" s="205">
        <v>9.6999999999999993</v>
      </c>
      <c r="T17" s="205">
        <v>1.5</v>
      </c>
      <c r="U17" s="205">
        <v>-8.6</v>
      </c>
    </row>
    <row r="18" spans="1:21" x14ac:dyDescent="0.25">
      <c r="A18" s="214"/>
      <c r="B18" s="196" t="s">
        <v>312</v>
      </c>
      <c r="C18" s="196">
        <v>1.5</v>
      </c>
      <c r="D18" s="196">
        <v>1.1000000000000001</v>
      </c>
      <c r="E18" s="196">
        <v>0.9</v>
      </c>
      <c r="F18" s="196">
        <v>1.1000000000000001</v>
      </c>
      <c r="G18" s="196">
        <v>0.1</v>
      </c>
      <c r="H18" s="196">
        <v>-2.8</v>
      </c>
      <c r="I18" s="196">
        <v>-5.0999999999999996</v>
      </c>
      <c r="J18" s="196">
        <v>-2</v>
      </c>
      <c r="K18" s="196">
        <v>4.0999999999999996</v>
      </c>
      <c r="L18" s="196">
        <v>8.3000000000000007</v>
      </c>
      <c r="M18" s="196">
        <v>8.3000000000000007</v>
      </c>
      <c r="N18" s="196">
        <v>1.9</v>
      </c>
      <c r="O18" s="196">
        <v>-0.2</v>
      </c>
      <c r="P18" s="196">
        <v>0.6</v>
      </c>
      <c r="Q18" s="196">
        <v>-3.9</v>
      </c>
      <c r="R18" s="209">
        <v>3.2</v>
      </c>
      <c r="S18" s="196">
        <v>10</v>
      </c>
      <c r="T18" s="196">
        <v>0.7</v>
      </c>
      <c r="U18" s="196">
        <v>-9.1999999999999993</v>
      </c>
    </row>
    <row r="19" spans="1:21" x14ac:dyDescent="0.25">
      <c r="A19" s="196" t="s">
        <v>295</v>
      </c>
    </row>
  </sheetData>
  <mergeCells count="4">
    <mergeCell ref="A5:A18"/>
    <mergeCell ref="A1:U1"/>
    <mergeCell ref="A2:U2"/>
    <mergeCell ref="A3:A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4920-B911-4C5D-9126-80ED2FEE073D}">
  <sheetPr codeName="Planilha7"/>
  <dimension ref="A1:AQ187"/>
  <sheetViews>
    <sheetView zoomScaleNormal="100" workbookViewId="0">
      <pane xSplit="1" ySplit="2" topLeftCell="N150" activePane="bottomRight" state="frozen"/>
      <selection pane="topRight"/>
      <selection pane="bottomLeft"/>
      <selection pane="bottomRight" activeCell="AF129" sqref="AF129"/>
    </sheetView>
  </sheetViews>
  <sheetFormatPr defaultColWidth="8.7109375" defaultRowHeight="12.75" x14ac:dyDescent="0.2"/>
  <cols>
    <col min="1" max="1" width="8.7109375" style="105"/>
    <col min="2" max="8" width="11.42578125" style="105" customWidth="1"/>
    <col min="9" max="9" width="4.140625" style="105" customWidth="1"/>
    <col min="10" max="10" width="7.28515625" style="105" customWidth="1"/>
    <col min="11" max="27" width="8.7109375" style="105"/>
    <col min="28" max="28" width="4.140625" style="105" customWidth="1"/>
    <col min="29" max="29" width="6.7109375" style="105" customWidth="1"/>
    <col min="30" max="30" width="8.7109375" style="105" customWidth="1"/>
    <col min="31" max="31" width="6" style="105" customWidth="1"/>
    <col min="32" max="32" width="5.85546875" style="105" customWidth="1"/>
    <col min="33" max="33" width="11.28515625" style="105" customWidth="1"/>
    <col min="34" max="35" width="10" style="105" bestFit="1" customWidth="1"/>
    <col min="36" max="16384" width="8.7109375" style="105"/>
  </cols>
  <sheetData>
    <row r="1" spans="1:39" x14ac:dyDescent="0.2">
      <c r="A1" s="215" t="s">
        <v>18</v>
      </c>
      <c r="B1" s="104" t="s">
        <v>56</v>
      </c>
      <c r="C1" s="104" t="s">
        <v>57</v>
      </c>
      <c r="D1" s="104" t="s">
        <v>39</v>
      </c>
      <c r="E1" s="104" t="s">
        <v>58</v>
      </c>
      <c r="F1" s="104" t="s">
        <v>59</v>
      </c>
      <c r="G1" s="104" t="s">
        <v>60</v>
      </c>
      <c r="H1" s="104" t="s">
        <v>61</v>
      </c>
      <c r="K1" s="106" t="s">
        <v>77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 t="s">
        <v>61</v>
      </c>
      <c r="AE1" s="104"/>
      <c r="AF1" s="104"/>
      <c r="AG1" s="104"/>
      <c r="AH1" s="105" t="s">
        <v>70</v>
      </c>
    </row>
    <row r="2" spans="1:39" s="107" customFormat="1" ht="22.15" customHeight="1" x14ac:dyDescent="0.2">
      <c r="A2" s="215"/>
      <c r="B2" s="107" t="s">
        <v>62</v>
      </c>
      <c r="C2" s="107" t="s">
        <v>63</v>
      </c>
      <c r="D2" s="107" t="s">
        <v>64</v>
      </c>
      <c r="E2" s="107" t="s">
        <v>65</v>
      </c>
      <c r="F2" s="107" t="s">
        <v>66</v>
      </c>
      <c r="G2" s="107" t="s">
        <v>67</v>
      </c>
      <c r="H2" s="107" t="s">
        <v>68</v>
      </c>
      <c r="J2" s="108" t="s">
        <v>78</v>
      </c>
      <c r="K2" s="109">
        <v>44531</v>
      </c>
      <c r="L2" s="109">
        <v>44562</v>
      </c>
      <c r="M2" s="109">
        <v>44593</v>
      </c>
      <c r="N2" s="109">
        <v>44621</v>
      </c>
      <c r="O2" s="109">
        <v>44621</v>
      </c>
      <c r="P2" s="109">
        <v>44652</v>
      </c>
      <c r="Q2" s="109">
        <v>44682</v>
      </c>
      <c r="R2" s="109">
        <v>44713</v>
      </c>
      <c r="S2" s="109">
        <v>44713</v>
      </c>
      <c r="T2" s="109">
        <v>44713</v>
      </c>
      <c r="U2" s="109">
        <v>44743</v>
      </c>
      <c r="V2" s="109">
        <v>44743</v>
      </c>
      <c r="W2" s="109">
        <v>44774</v>
      </c>
      <c r="X2" s="109">
        <v>44805</v>
      </c>
      <c r="Y2" s="109">
        <v>44805</v>
      </c>
      <c r="Z2" s="109">
        <v>44835</v>
      </c>
      <c r="AA2" s="109">
        <v>44866</v>
      </c>
      <c r="AD2" s="107" t="s">
        <v>71</v>
      </c>
      <c r="AE2" s="107" t="s">
        <v>72</v>
      </c>
      <c r="AH2" s="107" t="s">
        <v>73</v>
      </c>
      <c r="AI2" s="107" t="s">
        <v>74</v>
      </c>
    </row>
    <row r="3" spans="1:39" x14ac:dyDescent="0.2">
      <c r="A3" s="110">
        <v>40969</v>
      </c>
      <c r="B3" s="111">
        <v>153601</v>
      </c>
      <c r="C3" s="111">
        <v>95664</v>
      </c>
      <c r="D3" s="111">
        <v>88011</v>
      </c>
      <c r="E3" s="111">
        <v>7653</v>
      </c>
      <c r="F3" s="111">
        <v>57937</v>
      </c>
      <c r="G3" s="112">
        <f t="shared" ref="G3:G66" si="0">(C3/B3)*100</f>
        <v>62.280844525751789</v>
      </c>
      <c r="H3" s="112">
        <f>(E3/C3)*100</f>
        <v>7.9998745609633719</v>
      </c>
      <c r="K3" s="113"/>
      <c r="L3" s="113"/>
      <c r="M3" s="113"/>
      <c r="N3" s="113"/>
      <c r="O3" s="113"/>
      <c r="P3" s="113"/>
      <c r="Q3" s="113"/>
      <c r="R3" s="113"/>
      <c r="S3" s="113"/>
      <c r="T3" s="114"/>
      <c r="U3" s="114"/>
      <c r="V3" s="114"/>
      <c r="W3" s="114"/>
      <c r="X3" s="114"/>
      <c r="Y3" s="114"/>
      <c r="Z3" s="114"/>
      <c r="AA3" s="114"/>
      <c r="AB3" s="112"/>
      <c r="AC3" s="110">
        <f t="shared" ref="AC3:AC66" si="1">A3</f>
        <v>40969</v>
      </c>
      <c r="AD3" s="112">
        <f>H3</f>
        <v>7.9998745609633719</v>
      </c>
      <c r="AE3" s="112"/>
      <c r="AF3" s="112"/>
      <c r="AG3" s="112"/>
    </row>
    <row r="4" spans="1:39" x14ac:dyDescent="0.2">
      <c r="A4" s="110">
        <v>41000</v>
      </c>
      <c r="B4" s="111">
        <v>153791</v>
      </c>
      <c r="C4" s="111">
        <v>96380</v>
      </c>
      <c r="D4" s="111">
        <v>88846</v>
      </c>
      <c r="E4" s="111">
        <v>7534</v>
      </c>
      <c r="F4" s="111">
        <v>57411</v>
      </c>
      <c r="G4" s="112">
        <f t="shared" si="0"/>
        <v>62.669467003920907</v>
      </c>
      <c r="H4" s="112">
        <f t="shared" ref="H4:H67" si="2">(E4/C4)*100</f>
        <v>7.8169744760323718</v>
      </c>
      <c r="K4" s="113"/>
      <c r="L4" s="113"/>
      <c r="M4" s="113"/>
      <c r="N4" s="113"/>
      <c r="O4" s="113"/>
      <c r="P4" s="113"/>
      <c r="Q4" s="113"/>
      <c r="R4" s="113"/>
      <c r="S4" s="113"/>
      <c r="T4" s="114"/>
      <c r="U4" s="114"/>
      <c r="V4" s="114"/>
      <c r="W4" s="114"/>
      <c r="X4" s="114"/>
      <c r="Y4" s="114"/>
      <c r="Z4" s="114"/>
      <c r="AA4" s="114"/>
      <c r="AB4" s="112"/>
      <c r="AC4" s="110">
        <f t="shared" si="1"/>
        <v>41000</v>
      </c>
      <c r="AD4" s="112">
        <f>H4</f>
        <v>7.8169744760323718</v>
      </c>
      <c r="AE4" s="112"/>
      <c r="AF4" s="112"/>
      <c r="AG4" s="112"/>
    </row>
    <row r="5" spans="1:39" x14ac:dyDescent="0.2">
      <c r="A5" s="110">
        <v>41030</v>
      </c>
      <c r="B5" s="111">
        <v>153987</v>
      </c>
      <c r="C5" s="111">
        <v>96823</v>
      </c>
      <c r="D5" s="111">
        <v>89379</v>
      </c>
      <c r="E5" s="111">
        <v>7444</v>
      </c>
      <c r="F5" s="111">
        <v>57164</v>
      </c>
      <c r="G5" s="112">
        <f t="shared" si="0"/>
        <v>62.877385753342821</v>
      </c>
      <c r="H5" s="112">
        <f t="shared" si="2"/>
        <v>7.6882558896130053</v>
      </c>
      <c r="K5" s="113"/>
      <c r="L5" s="113"/>
      <c r="M5" s="113"/>
      <c r="N5" s="113"/>
      <c r="O5" s="113"/>
      <c r="P5" s="113"/>
      <c r="Q5" s="113"/>
      <c r="R5" s="113"/>
      <c r="S5" s="113"/>
      <c r="T5" s="114"/>
      <c r="U5" s="114"/>
      <c r="V5" s="114"/>
      <c r="W5" s="114"/>
      <c r="X5" s="114"/>
      <c r="Y5" s="114"/>
      <c r="Z5" s="114"/>
      <c r="AA5" s="114"/>
      <c r="AB5" s="112"/>
      <c r="AC5" s="110">
        <f t="shared" si="1"/>
        <v>41030</v>
      </c>
      <c r="AD5" s="112">
        <f>H5</f>
        <v>7.6882558896130053</v>
      </c>
      <c r="AE5" s="112"/>
      <c r="AF5" s="112"/>
      <c r="AG5" s="112"/>
    </row>
    <row r="6" spans="1:39" x14ac:dyDescent="0.2">
      <c r="A6" s="110">
        <v>41061</v>
      </c>
      <c r="B6" s="111">
        <v>154180</v>
      </c>
      <c r="C6" s="111">
        <v>97010</v>
      </c>
      <c r="D6" s="111">
        <v>89647</v>
      </c>
      <c r="E6" s="111">
        <v>7363</v>
      </c>
      <c r="F6" s="111">
        <v>57169</v>
      </c>
      <c r="G6" s="112">
        <f t="shared" si="0"/>
        <v>62.91996367881697</v>
      </c>
      <c r="H6" s="112">
        <f t="shared" si="2"/>
        <v>7.5899391815276775</v>
      </c>
      <c r="K6" s="113"/>
      <c r="L6" s="113"/>
      <c r="M6" s="113"/>
      <c r="N6" s="113"/>
      <c r="O6" s="113"/>
      <c r="P6" s="113"/>
      <c r="Q6" s="113"/>
      <c r="R6" s="113"/>
      <c r="S6" s="113"/>
      <c r="T6" s="114"/>
      <c r="U6" s="114"/>
      <c r="V6" s="114"/>
      <c r="W6" s="114"/>
      <c r="X6" s="114"/>
      <c r="Y6" s="114"/>
      <c r="Z6" s="114"/>
      <c r="AA6" s="114"/>
      <c r="AB6" s="112"/>
      <c r="AC6" s="110">
        <f t="shared" si="1"/>
        <v>41061</v>
      </c>
      <c r="AD6" s="112">
        <f t="shared" ref="AD6:AD69" si="3">H6</f>
        <v>7.5899391815276775</v>
      </c>
      <c r="AE6" s="112"/>
      <c r="AF6" s="112"/>
      <c r="AG6" s="112"/>
      <c r="AH6" s="112">
        <f>AD6-AD3</f>
        <v>-0.40993537943569436</v>
      </c>
      <c r="AI6" s="112">
        <f>(AD6/AD3-1)*100</f>
        <v>-5.1242725909233293</v>
      </c>
    </row>
    <row r="7" spans="1:39" x14ac:dyDescent="0.2">
      <c r="A7" s="110">
        <v>41091</v>
      </c>
      <c r="B7" s="111">
        <v>154375</v>
      </c>
      <c r="C7" s="111">
        <v>97076</v>
      </c>
      <c r="D7" s="111">
        <v>89786</v>
      </c>
      <c r="E7" s="111">
        <v>7290</v>
      </c>
      <c r="F7" s="111">
        <v>57299</v>
      </c>
      <c r="G7" s="112">
        <f t="shared" si="0"/>
        <v>62.883238866396759</v>
      </c>
      <c r="H7" s="112">
        <f t="shared" si="2"/>
        <v>7.5095801227903909</v>
      </c>
      <c r="K7" s="113"/>
      <c r="L7" s="113"/>
      <c r="M7" s="113"/>
      <c r="N7" s="113"/>
      <c r="O7" s="113"/>
      <c r="P7" s="113"/>
      <c r="Q7" s="113"/>
      <c r="R7" s="113"/>
      <c r="S7" s="113"/>
      <c r="T7" s="114"/>
      <c r="U7" s="114"/>
      <c r="V7" s="114"/>
      <c r="W7" s="114"/>
      <c r="X7" s="114"/>
      <c r="Y7" s="114"/>
      <c r="Z7" s="114"/>
      <c r="AA7" s="114"/>
      <c r="AB7" s="112"/>
      <c r="AC7" s="110">
        <f t="shared" si="1"/>
        <v>41091</v>
      </c>
      <c r="AD7" s="112">
        <f t="shared" si="3"/>
        <v>7.5095801227903909</v>
      </c>
      <c r="AE7" s="112"/>
      <c r="AF7" s="112"/>
      <c r="AG7" s="112"/>
    </row>
    <row r="8" spans="1:39" x14ac:dyDescent="0.2">
      <c r="A8" s="110">
        <v>41122</v>
      </c>
      <c r="B8" s="111">
        <v>154566</v>
      </c>
      <c r="C8" s="111">
        <v>97247</v>
      </c>
      <c r="D8" s="111">
        <v>90085</v>
      </c>
      <c r="E8" s="111">
        <v>7162</v>
      </c>
      <c r="F8" s="111">
        <v>57319</v>
      </c>
      <c r="G8" s="112">
        <f t="shared" si="0"/>
        <v>62.91616526273566</v>
      </c>
      <c r="H8" s="112">
        <f t="shared" si="2"/>
        <v>7.3647516118749161</v>
      </c>
      <c r="K8" s="113"/>
      <c r="L8" s="113"/>
      <c r="M8" s="113"/>
      <c r="N8" s="113"/>
      <c r="O8" s="113"/>
      <c r="P8" s="113"/>
      <c r="Q8" s="113"/>
      <c r="R8" s="113"/>
      <c r="S8" s="113"/>
      <c r="T8" s="114"/>
      <c r="U8" s="114"/>
      <c r="V8" s="114"/>
      <c r="W8" s="114"/>
      <c r="X8" s="114"/>
      <c r="Y8" s="114"/>
      <c r="Z8" s="114"/>
      <c r="AA8" s="114"/>
      <c r="AB8" s="112"/>
      <c r="AC8" s="110">
        <f t="shared" si="1"/>
        <v>41122</v>
      </c>
      <c r="AD8" s="112">
        <f t="shared" si="3"/>
        <v>7.3647516118749161</v>
      </c>
      <c r="AE8" s="112"/>
      <c r="AF8" s="112"/>
      <c r="AG8" s="112"/>
    </row>
    <row r="9" spans="1:39" x14ac:dyDescent="0.2">
      <c r="A9" s="110">
        <v>41153</v>
      </c>
      <c r="B9" s="111">
        <v>154758</v>
      </c>
      <c r="C9" s="111">
        <v>97261</v>
      </c>
      <c r="D9" s="111">
        <v>90320</v>
      </c>
      <c r="E9" s="111">
        <v>6942</v>
      </c>
      <c r="F9" s="111">
        <v>57496</v>
      </c>
      <c r="G9" s="112">
        <f t="shared" si="0"/>
        <v>62.847154912831648</v>
      </c>
      <c r="H9" s="112">
        <f t="shared" si="2"/>
        <v>7.1374960158748113</v>
      </c>
      <c r="K9" s="113"/>
      <c r="L9" s="113"/>
      <c r="M9" s="113"/>
      <c r="N9" s="113"/>
      <c r="O9" s="113"/>
      <c r="P9" s="113"/>
      <c r="Q9" s="113"/>
      <c r="R9" s="113"/>
      <c r="S9" s="113"/>
      <c r="T9" s="114"/>
      <c r="U9" s="114"/>
      <c r="V9" s="114"/>
      <c r="W9" s="114"/>
      <c r="X9" s="114"/>
      <c r="Y9" s="114"/>
      <c r="Z9" s="114"/>
      <c r="AA9" s="114"/>
      <c r="AB9" s="112"/>
      <c r="AC9" s="110">
        <f t="shared" si="1"/>
        <v>41153</v>
      </c>
      <c r="AD9" s="112">
        <f t="shared" si="3"/>
        <v>7.1374960158748113</v>
      </c>
      <c r="AE9" s="112"/>
      <c r="AF9" s="112"/>
      <c r="AG9" s="112"/>
      <c r="AH9" s="112">
        <f>AD9-AD6</f>
        <v>-0.45244316565286624</v>
      </c>
      <c r="AI9" s="112">
        <f>(AD9/AD6-1)*100</f>
        <v>-5.9610907917947209</v>
      </c>
    </row>
    <row r="10" spans="1:39" x14ac:dyDescent="0.2">
      <c r="A10" s="110">
        <v>41183</v>
      </c>
      <c r="B10" s="111">
        <v>154949</v>
      </c>
      <c r="C10" s="111">
        <v>97233</v>
      </c>
      <c r="D10" s="111">
        <v>90467</v>
      </c>
      <c r="E10" s="111">
        <v>6767</v>
      </c>
      <c r="F10" s="111">
        <v>57716</v>
      </c>
      <c r="G10" s="112">
        <f t="shared" si="0"/>
        <v>62.751615047531772</v>
      </c>
      <c r="H10" s="112">
        <f t="shared" si="2"/>
        <v>6.9595713389487113</v>
      </c>
      <c r="K10" s="113"/>
      <c r="L10" s="113"/>
      <c r="M10" s="113"/>
      <c r="N10" s="113"/>
      <c r="O10" s="113"/>
      <c r="P10" s="113"/>
      <c r="Q10" s="113"/>
      <c r="R10" s="113"/>
      <c r="S10" s="113"/>
      <c r="T10" s="114"/>
      <c r="U10" s="114"/>
      <c r="V10" s="114"/>
      <c r="W10" s="114"/>
      <c r="X10" s="114"/>
      <c r="Y10" s="114"/>
      <c r="Z10" s="114"/>
      <c r="AA10" s="114"/>
      <c r="AB10" s="112"/>
      <c r="AC10" s="110">
        <f t="shared" si="1"/>
        <v>41183</v>
      </c>
      <c r="AD10" s="112">
        <f t="shared" si="3"/>
        <v>6.9595713389487113</v>
      </c>
      <c r="AE10" s="112"/>
      <c r="AF10" s="112"/>
      <c r="AG10" s="112"/>
    </row>
    <row r="11" spans="1:39" x14ac:dyDescent="0.2">
      <c r="A11" s="110">
        <v>41214</v>
      </c>
      <c r="B11" s="111">
        <v>155138</v>
      </c>
      <c r="C11" s="111">
        <v>97187</v>
      </c>
      <c r="D11" s="111">
        <v>90555</v>
      </c>
      <c r="E11" s="111">
        <v>6632</v>
      </c>
      <c r="F11" s="111">
        <v>57952</v>
      </c>
      <c r="G11" s="112">
        <f t="shared" si="0"/>
        <v>62.645515605460943</v>
      </c>
      <c r="H11" s="112">
        <f t="shared" si="2"/>
        <v>6.8239579367610892</v>
      </c>
      <c r="K11" s="113"/>
      <c r="L11" s="113"/>
      <c r="M11" s="113"/>
      <c r="N11" s="113"/>
      <c r="O11" s="113"/>
      <c r="P11" s="113"/>
      <c r="Q11" s="113"/>
      <c r="R11" s="113"/>
      <c r="S11" s="113"/>
      <c r="T11" s="114"/>
      <c r="U11" s="114"/>
      <c r="V11" s="114"/>
      <c r="W11" s="114"/>
      <c r="X11" s="114"/>
      <c r="Y11" s="114"/>
      <c r="Z11" s="114"/>
      <c r="AA11" s="114"/>
      <c r="AB11" s="112"/>
      <c r="AC11" s="110">
        <f t="shared" si="1"/>
        <v>41214</v>
      </c>
      <c r="AD11" s="112">
        <f t="shared" si="3"/>
        <v>6.8239579367610892</v>
      </c>
      <c r="AE11" s="112"/>
      <c r="AF11" s="112"/>
      <c r="AG11" s="112"/>
    </row>
    <row r="12" spans="1:39" x14ac:dyDescent="0.2">
      <c r="A12" s="110">
        <v>41244</v>
      </c>
      <c r="B12" s="111">
        <v>155330</v>
      </c>
      <c r="C12" s="111">
        <v>97322</v>
      </c>
      <c r="D12" s="111">
        <v>90593</v>
      </c>
      <c r="E12" s="111">
        <v>6730</v>
      </c>
      <c r="F12" s="111">
        <v>58007</v>
      </c>
      <c r="G12" s="112">
        <f t="shared" si="0"/>
        <v>62.654992596407645</v>
      </c>
      <c r="H12" s="112">
        <f t="shared" si="2"/>
        <v>6.9151887548550173</v>
      </c>
      <c r="K12" s="113"/>
      <c r="L12" s="113"/>
      <c r="M12" s="113"/>
      <c r="N12" s="113"/>
      <c r="O12" s="113"/>
      <c r="P12" s="113"/>
      <c r="Q12" s="113"/>
      <c r="R12" s="113"/>
      <c r="S12" s="113"/>
      <c r="T12" s="114"/>
      <c r="U12" s="114"/>
      <c r="V12" s="114"/>
      <c r="W12" s="114"/>
      <c r="X12" s="114"/>
      <c r="Y12" s="114"/>
      <c r="Z12" s="114"/>
      <c r="AA12" s="114"/>
      <c r="AB12" s="112"/>
      <c r="AC12" s="110">
        <f t="shared" si="1"/>
        <v>41244</v>
      </c>
      <c r="AD12" s="112">
        <f t="shared" si="3"/>
        <v>6.9151887548550173</v>
      </c>
      <c r="AE12" s="112">
        <f>AVERAGE(AD12,AD9,AD6,AD3)</f>
        <v>7.4106246283052197</v>
      </c>
      <c r="AF12" s="112"/>
      <c r="AG12" s="112"/>
      <c r="AH12" s="112">
        <f t="shared" ref="AH12" si="4">AD12-AD9</f>
        <v>-0.22230726101979403</v>
      </c>
      <c r="AI12" s="112">
        <f t="shared" ref="AI12" si="5">(AD12/AD9-1)*100</f>
        <v>-3.1146393710812736</v>
      </c>
      <c r="AM12" s="112"/>
    </row>
    <row r="13" spans="1:39" x14ac:dyDescent="0.2">
      <c r="A13" s="110">
        <v>41275</v>
      </c>
      <c r="B13" s="111">
        <v>155519</v>
      </c>
      <c r="C13" s="111">
        <v>97359</v>
      </c>
      <c r="D13" s="111">
        <v>90284</v>
      </c>
      <c r="E13" s="111">
        <v>7075</v>
      </c>
      <c r="F13" s="111">
        <v>58160</v>
      </c>
      <c r="G13" s="112">
        <f t="shared" si="0"/>
        <v>62.602640191873661</v>
      </c>
      <c r="H13" s="112">
        <f t="shared" si="2"/>
        <v>7.2669193397631453</v>
      </c>
      <c r="K13" s="113"/>
      <c r="L13" s="113"/>
      <c r="M13" s="113"/>
      <c r="N13" s="113"/>
      <c r="O13" s="113"/>
      <c r="P13" s="113"/>
      <c r="Q13" s="113"/>
      <c r="R13" s="113"/>
      <c r="S13" s="113"/>
      <c r="T13" s="114"/>
      <c r="U13" s="114"/>
      <c r="V13" s="114"/>
      <c r="W13" s="114"/>
      <c r="X13" s="114"/>
      <c r="Y13" s="114"/>
      <c r="Z13" s="114"/>
      <c r="AA13" s="114"/>
      <c r="AB13" s="112"/>
      <c r="AC13" s="110">
        <f t="shared" si="1"/>
        <v>41275</v>
      </c>
      <c r="AD13" s="112">
        <f t="shared" si="3"/>
        <v>7.2669193397631453</v>
      </c>
      <c r="AE13" s="112"/>
      <c r="AF13" s="112"/>
      <c r="AG13" s="112"/>
    </row>
    <row r="14" spans="1:39" x14ac:dyDescent="0.2">
      <c r="A14" s="110">
        <v>41306</v>
      </c>
      <c r="B14" s="111">
        <v>155710</v>
      </c>
      <c r="C14" s="111">
        <v>97488</v>
      </c>
      <c r="D14" s="111">
        <v>89900</v>
      </c>
      <c r="E14" s="111">
        <v>7588</v>
      </c>
      <c r="F14" s="111">
        <v>58222</v>
      </c>
      <c r="G14" s="112">
        <f t="shared" si="0"/>
        <v>62.608695652173921</v>
      </c>
      <c r="H14" s="112">
        <f t="shared" si="2"/>
        <v>7.7835220745117351</v>
      </c>
      <c r="K14" s="113"/>
      <c r="L14" s="113"/>
      <c r="M14" s="113"/>
      <c r="N14" s="113"/>
      <c r="O14" s="113"/>
      <c r="P14" s="113"/>
      <c r="Q14" s="113"/>
      <c r="R14" s="113"/>
      <c r="S14" s="113"/>
      <c r="T14" s="114"/>
      <c r="U14" s="114"/>
      <c r="V14" s="114"/>
      <c r="W14" s="114"/>
      <c r="X14" s="114"/>
      <c r="Y14" s="114"/>
      <c r="Z14" s="114"/>
      <c r="AA14" s="114"/>
      <c r="AB14" s="112"/>
      <c r="AC14" s="110">
        <f t="shared" si="1"/>
        <v>41306</v>
      </c>
      <c r="AD14" s="112">
        <f t="shared" si="3"/>
        <v>7.7835220745117351</v>
      </c>
      <c r="AE14" s="112"/>
      <c r="AF14" s="112"/>
      <c r="AG14" s="112"/>
    </row>
    <row r="15" spans="1:39" x14ac:dyDescent="0.2">
      <c r="A15" s="110">
        <v>41334</v>
      </c>
      <c r="B15" s="111">
        <v>155902</v>
      </c>
      <c r="C15" s="111">
        <v>97554</v>
      </c>
      <c r="D15" s="111">
        <v>89688</v>
      </c>
      <c r="E15" s="111">
        <v>7866</v>
      </c>
      <c r="F15" s="111">
        <v>58348</v>
      </c>
      <c r="G15" s="112">
        <f t="shared" si="0"/>
        <v>62.573924644969281</v>
      </c>
      <c r="H15" s="112">
        <f t="shared" si="2"/>
        <v>8.0632265206962295</v>
      </c>
      <c r="K15" s="113"/>
      <c r="L15" s="113"/>
      <c r="M15" s="113"/>
      <c r="N15" s="113"/>
      <c r="O15" s="113"/>
      <c r="P15" s="113"/>
      <c r="Q15" s="113"/>
      <c r="R15" s="113"/>
      <c r="S15" s="113"/>
      <c r="T15" s="114"/>
      <c r="U15" s="114"/>
      <c r="V15" s="114"/>
      <c r="W15" s="114"/>
      <c r="X15" s="114"/>
      <c r="Y15" s="114"/>
      <c r="Z15" s="114"/>
      <c r="AA15" s="114"/>
      <c r="AB15" s="112"/>
      <c r="AC15" s="110">
        <f t="shared" si="1"/>
        <v>41334</v>
      </c>
      <c r="AD15" s="112">
        <f t="shared" si="3"/>
        <v>8.0632265206962295</v>
      </c>
      <c r="AE15" s="112"/>
      <c r="AF15" s="112"/>
      <c r="AG15" s="112"/>
      <c r="AH15" s="112">
        <f t="shared" ref="AH15" si="6">AD15-AD12</f>
        <v>1.1480377658412122</v>
      </c>
      <c r="AI15" s="112">
        <f t="shared" ref="AI15" si="7">(AD15/AD12-1)*100</f>
        <v>16.601683721723393</v>
      </c>
    </row>
    <row r="16" spans="1:39" x14ac:dyDescent="0.2">
      <c r="A16" s="110">
        <v>41365</v>
      </c>
      <c r="B16" s="111">
        <v>156085</v>
      </c>
      <c r="C16" s="111">
        <v>97847</v>
      </c>
      <c r="D16" s="111">
        <v>90087</v>
      </c>
      <c r="E16" s="111">
        <v>7760</v>
      </c>
      <c r="F16" s="111">
        <v>58239</v>
      </c>
      <c r="G16" s="112">
        <f t="shared" si="0"/>
        <v>62.688278822436494</v>
      </c>
      <c r="H16" s="112">
        <f t="shared" si="2"/>
        <v>7.9307490265414362</v>
      </c>
      <c r="K16" s="113"/>
      <c r="L16" s="113"/>
      <c r="M16" s="113"/>
      <c r="N16" s="113"/>
      <c r="O16" s="113"/>
      <c r="P16" s="113"/>
      <c r="Q16" s="113"/>
      <c r="R16" s="113"/>
      <c r="S16" s="113"/>
      <c r="T16" s="114"/>
      <c r="U16" s="114"/>
      <c r="V16" s="114"/>
      <c r="W16" s="114"/>
      <c r="X16" s="114"/>
      <c r="Y16" s="114"/>
      <c r="Z16" s="114"/>
      <c r="AA16" s="114"/>
      <c r="AB16" s="112"/>
      <c r="AC16" s="110">
        <f t="shared" si="1"/>
        <v>41365</v>
      </c>
      <c r="AD16" s="112">
        <f t="shared" si="3"/>
        <v>7.9307490265414362</v>
      </c>
      <c r="AE16" s="112"/>
      <c r="AF16" s="112"/>
      <c r="AG16" s="112"/>
    </row>
    <row r="17" spans="1:39" x14ac:dyDescent="0.2">
      <c r="A17" s="110">
        <v>41395</v>
      </c>
      <c r="B17" s="111">
        <v>156277</v>
      </c>
      <c r="C17" s="111">
        <v>98065</v>
      </c>
      <c r="D17" s="111">
        <v>90545</v>
      </c>
      <c r="E17" s="111">
        <v>7520</v>
      </c>
      <c r="F17" s="111">
        <v>58212</v>
      </c>
      <c r="G17" s="112">
        <f t="shared" si="0"/>
        <v>62.750756669247551</v>
      </c>
      <c r="H17" s="112">
        <f t="shared" si="2"/>
        <v>7.6683832152143987</v>
      </c>
      <c r="K17" s="113"/>
      <c r="L17" s="113"/>
      <c r="M17" s="113"/>
      <c r="N17" s="113"/>
      <c r="O17" s="113"/>
      <c r="P17" s="113"/>
      <c r="Q17" s="113"/>
      <c r="R17" s="113"/>
      <c r="S17" s="113"/>
      <c r="T17" s="114"/>
      <c r="U17" s="114"/>
      <c r="V17" s="114"/>
      <c r="W17" s="114"/>
      <c r="X17" s="114"/>
      <c r="Y17" s="114"/>
      <c r="Z17" s="114"/>
      <c r="AA17" s="114"/>
      <c r="AB17" s="112"/>
      <c r="AC17" s="110">
        <f t="shared" si="1"/>
        <v>41395</v>
      </c>
      <c r="AD17" s="112">
        <f t="shared" si="3"/>
        <v>7.6683832152143987</v>
      </c>
      <c r="AE17" s="112"/>
      <c r="AF17" s="112"/>
      <c r="AG17" s="112"/>
    </row>
    <row r="18" spans="1:39" x14ac:dyDescent="0.2">
      <c r="A18" s="110">
        <v>41426</v>
      </c>
      <c r="B18" s="111">
        <v>156466</v>
      </c>
      <c r="C18" s="111">
        <v>98242</v>
      </c>
      <c r="D18" s="111">
        <v>90849</v>
      </c>
      <c r="E18" s="111">
        <v>7393</v>
      </c>
      <c r="F18" s="111">
        <v>58224</v>
      </c>
      <c r="G18" s="112">
        <f t="shared" si="0"/>
        <v>62.788081755780809</v>
      </c>
      <c r="H18" s="112">
        <f t="shared" si="2"/>
        <v>7.5252946804828884</v>
      </c>
      <c r="K18" s="113"/>
      <c r="L18" s="113"/>
      <c r="M18" s="113"/>
      <c r="N18" s="113"/>
      <c r="O18" s="113"/>
      <c r="P18" s="113"/>
      <c r="Q18" s="113"/>
      <c r="R18" s="113"/>
      <c r="S18" s="113"/>
      <c r="T18" s="114"/>
      <c r="U18" s="114"/>
      <c r="V18" s="114"/>
      <c r="W18" s="114"/>
      <c r="X18" s="114"/>
      <c r="Y18" s="114"/>
      <c r="Z18" s="114"/>
      <c r="AA18" s="114"/>
      <c r="AB18" s="112"/>
      <c r="AC18" s="110">
        <f t="shared" si="1"/>
        <v>41426</v>
      </c>
      <c r="AD18" s="112">
        <f t="shared" si="3"/>
        <v>7.5252946804828884</v>
      </c>
      <c r="AE18" s="112"/>
      <c r="AF18" s="112"/>
      <c r="AG18" s="112"/>
      <c r="AH18" s="112">
        <f t="shared" ref="AH18" si="8">AD18-AD15</f>
        <v>-0.53793184021334106</v>
      </c>
      <c r="AI18" s="112">
        <f t="shared" ref="AI18" si="9">(AD18/AD15-1)*100</f>
        <v>-6.671421655246923</v>
      </c>
    </row>
    <row r="19" spans="1:39" x14ac:dyDescent="0.2">
      <c r="A19" s="110">
        <v>41456</v>
      </c>
      <c r="B19" s="111">
        <v>156657</v>
      </c>
      <c r="C19" s="111">
        <v>98363</v>
      </c>
      <c r="D19" s="111">
        <v>91103</v>
      </c>
      <c r="E19" s="111">
        <v>7260</v>
      </c>
      <c r="F19" s="111">
        <v>58294</v>
      </c>
      <c r="G19" s="112">
        <f t="shared" si="0"/>
        <v>62.788767817588742</v>
      </c>
      <c r="H19" s="112">
        <f t="shared" si="2"/>
        <v>7.3808240903591793</v>
      </c>
      <c r="K19" s="113"/>
      <c r="L19" s="113"/>
      <c r="M19" s="113"/>
      <c r="N19" s="113"/>
      <c r="O19" s="113"/>
      <c r="P19" s="113"/>
      <c r="Q19" s="113"/>
      <c r="R19" s="113"/>
      <c r="S19" s="113"/>
      <c r="T19" s="114"/>
      <c r="U19" s="114"/>
      <c r="V19" s="114"/>
      <c r="W19" s="114"/>
      <c r="X19" s="114"/>
      <c r="Y19" s="114"/>
      <c r="Z19" s="114"/>
      <c r="AA19" s="114"/>
      <c r="AB19" s="112"/>
      <c r="AC19" s="110">
        <f t="shared" si="1"/>
        <v>41456</v>
      </c>
      <c r="AD19" s="112">
        <f t="shared" si="3"/>
        <v>7.3808240903591793</v>
      </c>
      <c r="AE19" s="112"/>
      <c r="AF19" s="112"/>
      <c r="AG19" s="112"/>
    </row>
    <row r="20" spans="1:39" x14ac:dyDescent="0.2">
      <c r="A20" s="110">
        <v>41487</v>
      </c>
      <c r="B20" s="111">
        <v>156842</v>
      </c>
      <c r="C20" s="111">
        <v>98311</v>
      </c>
      <c r="D20" s="111">
        <v>91232</v>
      </c>
      <c r="E20" s="111">
        <v>7079</v>
      </c>
      <c r="F20" s="111">
        <v>58531</v>
      </c>
      <c r="G20" s="112">
        <f t="shared" si="0"/>
        <v>62.681552135269889</v>
      </c>
      <c r="H20" s="112">
        <f t="shared" si="2"/>
        <v>7.2006184455452598</v>
      </c>
      <c r="K20" s="113"/>
      <c r="L20" s="113"/>
      <c r="M20" s="113"/>
      <c r="N20" s="113"/>
      <c r="O20" s="113"/>
      <c r="P20" s="113"/>
      <c r="Q20" s="113"/>
      <c r="R20" s="113"/>
      <c r="S20" s="113"/>
      <c r="T20" s="114"/>
      <c r="U20" s="114"/>
      <c r="V20" s="114"/>
      <c r="W20" s="114"/>
      <c r="X20" s="114"/>
      <c r="Y20" s="114"/>
      <c r="Z20" s="114"/>
      <c r="AA20" s="114"/>
      <c r="AB20" s="112"/>
      <c r="AC20" s="110">
        <f t="shared" si="1"/>
        <v>41487</v>
      </c>
      <c r="AD20" s="112">
        <f t="shared" si="3"/>
        <v>7.2006184455452598</v>
      </c>
      <c r="AE20" s="112"/>
      <c r="AF20" s="112"/>
      <c r="AG20" s="112"/>
    </row>
    <row r="21" spans="1:39" x14ac:dyDescent="0.2">
      <c r="A21" s="110">
        <v>41518</v>
      </c>
      <c r="B21" s="111">
        <v>157023</v>
      </c>
      <c r="C21" s="111">
        <v>98354</v>
      </c>
      <c r="D21" s="111">
        <v>91438</v>
      </c>
      <c r="E21" s="111">
        <v>6916</v>
      </c>
      <c r="F21" s="111">
        <v>58669</v>
      </c>
      <c r="G21" s="112">
        <f t="shared" si="0"/>
        <v>62.636683797914962</v>
      </c>
      <c r="H21" s="112">
        <f t="shared" si="2"/>
        <v>7.0317424812412304</v>
      </c>
      <c r="K21" s="113"/>
      <c r="L21" s="113"/>
      <c r="M21" s="113"/>
      <c r="N21" s="113"/>
      <c r="O21" s="113"/>
      <c r="P21" s="113"/>
      <c r="Q21" s="113"/>
      <c r="R21" s="113"/>
      <c r="S21" s="113"/>
      <c r="T21" s="114"/>
      <c r="U21" s="114"/>
      <c r="V21" s="114"/>
      <c r="W21" s="114"/>
      <c r="X21" s="114"/>
      <c r="Y21" s="114"/>
      <c r="Z21" s="114"/>
      <c r="AA21" s="114"/>
      <c r="AB21" s="112"/>
      <c r="AC21" s="110">
        <f t="shared" si="1"/>
        <v>41518</v>
      </c>
      <c r="AD21" s="112">
        <f t="shared" si="3"/>
        <v>7.0317424812412304</v>
      </c>
      <c r="AE21" s="112"/>
      <c r="AF21" s="112"/>
      <c r="AG21" s="112"/>
      <c r="AH21" s="112">
        <f t="shared" ref="AH21" si="10">AD21-AD18</f>
        <v>-0.49355219924165805</v>
      </c>
      <c r="AI21" s="112">
        <f t="shared" ref="AI21" si="11">(AD21/AD18-1)*100</f>
        <v>-6.5585763773703505</v>
      </c>
    </row>
    <row r="22" spans="1:39" x14ac:dyDescent="0.2">
      <c r="A22" s="110">
        <v>41548</v>
      </c>
      <c r="B22" s="111">
        <v>157204</v>
      </c>
      <c r="C22" s="111">
        <v>98283</v>
      </c>
      <c r="D22" s="111">
        <v>91606</v>
      </c>
      <c r="E22" s="111">
        <v>6677</v>
      </c>
      <c r="F22" s="111">
        <v>58922</v>
      </c>
      <c r="G22" s="112">
        <f t="shared" si="0"/>
        <v>62.519401541945498</v>
      </c>
      <c r="H22" s="112">
        <f t="shared" si="2"/>
        <v>6.7936469175747582</v>
      </c>
      <c r="K22" s="113"/>
      <c r="L22" s="113"/>
      <c r="M22" s="113"/>
      <c r="N22" s="113"/>
      <c r="O22" s="113"/>
      <c r="P22" s="113"/>
      <c r="Q22" s="113"/>
      <c r="R22" s="113"/>
      <c r="S22" s="113"/>
      <c r="T22" s="114"/>
      <c r="U22" s="114"/>
      <c r="V22" s="114"/>
      <c r="W22" s="114"/>
      <c r="X22" s="114"/>
      <c r="Y22" s="114"/>
      <c r="Z22" s="114"/>
      <c r="AA22" s="114"/>
      <c r="AB22" s="112"/>
      <c r="AC22" s="110">
        <f t="shared" si="1"/>
        <v>41548</v>
      </c>
      <c r="AD22" s="112">
        <f t="shared" si="3"/>
        <v>6.7936469175747582</v>
      </c>
      <c r="AE22" s="112"/>
      <c r="AF22" s="112"/>
      <c r="AG22" s="112"/>
    </row>
    <row r="23" spans="1:39" x14ac:dyDescent="0.2">
      <c r="A23" s="110">
        <v>41579</v>
      </c>
      <c r="B23" s="111">
        <v>157384</v>
      </c>
      <c r="C23" s="111">
        <v>98465</v>
      </c>
      <c r="D23" s="111">
        <v>92000</v>
      </c>
      <c r="E23" s="111">
        <v>6465</v>
      </c>
      <c r="F23" s="111">
        <v>58919</v>
      </c>
      <c r="G23" s="112">
        <f t="shared" si="0"/>
        <v>62.563538860366997</v>
      </c>
      <c r="H23" s="112">
        <f t="shared" si="2"/>
        <v>6.5657847966282432</v>
      </c>
      <c r="K23" s="113"/>
      <c r="L23" s="113"/>
      <c r="M23" s="113"/>
      <c r="N23" s="113"/>
      <c r="O23" s="113"/>
      <c r="P23" s="113"/>
      <c r="Q23" s="113"/>
      <c r="R23" s="113"/>
      <c r="S23" s="113"/>
      <c r="T23" s="114"/>
      <c r="U23" s="114"/>
      <c r="V23" s="114"/>
      <c r="W23" s="114"/>
      <c r="X23" s="114"/>
      <c r="Y23" s="114"/>
      <c r="Z23" s="114"/>
      <c r="AA23" s="114"/>
      <c r="AB23" s="112"/>
      <c r="AC23" s="110">
        <f t="shared" si="1"/>
        <v>41579</v>
      </c>
      <c r="AD23" s="112">
        <f t="shared" si="3"/>
        <v>6.5657847966282432</v>
      </c>
      <c r="AE23" s="112"/>
      <c r="AF23" s="112"/>
      <c r="AG23" s="112"/>
    </row>
    <row r="24" spans="1:39" x14ac:dyDescent="0.2">
      <c r="A24" s="110">
        <v>41609</v>
      </c>
      <c r="B24" s="111">
        <v>157565</v>
      </c>
      <c r="C24" s="111">
        <v>98321</v>
      </c>
      <c r="D24" s="111">
        <v>92170</v>
      </c>
      <c r="E24" s="111">
        <v>6151</v>
      </c>
      <c r="F24" s="111">
        <v>59244</v>
      </c>
      <c r="G24" s="112">
        <f t="shared" si="0"/>
        <v>62.400279249833403</v>
      </c>
      <c r="H24" s="112">
        <f t="shared" si="2"/>
        <v>6.2560388930137005</v>
      </c>
      <c r="K24" s="113"/>
      <c r="L24" s="113"/>
      <c r="M24" s="113"/>
      <c r="N24" s="113"/>
      <c r="O24" s="113"/>
      <c r="P24" s="113"/>
      <c r="Q24" s="113"/>
      <c r="R24" s="113"/>
      <c r="S24" s="113"/>
      <c r="T24" s="114"/>
      <c r="U24" s="114"/>
      <c r="V24" s="114"/>
      <c r="W24" s="114"/>
      <c r="X24" s="114"/>
      <c r="Y24" s="114"/>
      <c r="Z24" s="114"/>
      <c r="AA24" s="114"/>
      <c r="AB24" s="112"/>
      <c r="AC24" s="110">
        <f t="shared" si="1"/>
        <v>41609</v>
      </c>
      <c r="AD24" s="112">
        <f t="shared" si="3"/>
        <v>6.2560388930137005</v>
      </c>
      <c r="AE24" s="112">
        <f>AVERAGE(AD24,AD21,AD18,AD15)</f>
        <v>7.2190756438585124</v>
      </c>
      <c r="AF24" s="112"/>
      <c r="AG24" s="112"/>
      <c r="AH24" s="112">
        <f t="shared" ref="AH24" si="12">AD24-AD21</f>
        <v>-0.77570358822752983</v>
      </c>
      <c r="AI24" s="112">
        <f t="shared" ref="AI24" si="13">(AD24/AD21-1)*100</f>
        <v>-11.031456147560792</v>
      </c>
      <c r="AM24" s="112"/>
    </row>
    <row r="25" spans="1:39" x14ac:dyDescent="0.2">
      <c r="A25" s="110">
        <v>41640</v>
      </c>
      <c r="B25" s="111">
        <v>157744</v>
      </c>
      <c r="C25" s="111">
        <v>98233</v>
      </c>
      <c r="D25" s="111">
        <v>91870</v>
      </c>
      <c r="E25" s="111">
        <v>6363</v>
      </c>
      <c r="F25" s="111">
        <v>59511</v>
      </c>
      <c r="G25" s="112">
        <f t="shared" si="0"/>
        <v>62.27368394360483</v>
      </c>
      <c r="H25" s="112">
        <f t="shared" si="2"/>
        <v>6.4774566591674896</v>
      </c>
      <c r="K25" s="113"/>
      <c r="L25" s="113"/>
      <c r="M25" s="113"/>
      <c r="N25" s="113"/>
      <c r="O25" s="113"/>
      <c r="P25" s="113"/>
      <c r="Q25" s="113"/>
      <c r="R25" s="113"/>
      <c r="S25" s="113"/>
      <c r="T25" s="114"/>
      <c r="U25" s="114"/>
      <c r="V25" s="114"/>
      <c r="W25" s="114"/>
      <c r="X25" s="114"/>
      <c r="Y25" s="114"/>
      <c r="Z25" s="114"/>
      <c r="AA25" s="114"/>
      <c r="AB25" s="112"/>
      <c r="AC25" s="110">
        <f t="shared" si="1"/>
        <v>41640</v>
      </c>
      <c r="AD25" s="112">
        <f t="shared" si="3"/>
        <v>6.4774566591674896</v>
      </c>
      <c r="AE25" s="112"/>
      <c r="AF25" s="112"/>
      <c r="AG25" s="112"/>
    </row>
    <row r="26" spans="1:39" x14ac:dyDescent="0.2">
      <c r="A26" s="110">
        <v>41671</v>
      </c>
      <c r="B26" s="111">
        <v>157925</v>
      </c>
      <c r="C26" s="111">
        <v>98416</v>
      </c>
      <c r="D26" s="111">
        <v>91699</v>
      </c>
      <c r="E26" s="111">
        <v>6717</v>
      </c>
      <c r="F26" s="111">
        <v>59509</v>
      </c>
      <c r="G26" s="112">
        <f t="shared" si="0"/>
        <v>62.318189013772361</v>
      </c>
      <c r="H26" s="112">
        <f t="shared" si="2"/>
        <v>6.8251097382539427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4"/>
      <c r="U26" s="114"/>
      <c r="V26" s="114"/>
      <c r="W26" s="114"/>
      <c r="X26" s="114"/>
      <c r="Y26" s="114"/>
      <c r="Z26" s="114"/>
      <c r="AA26" s="114"/>
      <c r="AB26" s="112"/>
      <c r="AC26" s="110">
        <f t="shared" si="1"/>
        <v>41671</v>
      </c>
      <c r="AD26" s="112">
        <f t="shared" si="3"/>
        <v>6.8251097382539427</v>
      </c>
      <c r="AE26" s="112"/>
      <c r="AF26" s="112"/>
      <c r="AG26" s="112"/>
    </row>
    <row r="27" spans="1:39" x14ac:dyDescent="0.2">
      <c r="A27" s="110">
        <v>41699</v>
      </c>
      <c r="B27" s="111">
        <v>158107</v>
      </c>
      <c r="C27" s="111">
        <v>98597</v>
      </c>
      <c r="D27" s="111">
        <v>91456</v>
      </c>
      <c r="E27" s="111">
        <v>7141</v>
      </c>
      <c r="F27" s="111">
        <v>59509</v>
      </c>
      <c r="G27" s="112">
        <f t="shared" si="0"/>
        <v>62.360932786024662</v>
      </c>
      <c r="H27" s="112">
        <f t="shared" si="2"/>
        <v>7.2426138726330418</v>
      </c>
      <c r="K27" s="113"/>
      <c r="L27" s="113"/>
      <c r="M27" s="113"/>
      <c r="N27" s="113"/>
      <c r="O27" s="113"/>
      <c r="P27" s="113"/>
      <c r="Q27" s="113"/>
      <c r="R27" s="113"/>
      <c r="S27" s="113"/>
      <c r="T27" s="114"/>
      <c r="U27" s="114"/>
      <c r="V27" s="114"/>
      <c r="W27" s="114"/>
      <c r="X27" s="114"/>
      <c r="Y27" s="114"/>
      <c r="Z27" s="114"/>
      <c r="AA27" s="114"/>
      <c r="AB27" s="112"/>
      <c r="AC27" s="110">
        <f t="shared" si="1"/>
        <v>41699</v>
      </c>
      <c r="AD27" s="112">
        <f t="shared" si="3"/>
        <v>7.2426138726330418</v>
      </c>
      <c r="AE27" s="112"/>
      <c r="AF27" s="112"/>
      <c r="AG27" s="112"/>
      <c r="AH27" s="112">
        <f t="shared" ref="AH27" si="14">AD27-AD24</f>
        <v>0.98657497961934126</v>
      </c>
      <c r="AI27" s="112">
        <f>(AD27/AD24-1)*100</f>
        <v>15.769962375411041</v>
      </c>
    </row>
    <row r="28" spans="1:39" x14ac:dyDescent="0.2">
      <c r="A28" s="110">
        <v>41730</v>
      </c>
      <c r="B28" s="111">
        <v>158281</v>
      </c>
      <c r="C28" s="111">
        <v>98832</v>
      </c>
      <c r="D28" s="111">
        <v>91698</v>
      </c>
      <c r="E28" s="111">
        <v>7134</v>
      </c>
      <c r="F28" s="111">
        <v>59449</v>
      </c>
      <c r="G28" s="112">
        <f t="shared" si="0"/>
        <v>62.440848870047574</v>
      </c>
      <c r="H28" s="112">
        <f t="shared" si="2"/>
        <v>7.21830985915493</v>
      </c>
      <c r="K28" s="113"/>
      <c r="L28" s="113"/>
      <c r="M28" s="113"/>
      <c r="N28" s="113"/>
      <c r="O28" s="113"/>
      <c r="P28" s="113"/>
      <c r="Q28" s="113"/>
      <c r="R28" s="113"/>
      <c r="S28" s="113"/>
      <c r="T28" s="114"/>
      <c r="U28" s="114"/>
      <c r="V28" s="114"/>
      <c r="W28" s="114"/>
      <c r="X28" s="114"/>
      <c r="Y28" s="114"/>
      <c r="Z28" s="114"/>
      <c r="AA28" s="114"/>
      <c r="AB28" s="112"/>
      <c r="AC28" s="110">
        <f t="shared" si="1"/>
        <v>41730</v>
      </c>
      <c r="AD28" s="112">
        <f t="shared" si="3"/>
        <v>7.21830985915493</v>
      </c>
      <c r="AE28" s="112"/>
      <c r="AF28" s="112"/>
      <c r="AG28" s="112"/>
    </row>
    <row r="29" spans="1:39" x14ac:dyDescent="0.2">
      <c r="A29" s="110">
        <v>41760</v>
      </c>
      <c r="B29" s="111">
        <v>158462</v>
      </c>
      <c r="C29" s="111">
        <v>98864</v>
      </c>
      <c r="D29" s="111">
        <v>91892</v>
      </c>
      <c r="E29" s="111">
        <v>6972</v>
      </c>
      <c r="F29" s="111">
        <v>59598</v>
      </c>
      <c r="G29" s="112">
        <f t="shared" si="0"/>
        <v>62.389721194986812</v>
      </c>
      <c r="H29" s="112">
        <f t="shared" si="2"/>
        <v>7.0521119922317519</v>
      </c>
      <c r="K29" s="113"/>
      <c r="L29" s="113"/>
      <c r="M29" s="113"/>
      <c r="N29" s="113"/>
      <c r="O29" s="113"/>
      <c r="P29" s="113"/>
      <c r="Q29" s="113"/>
      <c r="R29" s="113"/>
      <c r="S29" s="113"/>
      <c r="T29" s="114"/>
      <c r="U29" s="114"/>
      <c r="V29" s="114"/>
      <c r="W29" s="114"/>
      <c r="X29" s="114"/>
      <c r="Y29" s="114"/>
      <c r="Z29" s="114"/>
      <c r="AA29" s="114"/>
      <c r="AB29" s="112"/>
      <c r="AC29" s="110">
        <f t="shared" si="1"/>
        <v>41760</v>
      </c>
      <c r="AD29" s="112">
        <f t="shared" si="3"/>
        <v>7.0521119922317519</v>
      </c>
      <c r="AE29" s="112"/>
      <c r="AF29" s="112"/>
      <c r="AG29" s="112"/>
    </row>
    <row r="30" spans="1:39" x14ac:dyDescent="0.2">
      <c r="A30" s="110">
        <v>41791</v>
      </c>
      <c r="B30" s="111">
        <v>158641</v>
      </c>
      <c r="C30" s="111">
        <v>98979</v>
      </c>
      <c r="D30" s="111">
        <v>92118</v>
      </c>
      <c r="E30" s="111">
        <v>6861</v>
      </c>
      <c r="F30" s="111">
        <v>59662</v>
      </c>
      <c r="G30" s="112">
        <f t="shared" si="0"/>
        <v>62.391815482756662</v>
      </c>
      <c r="H30" s="112">
        <f t="shared" si="2"/>
        <v>6.931773406480163</v>
      </c>
      <c r="K30" s="113"/>
      <c r="L30" s="113"/>
      <c r="M30" s="113"/>
      <c r="N30" s="113"/>
      <c r="O30" s="113"/>
      <c r="P30" s="113"/>
      <c r="Q30" s="113"/>
      <c r="R30" s="113"/>
      <c r="S30" s="113"/>
      <c r="T30" s="114"/>
      <c r="U30" s="114"/>
      <c r="V30" s="114"/>
      <c r="W30" s="114"/>
      <c r="X30" s="114"/>
      <c r="Y30" s="114"/>
      <c r="Z30" s="114"/>
      <c r="AA30" s="114"/>
      <c r="AB30" s="112"/>
      <c r="AC30" s="110">
        <f t="shared" si="1"/>
        <v>41791</v>
      </c>
      <c r="AD30" s="112">
        <f t="shared" si="3"/>
        <v>6.931773406480163</v>
      </c>
      <c r="AE30" s="112"/>
      <c r="AF30" s="112"/>
      <c r="AG30" s="112"/>
      <c r="AH30" s="112">
        <f t="shared" ref="AH30" si="15">AD30-AD27</f>
        <v>-0.31084046615287875</v>
      </c>
      <c r="AI30" s="112">
        <f t="shared" ref="AI30" si="16">(AD30/AD27-1)*100</f>
        <v>-4.2918271168289284</v>
      </c>
    </row>
    <row r="31" spans="1:39" x14ac:dyDescent="0.2">
      <c r="A31" s="110">
        <v>41821</v>
      </c>
      <c r="B31" s="111">
        <v>158822</v>
      </c>
      <c r="C31" s="111">
        <v>98970</v>
      </c>
      <c r="D31" s="111">
        <v>92056</v>
      </c>
      <c r="E31" s="111">
        <v>6914</v>
      </c>
      <c r="F31" s="111">
        <v>59852</v>
      </c>
      <c r="G31" s="112">
        <f t="shared" si="0"/>
        <v>62.315044515243478</v>
      </c>
      <c r="H31" s="112">
        <f t="shared" si="2"/>
        <v>6.98595534000202</v>
      </c>
      <c r="K31" s="113"/>
      <c r="L31" s="113"/>
      <c r="M31" s="113"/>
      <c r="N31" s="113"/>
      <c r="O31" s="113"/>
      <c r="P31" s="113"/>
      <c r="Q31" s="113"/>
      <c r="R31" s="113"/>
      <c r="S31" s="113"/>
      <c r="T31" s="114"/>
      <c r="U31" s="114"/>
      <c r="V31" s="114"/>
      <c r="W31" s="114"/>
      <c r="X31" s="114"/>
      <c r="Y31" s="114"/>
      <c r="Z31" s="114"/>
      <c r="AA31" s="114"/>
      <c r="AB31" s="112"/>
      <c r="AC31" s="110">
        <f t="shared" si="1"/>
        <v>41821</v>
      </c>
      <c r="AD31" s="112">
        <f t="shared" si="3"/>
        <v>6.98595534000202</v>
      </c>
      <c r="AE31" s="112"/>
      <c r="AF31" s="112"/>
      <c r="AG31" s="112"/>
    </row>
    <row r="32" spans="1:39" x14ac:dyDescent="0.2">
      <c r="A32" s="110">
        <v>41852</v>
      </c>
      <c r="B32" s="111">
        <v>158997</v>
      </c>
      <c r="C32" s="111">
        <v>98966</v>
      </c>
      <c r="D32" s="111">
        <v>92056</v>
      </c>
      <c r="E32" s="111">
        <v>6910</v>
      </c>
      <c r="F32" s="111">
        <v>60030</v>
      </c>
      <c r="G32" s="112">
        <f t="shared" si="0"/>
        <v>62.243941709592008</v>
      </c>
      <c r="H32" s="112">
        <f t="shared" si="2"/>
        <v>6.9821959056645717</v>
      </c>
      <c r="K32" s="113"/>
      <c r="L32" s="113"/>
      <c r="M32" s="113"/>
      <c r="N32" s="113"/>
      <c r="O32" s="113"/>
      <c r="P32" s="113"/>
      <c r="Q32" s="113"/>
      <c r="R32" s="113"/>
      <c r="S32" s="113"/>
      <c r="T32" s="114"/>
      <c r="U32" s="114"/>
      <c r="V32" s="114"/>
      <c r="W32" s="114"/>
      <c r="X32" s="114"/>
      <c r="Y32" s="114"/>
      <c r="Z32" s="114"/>
      <c r="AA32" s="114"/>
      <c r="AB32" s="112"/>
      <c r="AC32" s="110">
        <f t="shared" si="1"/>
        <v>41852</v>
      </c>
      <c r="AD32" s="112">
        <f t="shared" si="3"/>
        <v>6.9821959056645717</v>
      </c>
      <c r="AE32" s="112"/>
      <c r="AF32" s="112"/>
      <c r="AG32" s="112"/>
    </row>
    <row r="33" spans="1:39" x14ac:dyDescent="0.2">
      <c r="A33" s="110">
        <v>41883</v>
      </c>
      <c r="B33" s="111">
        <v>159168</v>
      </c>
      <c r="C33" s="111">
        <v>99219</v>
      </c>
      <c r="D33" s="111">
        <v>92407</v>
      </c>
      <c r="E33" s="111">
        <v>6812</v>
      </c>
      <c r="F33" s="111">
        <v>59949</v>
      </c>
      <c r="G33" s="112">
        <f t="shared" si="0"/>
        <v>62.336022316043426</v>
      </c>
      <c r="H33" s="112">
        <f t="shared" si="2"/>
        <v>6.8656204960743397</v>
      </c>
      <c r="K33" s="113"/>
      <c r="L33" s="113"/>
      <c r="M33" s="113"/>
      <c r="N33" s="113"/>
      <c r="O33" s="113"/>
      <c r="P33" s="113"/>
      <c r="Q33" s="113"/>
      <c r="R33" s="113"/>
      <c r="S33" s="113"/>
      <c r="T33" s="114"/>
      <c r="U33" s="114"/>
      <c r="V33" s="114"/>
      <c r="W33" s="114"/>
      <c r="X33" s="114"/>
      <c r="Y33" s="114"/>
      <c r="Z33" s="114"/>
      <c r="AA33" s="114"/>
      <c r="AB33" s="112"/>
      <c r="AC33" s="110">
        <f t="shared" si="1"/>
        <v>41883</v>
      </c>
      <c r="AD33" s="112">
        <f t="shared" si="3"/>
        <v>6.8656204960743397</v>
      </c>
      <c r="AE33" s="112"/>
      <c r="AF33" s="112"/>
      <c r="AG33" s="112"/>
      <c r="AH33" s="112">
        <f t="shared" ref="AH33" si="17">AD33-AD30</f>
        <v>-6.6152910405823384E-2</v>
      </c>
      <c r="AI33" s="112">
        <f t="shared" ref="AI33" si="18">(AD33/AD30-1)*100</f>
        <v>-0.95434323262760801</v>
      </c>
    </row>
    <row r="34" spans="1:39" x14ac:dyDescent="0.2">
      <c r="A34" s="110">
        <v>41913</v>
      </c>
      <c r="B34" s="111">
        <v>159339</v>
      </c>
      <c r="C34" s="111">
        <v>99355</v>
      </c>
      <c r="D34" s="111">
        <v>92692</v>
      </c>
      <c r="E34" s="111">
        <v>6663</v>
      </c>
      <c r="F34" s="111">
        <v>59983</v>
      </c>
      <c r="G34" s="112">
        <f t="shared" si="0"/>
        <v>62.354476932828753</v>
      </c>
      <c r="H34" s="112">
        <f t="shared" si="2"/>
        <v>6.7062553469880726</v>
      </c>
      <c r="K34" s="113"/>
      <c r="L34" s="113"/>
      <c r="M34" s="113"/>
      <c r="N34" s="113"/>
      <c r="O34" s="113"/>
      <c r="P34" s="113"/>
      <c r="Q34" s="113"/>
      <c r="R34" s="113"/>
      <c r="S34" s="113"/>
      <c r="T34" s="114"/>
      <c r="U34" s="114"/>
      <c r="V34" s="114"/>
      <c r="W34" s="114"/>
      <c r="X34" s="114"/>
      <c r="Y34" s="114"/>
      <c r="Z34" s="114"/>
      <c r="AA34" s="114"/>
      <c r="AB34" s="112"/>
      <c r="AC34" s="110">
        <f t="shared" si="1"/>
        <v>41913</v>
      </c>
      <c r="AD34" s="112">
        <f t="shared" si="3"/>
        <v>6.7062553469880726</v>
      </c>
      <c r="AE34" s="112"/>
      <c r="AF34" s="112"/>
      <c r="AG34" s="112"/>
    </row>
    <row r="35" spans="1:39" x14ac:dyDescent="0.2">
      <c r="A35" s="110">
        <v>41944</v>
      </c>
      <c r="B35" s="111">
        <v>159508</v>
      </c>
      <c r="C35" s="111">
        <v>99433</v>
      </c>
      <c r="D35" s="111">
        <v>92878</v>
      </c>
      <c r="E35" s="111">
        <v>6556</v>
      </c>
      <c r="F35" s="111">
        <v>60074</v>
      </c>
      <c r="G35" s="112">
        <f t="shared" si="0"/>
        <v>62.337312235123001</v>
      </c>
      <c r="H35" s="112">
        <f t="shared" si="2"/>
        <v>6.5933844900586323</v>
      </c>
      <c r="K35" s="113"/>
      <c r="L35" s="113"/>
      <c r="M35" s="113"/>
      <c r="N35" s="113"/>
      <c r="O35" s="113"/>
      <c r="P35" s="113"/>
      <c r="Q35" s="113"/>
      <c r="R35" s="113"/>
      <c r="S35" s="113"/>
      <c r="T35" s="114"/>
      <c r="U35" s="114"/>
      <c r="V35" s="114"/>
      <c r="W35" s="114"/>
      <c r="X35" s="114"/>
      <c r="Y35" s="114"/>
      <c r="Z35" s="114"/>
      <c r="AA35" s="114"/>
      <c r="AB35" s="112"/>
      <c r="AC35" s="110">
        <f t="shared" si="1"/>
        <v>41944</v>
      </c>
      <c r="AD35" s="112">
        <f t="shared" si="3"/>
        <v>6.5933844900586323</v>
      </c>
      <c r="AE35" s="112"/>
      <c r="AF35" s="112"/>
      <c r="AG35" s="112"/>
    </row>
    <row r="36" spans="1:39" x14ac:dyDescent="0.2">
      <c r="A36" s="110">
        <v>41974</v>
      </c>
      <c r="B36" s="111">
        <v>159679</v>
      </c>
      <c r="C36" s="111">
        <v>99516</v>
      </c>
      <c r="D36" s="111">
        <v>92962</v>
      </c>
      <c r="E36" s="111">
        <v>6555</v>
      </c>
      <c r="F36" s="111">
        <v>60162</v>
      </c>
      <c r="G36" s="112">
        <f t="shared" si="0"/>
        <v>62.322534585011184</v>
      </c>
      <c r="H36" s="112">
        <f t="shared" si="2"/>
        <v>6.5868805016278786</v>
      </c>
      <c r="K36" s="113"/>
      <c r="L36" s="113"/>
      <c r="M36" s="113"/>
      <c r="N36" s="113"/>
      <c r="O36" s="113"/>
      <c r="P36" s="113"/>
      <c r="Q36" s="113"/>
      <c r="R36" s="113"/>
      <c r="S36" s="113"/>
      <c r="T36" s="114"/>
      <c r="U36" s="114"/>
      <c r="V36" s="114"/>
      <c r="W36" s="114"/>
      <c r="X36" s="114"/>
      <c r="Y36" s="114"/>
      <c r="Z36" s="114"/>
      <c r="AA36" s="114"/>
      <c r="AB36" s="112"/>
      <c r="AC36" s="110">
        <f t="shared" si="1"/>
        <v>41974</v>
      </c>
      <c r="AD36" s="112">
        <f t="shared" si="3"/>
        <v>6.5868805016278786</v>
      </c>
      <c r="AE36" s="112">
        <f t="shared" ref="AE36" si="19">AVERAGE(AD36,AD33,AD30,AD27)</f>
        <v>6.9067220692038553</v>
      </c>
      <c r="AF36" s="112"/>
      <c r="AG36" s="112"/>
      <c r="AH36" s="112">
        <f t="shared" ref="AH36" si="20">AD36-AD33</f>
        <v>-0.27873999444646103</v>
      </c>
      <c r="AI36" s="112">
        <f t="shared" ref="AI36" si="21">(AD36/AD33-1)*100</f>
        <v>-4.0599388592165937</v>
      </c>
      <c r="AM36" s="112"/>
    </row>
    <row r="37" spans="1:39" x14ac:dyDescent="0.2">
      <c r="A37" s="110">
        <v>42005</v>
      </c>
      <c r="B37" s="111">
        <v>159848</v>
      </c>
      <c r="C37" s="111">
        <v>99616</v>
      </c>
      <c r="D37" s="111">
        <v>92743</v>
      </c>
      <c r="E37" s="111">
        <v>6873</v>
      </c>
      <c r="F37" s="111">
        <v>60232</v>
      </c>
      <c r="G37" s="112">
        <f t="shared" si="0"/>
        <v>62.319203243080921</v>
      </c>
      <c r="H37" s="112">
        <f t="shared" si="2"/>
        <v>6.8994940571795702</v>
      </c>
      <c r="K37" s="113"/>
      <c r="L37" s="113"/>
      <c r="M37" s="113"/>
      <c r="N37" s="113"/>
      <c r="O37" s="113"/>
      <c r="P37" s="113"/>
      <c r="Q37" s="113"/>
      <c r="R37" s="113"/>
      <c r="S37" s="113"/>
      <c r="T37" s="114"/>
      <c r="U37" s="114"/>
      <c r="V37" s="114"/>
      <c r="W37" s="114"/>
      <c r="X37" s="114"/>
      <c r="Y37" s="114"/>
      <c r="Z37" s="114"/>
      <c r="AA37" s="114"/>
      <c r="AB37" s="112"/>
      <c r="AC37" s="110">
        <f t="shared" si="1"/>
        <v>42005</v>
      </c>
      <c r="AD37" s="112">
        <f t="shared" si="3"/>
        <v>6.8994940571795702</v>
      </c>
      <c r="AE37" s="112"/>
      <c r="AF37" s="112"/>
      <c r="AG37" s="112"/>
    </row>
    <row r="38" spans="1:39" x14ac:dyDescent="0.2">
      <c r="A38" s="110">
        <v>42036</v>
      </c>
      <c r="B38" s="111">
        <v>160018</v>
      </c>
      <c r="C38" s="111">
        <v>99818</v>
      </c>
      <c r="D38" s="111">
        <v>92308</v>
      </c>
      <c r="E38" s="111">
        <v>7510</v>
      </c>
      <c r="F38" s="111">
        <v>60201</v>
      </c>
      <c r="G38" s="112">
        <f t="shared" si="0"/>
        <v>62.379232336362158</v>
      </c>
      <c r="H38" s="112">
        <f t="shared" si="2"/>
        <v>7.5236931214810951</v>
      </c>
      <c r="K38" s="113"/>
      <c r="L38" s="113"/>
      <c r="M38" s="113"/>
      <c r="N38" s="113"/>
      <c r="O38" s="113"/>
      <c r="P38" s="113"/>
      <c r="Q38" s="113"/>
      <c r="R38" s="113"/>
      <c r="S38" s="113"/>
      <c r="T38" s="114"/>
      <c r="U38" s="114"/>
      <c r="V38" s="114"/>
      <c r="W38" s="114"/>
      <c r="X38" s="114"/>
      <c r="Y38" s="114"/>
      <c r="Z38" s="114"/>
      <c r="AA38" s="114"/>
      <c r="AB38" s="112"/>
      <c r="AC38" s="110">
        <f t="shared" si="1"/>
        <v>42036</v>
      </c>
      <c r="AD38" s="112">
        <f t="shared" si="3"/>
        <v>7.5236931214810951</v>
      </c>
      <c r="AE38" s="112"/>
      <c r="AF38" s="112"/>
      <c r="AG38" s="112"/>
    </row>
    <row r="39" spans="1:39" x14ac:dyDescent="0.2">
      <c r="A39" s="110">
        <v>42064</v>
      </c>
      <c r="B39" s="111">
        <v>160189</v>
      </c>
      <c r="C39" s="111">
        <v>100007</v>
      </c>
      <c r="D39" s="111">
        <v>91962</v>
      </c>
      <c r="E39" s="111">
        <v>8045</v>
      </c>
      <c r="F39" s="111">
        <v>60182</v>
      </c>
      <c r="G39" s="112">
        <f t="shared" si="0"/>
        <v>62.430628819706726</v>
      </c>
      <c r="H39" s="112">
        <f t="shared" si="2"/>
        <v>8.0444368894177405</v>
      </c>
      <c r="K39" s="113"/>
      <c r="L39" s="113"/>
      <c r="M39" s="113"/>
      <c r="N39" s="113"/>
      <c r="O39" s="113"/>
      <c r="P39" s="113"/>
      <c r="Q39" s="113"/>
      <c r="R39" s="113"/>
      <c r="S39" s="113"/>
      <c r="T39" s="114"/>
      <c r="U39" s="114"/>
      <c r="V39" s="114"/>
      <c r="W39" s="114"/>
      <c r="X39" s="114"/>
      <c r="Y39" s="114"/>
      <c r="Z39" s="114"/>
      <c r="AA39" s="114"/>
      <c r="AB39" s="112"/>
      <c r="AC39" s="110">
        <f t="shared" si="1"/>
        <v>42064</v>
      </c>
      <c r="AD39" s="112">
        <f t="shared" si="3"/>
        <v>8.0444368894177405</v>
      </c>
      <c r="AE39" s="112"/>
      <c r="AF39" s="112"/>
      <c r="AG39" s="112"/>
      <c r="AH39" s="112">
        <f t="shared" ref="AH39" si="22">AD39-AD36</f>
        <v>1.4575563877898619</v>
      </c>
      <c r="AI39" s="112">
        <f t="shared" ref="AI39" si="23">(AD39/AD36-1)*100</f>
        <v>22.128174139938352</v>
      </c>
    </row>
    <row r="40" spans="1:39" x14ac:dyDescent="0.2">
      <c r="A40" s="110">
        <v>42095</v>
      </c>
      <c r="B40" s="111">
        <v>160354</v>
      </c>
      <c r="C40" s="111">
        <v>100327</v>
      </c>
      <c r="D40" s="111">
        <v>92174</v>
      </c>
      <c r="E40" s="111">
        <v>8153</v>
      </c>
      <c r="F40" s="111">
        <v>60028</v>
      </c>
      <c r="G40" s="112">
        <f t="shared" si="0"/>
        <v>62.565947840403112</v>
      </c>
      <c r="H40" s="112">
        <f t="shared" si="2"/>
        <v>8.1264265850668309</v>
      </c>
      <c r="K40" s="113"/>
      <c r="L40" s="113"/>
      <c r="M40" s="113"/>
      <c r="N40" s="113"/>
      <c r="O40" s="113"/>
      <c r="P40" s="113"/>
      <c r="Q40" s="113"/>
      <c r="R40" s="113"/>
      <c r="S40" s="113"/>
      <c r="T40" s="114"/>
      <c r="U40" s="114"/>
      <c r="V40" s="114"/>
      <c r="W40" s="114"/>
      <c r="X40" s="114"/>
      <c r="Y40" s="114"/>
      <c r="Z40" s="114"/>
      <c r="AA40" s="114"/>
      <c r="AB40" s="112"/>
      <c r="AC40" s="110">
        <f t="shared" si="1"/>
        <v>42095</v>
      </c>
      <c r="AD40" s="112">
        <f t="shared" si="3"/>
        <v>8.1264265850668309</v>
      </c>
      <c r="AE40" s="112"/>
      <c r="AF40" s="112"/>
      <c r="AG40" s="112"/>
    </row>
    <row r="41" spans="1:39" x14ac:dyDescent="0.2">
      <c r="A41" s="110">
        <v>42125</v>
      </c>
      <c r="B41" s="111">
        <v>160525</v>
      </c>
      <c r="C41" s="111">
        <v>100438</v>
      </c>
      <c r="D41" s="111">
        <v>92147</v>
      </c>
      <c r="E41" s="111">
        <v>8290</v>
      </c>
      <c r="F41" s="111">
        <v>60087</v>
      </c>
      <c r="G41" s="112">
        <f t="shared" si="0"/>
        <v>62.568447282354775</v>
      </c>
      <c r="H41" s="112">
        <f t="shared" si="2"/>
        <v>8.2538481451243548</v>
      </c>
      <c r="K41" s="113"/>
      <c r="L41" s="113"/>
      <c r="M41" s="113"/>
      <c r="N41" s="113"/>
      <c r="O41" s="113"/>
      <c r="P41" s="113"/>
      <c r="Q41" s="113"/>
      <c r="R41" s="113"/>
      <c r="S41" s="113"/>
      <c r="T41" s="114"/>
      <c r="U41" s="114"/>
      <c r="V41" s="114"/>
      <c r="W41" s="114"/>
      <c r="X41" s="114"/>
      <c r="Y41" s="114"/>
      <c r="Z41" s="114"/>
      <c r="AA41" s="114"/>
      <c r="AB41" s="112"/>
      <c r="AC41" s="110">
        <f t="shared" si="1"/>
        <v>42125</v>
      </c>
      <c r="AD41" s="112">
        <f t="shared" si="3"/>
        <v>8.2538481451243548</v>
      </c>
      <c r="AE41" s="112"/>
      <c r="AF41" s="112"/>
      <c r="AG41" s="112"/>
    </row>
    <row r="42" spans="1:39" x14ac:dyDescent="0.2">
      <c r="A42" s="110">
        <v>42156</v>
      </c>
      <c r="B42" s="111">
        <v>160693</v>
      </c>
      <c r="C42" s="111">
        <v>100746</v>
      </c>
      <c r="D42" s="111">
        <v>92249</v>
      </c>
      <c r="E42" s="111">
        <v>8498</v>
      </c>
      <c r="F42" s="111">
        <v>59947</v>
      </c>
      <c r="G42" s="112">
        <f t="shared" si="0"/>
        <v>62.694703565183296</v>
      </c>
      <c r="H42" s="112">
        <f t="shared" si="2"/>
        <v>8.4350743453834394</v>
      </c>
      <c r="K42" s="113"/>
      <c r="L42" s="113"/>
      <c r="M42" s="113"/>
      <c r="N42" s="113"/>
      <c r="O42" s="113"/>
      <c r="P42" s="113"/>
      <c r="Q42" s="113"/>
      <c r="R42" s="113"/>
      <c r="S42" s="113"/>
      <c r="T42" s="114"/>
      <c r="U42" s="114"/>
      <c r="V42" s="114"/>
      <c r="W42" s="114"/>
      <c r="X42" s="114"/>
      <c r="Y42" s="114"/>
      <c r="Z42" s="114"/>
      <c r="AA42" s="114"/>
      <c r="AB42" s="112"/>
      <c r="AC42" s="110">
        <f t="shared" si="1"/>
        <v>42156</v>
      </c>
      <c r="AD42" s="112">
        <f t="shared" si="3"/>
        <v>8.4350743453834394</v>
      </c>
      <c r="AE42" s="112"/>
      <c r="AF42" s="112"/>
      <c r="AG42" s="112"/>
      <c r="AH42" s="112">
        <f t="shared" ref="AH42" si="24">AD42-AD39</f>
        <v>0.39063745596569888</v>
      </c>
      <c r="AI42" s="112">
        <f t="shared" ref="AI42" si="25">(AD42/AD39-1)*100</f>
        <v>4.8559950352718095</v>
      </c>
    </row>
    <row r="43" spans="1:39" x14ac:dyDescent="0.2">
      <c r="A43" s="110">
        <v>42186</v>
      </c>
      <c r="B43" s="111">
        <v>160864</v>
      </c>
      <c r="C43" s="111">
        <v>100992</v>
      </c>
      <c r="D43" s="111">
        <v>92231</v>
      </c>
      <c r="E43" s="111">
        <v>8762</v>
      </c>
      <c r="F43" s="111">
        <v>59872</v>
      </c>
      <c r="G43" s="112">
        <f t="shared" si="0"/>
        <v>62.780982693455343</v>
      </c>
      <c r="H43" s="112">
        <f t="shared" si="2"/>
        <v>8.6759347275031686</v>
      </c>
      <c r="K43" s="113"/>
      <c r="L43" s="113"/>
      <c r="M43" s="113"/>
      <c r="N43" s="113"/>
      <c r="O43" s="113"/>
      <c r="P43" s="113"/>
      <c r="Q43" s="113"/>
      <c r="R43" s="113"/>
      <c r="S43" s="113"/>
      <c r="T43" s="114"/>
      <c r="U43" s="114"/>
      <c r="V43" s="114"/>
      <c r="W43" s="114"/>
      <c r="X43" s="114"/>
      <c r="Y43" s="114"/>
      <c r="Z43" s="114"/>
      <c r="AA43" s="114"/>
      <c r="AB43" s="112"/>
      <c r="AC43" s="110">
        <f t="shared" si="1"/>
        <v>42186</v>
      </c>
      <c r="AD43" s="112">
        <f t="shared" si="3"/>
        <v>8.6759347275031686</v>
      </c>
      <c r="AE43" s="112"/>
      <c r="AF43" s="112"/>
      <c r="AG43" s="112"/>
    </row>
    <row r="44" spans="1:39" x14ac:dyDescent="0.2">
      <c r="A44" s="110">
        <v>42217</v>
      </c>
      <c r="B44" s="111">
        <v>161029</v>
      </c>
      <c r="C44" s="111">
        <v>101126</v>
      </c>
      <c r="D44" s="111">
        <v>92173</v>
      </c>
      <c r="E44" s="111">
        <v>8953</v>
      </c>
      <c r="F44" s="111">
        <v>59903</v>
      </c>
      <c r="G44" s="112">
        <f t="shared" si="0"/>
        <v>62.79986834669532</v>
      </c>
      <c r="H44" s="112">
        <f t="shared" si="2"/>
        <v>8.8533117101437817</v>
      </c>
      <c r="K44" s="113"/>
      <c r="L44" s="113"/>
      <c r="M44" s="113"/>
      <c r="N44" s="113"/>
      <c r="O44" s="113"/>
      <c r="P44" s="113"/>
      <c r="Q44" s="113"/>
      <c r="R44" s="113"/>
      <c r="S44" s="113"/>
      <c r="T44" s="114"/>
      <c r="U44" s="114"/>
      <c r="V44" s="114"/>
      <c r="W44" s="114"/>
      <c r="X44" s="114"/>
      <c r="Y44" s="114"/>
      <c r="Z44" s="114"/>
      <c r="AA44" s="114"/>
      <c r="AB44" s="112"/>
      <c r="AC44" s="110">
        <f t="shared" si="1"/>
        <v>42217</v>
      </c>
      <c r="AD44" s="112">
        <f t="shared" si="3"/>
        <v>8.8533117101437817</v>
      </c>
      <c r="AE44" s="112"/>
      <c r="AF44" s="112"/>
      <c r="AG44" s="112"/>
    </row>
    <row r="45" spans="1:39" x14ac:dyDescent="0.2">
      <c r="A45" s="110">
        <v>42248</v>
      </c>
      <c r="B45" s="111">
        <v>161192</v>
      </c>
      <c r="C45" s="111">
        <v>101354</v>
      </c>
      <c r="D45" s="111">
        <v>92201</v>
      </c>
      <c r="E45" s="111">
        <v>9153</v>
      </c>
      <c r="F45" s="111">
        <v>59838</v>
      </c>
      <c r="G45" s="112">
        <f t="shared" si="0"/>
        <v>62.877810313166904</v>
      </c>
      <c r="H45" s="112">
        <f t="shared" si="2"/>
        <v>9.0307239970795425</v>
      </c>
      <c r="K45" s="113"/>
      <c r="L45" s="113"/>
      <c r="M45" s="113"/>
      <c r="N45" s="113"/>
      <c r="O45" s="113"/>
      <c r="P45" s="113"/>
      <c r="Q45" s="113"/>
      <c r="R45" s="113"/>
      <c r="S45" s="113"/>
      <c r="T45" s="114"/>
      <c r="U45" s="114"/>
      <c r="V45" s="114"/>
      <c r="W45" s="114"/>
      <c r="X45" s="114"/>
      <c r="Y45" s="114"/>
      <c r="Z45" s="114"/>
      <c r="AA45" s="114"/>
      <c r="AB45" s="112"/>
      <c r="AC45" s="110">
        <f t="shared" si="1"/>
        <v>42248</v>
      </c>
      <c r="AD45" s="112">
        <f t="shared" si="3"/>
        <v>9.0307239970795425</v>
      </c>
      <c r="AE45" s="112"/>
      <c r="AF45" s="112"/>
      <c r="AG45" s="112"/>
      <c r="AH45" s="112">
        <f t="shared" ref="AH45" si="26">AD45-AD42</f>
        <v>0.59564965169610318</v>
      </c>
      <c r="AI45" s="112">
        <f t="shared" ref="AI45" si="27">(AD45/AD42-1)*100</f>
        <v>7.061581526215055</v>
      </c>
    </row>
    <row r="46" spans="1:39" x14ac:dyDescent="0.2">
      <c r="A46" s="110">
        <v>42278</v>
      </c>
      <c r="B46" s="111">
        <v>161355</v>
      </c>
      <c r="C46" s="111">
        <v>101640</v>
      </c>
      <c r="D46" s="111">
        <v>92386</v>
      </c>
      <c r="E46" s="111">
        <v>9254</v>
      </c>
      <c r="F46" s="111">
        <v>59715</v>
      </c>
      <c r="G46" s="112">
        <f t="shared" si="0"/>
        <v>62.991540392302689</v>
      </c>
      <c r="H46" s="112">
        <f t="shared" si="2"/>
        <v>9.1046831955922869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4"/>
      <c r="U46" s="114"/>
      <c r="V46" s="114"/>
      <c r="W46" s="114"/>
      <c r="X46" s="114"/>
      <c r="Y46" s="114"/>
      <c r="Z46" s="114"/>
      <c r="AA46" s="114"/>
      <c r="AB46" s="112"/>
      <c r="AC46" s="110">
        <f t="shared" si="1"/>
        <v>42278</v>
      </c>
      <c r="AD46" s="112">
        <f t="shared" si="3"/>
        <v>9.1046831955922869</v>
      </c>
      <c r="AE46" s="112"/>
      <c r="AF46" s="112"/>
      <c r="AG46" s="112"/>
    </row>
    <row r="47" spans="1:39" x14ac:dyDescent="0.2">
      <c r="A47" s="110">
        <v>42309</v>
      </c>
      <c r="B47" s="111">
        <v>161516</v>
      </c>
      <c r="C47" s="111">
        <v>101574</v>
      </c>
      <c r="D47" s="111">
        <v>92287</v>
      </c>
      <c r="E47" s="111">
        <v>9287</v>
      </c>
      <c r="F47" s="111">
        <v>59943</v>
      </c>
      <c r="G47" s="112">
        <f t="shared" si="0"/>
        <v>62.887887268134421</v>
      </c>
      <c r="H47" s="112">
        <f t="shared" si="2"/>
        <v>9.1430877980585574</v>
      </c>
      <c r="K47" s="113"/>
      <c r="L47" s="113"/>
      <c r="M47" s="113"/>
      <c r="N47" s="113"/>
      <c r="O47" s="113"/>
      <c r="P47" s="113"/>
      <c r="Q47" s="113"/>
      <c r="R47" s="113"/>
      <c r="S47" s="113"/>
      <c r="T47" s="114"/>
      <c r="U47" s="114"/>
      <c r="V47" s="114"/>
      <c r="W47" s="114"/>
      <c r="X47" s="114"/>
      <c r="Y47" s="114"/>
      <c r="Z47" s="114"/>
      <c r="AA47" s="114"/>
      <c r="AB47" s="112"/>
      <c r="AC47" s="110">
        <f t="shared" si="1"/>
        <v>42309</v>
      </c>
      <c r="AD47" s="112">
        <f t="shared" si="3"/>
        <v>9.1430877980585574</v>
      </c>
      <c r="AE47" s="112"/>
      <c r="AF47" s="112"/>
      <c r="AG47" s="112"/>
    </row>
    <row r="48" spans="1:39" x14ac:dyDescent="0.2">
      <c r="A48" s="110">
        <v>42339</v>
      </c>
      <c r="B48" s="111">
        <v>161679</v>
      </c>
      <c r="C48" s="111">
        <v>101588</v>
      </c>
      <c r="D48" s="111">
        <v>92366</v>
      </c>
      <c r="E48" s="111">
        <v>9222</v>
      </c>
      <c r="F48" s="111">
        <v>60092</v>
      </c>
      <c r="G48" s="112">
        <f t="shared" si="0"/>
        <v>62.833144687931018</v>
      </c>
      <c r="H48" s="112">
        <f t="shared" si="2"/>
        <v>9.0778438398236023</v>
      </c>
      <c r="K48" s="113"/>
      <c r="L48" s="113"/>
      <c r="M48" s="113"/>
      <c r="N48" s="113"/>
      <c r="O48" s="113"/>
      <c r="P48" s="113"/>
      <c r="Q48" s="113"/>
      <c r="R48" s="113"/>
      <c r="S48" s="113"/>
      <c r="T48" s="114"/>
      <c r="U48" s="114"/>
      <c r="V48" s="114"/>
      <c r="W48" s="114"/>
      <c r="X48" s="114"/>
      <c r="Y48" s="114"/>
      <c r="Z48" s="114"/>
      <c r="AA48" s="114"/>
      <c r="AB48" s="112"/>
      <c r="AC48" s="110">
        <f t="shared" si="1"/>
        <v>42339</v>
      </c>
      <c r="AD48" s="112">
        <f t="shared" si="3"/>
        <v>9.0778438398236023</v>
      </c>
      <c r="AE48" s="112">
        <f t="shared" ref="AE48" si="28">AVERAGE(AD48,AD45,AD42,AD39)</f>
        <v>8.6470197679260803</v>
      </c>
      <c r="AF48" s="112"/>
      <c r="AG48" s="112"/>
      <c r="AH48" s="112">
        <f t="shared" ref="AH48" si="29">AD48-AD45</f>
        <v>4.7119842744059781E-2</v>
      </c>
      <c r="AI48" s="112">
        <f t="shared" ref="AI48" si="30">(AD48/AD45-1)*100</f>
        <v>0.52177259275445476</v>
      </c>
      <c r="AM48" s="112"/>
    </row>
    <row r="49" spans="1:39" x14ac:dyDescent="0.2">
      <c r="A49" s="110">
        <v>42370</v>
      </c>
      <c r="B49" s="111">
        <v>161840</v>
      </c>
      <c r="C49" s="111">
        <v>101575</v>
      </c>
      <c r="D49" s="111">
        <v>91803</v>
      </c>
      <c r="E49" s="111">
        <v>9772</v>
      </c>
      <c r="F49" s="111">
        <v>60265</v>
      </c>
      <c r="G49" s="112">
        <f t="shared" si="0"/>
        <v>62.762605042016808</v>
      </c>
      <c r="H49" s="112">
        <f t="shared" si="2"/>
        <v>9.6204774796948076</v>
      </c>
      <c r="K49" s="113"/>
      <c r="L49" s="113"/>
      <c r="M49" s="113"/>
      <c r="N49" s="113"/>
      <c r="O49" s="113"/>
      <c r="P49" s="113"/>
      <c r="Q49" s="113"/>
      <c r="R49" s="113"/>
      <c r="S49" s="113"/>
      <c r="T49" s="114"/>
      <c r="U49" s="114"/>
      <c r="V49" s="114"/>
      <c r="W49" s="114"/>
      <c r="X49" s="114"/>
      <c r="Y49" s="114"/>
      <c r="Z49" s="114"/>
      <c r="AA49" s="114"/>
      <c r="AB49" s="112"/>
      <c r="AC49" s="110">
        <f t="shared" si="1"/>
        <v>42370</v>
      </c>
      <c r="AD49" s="112">
        <f t="shared" si="3"/>
        <v>9.6204774796948076</v>
      </c>
      <c r="AE49" s="112"/>
      <c r="AF49" s="112"/>
      <c r="AG49" s="112"/>
    </row>
    <row r="50" spans="1:39" x14ac:dyDescent="0.2">
      <c r="A50" s="110">
        <v>42401</v>
      </c>
      <c r="B50" s="111">
        <v>162003</v>
      </c>
      <c r="C50" s="111">
        <v>101844</v>
      </c>
      <c r="D50" s="111">
        <v>91304</v>
      </c>
      <c r="E50" s="111">
        <v>10541</v>
      </c>
      <c r="F50" s="111">
        <v>60159</v>
      </c>
      <c r="G50" s="112">
        <f t="shared" si="0"/>
        <v>62.865502490694617</v>
      </c>
      <c r="H50" s="112">
        <f t="shared" si="2"/>
        <v>10.350143356506029</v>
      </c>
      <c r="K50" s="113"/>
      <c r="L50" s="113"/>
      <c r="M50" s="113"/>
      <c r="N50" s="113"/>
      <c r="O50" s="113"/>
      <c r="P50" s="113"/>
      <c r="Q50" s="113"/>
      <c r="R50" s="113"/>
      <c r="S50" s="113"/>
      <c r="T50" s="114"/>
      <c r="U50" s="114"/>
      <c r="V50" s="114"/>
      <c r="W50" s="114"/>
      <c r="X50" s="114"/>
      <c r="Y50" s="114"/>
      <c r="Z50" s="114"/>
      <c r="AA50" s="114"/>
      <c r="AB50" s="112"/>
      <c r="AC50" s="110">
        <f t="shared" si="1"/>
        <v>42401</v>
      </c>
      <c r="AD50" s="112">
        <f t="shared" si="3"/>
        <v>10.350143356506029</v>
      </c>
      <c r="AE50" s="112"/>
      <c r="AF50" s="112"/>
      <c r="AG50" s="112"/>
    </row>
    <row r="51" spans="1:39" x14ac:dyDescent="0.2">
      <c r="A51" s="110">
        <v>42430</v>
      </c>
      <c r="B51" s="111">
        <v>162166</v>
      </c>
      <c r="C51" s="111">
        <v>101990</v>
      </c>
      <c r="D51" s="111">
        <v>90708</v>
      </c>
      <c r="E51" s="111">
        <v>11281</v>
      </c>
      <c r="F51" s="111">
        <v>60176</v>
      </c>
      <c r="G51" s="112">
        <f t="shared" si="0"/>
        <v>62.892344881171148</v>
      </c>
      <c r="H51" s="112">
        <f t="shared" si="2"/>
        <v>11.060888322384548</v>
      </c>
      <c r="K51" s="113"/>
      <c r="L51" s="113"/>
      <c r="M51" s="113"/>
      <c r="N51" s="113"/>
      <c r="O51" s="113"/>
      <c r="P51" s="113"/>
      <c r="Q51" s="113"/>
      <c r="R51" s="113"/>
      <c r="S51" s="113"/>
      <c r="T51" s="114"/>
      <c r="U51" s="114"/>
      <c r="V51" s="114"/>
      <c r="W51" s="114"/>
      <c r="X51" s="114"/>
      <c r="Y51" s="114"/>
      <c r="Z51" s="114"/>
      <c r="AA51" s="114"/>
      <c r="AB51" s="112"/>
      <c r="AC51" s="110">
        <f t="shared" si="1"/>
        <v>42430</v>
      </c>
      <c r="AD51" s="112">
        <f t="shared" si="3"/>
        <v>11.060888322384548</v>
      </c>
      <c r="AE51" s="112"/>
      <c r="AF51" s="112"/>
      <c r="AG51" s="112"/>
      <c r="AH51" s="112">
        <f t="shared" ref="AH51" si="31">AD51-AD48</f>
        <v>1.9830444825609455</v>
      </c>
      <c r="AI51" s="112">
        <f t="shared" ref="AI51" si="32">(AD51/AD48-1)*100</f>
        <v>21.844884286966092</v>
      </c>
    </row>
    <row r="52" spans="1:39" x14ac:dyDescent="0.2">
      <c r="A52" s="110">
        <v>42461</v>
      </c>
      <c r="B52" s="111">
        <v>162325</v>
      </c>
      <c r="C52" s="111">
        <v>102127</v>
      </c>
      <c r="D52" s="111">
        <v>90549</v>
      </c>
      <c r="E52" s="111">
        <v>11578</v>
      </c>
      <c r="F52" s="111">
        <v>60198</v>
      </c>
      <c r="G52" s="112">
        <f t="shared" si="0"/>
        <v>62.915139380871707</v>
      </c>
      <c r="H52" s="112">
        <f t="shared" si="2"/>
        <v>11.336864883919041</v>
      </c>
      <c r="K52" s="113"/>
      <c r="L52" s="113"/>
      <c r="M52" s="113"/>
      <c r="N52" s="113"/>
      <c r="O52" s="113"/>
      <c r="P52" s="113"/>
      <c r="Q52" s="113"/>
      <c r="R52" s="113"/>
      <c r="S52" s="113"/>
      <c r="T52" s="114"/>
      <c r="U52" s="114"/>
      <c r="V52" s="114"/>
      <c r="W52" s="114"/>
      <c r="X52" s="114"/>
      <c r="Y52" s="114"/>
      <c r="Z52" s="114"/>
      <c r="AA52" s="114"/>
      <c r="AB52" s="112"/>
      <c r="AC52" s="110">
        <f t="shared" si="1"/>
        <v>42461</v>
      </c>
      <c r="AD52" s="112">
        <f t="shared" si="3"/>
        <v>11.336864883919041</v>
      </c>
      <c r="AE52" s="112"/>
      <c r="AF52" s="112"/>
      <c r="AG52" s="112"/>
    </row>
    <row r="53" spans="1:39" x14ac:dyDescent="0.2">
      <c r="A53" s="110">
        <v>42491</v>
      </c>
      <c r="B53" s="111">
        <v>162487</v>
      </c>
      <c r="C53" s="111">
        <v>102287</v>
      </c>
      <c r="D53" s="111">
        <v>90708</v>
      </c>
      <c r="E53" s="111">
        <v>11578</v>
      </c>
      <c r="F53" s="111">
        <v>60201</v>
      </c>
      <c r="G53" s="112">
        <f t="shared" si="0"/>
        <v>62.950882224424106</v>
      </c>
      <c r="H53" s="112">
        <f t="shared" si="2"/>
        <v>11.319131463431326</v>
      </c>
      <c r="K53" s="113"/>
      <c r="L53" s="113"/>
      <c r="M53" s="113"/>
      <c r="N53" s="113"/>
      <c r="O53" s="113"/>
      <c r="P53" s="113"/>
      <c r="Q53" s="113"/>
      <c r="R53" s="113"/>
      <c r="S53" s="113"/>
      <c r="T53" s="114"/>
      <c r="U53" s="114"/>
      <c r="V53" s="114"/>
      <c r="W53" s="114"/>
      <c r="X53" s="114"/>
      <c r="Y53" s="114"/>
      <c r="Z53" s="114"/>
      <c r="AA53" s="114"/>
      <c r="AB53" s="112"/>
      <c r="AC53" s="110">
        <f t="shared" si="1"/>
        <v>42491</v>
      </c>
      <c r="AD53" s="112">
        <f t="shared" si="3"/>
        <v>11.319131463431326</v>
      </c>
      <c r="AE53" s="112"/>
      <c r="AF53" s="112"/>
      <c r="AG53" s="112"/>
    </row>
    <row r="54" spans="1:39" x14ac:dyDescent="0.2">
      <c r="A54" s="110">
        <v>42522</v>
      </c>
      <c r="B54" s="111">
        <v>162648</v>
      </c>
      <c r="C54" s="111">
        <v>102389</v>
      </c>
      <c r="D54" s="111">
        <v>90673</v>
      </c>
      <c r="E54" s="111">
        <v>11716</v>
      </c>
      <c r="F54" s="111">
        <v>60259</v>
      </c>
      <c r="G54" s="112">
        <f t="shared" si="0"/>
        <v>62.951281294574791</v>
      </c>
      <c r="H54" s="112">
        <f t="shared" si="2"/>
        <v>11.442635439353836</v>
      </c>
      <c r="K54" s="113"/>
      <c r="L54" s="113"/>
      <c r="M54" s="113"/>
      <c r="N54" s="113"/>
      <c r="O54" s="113"/>
      <c r="P54" s="113"/>
      <c r="Q54" s="113"/>
      <c r="R54" s="113"/>
      <c r="S54" s="113"/>
      <c r="T54" s="114"/>
      <c r="U54" s="114"/>
      <c r="V54" s="114"/>
      <c r="W54" s="114"/>
      <c r="X54" s="114"/>
      <c r="Y54" s="114"/>
      <c r="Z54" s="114"/>
      <c r="AA54" s="114"/>
      <c r="AB54" s="112"/>
      <c r="AC54" s="110">
        <f t="shared" si="1"/>
        <v>42522</v>
      </c>
      <c r="AD54" s="112">
        <f t="shared" si="3"/>
        <v>11.442635439353836</v>
      </c>
      <c r="AE54" s="112"/>
      <c r="AF54" s="112"/>
      <c r="AG54" s="112"/>
      <c r="AH54" s="112">
        <f t="shared" ref="AH54" si="33">AD54-AD51</f>
        <v>0.38174711696928831</v>
      </c>
      <c r="AI54" s="112">
        <f t="shared" ref="AI54" si="34">(AD54/AD51-1)*100</f>
        <v>3.4513242141386069</v>
      </c>
    </row>
    <row r="55" spans="1:39" x14ac:dyDescent="0.2">
      <c r="A55" s="110">
        <v>42552</v>
      </c>
      <c r="B55" s="111">
        <v>162810</v>
      </c>
      <c r="C55" s="111">
        <v>102304</v>
      </c>
      <c r="D55" s="111">
        <v>90327</v>
      </c>
      <c r="E55" s="111">
        <v>11977</v>
      </c>
      <c r="F55" s="111">
        <v>60506</v>
      </c>
      <c r="G55" s="112">
        <f t="shared" si="0"/>
        <v>62.836435108408573</v>
      </c>
      <c r="H55" s="112">
        <f t="shared" si="2"/>
        <v>11.707264623084141</v>
      </c>
      <c r="K55" s="113"/>
      <c r="L55" s="113"/>
      <c r="M55" s="113"/>
      <c r="N55" s="113"/>
      <c r="O55" s="113"/>
      <c r="P55" s="113"/>
      <c r="Q55" s="113"/>
      <c r="R55" s="113"/>
      <c r="S55" s="113"/>
      <c r="T55" s="114"/>
      <c r="U55" s="114"/>
      <c r="V55" s="114"/>
      <c r="W55" s="114"/>
      <c r="X55" s="114"/>
      <c r="Y55" s="114"/>
      <c r="Z55" s="114"/>
      <c r="AA55" s="114"/>
      <c r="AB55" s="112"/>
      <c r="AC55" s="110">
        <f t="shared" si="1"/>
        <v>42552</v>
      </c>
      <c r="AD55" s="112">
        <f t="shared" si="3"/>
        <v>11.707264623084141</v>
      </c>
      <c r="AE55" s="112"/>
      <c r="AF55" s="112"/>
      <c r="AG55" s="112"/>
    </row>
    <row r="56" spans="1:39" x14ac:dyDescent="0.2">
      <c r="A56" s="110">
        <v>42583</v>
      </c>
      <c r="B56" s="111">
        <v>162969</v>
      </c>
      <c r="C56" s="111">
        <v>102239</v>
      </c>
      <c r="D56" s="111">
        <v>90080</v>
      </c>
      <c r="E56" s="111">
        <v>12159</v>
      </c>
      <c r="F56" s="111">
        <v>60730</v>
      </c>
      <c r="G56" s="112">
        <f t="shared" si="0"/>
        <v>62.73524412618351</v>
      </c>
      <c r="H56" s="112">
        <f t="shared" si="2"/>
        <v>11.892721955418187</v>
      </c>
      <c r="K56" s="113"/>
      <c r="L56" s="113"/>
      <c r="M56" s="113"/>
      <c r="N56" s="113"/>
      <c r="O56" s="113"/>
      <c r="P56" s="113"/>
      <c r="Q56" s="113"/>
      <c r="R56" s="113"/>
      <c r="S56" s="113"/>
      <c r="T56" s="114"/>
      <c r="U56" s="114"/>
      <c r="V56" s="114"/>
      <c r="W56" s="114"/>
      <c r="X56" s="114"/>
      <c r="Y56" s="114"/>
      <c r="Z56" s="114"/>
      <c r="AA56" s="114"/>
      <c r="AB56" s="112"/>
      <c r="AC56" s="110">
        <f t="shared" si="1"/>
        <v>42583</v>
      </c>
      <c r="AD56" s="112">
        <f t="shared" si="3"/>
        <v>11.892721955418187</v>
      </c>
      <c r="AE56" s="112"/>
      <c r="AF56" s="112"/>
      <c r="AG56" s="112"/>
    </row>
    <row r="57" spans="1:39" x14ac:dyDescent="0.2">
      <c r="A57" s="110">
        <v>42614</v>
      </c>
      <c r="B57" s="111">
        <v>163128</v>
      </c>
      <c r="C57" s="111">
        <v>101978</v>
      </c>
      <c r="D57" s="111">
        <v>89821</v>
      </c>
      <c r="E57" s="111">
        <v>12156</v>
      </c>
      <c r="F57" s="111">
        <v>61151</v>
      </c>
      <c r="G57" s="112">
        <f t="shared" si="0"/>
        <v>62.514099357559708</v>
      </c>
      <c r="H57" s="112">
        <f t="shared" si="2"/>
        <v>11.920218086253897</v>
      </c>
      <c r="K57" s="113"/>
      <c r="L57" s="113"/>
      <c r="M57" s="113"/>
      <c r="N57" s="113"/>
      <c r="O57" s="113"/>
      <c r="P57" s="113"/>
      <c r="Q57" s="113"/>
      <c r="R57" s="113"/>
      <c r="S57" s="113"/>
      <c r="T57" s="114"/>
      <c r="U57" s="114"/>
      <c r="V57" s="114"/>
      <c r="W57" s="114"/>
      <c r="X57" s="114"/>
      <c r="Y57" s="114"/>
      <c r="Z57" s="114"/>
      <c r="AA57" s="114"/>
      <c r="AB57" s="112"/>
      <c r="AC57" s="110">
        <f t="shared" si="1"/>
        <v>42614</v>
      </c>
      <c r="AD57" s="112">
        <f t="shared" si="3"/>
        <v>11.920218086253897</v>
      </c>
      <c r="AE57" s="112"/>
      <c r="AF57" s="112"/>
      <c r="AG57" s="112"/>
      <c r="AH57" s="112">
        <f t="shared" ref="AH57" si="35">AD57-AD54</f>
        <v>0.47758264690006058</v>
      </c>
      <c r="AI57" s="112">
        <f t="shared" ref="AI57" si="36">(AD57/AD54-1)*100</f>
        <v>4.1737119864672545</v>
      </c>
    </row>
    <row r="58" spans="1:39" x14ac:dyDescent="0.2">
      <c r="A58" s="110">
        <v>42644</v>
      </c>
      <c r="B58" s="111">
        <v>163287</v>
      </c>
      <c r="C58" s="111">
        <v>102068</v>
      </c>
      <c r="D58" s="111">
        <v>89884</v>
      </c>
      <c r="E58" s="111">
        <v>12184</v>
      </c>
      <c r="F58" s="111">
        <v>61219</v>
      </c>
      <c r="G58" s="112">
        <f t="shared" si="0"/>
        <v>62.508344203763919</v>
      </c>
      <c r="H58" s="112">
        <f t="shared" si="2"/>
        <v>11.937139945918407</v>
      </c>
      <c r="K58" s="113"/>
      <c r="L58" s="113"/>
      <c r="M58" s="113"/>
      <c r="N58" s="113"/>
      <c r="O58" s="113"/>
      <c r="P58" s="113"/>
      <c r="Q58" s="113"/>
      <c r="R58" s="113"/>
      <c r="S58" s="113"/>
      <c r="T58" s="114"/>
      <c r="U58" s="114"/>
      <c r="V58" s="114"/>
      <c r="W58" s="114"/>
      <c r="X58" s="114"/>
      <c r="Y58" s="114"/>
      <c r="Z58" s="114"/>
      <c r="AA58" s="114"/>
      <c r="AB58" s="112"/>
      <c r="AC58" s="110">
        <f t="shared" si="1"/>
        <v>42644</v>
      </c>
      <c r="AD58" s="112">
        <f t="shared" si="3"/>
        <v>11.937139945918407</v>
      </c>
      <c r="AE58" s="112"/>
      <c r="AF58" s="112"/>
      <c r="AG58" s="112"/>
    </row>
    <row r="59" spans="1:39" x14ac:dyDescent="0.2">
      <c r="A59" s="110">
        <v>42675</v>
      </c>
      <c r="B59" s="111">
        <v>163444</v>
      </c>
      <c r="C59" s="111">
        <v>102427</v>
      </c>
      <c r="D59" s="111">
        <v>90149</v>
      </c>
      <c r="E59" s="111">
        <v>12279</v>
      </c>
      <c r="F59" s="111">
        <v>61017</v>
      </c>
      <c r="G59" s="112">
        <f t="shared" si="0"/>
        <v>62.667947431536184</v>
      </c>
      <c r="H59" s="112">
        <f t="shared" si="2"/>
        <v>11.988050025872084</v>
      </c>
      <c r="K59" s="113"/>
      <c r="L59" s="113"/>
      <c r="M59" s="113"/>
      <c r="N59" s="113"/>
      <c r="O59" s="113"/>
      <c r="P59" s="113"/>
      <c r="Q59" s="113"/>
      <c r="R59" s="113"/>
      <c r="S59" s="113"/>
      <c r="T59" s="114"/>
      <c r="U59" s="114"/>
      <c r="V59" s="114"/>
      <c r="W59" s="114"/>
      <c r="X59" s="114"/>
      <c r="Y59" s="114"/>
      <c r="Z59" s="114"/>
      <c r="AA59" s="114"/>
      <c r="AB59" s="112"/>
      <c r="AC59" s="110">
        <f t="shared" si="1"/>
        <v>42675</v>
      </c>
      <c r="AD59" s="112">
        <f t="shared" si="3"/>
        <v>11.988050025872084</v>
      </c>
      <c r="AE59" s="112"/>
      <c r="AF59" s="112"/>
      <c r="AG59" s="112"/>
    </row>
    <row r="60" spans="1:39" x14ac:dyDescent="0.2">
      <c r="A60" s="110">
        <v>42705</v>
      </c>
      <c r="B60" s="111">
        <v>163603</v>
      </c>
      <c r="C60" s="111">
        <v>102650</v>
      </c>
      <c r="D60" s="111">
        <v>90174</v>
      </c>
      <c r="E60" s="111">
        <v>12476</v>
      </c>
      <c r="F60" s="111">
        <v>60953</v>
      </c>
      <c r="G60" s="112">
        <f t="shared" si="0"/>
        <v>62.743348227110751</v>
      </c>
      <c r="H60" s="112">
        <f t="shared" si="2"/>
        <v>12.153921091086216</v>
      </c>
      <c r="K60" s="113"/>
      <c r="L60" s="113"/>
      <c r="M60" s="113"/>
      <c r="N60" s="113"/>
      <c r="O60" s="113"/>
      <c r="P60" s="113"/>
      <c r="Q60" s="113"/>
      <c r="R60" s="113"/>
      <c r="S60" s="113"/>
      <c r="T60" s="114"/>
      <c r="U60" s="114"/>
      <c r="V60" s="114"/>
      <c r="W60" s="114"/>
      <c r="X60" s="114"/>
      <c r="Y60" s="114"/>
      <c r="Z60" s="114"/>
      <c r="AA60" s="114"/>
      <c r="AB60" s="112"/>
      <c r="AC60" s="110">
        <f t="shared" si="1"/>
        <v>42705</v>
      </c>
      <c r="AD60" s="112">
        <f t="shared" si="3"/>
        <v>12.153921091086216</v>
      </c>
      <c r="AE60" s="112">
        <f>AVERAGE(AD60,AD57,AD54,AD51)</f>
        <v>11.644415734769625</v>
      </c>
      <c r="AF60" s="112"/>
      <c r="AG60" s="112"/>
      <c r="AH60" s="112">
        <f t="shared" ref="AH60" si="37">AD60-AD57</f>
        <v>0.23370300483231965</v>
      </c>
      <c r="AI60" s="112">
        <f t="shared" ref="AI60" si="38">(AD60/AD57-1)*100</f>
        <v>1.9605598080610687</v>
      </c>
      <c r="AM60" s="112"/>
    </row>
    <row r="61" spans="1:39" x14ac:dyDescent="0.2">
      <c r="A61" s="110">
        <v>42736</v>
      </c>
      <c r="B61" s="111">
        <v>163760</v>
      </c>
      <c r="C61" s="111">
        <v>102775</v>
      </c>
      <c r="D61" s="111">
        <v>89746</v>
      </c>
      <c r="E61" s="111">
        <v>13029</v>
      </c>
      <c r="F61" s="111">
        <v>60985</v>
      </c>
      <c r="G61" s="112">
        <f t="shared" si="0"/>
        <v>62.7595261358085</v>
      </c>
      <c r="H61" s="112">
        <f t="shared" si="2"/>
        <v>12.67720749209438</v>
      </c>
      <c r="K61" s="113"/>
      <c r="L61" s="113"/>
      <c r="M61" s="113"/>
      <c r="N61" s="113"/>
      <c r="O61" s="113"/>
      <c r="P61" s="113"/>
      <c r="Q61" s="113"/>
      <c r="R61" s="113"/>
      <c r="S61" s="113"/>
      <c r="T61" s="114"/>
      <c r="U61" s="114"/>
      <c r="V61" s="114"/>
      <c r="W61" s="114"/>
      <c r="X61" s="114"/>
      <c r="Y61" s="114"/>
      <c r="Z61" s="114"/>
      <c r="AA61" s="114"/>
      <c r="AB61" s="112"/>
      <c r="AC61" s="110">
        <f t="shared" si="1"/>
        <v>42736</v>
      </c>
      <c r="AD61" s="112">
        <f t="shared" si="3"/>
        <v>12.67720749209438</v>
      </c>
      <c r="AE61" s="112"/>
      <c r="AF61" s="112"/>
      <c r="AG61" s="112"/>
    </row>
    <row r="62" spans="1:39" x14ac:dyDescent="0.2">
      <c r="A62" s="110">
        <v>42767</v>
      </c>
      <c r="B62" s="111">
        <v>163919</v>
      </c>
      <c r="C62" s="111">
        <v>102906</v>
      </c>
      <c r="D62" s="111">
        <v>89240</v>
      </c>
      <c r="E62" s="111">
        <v>13666</v>
      </c>
      <c r="F62" s="111">
        <v>61013</v>
      </c>
      <c r="G62" s="112">
        <f t="shared" si="0"/>
        <v>62.778567463198286</v>
      </c>
      <c r="H62" s="112">
        <f t="shared" si="2"/>
        <v>13.280080850484911</v>
      </c>
      <c r="K62" s="113"/>
      <c r="L62" s="113"/>
      <c r="M62" s="113"/>
      <c r="N62" s="113"/>
      <c r="O62" s="113"/>
      <c r="P62" s="113"/>
      <c r="Q62" s="113"/>
      <c r="R62" s="113"/>
      <c r="S62" s="113"/>
      <c r="T62" s="114"/>
      <c r="U62" s="114"/>
      <c r="V62" s="114"/>
      <c r="W62" s="114"/>
      <c r="X62" s="114"/>
      <c r="Y62" s="114"/>
      <c r="Z62" s="114"/>
      <c r="AA62" s="114"/>
      <c r="AB62" s="112"/>
      <c r="AC62" s="110">
        <f t="shared" si="1"/>
        <v>42767</v>
      </c>
      <c r="AD62" s="112">
        <f t="shared" si="3"/>
        <v>13.280080850484911</v>
      </c>
      <c r="AE62" s="112"/>
      <c r="AF62" s="112"/>
      <c r="AG62" s="112"/>
    </row>
    <row r="63" spans="1:39" x14ac:dyDescent="0.2">
      <c r="A63" s="110">
        <v>42795</v>
      </c>
      <c r="B63" s="111">
        <v>164077</v>
      </c>
      <c r="C63" s="111">
        <v>103151</v>
      </c>
      <c r="D63" s="111">
        <v>88846</v>
      </c>
      <c r="E63" s="111">
        <v>14305</v>
      </c>
      <c r="F63" s="111">
        <v>60926</v>
      </c>
      <c r="G63" s="112">
        <f t="shared" si="0"/>
        <v>62.867434192482797</v>
      </c>
      <c r="H63" s="112">
        <f t="shared" si="2"/>
        <v>13.86801872982327</v>
      </c>
      <c r="K63" s="113"/>
      <c r="L63" s="113"/>
      <c r="M63" s="113"/>
      <c r="N63" s="113"/>
      <c r="O63" s="113"/>
      <c r="P63" s="113"/>
      <c r="Q63" s="113"/>
      <c r="R63" s="113"/>
      <c r="S63" s="113"/>
      <c r="T63" s="114"/>
      <c r="U63" s="114"/>
      <c r="V63" s="114"/>
      <c r="W63" s="114"/>
      <c r="X63" s="114"/>
      <c r="Y63" s="114"/>
      <c r="Z63" s="114"/>
      <c r="AA63" s="114"/>
      <c r="AB63" s="112"/>
      <c r="AC63" s="110">
        <f t="shared" si="1"/>
        <v>42795</v>
      </c>
      <c r="AD63" s="112">
        <f t="shared" si="3"/>
        <v>13.86801872982327</v>
      </c>
      <c r="AE63" s="112"/>
      <c r="AF63" s="112"/>
      <c r="AG63" s="112"/>
      <c r="AH63" s="112">
        <f t="shared" ref="AH63" si="39">AD63-AD60</f>
        <v>1.7140976387370532</v>
      </c>
      <c r="AI63" s="112">
        <f t="shared" ref="AI63" si="40">(AD63/AD60-1)*100</f>
        <v>14.103248045556139</v>
      </c>
    </row>
    <row r="64" spans="1:39" x14ac:dyDescent="0.2">
      <c r="A64" s="110">
        <v>42826</v>
      </c>
      <c r="B64" s="111">
        <v>164230</v>
      </c>
      <c r="C64" s="111">
        <v>103332</v>
      </c>
      <c r="D64" s="111">
        <v>89160</v>
      </c>
      <c r="E64" s="111">
        <v>14172</v>
      </c>
      <c r="F64" s="111">
        <v>60898</v>
      </c>
      <c r="G64" s="112">
        <f t="shared" si="0"/>
        <v>62.919076904341473</v>
      </c>
      <c r="H64" s="112">
        <f t="shared" si="2"/>
        <v>13.715015677621647</v>
      </c>
      <c r="K64" s="113"/>
      <c r="L64" s="113"/>
      <c r="M64" s="113"/>
      <c r="N64" s="113"/>
      <c r="O64" s="113"/>
      <c r="P64" s="113"/>
      <c r="Q64" s="113"/>
      <c r="R64" s="113"/>
      <c r="S64" s="113"/>
      <c r="T64" s="114"/>
      <c r="U64" s="114"/>
      <c r="V64" s="114"/>
      <c r="W64" s="114"/>
      <c r="X64" s="114"/>
      <c r="Y64" s="114"/>
      <c r="Z64" s="114"/>
      <c r="AA64" s="114"/>
      <c r="AB64" s="112"/>
      <c r="AC64" s="110">
        <f t="shared" si="1"/>
        <v>42826</v>
      </c>
      <c r="AD64" s="112">
        <f t="shared" si="3"/>
        <v>13.715015677621647</v>
      </c>
      <c r="AE64" s="112"/>
      <c r="AF64" s="112"/>
      <c r="AG64" s="112"/>
    </row>
    <row r="65" spans="1:39" x14ac:dyDescent="0.2">
      <c r="A65" s="110">
        <v>42856</v>
      </c>
      <c r="B65" s="111">
        <v>164389</v>
      </c>
      <c r="C65" s="111">
        <v>103515</v>
      </c>
      <c r="D65" s="111">
        <v>89623</v>
      </c>
      <c r="E65" s="111">
        <v>13892</v>
      </c>
      <c r="F65" s="111">
        <v>60873</v>
      </c>
      <c r="G65" s="112">
        <f t="shared" si="0"/>
        <v>62.969541757660188</v>
      </c>
      <c r="H65" s="112">
        <f t="shared" si="2"/>
        <v>13.420277254504178</v>
      </c>
      <c r="K65" s="113"/>
      <c r="L65" s="113"/>
      <c r="M65" s="113"/>
      <c r="N65" s="113"/>
      <c r="O65" s="113"/>
      <c r="P65" s="113"/>
      <c r="Q65" s="113"/>
      <c r="R65" s="113"/>
      <c r="S65" s="113"/>
      <c r="T65" s="114"/>
      <c r="U65" s="114"/>
      <c r="V65" s="114"/>
      <c r="W65" s="114"/>
      <c r="X65" s="114"/>
      <c r="Y65" s="114"/>
      <c r="Z65" s="114"/>
      <c r="AA65" s="114"/>
      <c r="AB65" s="112"/>
      <c r="AC65" s="110">
        <f t="shared" si="1"/>
        <v>42856</v>
      </c>
      <c r="AD65" s="112">
        <f t="shared" si="3"/>
        <v>13.420277254504178</v>
      </c>
      <c r="AE65" s="112"/>
      <c r="AF65" s="112"/>
      <c r="AG65" s="112"/>
    </row>
    <row r="66" spans="1:39" x14ac:dyDescent="0.2">
      <c r="A66" s="110">
        <v>42887</v>
      </c>
      <c r="B66" s="111">
        <v>164545</v>
      </c>
      <c r="C66" s="111">
        <v>103791</v>
      </c>
      <c r="D66" s="111">
        <v>90193</v>
      </c>
      <c r="E66" s="111">
        <v>13598</v>
      </c>
      <c r="F66" s="111">
        <v>60754</v>
      </c>
      <c r="G66" s="112">
        <f t="shared" si="0"/>
        <v>63.077577562368958</v>
      </c>
      <c r="H66" s="112">
        <f t="shared" si="2"/>
        <v>13.101328631576919</v>
      </c>
      <c r="K66" s="113"/>
      <c r="L66" s="113"/>
      <c r="M66" s="113"/>
      <c r="N66" s="113"/>
      <c r="O66" s="113"/>
      <c r="P66" s="113"/>
      <c r="Q66" s="113"/>
      <c r="R66" s="113"/>
      <c r="S66" s="113"/>
      <c r="T66" s="114"/>
      <c r="U66" s="114"/>
      <c r="V66" s="114"/>
      <c r="W66" s="114"/>
      <c r="X66" s="114"/>
      <c r="Y66" s="114"/>
      <c r="Z66" s="114"/>
      <c r="AA66" s="114"/>
      <c r="AB66" s="112"/>
      <c r="AC66" s="110">
        <f t="shared" si="1"/>
        <v>42887</v>
      </c>
      <c r="AD66" s="112">
        <f t="shared" si="3"/>
        <v>13.101328631576919</v>
      </c>
      <c r="AE66" s="112"/>
      <c r="AF66" s="112"/>
      <c r="AG66" s="112"/>
      <c r="AH66" s="112">
        <f t="shared" ref="AH66" si="41">AD66-AD63</f>
        <v>-0.76669009824635026</v>
      </c>
      <c r="AI66" s="112">
        <f t="shared" ref="AI66" si="42">(AD66/AD63-1)*100</f>
        <v>-5.5284760799866657</v>
      </c>
    </row>
    <row r="67" spans="1:39" x14ac:dyDescent="0.2">
      <c r="A67" s="110">
        <v>42917</v>
      </c>
      <c r="B67" s="111">
        <v>164703</v>
      </c>
      <c r="C67" s="111">
        <v>104012</v>
      </c>
      <c r="D67" s="111">
        <v>90585</v>
      </c>
      <c r="E67" s="111">
        <v>13428</v>
      </c>
      <c r="F67" s="111">
        <v>60691</v>
      </c>
      <c r="G67" s="112">
        <f t="shared" ref="G67:G126" si="43">(C67/B67)*100</f>
        <v>63.151248003982928</v>
      </c>
      <c r="H67" s="112">
        <f t="shared" si="2"/>
        <v>12.910048840518401</v>
      </c>
      <c r="K67" s="113"/>
      <c r="L67" s="113"/>
      <c r="M67" s="113"/>
      <c r="N67" s="113"/>
      <c r="O67" s="113"/>
      <c r="P67" s="113"/>
      <c r="Q67" s="113"/>
      <c r="R67" s="113"/>
      <c r="S67" s="113"/>
      <c r="T67" s="114"/>
      <c r="U67" s="114"/>
      <c r="V67" s="114"/>
      <c r="W67" s="114"/>
      <c r="X67" s="114"/>
      <c r="Y67" s="114"/>
      <c r="Z67" s="114"/>
      <c r="AA67" s="114"/>
      <c r="AB67" s="112"/>
      <c r="AC67" s="110">
        <f t="shared" ref="AC67:AC130" si="44">A67</f>
        <v>42917</v>
      </c>
      <c r="AD67" s="112">
        <f t="shared" si="3"/>
        <v>12.910048840518401</v>
      </c>
      <c r="AE67" s="112"/>
      <c r="AF67" s="112"/>
      <c r="AG67" s="112"/>
    </row>
    <row r="68" spans="1:39" x14ac:dyDescent="0.2">
      <c r="A68" s="110">
        <v>42948</v>
      </c>
      <c r="B68" s="111">
        <v>164856</v>
      </c>
      <c r="C68" s="111">
        <v>104213</v>
      </c>
      <c r="D68" s="111">
        <v>91001</v>
      </c>
      <c r="E68" s="111">
        <v>13212</v>
      </c>
      <c r="F68" s="111">
        <v>60643</v>
      </c>
      <c r="G68" s="112">
        <f t="shared" si="43"/>
        <v>63.214563012568547</v>
      </c>
      <c r="H68" s="112">
        <f t="shared" ref="H68:H126" si="45">(E68/C68)*100</f>
        <v>12.677880878585205</v>
      </c>
      <c r="K68" s="113"/>
      <c r="L68" s="113"/>
      <c r="M68" s="113"/>
      <c r="N68" s="113"/>
      <c r="O68" s="113"/>
      <c r="P68" s="113"/>
      <c r="Q68" s="113"/>
      <c r="R68" s="113"/>
      <c r="S68" s="113"/>
      <c r="T68" s="114"/>
      <c r="U68" s="114"/>
      <c r="V68" s="114"/>
      <c r="W68" s="114"/>
      <c r="X68" s="114"/>
      <c r="Y68" s="114"/>
      <c r="Z68" s="114"/>
      <c r="AA68" s="114"/>
      <c r="AB68" s="112"/>
      <c r="AC68" s="110">
        <f t="shared" si="44"/>
        <v>42948</v>
      </c>
      <c r="AD68" s="112">
        <f t="shared" si="3"/>
        <v>12.677880878585205</v>
      </c>
      <c r="AE68" s="112"/>
      <c r="AF68" s="112"/>
      <c r="AG68" s="112"/>
    </row>
    <row r="69" spans="1:39" x14ac:dyDescent="0.2">
      <c r="A69" s="110">
        <v>42979</v>
      </c>
      <c r="B69" s="111">
        <v>165007</v>
      </c>
      <c r="C69" s="111">
        <v>104336</v>
      </c>
      <c r="D69" s="111">
        <v>91268</v>
      </c>
      <c r="E69" s="111">
        <v>13068</v>
      </c>
      <c r="F69" s="111">
        <v>60672</v>
      </c>
      <c r="G69" s="112">
        <f t="shared" si="43"/>
        <v>63.231256855769757</v>
      </c>
      <c r="H69" s="112">
        <f t="shared" si="45"/>
        <v>12.524919490875632</v>
      </c>
      <c r="K69" s="113"/>
      <c r="L69" s="113"/>
      <c r="M69" s="113"/>
      <c r="N69" s="113"/>
      <c r="O69" s="113"/>
      <c r="P69" s="113"/>
      <c r="Q69" s="113"/>
      <c r="R69" s="113"/>
      <c r="S69" s="113"/>
      <c r="T69" s="114"/>
      <c r="U69" s="114"/>
      <c r="V69" s="114"/>
      <c r="W69" s="114"/>
      <c r="X69" s="114"/>
      <c r="Y69" s="114"/>
      <c r="Z69" s="114"/>
      <c r="AA69" s="114"/>
      <c r="AB69" s="112"/>
      <c r="AC69" s="110">
        <f t="shared" si="44"/>
        <v>42979</v>
      </c>
      <c r="AD69" s="112">
        <f t="shared" si="3"/>
        <v>12.524919490875632</v>
      </c>
      <c r="AE69" s="112"/>
      <c r="AF69" s="112"/>
      <c r="AG69" s="112"/>
      <c r="AH69" s="112">
        <f t="shared" ref="AH69" si="46">AD69-AD66</f>
        <v>-0.57640914070128701</v>
      </c>
      <c r="AI69" s="112">
        <f t="shared" ref="AI69" si="47">(AD69/AD66-1)*100</f>
        <v>-4.3996235565912141</v>
      </c>
    </row>
    <row r="70" spans="1:39" x14ac:dyDescent="0.2">
      <c r="A70" s="110">
        <v>43009</v>
      </c>
      <c r="B70" s="111">
        <v>165158</v>
      </c>
      <c r="C70" s="111">
        <v>104456</v>
      </c>
      <c r="D70" s="111">
        <v>91602</v>
      </c>
      <c r="E70" s="111">
        <v>12854</v>
      </c>
      <c r="F70" s="111">
        <v>60702</v>
      </c>
      <c r="G70" s="112">
        <f t="shared" si="43"/>
        <v>63.24610373097277</v>
      </c>
      <c r="H70" s="112">
        <f t="shared" si="45"/>
        <v>12.305659799341349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4"/>
      <c r="U70" s="114"/>
      <c r="V70" s="114"/>
      <c r="W70" s="114"/>
      <c r="X70" s="114"/>
      <c r="Y70" s="114"/>
      <c r="Z70" s="114"/>
      <c r="AA70" s="114"/>
      <c r="AB70" s="112"/>
      <c r="AC70" s="110">
        <f t="shared" si="44"/>
        <v>43009</v>
      </c>
      <c r="AD70" s="112">
        <f t="shared" ref="AD70:AD113" si="48">H70</f>
        <v>12.305659799341349</v>
      </c>
      <c r="AE70" s="112"/>
      <c r="AF70" s="112"/>
      <c r="AG70" s="112"/>
    </row>
    <row r="71" spans="1:39" x14ac:dyDescent="0.2">
      <c r="A71" s="110">
        <v>43040</v>
      </c>
      <c r="B71" s="111">
        <v>165308</v>
      </c>
      <c r="C71" s="111">
        <v>104733</v>
      </c>
      <c r="D71" s="111">
        <v>92025</v>
      </c>
      <c r="E71" s="111">
        <v>12707</v>
      </c>
      <c r="F71" s="111">
        <v>60575</v>
      </c>
      <c r="G71" s="112">
        <f t="shared" si="43"/>
        <v>63.356280397802891</v>
      </c>
      <c r="H71" s="112">
        <f t="shared" si="45"/>
        <v>12.132756628760752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4"/>
      <c r="U71" s="114"/>
      <c r="V71" s="114"/>
      <c r="W71" s="114"/>
      <c r="X71" s="114"/>
      <c r="Y71" s="114"/>
      <c r="Z71" s="114"/>
      <c r="AA71" s="114"/>
      <c r="AB71" s="112"/>
      <c r="AC71" s="110">
        <f t="shared" si="44"/>
        <v>43040</v>
      </c>
      <c r="AD71" s="112">
        <f t="shared" si="48"/>
        <v>12.132756628760752</v>
      </c>
      <c r="AE71" s="112"/>
      <c r="AF71" s="112"/>
      <c r="AG71" s="112"/>
    </row>
    <row r="72" spans="1:39" x14ac:dyDescent="0.2">
      <c r="A72" s="110">
        <v>43070</v>
      </c>
      <c r="B72" s="111">
        <v>165459</v>
      </c>
      <c r="C72" s="111">
        <v>104682</v>
      </c>
      <c r="D72" s="111">
        <v>92228</v>
      </c>
      <c r="E72" s="111">
        <v>12453</v>
      </c>
      <c r="F72" s="111">
        <v>60777</v>
      </c>
      <c r="G72" s="112">
        <f t="shared" si="43"/>
        <v>63.267637299874892</v>
      </c>
      <c r="H72" s="112">
        <f t="shared" si="45"/>
        <v>11.896027970424715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4"/>
      <c r="U72" s="114"/>
      <c r="V72" s="114"/>
      <c r="W72" s="114"/>
      <c r="X72" s="114"/>
      <c r="Y72" s="114"/>
      <c r="Z72" s="114"/>
      <c r="AA72" s="114"/>
      <c r="AB72" s="112"/>
      <c r="AC72" s="110">
        <f t="shared" si="44"/>
        <v>43070</v>
      </c>
      <c r="AD72" s="112">
        <f t="shared" si="48"/>
        <v>11.896027970424715</v>
      </c>
      <c r="AE72" s="112">
        <f t="shared" ref="AE72" si="49">AVERAGE(AD72,AD69,AD66,AD63)</f>
        <v>12.847573705675133</v>
      </c>
      <c r="AF72" s="112"/>
      <c r="AG72" s="112"/>
      <c r="AH72" s="112">
        <f t="shared" ref="AH72" si="50">AD72-AD69</f>
        <v>-0.62889152045091734</v>
      </c>
      <c r="AI72" s="112">
        <f t="shared" ref="AI72" si="51">(AD72/AD69-1)*100</f>
        <v>-5.0211222587822846</v>
      </c>
      <c r="AM72" s="112"/>
    </row>
    <row r="73" spans="1:39" x14ac:dyDescent="0.2">
      <c r="A73" s="110">
        <v>43101</v>
      </c>
      <c r="B73" s="111">
        <v>165608</v>
      </c>
      <c r="C73" s="111">
        <v>104707</v>
      </c>
      <c r="D73" s="111">
        <v>91857</v>
      </c>
      <c r="E73" s="111">
        <v>12850</v>
      </c>
      <c r="F73" s="111">
        <v>60901</v>
      </c>
      <c r="G73" s="112">
        <f t="shared" si="43"/>
        <v>63.225810347326217</v>
      </c>
      <c r="H73" s="112">
        <f t="shared" si="45"/>
        <v>12.272340913214972</v>
      </c>
      <c r="K73" s="113"/>
      <c r="L73" s="113"/>
      <c r="M73" s="113"/>
      <c r="N73" s="113"/>
      <c r="O73" s="113"/>
      <c r="P73" s="113"/>
      <c r="Q73" s="113"/>
      <c r="R73" s="113"/>
      <c r="S73" s="113"/>
      <c r="T73" s="114"/>
      <c r="U73" s="114"/>
      <c r="V73" s="114"/>
      <c r="W73" s="114"/>
      <c r="X73" s="114"/>
      <c r="Y73" s="114"/>
      <c r="Z73" s="114"/>
      <c r="AA73" s="114"/>
      <c r="AB73" s="112"/>
      <c r="AC73" s="110">
        <f t="shared" si="44"/>
        <v>43101</v>
      </c>
      <c r="AD73" s="112">
        <f t="shared" si="48"/>
        <v>12.272340913214972</v>
      </c>
      <c r="AE73" s="112"/>
      <c r="AF73" s="112"/>
      <c r="AG73" s="112"/>
    </row>
    <row r="74" spans="1:39" x14ac:dyDescent="0.2">
      <c r="A74" s="110">
        <v>43132</v>
      </c>
      <c r="B74" s="111">
        <v>165758</v>
      </c>
      <c r="C74" s="111">
        <v>104602</v>
      </c>
      <c r="D74" s="111">
        <v>91312</v>
      </c>
      <c r="E74" s="111">
        <v>13291</v>
      </c>
      <c r="F74" s="111">
        <v>61156</v>
      </c>
      <c r="G74" s="112">
        <f t="shared" si="43"/>
        <v>63.105249822029705</v>
      </c>
      <c r="H74" s="112">
        <f t="shared" si="45"/>
        <v>12.706258006539073</v>
      </c>
      <c r="K74" s="113"/>
      <c r="L74" s="113"/>
      <c r="M74" s="113"/>
      <c r="N74" s="113"/>
      <c r="O74" s="113"/>
      <c r="P74" s="113"/>
      <c r="Q74" s="113"/>
      <c r="R74" s="113"/>
      <c r="S74" s="113"/>
      <c r="T74" s="114"/>
      <c r="U74" s="114"/>
      <c r="V74" s="114"/>
      <c r="W74" s="114"/>
      <c r="X74" s="114"/>
      <c r="Y74" s="114"/>
      <c r="Z74" s="114"/>
      <c r="AA74" s="114"/>
      <c r="AB74" s="112"/>
      <c r="AC74" s="110">
        <f t="shared" si="44"/>
        <v>43132</v>
      </c>
      <c r="AD74" s="112">
        <f t="shared" si="48"/>
        <v>12.706258006539073</v>
      </c>
      <c r="AE74" s="112"/>
      <c r="AF74" s="112"/>
      <c r="AG74" s="112"/>
    </row>
    <row r="75" spans="1:39" x14ac:dyDescent="0.2">
      <c r="A75" s="110">
        <v>43160</v>
      </c>
      <c r="B75" s="111">
        <v>165909</v>
      </c>
      <c r="C75" s="111">
        <v>104751</v>
      </c>
      <c r="D75" s="111">
        <v>90879</v>
      </c>
      <c r="E75" s="111">
        <v>13872</v>
      </c>
      <c r="F75" s="111">
        <v>61158</v>
      </c>
      <c r="G75" s="112">
        <f t="shared" si="43"/>
        <v>63.137623637054055</v>
      </c>
      <c r="H75" s="112">
        <f t="shared" si="45"/>
        <v>13.24283300398087</v>
      </c>
      <c r="K75" s="113"/>
      <c r="L75" s="113"/>
      <c r="M75" s="113"/>
      <c r="N75" s="113"/>
      <c r="O75" s="113"/>
      <c r="P75" s="113"/>
      <c r="Q75" s="113"/>
      <c r="R75" s="113"/>
      <c r="S75" s="113"/>
      <c r="T75" s="114"/>
      <c r="U75" s="114"/>
      <c r="V75" s="114"/>
      <c r="W75" s="114"/>
      <c r="X75" s="114"/>
      <c r="Y75" s="114"/>
      <c r="Z75" s="114"/>
      <c r="AA75" s="114"/>
      <c r="AB75" s="112"/>
      <c r="AC75" s="110">
        <f t="shared" si="44"/>
        <v>43160</v>
      </c>
      <c r="AD75" s="112">
        <f t="shared" si="48"/>
        <v>13.24283300398087</v>
      </c>
      <c r="AE75" s="112"/>
      <c r="AF75" s="112"/>
      <c r="AG75" s="112"/>
      <c r="AH75" s="112">
        <f t="shared" ref="AH75" si="52">AD75-AD72</f>
        <v>1.346805033556155</v>
      </c>
      <c r="AI75" s="112">
        <f t="shared" ref="AI75" si="53">(AD75/AD72-1)*100</f>
        <v>11.321468282560465</v>
      </c>
    </row>
    <row r="76" spans="1:39" x14ac:dyDescent="0.2">
      <c r="A76" s="110">
        <v>43191</v>
      </c>
      <c r="B76" s="111">
        <v>166055</v>
      </c>
      <c r="C76" s="111">
        <v>104653</v>
      </c>
      <c r="D76" s="111">
        <v>91049</v>
      </c>
      <c r="E76" s="111">
        <v>13603</v>
      </c>
      <c r="F76" s="111">
        <v>61402</v>
      </c>
      <c r="G76" s="112">
        <f t="shared" si="43"/>
        <v>63.02309475776098</v>
      </c>
      <c r="H76" s="112">
        <f t="shared" si="45"/>
        <v>12.998194031704777</v>
      </c>
      <c r="K76" s="113"/>
      <c r="L76" s="113"/>
      <c r="M76" s="113"/>
      <c r="N76" s="113"/>
      <c r="O76" s="113"/>
      <c r="P76" s="113"/>
      <c r="Q76" s="113"/>
      <c r="R76" s="113"/>
      <c r="S76" s="113"/>
      <c r="T76" s="114"/>
      <c r="U76" s="114"/>
      <c r="V76" s="114"/>
      <c r="W76" s="114"/>
      <c r="X76" s="114"/>
      <c r="Y76" s="114"/>
      <c r="Z76" s="114"/>
      <c r="AA76" s="114"/>
      <c r="AB76" s="112"/>
      <c r="AC76" s="110">
        <f t="shared" si="44"/>
        <v>43191</v>
      </c>
      <c r="AD76" s="112">
        <f t="shared" si="48"/>
        <v>12.998194031704777</v>
      </c>
      <c r="AE76" s="112"/>
      <c r="AF76" s="112"/>
      <c r="AG76" s="112"/>
    </row>
    <row r="77" spans="1:39" x14ac:dyDescent="0.2">
      <c r="A77" s="110">
        <v>43221</v>
      </c>
      <c r="B77" s="111">
        <v>166205</v>
      </c>
      <c r="C77" s="111">
        <v>104594</v>
      </c>
      <c r="D77" s="111">
        <v>91177</v>
      </c>
      <c r="E77" s="111">
        <v>13417</v>
      </c>
      <c r="F77" s="111">
        <v>61611</v>
      </c>
      <c r="G77" s="112">
        <f t="shared" si="43"/>
        <v>62.930718089106833</v>
      </c>
      <c r="H77" s="112">
        <f t="shared" si="45"/>
        <v>12.827695661319005</v>
      </c>
      <c r="K77" s="113"/>
      <c r="L77" s="113"/>
      <c r="M77" s="113"/>
      <c r="N77" s="113"/>
      <c r="O77" s="113"/>
      <c r="P77" s="113"/>
      <c r="Q77" s="113"/>
      <c r="R77" s="113"/>
      <c r="S77" s="113"/>
      <c r="T77" s="114"/>
      <c r="U77" s="114"/>
      <c r="V77" s="114"/>
      <c r="W77" s="114"/>
      <c r="X77" s="114"/>
      <c r="Y77" s="114"/>
      <c r="Z77" s="114"/>
      <c r="AA77" s="114"/>
      <c r="AB77" s="112"/>
      <c r="AC77" s="110">
        <f t="shared" si="44"/>
        <v>43221</v>
      </c>
      <c r="AD77" s="112">
        <f t="shared" si="48"/>
        <v>12.827695661319005</v>
      </c>
      <c r="AE77" s="112"/>
      <c r="AF77" s="112"/>
      <c r="AG77" s="112"/>
    </row>
    <row r="78" spans="1:39" x14ac:dyDescent="0.2">
      <c r="A78" s="110">
        <v>43252</v>
      </c>
      <c r="B78" s="111">
        <v>166354</v>
      </c>
      <c r="C78" s="111">
        <v>104610</v>
      </c>
      <c r="D78" s="111">
        <v>91462</v>
      </c>
      <c r="E78" s="111">
        <v>13148</v>
      </c>
      <c r="F78" s="111">
        <v>61744</v>
      </c>
      <c r="G78" s="112">
        <f t="shared" si="43"/>
        <v>62.883970328335955</v>
      </c>
      <c r="H78" s="112">
        <f t="shared" si="45"/>
        <v>12.568588089092822</v>
      </c>
      <c r="K78" s="113"/>
      <c r="L78" s="113"/>
      <c r="M78" s="113"/>
      <c r="N78" s="113"/>
      <c r="O78" s="113"/>
      <c r="P78" s="113"/>
      <c r="Q78" s="113"/>
      <c r="R78" s="113"/>
      <c r="S78" s="113"/>
      <c r="T78" s="114"/>
      <c r="U78" s="114"/>
      <c r="V78" s="114"/>
      <c r="W78" s="114"/>
      <c r="X78" s="114"/>
      <c r="Y78" s="114"/>
      <c r="Z78" s="114"/>
      <c r="AA78" s="114"/>
      <c r="AB78" s="112"/>
      <c r="AC78" s="110">
        <f t="shared" si="44"/>
        <v>43252</v>
      </c>
      <c r="AD78" s="112">
        <f t="shared" si="48"/>
        <v>12.568588089092822</v>
      </c>
      <c r="AE78" s="112"/>
      <c r="AF78" s="112"/>
      <c r="AG78" s="112"/>
      <c r="AH78" s="112">
        <f t="shared" ref="AH78" si="54">AD78-AD75</f>
        <v>-0.67424491488804783</v>
      </c>
      <c r="AI78" s="112">
        <f t="shared" ref="AI78" si="55">(AD78/AD75-1)*100</f>
        <v>-5.0913948298326073</v>
      </c>
    </row>
    <row r="79" spans="1:39" x14ac:dyDescent="0.2">
      <c r="A79" s="110">
        <v>43282</v>
      </c>
      <c r="B79" s="111">
        <v>166503</v>
      </c>
      <c r="C79" s="111">
        <v>104967</v>
      </c>
      <c r="D79" s="111">
        <v>91905</v>
      </c>
      <c r="E79" s="111">
        <v>13062</v>
      </c>
      <c r="F79" s="111">
        <v>61536</v>
      </c>
      <c r="G79" s="112">
        <f t="shared" si="43"/>
        <v>63.04210734941713</v>
      </c>
      <c r="H79" s="112">
        <f t="shared" si="45"/>
        <v>12.443910943439366</v>
      </c>
      <c r="K79" s="113"/>
      <c r="L79" s="113"/>
      <c r="M79" s="113"/>
      <c r="N79" s="113"/>
      <c r="O79" s="113"/>
      <c r="P79" s="113"/>
      <c r="Q79" s="113"/>
      <c r="R79" s="113"/>
      <c r="S79" s="113"/>
      <c r="T79" s="114"/>
      <c r="U79" s="114"/>
      <c r="V79" s="114"/>
      <c r="W79" s="114"/>
      <c r="X79" s="114"/>
      <c r="Y79" s="114"/>
      <c r="Z79" s="114"/>
      <c r="AA79" s="114"/>
      <c r="AB79" s="112"/>
      <c r="AC79" s="110">
        <f t="shared" si="44"/>
        <v>43282</v>
      </c>
      <c r="AD79" s="112">
        <f t="shared" si="48"/>
        <v>12.443910943439366</v>
      </c>
      <c r="AE79" s="112"/>
      <c r="AF79" s="112"/>
      <c r="AG79" s="112"/>
    </row>
    <row r="80" spans="1:39" x14ac:dyDescent="0.2">
      <c r="A80" s="110">
        <v>43313</v>
      </c>
      <c r="B80" s="111">
        <v>166651</v>
      </c>
      <c r="C80" s="111">
        <v>105283</v>
      </c>
      <c r="D80" s="111">
        <v>92369</v>
      </c>
      <c r="E80" s="111">
        <v>12915</v>
      </c>
      <c r="F80" s="111">
        <v>61368</v>
      </c>
      <c r="G80" s="112">
        <f t="shared" si="43"/>
        <v>63.175738519420818</v>
      </c>
      <c r="H80" s="112">
        <f t="shared" si="45"/>
        <v>12.266937682246896</v>
      </c>
      <c r="K80" s="113"/>
      <c r="L80" s="113"/>
      <c r="M80" s="113"/>
      <c r="N80" s="113"/>
      <c r="O80" s="113"/>
      <c r="P80" s="113"/>
      <c r="Q80" s="113"/>
      <c r="R80" s="113"/>
      <c r="S80" s="113"/>
      <c r="T80" s="114"/>
      <c r="U80" s="114"/>
      <c r="V80" s="114"/>
      <c r="W80" s="114"/>
      <c r="X80" s="114"/>
      <c r="Y80" s="114"/>
      <c r="Z80" s="114"/>
      <c r="AA80" s="114"/>
      <c r="AB80" s="112"/>
      <c r="AC80" s="110">
        <f t="shared" si="44"/>
        <v>43313</v>
      </c>
      <c r="AD80" s="112">
        <f t="shared" si="48"/>
        <v>12.266937682246896</v>
      </c>
      <c r="AE80" s="112"/>
      <c r="AF80" s="112"/>
      <c r="AG80" s="112"/>
    </row>
    <row r="81" spans="1:39" x14ac:dyDescent="0.2">
      <c r="A81" s="110">
        <v>43344</v>
      </c>
      <c r="B81" s="111">
        <v>166801</v>
      </c>
      <c r="C81" s="111">
        <v>105624</v>
      </c>
      <c r="D81" s="111">
        <v>92930</v>
      </c>
      <c r="E81" s="111">
        <v>12694</v>
      </c>
      <c r="F81" s="111">
        <v>61177</v>
      </c>
      <c r="G81" s="112">
        <f t="shared" si="43"/>
        <v>63.323361370735185</v>
      </c>
      <c r="H81" s="112">
        <f t="shared" si="45"/>
        <v>12.018101946527304</v>
      </c>
      <c r="K81" s="113"/>
      <c r="L81" s="113"/>
      <c r="M81" s="113"/>
      <c r="N81" s="113"/>
      <c r="O81" s="113"/>
      <c r="P81" s="113"/>
      <c r="Q81" s="113"/>
      <c r="R81" s="113"/>
      <c r="S81" s="113"/>
      <c r="T81" s="114"/>
      <c r="U81" s="114"/>
      <c r="V81" s="114"/>
      <c r="W81" s="114"/>
      <c r="X81" s="114"/>
      <c r="Y81" s="114"/>
      <c r="Z81" s="114"/>
      <c r="AA81" s="114"/>
      <c r="AB81" s="112"/>
      <c r="AC81" s="110">
        <f t="shared" si="44"/>
        <v>43344</v>
      </c>
      <c r="AD81" s="112">
        <f t="shared" si="48"/>
        <v>12.018101946527304</v>
      </c>
      <c r="AE81" s="112"/>
      <c r="AF81" s="112"/>
      <c r="AG81" s="112"/>
      <c r="AH81" s="112">
        <f t="shared" ref="AH81" si="56">AD81-AD78</f>
        <v>-0.55048614256551787</v>
      </c>
      <c r="AI81" s="112">
        <f t="shared" ref="AI81" si="57">(AD81/AD78-1)*100</f>
        <v>-4.3798566606159772</v>
      </c>
    </row>
    <row r="82" spans="1:39" x14ac:dyDescent="0.2">
      <c r="A82" s="110">
        <v>43374</v>
      </c>
      <c r="B82" s="111">
        <v>166950</v>
      </c>
      <c r="C82" s="111">
        <v>105878</v>
      </c>
      <c r="D82" s="111">
        <v>93319</v>
      </c>
      <c r="E82" s="111">
        <v>12559</v>
      </c>
      <c r="F82" s="111">
        <v>61071</v>
      </c>
      <c r="G82" s="112">
        <f t="shared" si="43"/>
        <v>63.418987720874512</v>
      </c>
      <c r="H82" s="112">
        <f t="shared" si="45"/>
        <v>11.861765428134268</v>
      </c>
      <c r="K82" s="113"/>
      <c r="L82" s="113"/>
      <c r="M82" s="113"/>
      <c r="N82" s="113"/>
      <c r="O82" s="113"/>
      <c r="P82" s="113"/>
      <c r="Q82" s="113"/>
      <c r="R82" s="113"/>
      <c r="S82" s="113"/>
      <c r="T82" s="114"/>
      <c r="U82" s="114"/>
      <c r="V82" s="114"/>
      <c r="W82" s="114"/>
      <c r="X82" s="114"/>
      <c r="Y82" s="114"/>
      <c r="Z82" s="114"/>
      <c r="AA82" s="114"/>
      <c r="AB82" s="112"/>
      <c r="AC82" s="110">
        <f t="shared" si="44"/>
        <v>43374</v>
      </c>
      <c r="AD82" s="112">
        <f t="shared" si="48"/>
        <v>11.861765428134268</v>
      </c>
      <c r="AE82" s="112"/>
      <c r="AF82" s="112"/>
      <c r="AG82" s="112"/>
    </row>
    <row r="83" spans="1:39" x14ac:dyDescent="0.2">
      <c r="A83" s="110">
        <v>43405</v>
      </c>
      <c r="B83" s="111">
        <v>167097</v>
      </c>
      <c r="C83" s="111">
        <v>106031</v>
      </c>
      <c r="D83" s="111">
        <v>93615</v>
      </c>
      <c r="E83" s="111">
        <v>12416</v>
      </c>
      <c r="F83" s="111">
        <v>61067</v>
      </c>
      <c r="G83" s="112">
        <f t="shared" si="43"/>
        <v>63.454759810170138</v>
      </c>
      <c r="H83" s="112">
        <f t="shared" si="45"/>
        <v>11.709782987994078</v>
      </c>
      <c r="K83" s="113"/>
      <c r="L83" s="113"/>
      <c r="M83" s="113"/>
      <c r="N83" s="113"/>
      <c r="O83" s="113"/>
      <c r="P83" s="113"/>
      <c r="Q83" s="113"/>
      <c r="R83" s="113"/>
      <c r="S83" s="113"/>
      <c r="T83" s="114"/>
      <c r="U83" s="114"/>
      <c r="V83" s="114"/>
      <c r="W83" s="114"/>
      <c r="X83" s="114"/>
      <c r="Y83" s="114"/>
      <c r="Z83" s="114"/>
      <c r="AA83" s="114"/>
      <c r="AB83" s="112"/>
      <c r="AC83" s="110">
        <f t="shared" si="44"/>
        <v>43405</v>
      </c>
      <c r="AD83" s="112">
        <f t="shared" si="48"/>
        <v>11.709782987994078</v>
      </c>
      <c r="AE83" s="112"/>
      <c r="AF83" s="112"/>
      <c r="AG83" s="112"/>
    </row>
    <row r="84" spans="1:39" x14ac:dyDescent="0.2">
      <c r="A84" s="110">
        <v>43435</v>
      </c>
      <c r="B84" s="111">
        <v>167246</v>
      </c>
      <c r="C84" s="111">
        <v>105947</v>
      </c>
      <c r="D84" s="111">
        <v>93534</v>
      </c>
      <c r="E84" s="111">
        <v>12413</v>
      </c>
      <c r="F84" s="111">
        <v>61299</v>
      </c>
      <c r="G84" s="112">
        <f t="shared" si="43"/>
        <v>63.34800234385277</v>
      </c>
      <c r="H84" s="112">
        <f t="shared" si="45"/>
        <v>11.716235476228681</v>
      </c>
      <c r="K84" s="113"/>
      <c r="L84" s="113"/>
      <c r="M84" s="113"/>
      <c r="N84" s="113"/>
      <c r="O84" s="113"/>
      <c r="P84" s="113"/>
      <c r="Q84" s="113"/>
      <c r="R84" s="113"/>
      <c r="S84" s="113"/>
      <c r="T84" s="114"/>
      <c r="U84" s="114"/>
      <c r="V84" s="114"/>
      <c r="W84" s="114"/>
      <c r="X84" s="114"/>
      <c r="Y84" s="114"/>
      <c r="Z84" s="114"/>
      <c r="AA84" s="114"/>
      <c r="AB84" s="112"/>
      <c r="AC84" s="110">
        <f t="shared" si="44"/>
        <v>43435</v>
      </c>
      <c r="AD84" s="112">
        <f t="shared" si="48"/>
        <v>11.716235476228681</v>
      </c>
      <c r="AE84" s="112">
        <f t="shared" ref="AE84" si="58">AVERAGE(AD84,AD81,AD78,AD75)</f>
        <v>12.386439628957419</v>
      </c>
      <c r="AF84" s="112"/>
      <c r="AG84" s="112"/>
      <c r="AH84" s="112">
        <f t="shared" ref="AH84" si="59">AD84-AD81</f>
        <v>-0.30186647029862357</v>
      </c>
      <c r="AI84" s="112">
        <f t="shared" ref="AI84" si="60">(AD84/AD81-1)*100</f>
        <v>-2.5117649329464142</v>
      </c>
      <c r="AM84" s="112"/>
    </row>
    <row r="85" spans="1:39" x14ac:dyDescent="0.2">
      <c r="A85" s="110">
        <v>43466</v>
      </c>
      <c r="B85" s="111">
        <v>167393</v>
      </c>
      <c r="C85" s="111">
        <v>105941</v>
      </c>
      <c r="D85" s="111">
        <v>93051</v>
      </c>
      <c r="E85" s="111">
        <v>12889</v>
      </c>
      <c r="F85" s="111">
        <v>61452</v>
      </c>
      <c r="G85" s="112">
        <f t="shared" si="43"/>
        <v>63.288787464230879</v>
      </c>
      <c r="H85" s="112">
        <f t="shared" si="45"/>
        <v>12.166205718277153</v>
      </c>
      <c r="K85" s="113"/>
      <c r="L85" s="113"/>
      <c r="M85" s="113"/>
      <c r="N85" s="113"/>
      <c r="O85" s="113"/>
      <c r="P85" s="113"/>
      <c r="Q85" s="113"/>
      <c r="R85" s="113"/>
      <c r="S85" s="113"/>
      <c r="T85" s="114"/>
      <c r="U85" s="114"/>
      <c r="V85" s="114"/>
      <c r="W85" s="114"/>
      <c r="X85" s="114"/>
      <c r="Y85" s="114"/>
      <c r="Z85" s="114"/>
      <c r="AA85" s="114"/>
      <c r="AB85" s="112"/>
      <c r="AC85" s="110">
        <f t="shared" si="44"/>
        <v>43466</v>
      </c>
      <c r="AD85" s="112">
        <f t="shared" si="48"/>
        <v>12.166205718277153</v>
      </c>
      <c r="AE85" s="112"/>
      <c r="AF85" s="112"/>
      <c r="AG85" s="112"/>
    </row>
    <row r="86" spans="1:39" x14ac:dyDescent="0.2">
      <c r="A86" s="110">
        <v>43497</v>
      </c>
      <c r="B86" s="111">
        <v>167542</v>
      </c>
      <c r="C86" s="111">
        <v>105940</v>
      </c>
      <c r="D86" s="111">
        <v>92643</v>
      </c>
      <c r="E86" s="111">
        <v>13296</v>
      </c>
      <c r="F86" s="111">
        <v>61602</v>
      </c>
      <c r="G86" s="112">
        <f t="shared" si="43"/>
        <v>63.231906029532894</v>
      </c>
      <c r="H86" s="112">
        <f t="shared" si="45"/>
        <v>12.550500283179158</v>
      </c>
      <c r="K86" s="113"/>
      <c r="L86" s="113"/>
      <c r="M86" s="113"/>
      <c r="N86" s="113"/>
      <c r="O86" s="113"/>
      <c r="P86" s="113"/>
      <c r="Q86" s="113"/>
      <c r="R86" s="113"/>
      <c r="S86" s="113"/>
      <c r="T86" s="114"/>
      <c r="U86" s="114"/>
      <c r="V86" s="114"/>
      <c r="W86" s="114"/>
      <c r="X86" s="114"/>
      <c r="Y86" s="114"/>
      <c r="Z86" s="114"/>
      <c r="AA86" s="114"/>
      <c r="AB86" s="112"/>
      <c r="AC86" s="110">
        <f t="shared" si="44"/>
        <v>43497</v>
      </c>
      <c r="AD86" s="112">
        <f t="shared" si="48"/>
        <v>12.550500283179158</v>
      </c>
      <c r="AE86" s="112"/>
      <c r="AF86" s="112"/>
      <c r="AG86" s="112"/>
    </row>
    <row r="87" spans="1:39" x14ac:dyDescent="0.2">
      <c r="A87" s="110">
        <v>43525</v>
      </c>
      <c r="B87" s="111">
        <v>167690</v>
      </c>
      <c r="C87" s="111">
        <v>106273</v>
      </c>
      <c r="D87" s="111">
        <v>92621</v>
      </c>
      <c r="E87" s="111">
        <v>13651</v>
      </c>
      <c r="F87" s="111">
        <v>61417</v>
      </c>
      <c r="G87" s="112">
        <f t="shared" si="43"/>
        <v>63.374679468066077</v>
      </c>
      <c r="H87" s="112">
        <f t="shared" si="45"/>
        <v>12.845219387803111</v>
      </c>
      <c r="K87" s="113"/>
      <c r="L87" s="113"/>
      <c r="M87" s="113"/>
      <c r="N87" s="113"/>
      <c r="O87" s="113"/>
      <c r="P87" s="113"/>
      <c r="Q87" s="113"/>
      <c r="R87" s="113"/>
      <c r="S87" s="113"/>
      <c r="T87" s="114"/>
      <c r="U87" s="114"/>
      <c r="V87" s="114"/>
      <c r="W87" s="114"/>
      <c r="X87" s="114"/>
      <c r="Y87" s="114"/>
      <c r="Z87" s="114"/>
      <c r="AA87" s="114"/>
      <c r="AB87" s="112"/>
      <c r="AC87" s="110">
        <f t="shared" si="44"/>
        <v>43525</v>
      </c>
      <c r="AD87" s="112">
        <f t="shared" si="48"/>
        <v>12.845219387803111</v>
      </c>
      <c r="AE87" s="112"/>
      <c r="AF87" s="112"/>
      <c r="AG87" s="112"/>
      <c r="AH87" s="112">
        <f t="shared" ref="AH87" si="61">AD87-AD84</f>
        <v>1.12898391157443</v>
      </c>
      <c r="AI87" s="112">
        <f t="shared" ref="AI87" si="62">(AD87/AD84-1)*100</f>
        <v>9.6360636815899561</v>
      </c>
    </row>
    <row r="88" spans="1:39" x14ac:dyDescent="0.2">
      <c r="A88" s="110">
        <v>43556</v>
      </c>
      <c r="B88" s="111">
        <v>167834</v>
      </c>
      <c r="C88" s="111">
        <v>106674</v>
      </c>
      <c r="D88" s="111">
        <v>93219</v>
      </c>
      <c r="E88" s="111">
        <v>13456</v>
      </c>
      <c r="F88" s="111">
        <v>61160</v>
      </c>
      <c r="G88" s="112">
        <f t="shared" si="43"/>
        <v>63.559231145060004</v>
      </c>
      <c r="H88" s="112">
        <f t="shared" si="45"/>
        <v>12.614132778371486</v>
      </c>
      <c r="K88" s="113"/>
      <c r="L88" s="113"/>
      <c r="M88" s="113"/>
      <c r="N88" s="113"/>
      <c r="O88" s="113"/>
      <c r="P88" s="113"/>
      <c r="Q88" s="113"/>
      <c r="R88" s="113"/>
      <c r="S88" s="113"/>
      <c r="T88" s="114"/>
      <c r="U88" s="114"/>
      <c r="V88" s="114"/>
      <c r="W88" s="114"/>
      <c r="X88" s="114"/>
      <c r="Y88" s="114"/>
      <c r="Z88" s="114"/>
      <c r="AA88" s="114"/>
      <c r="AB88" s="112"/>
      <c r="AC88" s="110">
        <f t="shared" si="44"/>
        <v>43556</v>
      </c>
      <c r="AD88" s="112">
        <f t="shared" si="48"/>
        <v>12.614132778371486</v>
      </c>
      <c r="AE88" s="112"/>
      <c r="AF88" s="112"/>
      <c r="AG88" s="112"/>
    </row>
    <row r="89" spans="1:39" x14ac:dyDescent="0.2">
      <c r="A89" s="110">
        <v>43586</v>
      </c>
      <c r="B89" s="111">
        <v>167982</v>
      </c>
      <c r="C89" s="111">
        <v>107027</v>
      </c>
      <c r="D89" s="111">
        <v>93761</v>
      </c>
      <c r="E89" s="111">
        <v>13266</v>
      </c>
      <c r="F89" s="111">
        <v>60955</v>
      </c>
      <c r="G89" s="112">
        <f t="shared" si="43"/>
        <v>63.713374051981766</v>
      </c>
      <c r="H89" s="112">
        <f t="shared" si="45"/>
        <v>12.395003130051295</v>
      </c>
      <c r="K89" s="113"/>
      <c r="L89" s="113"/>
      <c r="M89" s="113"/>
      <c r="N89" s="113"/>
      <c r="O89" s="113"/>
      <c r="P89" s="113"/>
      <c r="Q89" s="113"/>
      <c r="R89" s="113"/>
      <c r="S89" s="113"/>
      <c r="T89" s="114"/>
      <c r="U89" s="114"/>
      <c r="V89" s="114"/>
      <c r="W89" s="114"/>
      <c r="X89" s="114"/>
      <c r="Y89" s="114"/>
      <c r="Z89" s="114"/>
      <c r="AA89" s="114"/>
      <c r="AB89" s="112"/>
      <c r="AC89" s="110">
        <f t="shared" si="44"/>
        <v>43586</v>
      </c>
      <c r="AD89" s="112">
        <f t="shared" si="48"/>
        <v>12.395003130051295</v>
      </c>
      <c r="AE89" s="112"/>
      <c r="AF89" s="112"/>
      <c r="AG89" s="112"/>
    </row>
    <row r="90" spans="1:39" x14ac:dyDescent="0.2">
      <c r="A90" s="110">
        <v>43617</v>
      </c>
      <c r="B90" s="111">
        <v>168128</v>
      </c>
      <c r="C90" s="111">
        <v>107170</v>
      </c>
      <c r="D90" s="111">
        <v>94159</v>
      </c>
      <c r="E90" s="111">
        <v>13011</v>
      </c>
      <c r="F90" s="111">
        <v>60958</v>
      </c>
      <c r="G90" s="112">
        <f t="shared" si="43"/>
        <v>63.743100494861061</v>
      </c>
      <c r="H90" s="112">
        <f t="shared" si="45"/>
        <v>12.14052440048521</v>
      </c>
      <c r="K90" s="113"/>
      <c r="L90" s="113"/>
      <c r="M90" s="113"/>
      <c r="N90" s="113"/>
      <c r="O90" s="113"/>
      <c r="P90" s="113"/>
      <c r="Q90" s="113"/>
      <c r="R90" s="113"/>
      <c r="S90" s="113"/>
      <c r="T90" s="114"/>
      <c r="U90" s="114"/>
      <c r="V90" s="114"/>
      <c r="W90" s="114"/>
      <c r="X90" s="114"/>
      <c r="Y90" s="114"/>
      <c r="Z90" s="114"/>
      <c r="AA90" s="114"/>
      <c r="AB90" s="112"/>
      <c r="AC90" s="110">
        <f t="shared" si="44"/>
        <v>43617</v>
      </c>
      <c r="AD90" s="112">
        <f t="shared" si="48"/>
        <v>12.14052440048521</v>
      </c>
      <c r="AE90" s="112"/>
      <c r="AF90" s="112"/>
      <c r="AG90" s="112"/>
      <c r="AH90" s="112">
        <f t="shared" ref="AH90" si="63">AD90-AD87</f>
        <v>-0.70469498731790026</v>
      </c>
      <c r="AI90" s="112">
        <f t="shared" ref="AI90" si="64">(AD90/AD87-1)*100</f>
        <v>-5.4860486694919945</v>
      </c>
    </row>
    <row r="91" spans="1:39" x14ac:dyDescent="0.2">
      <c r="A91" s="110">
        <v>43647</v>
      </c>
      <c r="B91" s="111">
        <v>168276</v>
      </c>
      <c r="C91" s="111">
        <v>107207</v>
      </c>
      <c r="D91" s="111">
        <v>94395</v>
      </c>
      <c r="E91" s="111">
        <v>12812</v>
      </c>
      <c r="F91" s="111">
        <v>61069</v>
      </c>
      <c r="G91" s="112">
        <f t="shared" si="43"/>
        <v>63.709025648339633</v>
      </c>
      <c r="H91" s="112">
        <f t="shared" si="45"/>
        <v>11.950712173645378</v>
      </c>
      <c r="K91" s="113"/>
      <c r="L91" s="113"/>
      <c r="M91" s="113"/>
      <c r="N91" s="113"/>
      <c r="O91" s="113"/>
      <c r="P91" s="113"/>
      <c r="Q91" s="113"/>
      <c r="R91" s="113"/>
      <c r="S91" s="113"/>
      <c r="T91" s="114"/>
      <c r="U91" s="114"/>
      <c r="V91" s="114"/>
      <c r="W91" s="114"/>
      <c r="X91" s="114"/>
      <c r="Y91" s="114"/>
      <c r="Z91" s="114"/>
      <c r="AA91" s="114"/>
      <c r="AB91" s="112"/>
      <c r="AC91" s="110">
        <f t="shared" si="44"/>
        <v>43647</v>
      </c>
      <c r="AD91" s="112">
        <f t="shared" si="48"/>
        <v>11.950712173645378</v>
      </c>
      <c r="AE91" s="112"/>
      <c r="AF91" s="112"/>
      <c r="AG91" s="112"/>
    </row>
    <row r="92" spans="1:39" x14ac:dyDescent="0.2">
      <c r="A92" s="110">
        <v>43678</v>
      </c>
      <c r="B92" s="111">
        <v>168421</v>
      </c>
      <c r="C92" s="111">
        <v>107332</v>
      </c>
      <c r="D92" s="111">
        <v>94509</v>
      </c>
      <c r="E92" s="111">
        <v>12823</v>
      </c>
      <c r="F92" s="111">
        <v>61089</v>
      </c>
      <c r="G92" s="112">
        <f t="shared" si="43"/>
        <v>63.72839491512341</v>
      </c>
      <c r="H92" s="112">
        <f t="shared" si="45"/>
        <v>11.947042820407706</v>
      </c>
      <c r="K92" s="113"/>
      <c r="L92" s="113"/>
      <c r="M92" s="113"/>
      <c r="N92" s="113"/>
      <c r="O92" s="113"/>
      <c r="P92" s="113"/>
      <c r="Q92" s="113"/>
      <c r="R92" s="113"/>
      <c r="S92" s="113"/>
      <c r="T92" s="114"/>
      <c r="U92" s="114"/>
      <c r="V92" s="114"/>
      <c r="W92" s="114"/>
      <c r="X92" s="114"/>
      <c r="Y92" s="114"/>
      <c r="Z92" s="114"/>
      <c r="AA92" s="114"/>
      <c r="AB92" s="112"/>
      <c r="AC92" s="110">
        <f t="shared" si="44"/>
        <v>43678</v>
      </c>
      <c r="AD92" s="112">
        <f t="shared" si="48"/>
        <v>11.947042820407706</v>
      </c>
      <c r="AE92" s="112"/>
      <c r="AF92" s="112"/>
      <c r="AG92" s="112"/>
    </row>
    <row r="93" spans="1:39" x14ac:dyDescent="0.2">
      <c r="A93" s="110">
        <v>43709</v>
      </c>
      <c r="B93" s="111">
        <v>168565</v>
      </c>
      <c r="C93" s="111">
        <v>107535</v>
      </c>
      <c r="D93" s="111">
        <v>94737</v>
      </c>
      <c r="E93" s="111">
        <v>12798</v>
      </c>
      <c r="F93" s="111">
        <v>61030</v>
      </c>
      <c r="G93" s="112">
        <f t="shared" si="43"/>
        <v>63.794381989143659</v>
      </c>
      <c r="H93" s="112">
        <f t="shared" si="45"/>
        <v>11.901241456270052</v>
      </c>
      <c r="K93" s="113"/>
      <c r="L93" s="113"/>
      <c r="M93" s="113"/>
      <c r="N93" s="113"/>
      <c r="O93" s="113"/>
      <c r="P93" s="113"/>
      <c r="Q93" s="113"/>
      <c r="R93" s="113"/>
      <c r="S93" s="113"/>
      <c r="T93" s="114"/>
      <c r="U93" s="114"/>
      <c r="V93" s="114"/>
      <c r="W93" s="114"/>
      <c r="X93" s="114"/>
      <c r="Y93" s="114"/>
      <c r="Z93" s="114"/>
      <c r="AA93" s="114"/>
      <c r="AB93" s="112"/>
      <c r="AC93" s="110">
        <f t="shared" si="44"/>
        <v>43709</v>
      </c>
      <c r="AD93" s="112">
        <f t="shared" si="48"/>
        <v>11.901241456270052</v>
      </c>
      <c r="AE93" s="112"/>
      <c r="AF93" s="112"/>
      <c r="AG93" s="112"/>
      <c r="AH93" s="112">
        <f t="shared" ref="AH93" si="65">AD93-AD90</f>
        <v>-0.23928294421515872</v>
      </c>
      <c r="AI93" s="112">
        <f t="shared" ref="AI93" si="66">(AD93/AD90-1)*100</f>
        <v>-1.9709440574543491</v>
      </c>
    </row>
    <row r="94" spans="1:39" x14ac:dyDescent="0.2">
      <c r="A94" s="110">
        <v>43739</v>
      </c>
      <c r="B94" s="111">
        <v>168710</v>
      </c>
      <c r="C94" s="111">
        <v>107699</v>
      </c>
      <c r="D94" s="111">
        <v>95042</v>
      </c>
      <c r="E94" s="111">
        <v>12657</v>
      </c>
      <c r="F94" s="111">
        <v>61011</v>
      </c>
      <c r="G94" s="112">
        <f t="shared" si="43"/>
        <v>63.836761306383735</v>
      </c>
      <c r="H94" s="112">
        <f t="shared" si="45"/>
        <v>11.752198256251219</v>
      </c>
      <c r="K94" s="113"/>
      <c r="L94" s="113"/>
      <c r="M94" s="113"/>
      <c r="N94" s="113"/>
      <c r="O94" s="113"/>
      <c r="P94" s="113"/>
      <c r="Q94" s="113"/>
      <c r="R94" s="113"/>
      <c r="S94" s="113"/>
      <c r="T94" s="114"/>
      <c r="U94" s="114"/>
      <c r="V94" s="114"/>
      <c r="W94" s="114"/>
      <c r="X94" s="114"/>
      <c r="Y94" s="114"/>
      <c r="Z94" s="114"/>
      <c r="AA94" s="114"/>
      <c r="AB94" s="112"/>
      <c r="AC94" s="110">
        <f t="shared" si="44"/>
        <v>43739</v>
      </c>
      <c r="AD94" s="112">
        <f t="shared" si="48"/>
        <v>11.752198256251219</v>
      </c>
      <c r="AE94" s="112"/>
      <c r="AF94" s="112"/>
      <c r="AG94" s="112"/>
    </row>
    <row r="95" spans="1:39" x14ac:dyDescent="0.2">
      <c r="A95" s="110">
        <v>43770</v>
      </c>
      <c r="B95" s="111">
        <v>168853</v>
      </c>
      <c r="C95" s="111">
        <v>107550</v>
      </c>
      <c r="D95" s="111">
        <v>95410</v>
      </c>
      <c r="E95" s="111">
        <v>12140</v>
      </c>
      <c r="F95" s="111">
        <v>61303</v>
      </c>
      <c r="G95" s="112">
        <f t="shared" si="43"/>
        <v>63.694456124558052</v>
      </c>
      <c r="H95" s="112">
        <f t="shared" si="45"/>
        <v>11.287773128777314</v>
      </c>
      <c r="K95" s="113"/>
      <c r="L95" s="113"/>
      <c r="M95" s="113"/>
      <c r="N95" s="113"/>
      <c r="O95" s="113"/>
      <c r="P95" s="113"/>
      <c r="Q95" s="113"/>
      <c r="R95" s="113"/>
      <c r="S95" s="113"/>
      <c r="T95" s="114"/>
      <c r="U95" s="114"/>
      <c r="V95" s="114"/>
      <c r="W95" s="114"/>
      <c r="X95" s="114"/>
      <c r="Y95" s="114"/>
      <c r="Z95" s="114"/>
      <c r="AA95" s="114"/>
      <c r="AB95" s="112"/>
      <c r="AC95" s="110">
        <f t="shared" si="44"/>
        <v>43770</v>
      </c>
      <c r="AD95" s="112">
        <f t="shared" si="48"/>
        <v>11.287773128777314</v>
      </c>
      <c r="AE95" s="112"/>
      <c r="AF95" s="112"/>
      <c r="AG95" s="112"/>
    </row>
    <row r="96" spans="1:39" x14ac:dyDescent="0.2">
      <c r="A96" s="110">
        <v>43800</v>
      </c>
      <c r="B96" s="111">
        <v>168997</v>
      </c>
      <c r="C96" s="111">
        <v>107418</v>
      </c>
      <c r="D96" s="111">
        <v>95515</v>
      </c>
      <c r="E96" s="111">
        <v>11903</v>
      </c>
      <c r="F96" s="111">
        <v>61579</v>
      </c>
      <c r="G96" s="112">
        <f t="shared" si="43"/>
        <v>63.562075066421301</v>
      </c>
      <c r="H96" s="112">
        <f t="shared" si="45"/>
        <v>11.08101063136532</v>
      </c>
      <c r="K96" s="113"/>
      <c r="L96" s="113"/>
      <c r="M96" s="113"/>
      <c r="N96" s="113"/>
      <c r="O96" s="113"/>
      <c r="P96" s="113"/>
      <c r="Q96" s="113"/>
      <c r="R96" s="113"/>
      <c r="S96" s="113"/>
      <c r="T96" s="114"/>
      <c r="U96" s="114"/>
      <c r="V96" s="114"/>
      <c r="W96" s="114"/>
      <c r="X96" s="114"/>
      <c r="Y96" s="114"/>
      <c r="Z96" s="114"/>
      <c r="AA96" s="114"/>
      <c r="AB96" s="112"/>
      <c r="AC96" s="110">
        <f t="shared" si="44"/>
        <v>43800</v>
      </c>
      <c r="AD96" s="112">
        <f t="shared" si="48"/>
        <v>11.08101063136532</v>
      </c>
      <c r="AE96" s="112">
        <f t="shared" ref="AE96" si="67">AVERAGE(AD96,AD93,AD90,AD87)</f>
        <v>11.991998968980925</v>
      </c>
      <c r="AF96" s="112"/>
      <c r="AG96" s="112"/>
      <c r="AH96" s="112">
        <f t="shared" ref="AH96" si="68">AD96-AD93</f>
        <v>-0.82023082490473165</v>
      </c>
      <c r="AI96" s="112">
        <f t="shared" ref="AI96" si="69">(AD96/AD93-1)*100</f>
        <v>-6.8919770086052772</v>
      </c>
      <c r="AM96" s="112"/>
    </row>
    <row r="97" spans="1:39" x14ac:dyDescent="0.2">
      <c r="A97" s="110">
        <v>43831</v>
      </c>
      <c r="B97" s="111">
        <v>169139</v>
      </c>
      <c r="C97" s="111">
        <v>107307</v>
      </c>
      <c r="D97" s="111">
        <v>95123</v>
      </c>
      <c r="E97" s="111">
        <v>12184</v>
      </c>
      <c r="F97" s="111">
        <v>61832</v>
      </c>
      <c r="G97" s="112">
        <f t="shared" si="43"/>
        <v>63.443085273059438</v>
      </c>
      <c r="H97" s="112">
        <f t="shared" si="45"/>
        <v>11.354338486771599</v>
      </c>
      <c r="K97" s="113"/>
      <c r="L97" s="113"/>
      <c r="M97" s="113"/>
      <c r="N97" s="113"/>
      <c r="O97" s="113"/>
      <c r="P97" s="113"/>
      <c r="Q97" s="113"/>
      <c r="R97" s="113"/>
      <c r="S97" s="113"/>
      <c r="T97" s="114"/>
      <c r="U97" s="114"/>
      <c r="V97" s="114"/>
      <c r="W97" s="114"/>
      <c r="X97" s="114"/>
      <c r="Y97" s="114"/>
      <c r="Z97" s="114"/>
      <c r="AA97" s="114"/>
      <c r="AB97" s="112"/>
      <c r="AC97" s="110">
        <f t="shared" si="44"/>
        <v>43831</v>
      </c>
      <c r="AD97" s="112">
        <f t="shared" si="48"/>
        <v>11.354338486771599</v>
      </c>
      <c r="AE97" s="112"/>
      <c r="AF97" s="112"/>
      <c r="AG97" s="112"/>
    </row>
    <row r="98" spans="1:39" x14ac:dyDescent="0.2">
      <c r="A98" s="110">
        <v>43862</v>
      </c>
      <c r="B98" s="111">
        <v>169283</v>
      </c>
      <c r="C98" s="111">
        <v>107283</v>
      </c>
      <c r="D98" s="111">
        <v>94675</v>
      </c>
      <c r="E98" s="111">
        <v>12609</v>
      </c>
      <c r="F98" s="111">
        <v>62000</v>
      </c>
      <c r="G98" s="112">
        <f t="shared" si="43"/>
        <v>63.374940188914422</v>
      </c>
      <c r="H98" s="112">
        <f t="shared" si="45"/>
        <v>11.753027040630855</v>
      </c>
      <c r="K98" s="113"/>
      <c r="L98" s="113"/>
      <c r="M98" s="113"/>
      <c r="N98" s="113"/>
      <c r="O98" s="113"/>
      <c r="P98" s="113"/>
      <c r="Q98" s="113"/>
      <c r="R98" s="113"/>
      <c r="S98" s="113"/>
      <c r="T98" s="114"/>
      <c r="U98" s="114"/>
      <c r="V98" s="114"/>
      <c r="W98" s="114"/>
      <c r="X98" s="114"/>
      <c r="Y98" s="114"/>
      <c r="Z98" s="114"/>
      <c r="AA98" s="114"/>
      <c r="AB98" s="112"/>
      <c r="AC98" s="110">
        <f t="shared" si="44"/>
        <v>43862</v>
      </c>
      <c r="AD98" s="112">
        <f t="shared" si="48"/>
        <v>11.753027040630855</v>
      </c>
      <c r="AE98" s="112"/>
      <c r="AF98" s="112"/>
      <c r="AG98" s="112"/>
    </row>
    <row r="99" spans="1:39" x14ac:dyDescent="0.2">
      <c r="A99" s="110">
        <v>43891</v>
      </c>
      <c r="B99" s="111">
        <v>169427</v>
      </c>
      <c r="C99" s="111">
        <v>106263</v>
      </c>
      <c r="D99" s="111">
        <v>93115</v>
      </c>
      <c r="E99" s="111">
        <v>13148</v>
      </c>
      <c r="F99" s="111">
        <v>63164</v>
      </c>
      <c r="G99" s="112">
        <f t="shared" si="43"/>
        <v>62.719047141246676</v>
      </c>
      <c r="H99" s="112">
        <f t="shared" si="45"/>
        <v>12.373074353255602</v>
      </c>
      <c r="K99" s="113"/>
      <c r="L99" s="113"/>
      <c r="M99" s="113"/>
      <c r="N99" s="113"/>
      <c r="O99" s="113"/>
      <c r="P99" s="113"/>
      <c r="Q99" s="113"/>
      <c r="R99" s="113"/>
      <c r="S99" s="113"/>
      <c r="T99" s="114"/>
      <c r="U99" s="114"/>
      <c r="V99" s="114"/>
      <c r="W99" s="114"/>
      <c r="X99" s="114"/>
      <c r="Y99" s="114"/>
      <c r="Z99" s="114"/>
      <c r="AA99" s="114"/>
      <c r="AB99" s="112"/>
      <c r="AC99" s="110">
        <f t="shared" si="44"/>
        <v>43891</v>
      </c>
      <c r="AD99" s="112">
        <f t="shared" si="48"/>
        <v>12.373074353255602</v>
      </c>
      <c r="AE99" s="112"/>
      <c r="AF99" s="112"/>
      <c r="AG99" s="112"/>
      <c r="AH99" s="112">
        <f t="shared" ref="AH99" si="70">AD99-AD96</f>
        <v>1.2920637218902815</v>
      </c>
      <c r="AI99" s="112">
        <f t="shared" ref="AI99" si="71">(AD99/AD96-1)*100</f>
        <v>11.660161377636747</v>
      </c>
    </row>
    <row r="100" spans="1:39" x14ac:dyDescent="0.2">
      <c r="A100" s="110">
        <v>43922</v>
      </c>
      <c r="B100" s="111">
        <v>169568</v>
      </c>
      <c r="C100" s="111">
        <v>103296</v>
      </c>
      <c r="D100" s="111">
        <v>90136</v>
      </c>
      <c r="E100" s="111">
        <v>13160</v>
      </c>
      <c r="F100" s="111">
        <v>66272</v>
      </c>
      <c r="G100" s="112">
        <f t="shared" si="43"/>
        <v>60.917154180033975</v>
      </c>
      <c r="H100" s="112">
        <f t="shared" si="45"/>
        <v>12.74008674101611</v>
      </c>
      <c r="K100" s="113"/>
      <c r="L100" s="113"/>
      <c r="M100" s="113"/>
      <c r="N100" s="113"/>
      <c r="O100" s="113"/>
      <c r="P100" s="113"/>
      <c r="Q100" s="113"/>
      <c r="R100" s="113"/>
      <c r="S100" s="113"/>
      <c r="T100" s="114"/>
      <c r="U100" s="114"/>
      <c r="V100" s="114"/>
      <c r="W100" s="114"/>
      <c r="X100" s="114"/>
      <c r="Y100" s="114"/>
      <c r="Z100" s="114"/>
      <c r="AA100" s="114"/>
      <c r="AB100" s="112"/>
      <c r="AC100" s="110">
        <f t="shared" si="44"/>
        <v>43922</v>
      </c>
      <c r="AD100" s="112">
        <f t="shared" si="48"/>
        <v>12.74008674101611</v>
      </c>
      <c r="AE100" s="112"/>
      <c r="AF100" s="112"/>
      <c r="AG100" s="112"/>
    </row>
    <row r="101" spans="1:39" x14ac:dyDescent="0.2">
      <c r="A101" s="110">
        <v>43952</v>
      </c>
      <c r="B101" s="111">
        <v>169711</v>
      </c>
      <c r="C101" s="111">
        <v>99800</v>
      </c>
      <c r="D101" s="111">
        <v>86714</v>
      </c>
      <c r="E101" s="111">
        <v>13087</v>
      </c>
      <c r="F101" s="111">
        <v>69910</v>
      </c>
      <c r="G101" s="112">
        <f t="shared" si="43"/>
        <v>58.80585230185433</v>
      </c>
      <c r="H101" s="112">
        <f t="shared" si="45"/>
        <v>13.113226452905813</v>
      </c>
      <c r="K101" s="113"/>
      <c r="L101" s="113"/>
      <c r="M101" s="113"/>
      <c r="N101" s="113"/>
      <c r="O101" s="113"/>
      <c r="P101" s="113"/>
      <c r="Q101" s="113"/>
      <c r="R101" s="113"/>
      <c r="S101" s="113"/>
      <c r="T101" s="114"/>
      <c r="U101" s="114"/>
      <c r="V101" s="114"/>
      <c r="W101" s="114"/>
      <c r="X101" s="114"/>
      <c r="Y101" s="114"/>
      <c r="Z101" s="114"/>
      <c r="AA101" s="114"/>
      <c r="AB101" s="112"/>
      <c r="AC101" s="110">
        <f t="shared" si="44"/>
        <v>43952</v>
      </c>
      <c r="AD101" s="112">
        <f t="shared" si="48"/>
        <v>13.113226452905813</v>
      </c>
      <c r="AE101" s="112"/>
      <c r="AF101" s="112"/>
      <c r="AG101" s="112"/>
    </row>
    <row r="102" spans="1:39" x14ac:dyDescent="0.2">
      <c r="A102" s="110">
        <v>43983</v>
      </c>
      <c r="B102" s="111">
        <v>169852</v>
      </c>
      <c r="C102" s="111">
        <v>97279</v>
      </c>
      <c r="D102" s="111">
        <v>84051</v>
      </c>
      <c r="E102" s="111">
        <v>13228</v>
      </c>
      <c r="F102" s="111">
        <v>72573</v>
      </c>
      <c r="G102" s="112">
        <f t="shared" si="43"/>
        <v>57.272802204271954</v>
      </c>
      <c r="H102" s="112">
        <f t="shared" si="45"/>
        <v>13.598001624194328</v>
      </c>
      <c r="K102" s="113"/>
      <c r="L102" s="113"/>
      <c r="M102" s="113"/>
      <c r="N102" s="113"/>
      <c r="O102" s="113"/>
      <c r="P102" s="113"/>
      <c r="Q102" s="113"/>
      <c r="R102" s="113"/>
      <c r="S102" s="113"/>
      <c r="T102" s="114"/>
      <c r="U102" s="114"/>
      <c r="V102" s="114"/>
      <c r="W102" s="114"/>
      <c r="X102" s="114"/>
      <c r="Y102" s="114"/>
      <c r="Z102" s="114"/>
      <c r="AA102" s="114"/>
      <c r="AB102" s="112"/>
      <c r="AC102" s="110">
        <f t="shared" si="44"/>
        <v>43983</v>
      </c>
      <c r="AD102" s="112">
        <f t="shared" si="48"/>
        <v>13.598001624194328</v>
      </c>
      <c r="AE102" s="112"/>
      <c r="AF102" s="112"/>
      <c r="AG102" s="112"/>
      <c r="AH102" s="112">
        <f t="shared" ref="AH102" si="72">AD102-AD99</f>
        <v>1.2249272709387267</v>
      </c>
      <c r="AI102" s="112">
        <f t="shared" ref="AI102" si="73">(AD102/AD99-1)*100</f>
        <v>9.8999426978827021</v>
      </c>
    </row>
    <row r="103" spans="1:39" x14ac:dyDescent="0.2">
      <c r="A103" s="110">
        <v>44013</v>
      </c>
      <c r="B103" s="111">
        <v>169995</v>
      </c>
      <c r="C103" s="111">
        <v>96314</v>
      </c>
      <c r="D103" s="111">
        <v>82725</v>
      </c>
      <c r="E103" s="111">
        <v>13588</v>
      </c>
      <c r="F103" s="111">
        <v>73681</v>
      </c>
      <c r="G103" s="112">
        <f t="shared" si="43"/>
        <v>56.656960498838203</v>
      </c>
      <c r="H103" s="112">
        <f t="shared" si="45"/>
        <v>14.108021679091307</v>
      </c>
      <c r="K103" s="113"/>
      <c r="L103" s="113"/>
      <c r="M103" s="113"/>
      <c r="N103" s="113"/>
      <c r="O103" s="113"/>
      <c r="P103" s="113"/>
      <c r="Q103" s="113"/>
      <c r="R103" s="113"/>
      <c r="S103" s="113"/>
      <c r="T103" s="114"/>
      <c r="U103" s="114"/>
      <c r="V103" s="114"/>
      <c r="W103" s="114"/>
      <c r="X103" s="114"/>
      <c r="Y103" s="114"/>
      <c r="Z103" s="114"/>
      <c r="AA103" s="114"/>
      <c r="AB103" s="112"/>
      <c r="AC103" s="110">
        <f t="shared" si="44"/>
        <v>44013</v>
      </c>
      <c r="AD103" s="112">
        <f t="shared" si="48"/>
        <v>14.108021679091307</v>
      </c>
      <c r="AE103" s="112"/>
      <c r="AF103" s="112"/>
      <c r="AG103" s="112"/>
    </row>
    <row r="104" spans="1:39" x14ac:dyDescent="0.2">
      <c r="A104" s="110">
        <v>44044</v>
      </c>
      <c r="B104" s="111">
        <v>170134</v>
      </c>
      <c r="C104" s="111">
        <v>96908</v>
      </c>
      <c r="D104" s="111">
        <v>82590</v>
      </c>
      <c r="E104" s="111">
        <v>14319</v>
      </c>
      <c r="F104" s="111">
        <v>73226</v>
      </c>
      <c r="G104" s="112">
        <f t="shared" si="43"/>
        <v>56.959808151221978</v>
      </c>
      <c r="H104" s="112">
        <f t="shared" si="45"/>
        <v>14.775869897222108</v>
      </c>
      <c r="K104" s="113"/>
      <c r="L104" s="113"/>
      <c r="M104" s="113"/>
      <c r="N104" s="113"/>
      <c r="O104" s="113"/>
      <c r="P104" s="113"/>
      <c r="Q104" s="113"/>
      <c r="R104" s="113"/>
      <c r="S104" s="113"/>
      <c r="T104" s="114"/>
      <c r="U104" s="114"/>
      <c r="V104" s="114"/>
      <c r="W104" s="114"/>
      <c r="X104" s="114"/>
      <c r="Y104" s="114"/>
      <c r="Z104" s="114"/>
      <c r="AA104" s="114"/>
      <c r="AB104" s="112"/>
      <c r="AC104" s="110">
        <f t="shared" si="44"/>
        <v>44044</v>
      </c>
      <c r="AD104" s="112">
        <f t="shared" si="48"/>
        <v>14.775869897222108</v>
      </c>
      <c r="AE104" s="112"/>
      <c r="AF104" s="112"/>
      <c r="AG104" s="112"/>
    </row>
    <row r="105" spans="1:39" x14ac:dyDescent="0.2">
      <c r="A105" s="110">
        <v>44075</v>
      </c>
      <c r="B105" s="111">
        <v>170270</v>
      </c>
      <c r="C105" s="111">
        <v>98037</v>
      </c>
      <c r="D105" s="111">
        <v>83439</v>
      </c>
      <c r="E105" s="111">
        <v>14598</v>
      </c>
      <c r="F105" s="111">
        <v>72234</v>
      </c>
      <c r="G105" s="112">
        <f t="shared" si="43"/>
        <v>57.577377106947793</v>
      </c>
      <c r="H105" s="112">
        <f t="shared" si="45"/>
        <v>14.890296520701368</v>
      </c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2"/>
      <c r="AC105" s="110">
        <f t="shared" si="44"/>
        <v>44075</v>
      </c>
      <c r="AD105" s="112">
        <f t="shared" si="48"/>
        <v>14.890296520701368</v>
      </c>
      <c r="AE105" s="112"/>
      <c r="AF105" s="112"/>
      <c r="AG105" s="112"/>
      <c r="AH105" s="112">
        <f t="shared" ref="AH105" si="74">AD105-AD102</f>
        <v>1.2922948965070393</v>
      </c>
      <c r="AI105" s="112">
        <f t="shared" ref="AI105" si="75">(AD105/AD102-1)*100</f>
        <v>9.503564804755694</v>
      </c>
    </row>
    <row r="106" spans="1:39" x14ac:dyDescent="0.2">
      <c r="A106" s="110">
        <v>44105</v>
      </c>
      <c r="B106" s="111">
        <v>170407</v>
      </c>
      <c r="C106" s="111">
        <v>99842</v>
      </c>
      <c r="D106" s="111">
        <v>85284</v>
      </c>
      <c r="E106" s="111">
        <v>14558</v>
      </c>
      <c r="F106" s="111">
        <v>70565</v>
      </c>
      <c r="G106" s="112">
        <f t="shared" si="43"/>
        <v>58.590316125511279</v>
      </c>
      <c r="H106" s="112">
        <f t="shared" si="45"/>
        <v>14.581038040103364</v>
      </c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2"/>
      <c r="AC106" s="110">
        <f t="shared" si="44"/>
        <v>44105</v>
      </c>
      <c r="AD106" s="112">
        <f t="shared" si="48"/>
        <v>14.581038040103364</v>
      </c>
      <c r="AE106" s="112"/>
      <c r="AF106" s="112"/>
      <c r="AG106" s="112"/>
    </row>
    <row r="107" spans="1:39" x14ac:dyDescent="0.2">
      <c r="A107" s="110">
        <v>44136</v>
      </c>
      <c r="B107" s="111">
        <v>170542</v>
      </c>
      <c r="C107" s="111">
        <v>101087</v>
      </c>
      <c r="D107" s="111">
        <v>86573</v>
      </c>
      <c r="E107" s="111">
        <v>14514</v>
      </c>
      <c r="F107" s="111">
        <v>69456</v>
      </c>
      <c r="G107" s="112">
        <f t="shared" si="43"/>
        <v>59.273961839312307</v>
      </c>
      <c r="H107" s="112">
        <f t="shared" si="45"/>
        <v>14.357929308417502</v>
      </c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2"/>
      <c r="AC107" s="110">
        <f t="shared" si="44"/>
        <v>44136</v>
      </c>
      <c r="AD107" s="112">
        <f t="shared" si="48"/>
        <v>14.357929308417502</v>
      </c>
      <c r="AE107" s="112"/>
      <c r="AF107" s="112"/>
      <c r="AG107" s="112"/>
    </row>
    <row r="108" spans="1:39" x14ac:dyDescent="0.2">
      <c r="A108" s="110">
        <v>44166</v>
      </c>
      <c r="B108" s="111">
        <v>170678</v>
      </c>
      <c r="C108" s="111">
        <v>101637</v>
      </c>
      <c r="D108" s="111">
        <v>87225</v>
      </c>
      <c r="E108" s="111">
        <v>14412</v>
      </c>
      <c r="F108" s="111">
        <v>69042</v>
      </c>
      <c r="G108" s="112">
        <f t="shared" si="43"/>
        <v>59.548975263361413</v>
      </c>
      <c r="H108" s="112">
        <f t="shared" si="45"/>
        <v>14.179875439062545</v>
      </c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2"/>
      <c r="AC108" s="110">
        <f t="shared" si="44"/>
        <v>44166</v>
      </c>
      <c r="AD108" s="112">
        <f t="shared" si="48"/>
        <v>14.179875439062545</v>
      </c>
      <c r="AE108" s="112">
        <f t="shared" ref="AE108" si="76">AVERAGE(AD108,AD105,AD102,AD99)</f>
        <v>13.76031198430346</v>
      </c>
      <c r="AF108" s="112"/>
      <c r="AG108" s="112"/>
      <c r="AH108" s="112">
        <f t="shared" ref="AH108" si="77">AD108-AD105</f>
        <v>-0.71042108163882212</v>
      </c>
      <c r="AI108" s="112">
        <f t="shared" ref="AI108" si="78">(AD108/AD105-1)*100</f>
        <v>-4.77103381152385</v>
      </c>
      <c r="AM108" s="112"/>
    </row>
    <row r="109" spans="1:39" x14ac:dyDescent="0.2">
      <c r="A109" s="110">
        <v>44197</v>
      </c>
      <c r="B109" s="111">
        <v>170813</v>
      </c>
      <c r="C109" s="111">
        <v>101958</v>
      </c>
      <c r="D109" s="111">
        <v>87214</v>
      </c>
      <c r="E109" s="111">
        <v>14744</v>
      </c>
      <c r="F109" s="111">
        <v>68855</v>
      </c>
      <c r="G109" s="112">
        <f t="shared" si="43"/>
        <v>59.68983625368093</v>
      </c>
      <c r="H109" s="112">
        <f t="shared" si="45"/>
        <v>14.460856431079463</v>
      </c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2"/>
      <c r="AC109" s="110">
        <f t="shared" si="44"/>
        <v>44197</v>
      </c>
      <c r="AD109" s="112">
        <f t="shared" si="48"/>
        <v>14.460856431079463</v>
      </c>
      <c r="AE109" s="112"/>
      <c r="AF109" s="112"/>
      <c r="AG109" s="112"/>
    </row>
    <row r="110" spans="1:39" x14ac:dyDescent="0.2">
      <c r="A110" s="110">
        <v>44228</v>
      </c>
      <c r="B110" s="111">
        <v>170949</v>
      </c>
      <c r="C110" s="111">
        <v>102217</v>
      </c>
      <c r="D110" s="111">
        <v>87285</v>
      </c>
      <c r="E110" s="111">
        <v>14932</v>
      </c>
      <c r="F110" s="111">
        <v>68732</v>
      </c>
      <c r="G110" s="112">
        <f t="shared" si="43"/>
        <v>59.793856647304167</v>
      </c>
      <c r="H110" s="112">
        <f t="shared" si="45"/>
        <v>14.608137589637732</v>
      </c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2"/>
      <c r="AC110" s="110">
        <f t="shared" si="44"/>
        <v>44228</v>
      </c>
      <c r="AD110" s="112">
        <f t="shared" si="48"/>
        <v>14.608137589637732</v>
      </c>
      <c r="AE110" s="112"/>
      <c r="AF110" s="112"/>
      <c r="AG110" s="112"/>
    </row>
    <row r="111" spans="1:39" x14ac:dyDescent="0.2">
      <c r="A111" s="110">
        <v>44256</v>
      </c>
      <c r="B111" s="111">
        <v>171084</v>
      </c>
      <c r="C111" s="111">
        <v>102339</v>
      </c>
      <c r="D111" s="111">
        <v>87082</v>
      </c>
      <c r="E111" s="111">
        <v>15257</v>
      </c>
      <c r="F111" s="111">
        <v>68746</v>
      </c>
      <c r="G111" s="112">
        <f t="shared" si="43"/>
        <v>59.817984148137761</v>
      </c>
      <c r="H111" s="112">
        <f t="shared" si="45"/>
        <v>14.908294980408252</v>
      </c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5"/>
      <c r="AC111" s="110">
        <f t="shared" si="44"/>
        <v>44256</v>
      </c>
      <c r="AD111" s="112">
        <f t="shared" si="48"/>
        <v>14.908294980408252</v>
      </c>
      <c r="AE111" s="112"/>
      <c r="AF111" s="112"/>
      <c r="AG111" s="115"/>
      <c r="AH111" s="112">
        <f t="shared" ref="AH111" si="79">AD111-AD108</f>
        <v>0.72841954134570663</v>
      </c>
      <c r="AI111" s="112">
        <f t="shared" ref="AI111" si="80">(AD111/AD108-1)*100</f>
        <v>5.1369953458058282</v>
      </c>
    </row>
    <row r="112" spans="1:39" x14ac:dyDescent="0.2">
      <c r="A112" s="110">
        <v>44287</v>
      </c>
      <c r="B112" s="111">
        <v>171217</v>
      </c>
      <c r="C112" s="111">
        <v>102665</v>
      </c>
      <c r="D112" s="111">
        <v>87475</v>
      </c>
      <c r="E112" s="111">
        <v>15189</v>
      </c>
      <c r="F112" s="111">
        <v>68552</v>
      </c>
      <c r="G112" s="112">
        <f t="shared" si="43"/>
        <v>59.96191966919173</v>
      </c>
      <c r="H112" s="112">
        <f t="shared" si="45"/>
        <v>14.794720693517752</v>
      </c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2"/>
      <c r="AC112" s="110">
        <f t="shared" si="44"/>
        <v>44287</v>
      </c>
      <c r="AD112" s="112">
        <f t="shared" si="48"/>
        <v>14.794720693517752</v>
      </c>
      <c r="AE112" s="112"/>
      <c r="AF112" s="112"/>
      <c r="AG112" s="112"/>
    </row>
    <row r="113" spans="1:39" x14ac:dyDescent="0.2">
      <c r="A113" s="110">
        <v>44317</v>
      </c>
      <c r="B113" s="111">
        <v>171352</v>
      </c>
      <c r="C113" s="111">
        <v>103376</v>
      </c>
      <c r="D113" s="111">
        <v>88151</v>
      </c>
      <c r="E113" s="111">
        <v>15225</v>
      </c>
      <c r="F113" s="111">
        <v>67975</v>
      </c>
      <c r="G113" s="112">
        <f t="shared" si="43"/>
        <v>60.329613894206076</v>
      </c>
      <c r="H113" s="112">
        <f t="shared" si="45"/>
        <v>14.727789815817985</v>
      </c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2"/>
      <c r="AC113" s="110">
        <f t="shared" si="44"/>
        <v>44317</v>
      </c>
      <c r="AD113" s="112">
        <f t="shared" si="48"/>
        <v>14.727789815817985</v>
      </c>
      <c r="AE113" s="112"/>
      <c r="AF113" s="112"/>
      <c r="AG113" s="112"/>
    </row>
    <row r="114" spans="1:39" x14ac:dyDescent="0.2">
      <c r="A114" s="110">
        <v>44348</v>
      </c>
      <c r="B114" s="111">
        <v>171485</v>
      </c>
      <c r="C114" s="111">
        <v>104216</v>
      </c>
      <c r="D114" s="111">
        <v>89384</v>
      </c>
      <c r="E114" s="111">
        <v>14832</v>
      </c>
      <c r="F114" s="111">
        <v>67270</v>
      </c>
      <c r="G114" s="112">
        <f t="shared" si="43"/>
        <v>60.772662331982389</v>
      </c>
      <c r="H114" s="112">
        <f t="shared" si="45"/>
        <v>14.23197973439779</v>
      </c>
      <c r="I114" s="9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2"/>
      <c r="AC114" s="110">
        <f t="shared" si="44"/>
        <v>44348</v>
      </c>
      <c r="AD114" s="112">
        <f>H114</f>
        <v>14.23197973439779</v>
      </c>
      <c r="AE114" s="112"/>
      <c r="AF114" s="112"/>
      <c r="AG114" s="112"/>
      <c r="AH114" s="112">
        <f t="shared" ref="AH114" si="81">AD114-AD111</f>
        <v>-0.67631524601046245</v>
      </c>
      <c r="AI114" s="112">
        <f t="shared" ref="AI114" si="82">(AD114/AD111-1)*100</f>
        <v>-4.536502979711921</v>
      </c>
    </row>
    <row r="115" spans="1:39" x14ac:dyDescent="0.2">
      <c r="A115" s="110">
        <v>44378</v>
      </c>
      <c r="B115" s="111">
        <v>171620</v>
      </c>
      <c r="C115" s="111">
        <v>105073</v>
      </c>
      <c r="D115" s="111">
        <v>90666</v>
      </c>
      <c r="E115" s="111">
        <v>14407</v>
      </c>
      <c r="F115" s="111">
        <v>66547</v>
      </c>
      <c r="G115" s="112">
        <f t="shared" si="43"/>
        <v>61.22421629180748</v>
      </c>
      <c r="H115" s="112">
        <f t="shared" si="45"/>
        <v>13.711419679651291</v>
      </c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2"/>
      <c r="AC115" s="110">
        <f t="shared" si="44"/>
        <v>44378</v>
      </c>
      <c r="AD115" s="112">
        <f>H115</f>
        <v>13.711419679651291</v>
      </c>
      <c r="AE115" s="112"/>
      <c r="AF115" s="112"/>
      <c r="AG115" s="112"/>
    </row>
    <row r="116" spans="1:39" x14ac:dyDescent="0.2">
      <c r="A116" s="110">
        <v>44409</v>
      </c>
      <c r="B116" s="111">
        <v>171753</v>
      </c>
      <c r="C116" s="111">
        <v>105599</v>
      </c>
      <c r="D116" s="111">
        <v>91725</v>
      </c>
      <c r="E116" s="111">
        <v>13874</v>
      </c>
      <c r="F116" s="111">
        <v>66154</v>
      </c>
      <c r="G116" s="112">
        <f t="shared" si="43"/>
        <v>61.483059975662727</v>
      </c>
      <c r="H116" s="112">
        <f t="shared" si="45"/>
        <v>13.138381992253715</v>
      </c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2"/>
      <c r="AC116" s="110">
        <f t="shared" si="44"/>
        <v>44409</v>
      </c>
      <c r="AD116" s="112">
        <f t="shared" ref="AD116:AD129" si="83">H116</f>
        <v>13.138381992253715</v>
      </c>
      <c r="AE116" s="112"/>
      <c r="AF116" s="112"/>
      <c r="AG116" s="112"/>
    </row>
    <row r="117" spans="1:39" x14ac:dyDescent="0.2">
      <c r="A117" s="110">
        <v>44440</v>
      </c>
      <c r="B117" s="111">
        <v>171886</v>
      </c>
      <c r="C117" s="111">
        <v>106430</v>
      </c>
      <c r="D117" s="111">
        <v>92976</v>
      </c>
      <c r="E117" s="111">
        <v>13453</v>
      </c>
      <c r="F117" s="111">
        <v>65456</v>
      </c>
      <c r="G117" s="112">
        <f t="shared" si="43"/>
        <v>61.918946278347278</v>
      </c>
      <c r="H117" s="112">
        <f t="shared" si="45"/>
        <v>12.640233017006484</v>
      </c>
      <c r="I117" s="9"/>
      <c r="K117" s="116">
        <f>H117</f>
        <v>12.640233017006484</v>
      </c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2"/>
      <c r="AC117" s="110">
        <f t="shared" si="44"/>
        <v>44440</v>
      </c>
      <c r="AD117" s="112">
        <f t="shared" si="83"/>
        <v>12.640233017006484</v>
      </c>
      <c r="AE117" s="112"/>
      <c r="AF117" s="112"/>
      <c r="AG117" s="112"/>
      <c r="AH117" s="112">
        <f t="shared" ref="AH117" si="84">AD117-AD114</f>
        <v>-1.591746717391306</v>
      </c>
      <c r="AI117" s="112">
        <f t="shared" ref="AI117" si="85">(AD117/AD114-1)*100</f>
        <v>-11.184295840052073</v>
      </c>
    </row>
    <row r="118" spans="1:39" x14ac:dyDescent="0.2">
      <c r="A118" s="110">
        <v>44470</v>
      </c>
      <c r="B118" s="111">
        <v>172019</v>
      </c>
      <c r="C118" s="111">
        <v>106864</v>
      </c>
      <c r="D118" s="111">
        <v>93958</v>
      </c>
      <c r="E118" s="111">
        <v>12906</v>
      </c>
      <c r="F118" s="111">
        <v>65155</v>
      </c>
      <c r="G118" s="112">
        <f t="shared" si="43"/>
        <v>62.123370092838584</v>
      </c>
      <c r="H118" s="112">
        <f t="shared" si="45"/>
        <v>12.077032489893696</v>
      </c>
      <c r="K118" s="113">
        <v>12.5</v>
      </c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2"/>
      <c r="AC118" s="110">
        <f t="shared" si="44"/>
        <v>44470</v>
      </c>
      <c r="AD118" s="112">
        <f t="shared" si="83"/>
        <v>12.077032489893696</v>
      </c>
      <c r="AE118" s="112"/>
      <c r="AF118" s="112"/>
      <c r="AG118" s="112"/>
    </row>
    <row r="119" spans="1:39" x14ac:dyDescent="0.2">
      <c r="A119" s="110">
        <v>44501</v>
      </c>
      <c r="B119" s="111">
        <v>172151</v>
      </c>
      <c r="C119" s="111">
        <v>107334</v>
      </c>
      <c r="D119" s="111">
        <v>94930</v>
      </c>
      <c r="E119" s="111">
        <v>12405</v>
      </c>
      <c r="F119" s="111">
        <v>64816</v>
      </c>
      <c r="G119" s="112">
        <f t="shared" si="43"/>
        <v>62.348751967749237</v>
      </c>
      <c r="H119" s="112">
        <f t="shared" si="45"/>
        <v>11.557381631169992</v>
      </c>
      <c r="K119" s="113">
        <f>0.75*K120+0.25*K117</f>
        <v>12.085058254251621</v>
      </c>
      <c r="L119" s="113"/>
      <c r="M119" s="117">
        <f>H119</f>
        <v>11.557381631169992</v>
      </c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2"/>
      <c r="AC119" s="110">
        <f t="shared" si="44"/>
        <v>44501</v>
      </c>
      <c r="AD119" s="112">
        <f t="shared" si="83"/>
        <v>11.557381631169992</v>
      </c>
      <c r="AE119" s="112"/>
      <c r="AF119" s="112"/>
      <c r="AG119" s="112"/>
    </row>
    <row r="120" spans="1:39" x14ac:dyDescent="0.2">
      <c r="A120" s="110">
        <v>44531</v>
      </c>
      <c r="B120" s="111">
        <v>172283</v>
      </c>
      <c r="C120" s="111">
        <v>107758</v>
      </c>
      <c r="D120" s="111">
        <v>95747</v>
      </c>
      <c r="E120" s="111">
        <v>12011</v>
      </c>
      <c r="F120" s="111">
        <v>64525</v>
      </c>
      <c r="G120" s="112">
        <f t="shared" si="43"/>
        <v>62.547088221124547</v>
      </c>
      <c r="H120" s="112">
        <f t="shared" si="45"/>
        <v>11.146272202527886</v>
      </c>
      <c r="I120" s="119"/>
      <c r="K120" s="120">
        <v>11.9</v>
      </c>
      <c r="L120" s="113"/>
      <c r="M120" s="120">
        <v>11</v>
      </c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2"/>
      <c r="AC120" s="110">
        <f t="shared" si="44"/>
        <v>44531</v>
      </c>
      <c r="AD120" s="112">
        <f t="shared" si="83"/>
        <v>11.146272202527886</v>
      </c>
      <c r="AE120" s="112">
        <f>AVERAGE(AD120,AD117,AD114,AD111)</f>
        <v>13.231694983585102</v>
      </c>
      <c r="AF120" s="112"/>
      <c r="AG120" s="12"/>
      <c r="AH120" s="112">
        <f t="shared" ref="AH120" si="86">AD120-AD117</f>
        <v>-1.4939608144785979</v>
      </c>
      <c r="AI120" s="112">
        <f t="shared" ref="AI120" si="87">(AD120/AD117-1)*100</f>
        <v>-11.819092357463557</v>
      </c>
      <c r="AL120" s="112"/>
    </row>
    <row r="121" spans="1:39" x14ac:dyDescent="0.2">
      <c r="A121" s="110">
        <v>44562</v>
      </c>
      <c r="B121" s="111">
        <v>172414</v>
      </c>
      <c r="C121" s="111">
        <v>107476</v>
      </c>
      <c r="D121" s="111">
        <v>95428</v>
      </c>
      <c r="E121" s="111">
        <v>12048</v>
      </c>
      <c r="F121" s="111">
        <v>64938</v>
      </c>
      <c r="G121" s="113">
        <f t="shared" si="43"/>
        <v>62.336005196793764</v>
      </c>
      <c r="H121" s="113">
        <f t="shared" si="45"/>
        <v>11.209944545759052</v>
      </c>
      <c r="I121" s="113"/>
      <c r="K121" s="113">
        <f>0.75*K120+0.25*K123</f>
        <v>12.130584868824013</v>
      </c>
      <c r="L121" s="113"/>
      <c r="M121" s="113">
        <f>0.75*M120+0.25*M123</f>
        <v>11.175000000000001</v>
      </c>
      <c r="N121" s="117">
        <f>M121</f>
        <v>11.175000000000001</v>
      </c>
      <c r="O121" s="117">
        <f>N121</f>
        <v>11.175000000000001</v>
      </c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21"/>
      <c r="AC121" s="110">
        <f t="shared" si="44"/>
        <v>44562</v>
      </c>
      <c r="AD121" s="112">
        <f t="shared" si="83"/>
        <v>11.209944545759052</v>
      </c>
      <c r="AE121" s="112"/>
      <c r="AF121" s="112"/>
      <c r="AG121" s="121"/>
      <c r="AL121" s="112"/>
    </row>
    <row r="122" spans="1:39" x14ac:dyDescent="0.2">
      <c r="A122" s="110">
        <v>44593</v>
      </c>
      <c r="B122" s="111">
        <v>172546</v>
      </c>
      <c r="C122" s="111">
        <v>107249</v>
      </c>
      <c r="D122" s="111">
        <v>95234</v>
      </c>
      <c r="E122" s="111">
        <v>12016</v>
      </c>
      <c r="F122" s="111">
        <v>65297</v>
      </c>
      <c r="G122" s="113">
        <f t="shared" si="43"/>
        <v>62.156758197813922</v>
      </c>
      <c r="H122" s="113">
        <f t="shared" si="45"/>
        <v>11.203834068382921</v>
      </c>
      <c r="I122" s="113"/>
      <c r="K122" s="113">
        <f>0.75*K123+0.25*K120</f>
        <v>12.591754606472032</v>
      </c>
      <c r="L122" s="113"/>
      <c r="M122" s="113">
        <f>0.75*M123+0.25*M120</f>
        <v>11.524999999999999</v>
      </c>
      <c r="N122" s="113">
        <f>M122</f>
        <v>11.524999999999999</v>
      </c>
      <c r="O122" s="113">
        <f>AVERAGE(O123,O121)</f>
        <v>11.762256277927641</v>
      </c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2"/>
      <c r="AC122" s="110">
        <f t="shared" si="44"/>
        <v>44593</v>
      </c>
      <c r="AD122" s="112">
        <f t="shared" si="83"/>
        <v>11.203834068382921</v>
      </c>
      <c r="AE122" s="112"/>
      <c r="AF122" s="112"/>
      <c r="AG122" s="12"/>
      <c r="AL122" s="112"/>
    </row>
    <row r="123" spans="1:39" x14ac:dyDescent="0.2">
      <c r="A123" s="110">
        <v>44621</v>
      </c>
      <c r="B123" s="111">
        <v>172678</v>
      </c>
      <c r="C123" s="111">
        <v>107224</v>
      </c>
      <c r="D123" s="111">
        <v>95275</v>
      </c>
      <c r="E123" s="111">
        <v>11949</v>
      </c>
      <c r="F123" s="111">
        <v>65454</v>
      </c>
      <c r="G123" s="113">
        <f t="shared" si="43"/>
        <v>62.094765980611314</v>
      </c>
      <c r="H123" s="113">
        <f t="shared" si="45"/>
        <v>11.143960307393867</v>
      </c>
      <c r="I123" s="113"/>
      <c r="K123" s="120">
        <v>12.822339475296044</v>
      </c>
      <c r="L123" s="113"/>
      <c r="M123" s="120">
        <v>11.7</v>
      </c>
      <c r="N123" s="122">
        <f t="shared" ref="N123:N137" si="88">M123</f>
        <v>11.7</v>
      </c>
      <c r="O123" s="120">
        <f>H120*(1+AI158/100)-0.3</f>
        <v>12.349512555855279</v>
      </c>
      <c r="P123" s="116">
        <f>H123</f>
        <v>11.143960307393867</v>
      </c>
      <c r="Q123" s="116">
        <f>P123</f>
        <v>11.143960307393867</v>
      </c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C123" s="110">
        <f t="shared" si="44"/>
        <v>44621</v>
      </c>
      <c r="AD123" s="112">
        <f t="shared" si="83"/>
        <v>11.143960307393867</v>
      </c>
      <c r="AE123" s="112"/>
      <c r="AF123" s="112"/>
      <c r="AH123" s="112">
        <f>AD123-AD120</f>
        <v>-2.3118951340190819E-3</v>
      </c>
      <c r="AI123" s="112">
        <f>(AD123/AD120-1)*100</f>
        <v>-2.0741420019287915E-2</v>
      </c>
      <c r="AK123" s="123"/>
      <c r="AL123" s="112"/>
      <c r="AM123" s="123"/>
    </row>
    <row r="124" spans="1:39" x14ac:dyDescent="0.2">
      <c r="A124" s="110">
        <v>44652</v>
      </c>
      <c r="B124" s="111">
        <v>172807</v>
      </c>
      <c r="C124" s="111">
        <v>107861</v>
      </c>
      <c r="D124" s="111">
        <v>96512</v>
      </c>
      <c r="E124" s="111">
        <v>11349</v>
      </c>
      <c r="F124" s="111">
        <v>64946</v>
      </c>
      <c r="G124" s="113">
        <f t="shared" si="43"/>
        <v>62.417031717465143</v>
      </c>
      <c r="H124" s="113">
        <f t="shared" si="45"/>
        <v>10.521875376642161</v>
      </c>
      <c r="I124" s="113"/>
      <c r="K124" s="113">
        <f>0.75*K123+0.25*K126</f>
        <v>12.75003304968347</v>
      </c>
      <c r="L124" s="113"/>
      <c r="M124" s="113">
        <f>0.75*M123+0.25*M126</f>
        <v>11.599999999999998</v>
      </c>
      <c r="N124" s="113">
        <f>M124</f>
        <v>11.599999999999998</v>
      </c>
      <c r="O124" s="113">
        <f>0.75*O123+0.25*O126</f>
        <v>12.183857012883092</v>
      </c>
      <c r="P124" s="113">
        <f>0.75*P123+0.25*P126</f>
        <v>10.994475962385726</v>
      </c>
      <c r="Q124" s="113">
        <f t="shared" ref="Q124:Q144" si="89">P124</f>
        <v>10.994475962385726</v>
      </c>
      <c r="R124" s="124">
        <v>10.5</v>
      </c>
      <c r="S124" s="124">
        <f>R124</f>
        <v>10.5</v>
      </c>
      <c r="T124" s="124"/>
      <c r="U124" s="124"/>
      <c r="V124" s="124"/>
      <c r="W124" s="124"/>
      <c r="X124" s="124"/>
      <c r="Y124" s="124"/>
      <c r="Z124" s="124"/>
      <c r="AA124" s="124"/>
      <c r="AC124" s="110">
        <f t="shared" si="44"/>
        <v>44652</v>
      </c>
      <c r="AD124" s="112">
        <f t="shared" si="83"/>
        <v>10.521875376642161</v>
      </c>
      <c r="AE124" s="112"/>
      <c r="AF124" s="112"/>
      <c r="AK124" s="123"/>
      <c r="AL124" s="112"/>
      <c r="AM124" s="123"/>
    </row>
    <row r="125" spans="1:39" x14ac:dyDescent="0.2">
      <c r="A125" s="110">
        <v>44682</v>
      </c>
      <c r="B125" s="111">
        <v>172938</v>
      </c>
      <c r="C125" s="111">
        <v>108147</v>
      </c>
      <c r="D125" s="111">
        <v>97516</v>
      </c>
      <c r="E125" s="111">
        <v>10631</v>
      </c>
      <c r="F125" s="111">
        <v>64791</v>
      </c>
      <c r="G125" s="113">
        <f t="shared" si="43"/>
        <v>62.535128196232172</v>
      </c>
      <c r="H125" s="113">
        <f t="shared" si="45"/>
        <v>9.8301386076359041</v>
      </c>
      <c r="I125" s="113"/>
      <c r="K125" s="113">
        <f>0.75*K126+0.25*K123</f>
        <v>12.605420198458329</v>
      </c>
      <c r="L125" s="113"/>
      <c r="M125" s="113">
        <f>0.75*M126+0.25*M123</f>
        <v>11.400000000000002</v>
      </c>
      <c r="N125" s="113">
        <f>M125</f>
        <v>11.400000000000002</v>
      </c>
      <c r="O125" s="113">
        <f>0.75*O126+0.25*O123</f>
        <v>11.852545926938719</v>
      </c>
      <c r="P125" s="113">
        <f>0.75*P126+0.25*P123</f>
        <v>10.695507272369447</v>
      </c>
      <c r="Q125" s="113">
        <f t="shared" si="89"/>
        <v>10.695507272369447</v>
      </c>
      <c r="R125" s="113">
        <v>10</v>
      </c>
      <c r="S125" s="113">
        <f>R125</f>
        <v>10</v>
      </c>
      <c r="T125" s="124">
        <v>9.8000000000000007</v>
      </c>
      <c r="U125" s="124">
        <f>H125</f>
        <v>9.8301386076359041</v>
      </c>
      <c r="V125" s="124"/>
      <c r="W125" s="124"/>
      <c r="X125" s="124"/>
      <c r="Y125" s="124"/>
      <c r="Z125" s="124"/>
      <c r="AA125" s="124"/>
      <c r="AC125" s="110">
        <f t="shared" si="44"/>
        <v>44682</v>
      </c>
      <c r="AD125" s="112">
        <f t="shared" si="83"/>
        <v>9.8301386076359041</v>
      </c>
      <c r="AE125" s="112"/>
      <c r="AF125" s="112"/>
      <c r="AK125" s="123"/>
      <c r="AL125" s="112"/>
      <c r="AM125" s="123"/>
    </row>
    <row r="126" spans="1:39" x14ac:dyDescent="0.2">
      <c r="A126" s="110">
        <v>44713</v>
      </c>
      <c r="B126" s="111">
        <v>173068</v>
      </c>
      <c r="C126" s="111">
        <v>108349</v>
      </c>
      <c r="D126" s="111">
        <v>98269</v>
      </c>
      <c r="E126" s="111">
        <v>10080</v>
      </c>
      <c r="F126" s="111">
        <v>64719</v>
      </c>
      <c r="G126" s="113">
        <f t="shared" si="43"/>
        <v>62.604872073404671</v>
      </c>
      <c r="H126" s="113">
        <f t="shared" si="45"/>
        <v>9.303269988647795</v>
      </c>
      <c r="K126" s="120">
        <v>12.533113772845756</v>
      </c>
      <c r="L126" s="113"/>
      <c r="M126" s="120">
        <v>11.3</v>
      </c>
      <c r="N126" s="122">
        <f t="shared" si="88"/>
        <v>11.3</v>
      </c>
      <c r="O126" s="120">
        <f>O123*(1+AI159/100)</f>
        <v>11.686890383966531</v>
      </c>
      <c r="P126" s="120">
        <f>P123*(1+$AI$159/100)</f>
        <v>10.546022927361307</v>
      </c>
      <c r="Q126" s="120">
        <f t="shared" si="89"/>
        <v>10.546022927361307</v>
      </c>
      <c r="R126" s="120">
        <v>9.8000000000000007</v>
      </c>
      <c r="S126" s="120">
        <f t="shared" ref="S126:S144" si="90">R126</f>
        <v>9.8000000000000007</v>
      </c>
      <c r="T126" s="120">
        <v>9.4</v>
      </c>
      <c r="U126" s="120">
        <v>9.1999999999999993</v>
      </c>
      <c r="V126" s="116">
        <v>9.3000000000000007</v>
      </c>
      <c r="W126" s="116">
        <f>V126</f>
        <v>9.3000000000000007</v>
      </c>
      <c r="X126" s="117"/>
      <c r="Y126" s="117"/>
      <c r="Z126" s="117"/>
      <c r="AA126" s="117"/>
      <c r="AC126" s="110">
        <f t="shared" si="44"/>
        <v>44713</v>
      </c>
      <c r="AD126" s="112">
        <f t="shared" si="83"/>
        <v>9.303269988647795</v>
      </c>
      <c r="AE126" s="112"/>
      <c r="AF126" s="112"/>
      <c r="AH126" s="112">
        <f t="shared" ref="AH126" si="91">AD126-AD123</f>
        <v>-1.8406903187460717</v>
      </c>
      <c r="AI126" s="112">
        <f t="shared" ref="AI126" si="92">(AD126/AD123-1)*100</f>
        <v>-16.517380428255823</v>
      </c>
      <c r="AK126" s="123"/>
      <c r="AL126" s="112"/>
      <c r="AM126" s="123"/>
    </row>
    <row r="127" spans="1:39" x14ac:dyDescent="0.2">
      <c r="A127" s="110">
        <v>44743</v>
      </c>
      <c r="B127" s="111">
        <v>173198</v>
      </c>
      <c r="C127" s="111">
        <v>108548</v>
      </c>
      <c r="D127" s="111">
        <v>98666</v>
      </c>
      <c r="E127" s="111">
        <v>9882</v>
      </c>
      <c r="F127" s="111">
        <v>64651</v>
      </c>
      <c r="G127" s="113">
        <f>(C127/B127)*100</f>
        <v>62.672779131398748</v>
      </c>
      <c r="H127" s="113">
        <f>(E127/C127)*100</f>
        <v>9.1038066109002482</v>
      </c>
      <c r="K127" s="113">
        <f>0.75*K126+0.25*K129</f>
        <v>12.412603063491471</v>
      </c>
      <c r="L127" s="113"/>
      <c r="M127" s="113">
        <f>0.75*M126+0.25*M129</f>
        <v>11.191346153846155</v>
      </c>
      <c r="N127" s="113">
        <f t="shared" si="88"/>
        <v>11.191346153846155</v>
      </c>
      <c r="O127" s="113">
        <f>0.75*O126+0.25*O129</f>
        <v>11.568928587017666</v>
      </c>
      <c r="P127" s="113">
        <f>0.75*P126+0.25*P129</f>
        <v>10.439576492569536</v>
      </c>
      <c r="Q127" s="113">
        <f t="shared" si="89"/>
        <v>10.439576492569536</v>
      </c>
      <c r="R127" s="113">
        <f>0.75*R126+0.25*R129</f>
        <v>9.7010835584044788</v>
      </c>
      <c r="S127" s="113">
        <f t="shared" si="90"/>
        <v>9.7010835584044788</v>
      </c>
      <c r="T127" s="113">
        <f>0.75*T126+0.25*T129</f>
        <v>9.3051209641838888</v>
      </c>
      <c r="U127" s="113">
        <f>0.75*U126+0.25*U129</f>
        <v>9.1071396670735911</v>
      </c>
      <c r="V127" s="113">
        <f>U127</f>
        <v>9.1071396670735911</v>
      </c>
      <c r="W127" s="113">
        <v>9</v>
      </c>
      <c r="X127" s="117">
        <f>H127</f>
        <v>9.1038066109002482</v>
      </c>
      <c r="Y127" s="117">
        <f>H127</f>
        <v>9.1038066109002482</v>
      </c>
      <c r="Z127" s="117"/>
      <c r="AA127" s="117"/>
      <c r="AB127" s="113"/>
      <c r="AC127" s="110">
        <f t="shared" si="44"/>
        <v>44743</v>
      </c>
      <c r="AD127" s="112">
        <f t="shared" si="83"/>
        <v>9.1038066109002482</v>
      </c>
      <c r="AE127" s="112"/>
      <c r="AF127" s="112"/>
      <c r="AK127" s="123"/>
      <c r="AL127" s="112"/>
      <c r="AM127" s="123"/>
    </row>
    <row r="128" spans="1:39" x14ac:dyDescent="0.2">
      <c r="A128" s="110">
        <v>44774</v>
      </c>
      <c r="B128" s="111">
        <v>173328</v>
      </c>
      <c r="C128" s="111">
        <v>108706</v>
      </c>
      <c r="D128" s="111">
        <v>99013</v>
      </c>
      <c r="E128" s="111">
        <v>9694</v>
      </c>
      <c r="F128" s="111">
        <v>64621</v>
      </c>
      <c r="G128" s="113">
        <f>(C128/B128)*100</f>
        <v>62.716929751684667</v>
      </c>
      <c r="H128" s="113">
        <f>(E128/C128)*100</f>
        <v>8.9176310415248476</v>
      </c>
      <c r="K128" s="113">
        <f>0.75*K129+0.25*K126</f>
        <v>12.171581644782897</v>
      </c>
      <c r="L128" s="113"/>
      <c r="M128" s="113">
        <f>0.75*M129+0.25*M126</f>
        <v>10.974038461538463</v>
      </c>
      <c r="N128" s="113">
        <f t="shared" si="88"/>
        <v>10.974038461538463</v>
      </c>
      <c r="O128" s="113">
        <f>0.75*O129+0.25*O126</f>
        <v>11.333004993119935</v>
      </c>
      <c r="P128" s="113">
        <f>0.75*P129+0.25*P126</f>
        <v>10.226683622985991</v>
      </c>
      <c r="Q128" s="113">
        <f t="shared" si="89"/>
        <v>10.226683622985991</v>
      </c>
      <c r="R128" s="113">
        <f>0.75*R129+0.25*R126</f>
        <v>9.5032506752134367</v>
      </c>
      <c r="S128" s="113">
        <f t="shared" si="90"/>
        <v>9.5032506752134367</v>
      </c>
      <c r="T128" s="113">
        <f>0.75*T129+0.25*T126</f>
        <v>9.1153628925516621</v>
      </c>
      <c r="U128" s="113">
        <f>0.75*U129+0.25*U126</f>
        <v>8.9214190012207766</v>
      </c>
      <c r="V128" s="113">
        <f t="shared" ref="V128:V144" si="93">U128</f>
        <v>8.9214190012207766</v>
      </c>
      <c r="W128" s="113">
        <v>8.8000000000000007</v>
      </c>
      <c r="X128" s="113">
        <v>8.8000000000000007</v>
      </c>
      <c r="Y128" s="113">
        <f t="shared" ref="Y128:Z144" si="94">X128</f>
        <v>8.8000000000000007</v>
      </c>
      <c r="Z128" s="117">
        <f>H128</f>
        <v>8.9176310415248476</v>
      </c>
      <c r="AA128" s="117"/>
      <c r="AB128" s="113"/>
      <c r="AC128" s="110">
        <f t="shared" si="44"/>
        <v>44774</v>
      </c>
      <c r="AD128" s="112">
        <f t="shared" si="83"/>
        <v>8.9176310415248476</v>
      </c>
      <c r="AE128" s="112"/>
      <c r="AF128" s="112"/>
      <c r="AK128" s="123"/>
      <c r="AL128" s="112"/>
      <c r="AM128" s="123"/>
    </row>
    <row r="129" spans="1:39" s="128" customFormat="1" x14ac:dyDescent="0.2">
      <c r="A129" s="125">
        <v>44805</v>
      </c>
      <c r="B129" s="126">
        <v>173457</v>
      </c>
      <c r="C129" s="126">
        <v>108729</v>
      </c>
      <c r="D129" s="126">
        <v>99269</v>
      </c>
      <c r="E129" s="126">
        <v>9460</v>
      </c>
      <c r="F129" s="126">
        <v>64729</v>
      </c>
      <c r="G129" s="127">
        <f>(C129/B129)*100</f>
        <v>62.683546930939663</v>
      </c>
      <c r="H129" s="127">
        <f>(E129/C129)*100</f>
        <v>8.7005306771882385</v>
      </c>
      <c r="K129" s="129">
        <v>12.051070935428612</v>
      </c>
      <c r="L129" s="127"/>
      <c r="M129" s="129">
        <v>10.865384615384617</v>
      </c>
      <c r="N129" s="130">
        <f t="shared" si="88"/>
        <v>10.865384615384617</v>
      </c>
      <c r="O129" s="129">
        <f>O126*(1+AI160/100)</f>
        <v>11.215043196171068</v>
      </c>
      <c r="P129" s="129">
        <f>P126*(1+$AI$160/100)</f>
        <v>10.120237188194221</v>
      </c>
      <c r="Q129" s="129">
        <f t="shared" si="89"/>
        <v>10.120237188194221</v>
      </c>
      <c r="R129" s="129">
        <f>R126*(1+$AI$160/100)</f>
        <v>9.4043342336179148</v>
      </c>
      <c r="S129" s="129">
        <f t="shared" si="90"/>
        <v>9.4043342336179148</v>
      </c>
      <c r="T129" s="129">
        <f>T126*(1+$AI$160/100)</f>
        <v>9.0204838567355505</v>
      </c>
      <c r="U129" s="129">
        <f>U126*(1+$AI$160/100)</f>
        <v>8.8285586682943684</v>
      </c>
      <c r="V129" s="129">
        <f t="shared" si="93"/>
        <v>8.8285586682943684</v>
      </c>
      <c r="W129" s="129">
        <v>8.6</v>
      </c>
      <c r="X129" s="129">
        <v>8.6</v>
      </c>
      <c r="Y129" s="129">
        <f t="shared" si="94"/>
        <v>8.6</v>
      </c>
      <c r="Z129" s="129">
        <f t="shared" si="94"/>
        <v>8.6</v>
      </c>
      <c r="AA129" s="131">
        <f>H129</f>
        <v>8.7005306771882385</v>
      </c>
      <c r="AB129" s="127"/>
      <c r="AC129" s="125">
        <f t="shared" si="44"/>
        <v>44805</v>
      </c>
      <c r="AD129" s="132">
        <f t="shared" si="83"/>
        <v>8.7005306771882385</v>
      </c>
      <c r="AE129" s="132"/>
      <c r="AF129" s="132">
        <f>AVERAGE(AD129,AD126,AD123,AD120)</f>
        <v>10.073508293939447</v>
      </c>
      <c r="AH129" s="132">
        <f t="shared" ref="AH129" si="95">AD129-AD126</f>
        <v>-0.6027393114595565</v>
      </c>
      <c r="AI129" s="132">
        <f t="shared" ref="AI129" si="96">(AD129/AD126-1)*100</f>
        <v>-6.4787898469574889</v>
      </c>
      <c r="AK129" s="133"/>
      <c r="AL129" s="132"/>
      <c r="AM129" s="133"/>
    </row>
    <row r="130" spans="1:39" x14ac:dyDescent="0.2">
      <c r="A130" s="110">
        <v>44835</v>
      </c>
      <c r="B130" s="111"/>
      <c r="C130" s="111"/>
      <c r="D130" s="111"/>
      <c r="E130" s="111"/>
      <c r="F130" s="111"/>
      <c r="G130" s="113"/>
      <c r="H130" s="113"/>
      <c r="K130" s="113">
        <f>0.75*K129+0.25*K132</f>
        <v>11.989610473657926</v>
      </c>
      <c r="L130" s="113"/>
      <c r="M130" s="113">
        <f>0.75*M129+0.25*M132</f>
        <v>10.774038461538463</v>
      </c>
      <c r="N130" s="113">
        <f t="shared" si="88"/>
        <v>10.774038461538463</v>
      </c>
      <c r="O130" s="113">
        <f>0.75*O129+0.25*O132</f>
        <v>11.037561139052608</v>
      </c>
      <c r="P130" s="113">
        <f>0.75*P129+0.25*P132</f>
        <v>9.9576403409962122</v>
      </c>
      <c r="Q130" s="113">
        <f t="shared" si="89"/>
        <v>9.9576403409962122</v>
      </c>
      <c r="R130" s="113">
        <f>0.75*R129+0.25*R132</f>
        <v>9.2514709517126601</v>
      </c>
      <c r="S130" s="113">
        <f t="shared" si="90"/>
        <v>9.2514709517126601</v>
      </c>
      <c r="T130" s="113">
        <f>0.75*T129+0.25*T132</f>
        <v>8.8728394842958167</v>
      </c>
      <c r="U130" s="113">
        <f>0.75*U129+0.25*U132</f>
        <v>8.6835237505873941</v>
      </c>
      <c r="V130" s="113">
        <f t="shared" si="93"/>
        <v>8.6835237505873941</v>
      </c>
      <c r="W130" s="113">
        <f>0.75*W129+0.25*W132</f>
        <v>8.4580726134281417</v>
      </c>
      <c r="X130" s="113">
        <f>0.75*X129+0.25*X132</f>
        <v>8.4580726134281417</v>
      </c>
      <c r="Y130" s="113">
        <f t="shared" si="94"/>
        <v>8.4580726134281417</v>
      </c>
      <c r="Z130" s="113">
        <f t="shared" si="94"/>
        <v>8.4580726134281417</v>
      </c>
      <c r="AA130" s="113">
        <f>0.75*AA129+0.25*AA132</f>
        <v>8.5822364546449954</v>
      </c>
      <c r="AC130" s="110">
        <f t="shared" si="44"/>
        <v>44835</v>
      </c>
      <c r="AD130" s="112">
        <f>AA130</f>
        <v>8.5822364546449954</v>
      </c>
      <c r="AE130" s="112"/>
      <c r="AF130" s="112"/>
      <c r="AK130" s="9"/>
      <c r="AL130" s="112"/>
      <c r="AM130" s="9"/>
    </row>
    <row r="131" spans="1:39" x14ac:dyDescent="0.2">
      <c r="A131" s="110">
        <v>44866</v>
      </c>
      <c r="B131" s="111"/>
      <c r="C131" s="111"/>
      <c r="D131" s="111"/>
      <c r="E131" s="111"/>
      <c r="F131" s="111"/>
      <c r="G131" s="113"/>
      <c r="H131" s="113"/>
      <c r="K131" s="113">
        <f>0.75*K132+0.25*K129</f>
        <v>11.866689550116554</v>
      </c>
      <c r="L131" s="113"/>
      <c r="M131" s="113">
        <f>0.75*M132+0.25*M129</f>
        <v>10.591346153846153</v>
      </c>
      <c r="N131" s="113">
        <f t="shared" si="88"/>
        <v>10.591346153846153</v>
      </c>
      <c r="O131" s="113">
        <f>0.75*O132+0.25*O129</f>
        <v>10.682597024815683</v>
      </c>
      <c r="P131" s="113">
        <f>0.75*P132+0.25*P129</f>
        <v>9.6324466466001972</v>
      </c>
      <c r="Q131" s="113">
        <f t="shared" si="89"/>
        <v>9.6324466466001972</v>
      </c>
      <c r="R131" s="113">
        <f>0.75*R132+0.25*R129</f>
        <v>8.9457443879021508</v>
      </c>
      <c r="S131" s="113">
        <f t="shared" si="90"/>
        <v>8.9457443879021508</v>
      </c>
      <c r="T131" s="113">
        <f>0.75*T132+0.25*T129</f>
        <v>8.577550739416349</v>
      </c>
      <c r="U131" s="113">
        <f>0.75*U132+0.25*U129</f>
        <v>8.3934539151734473</v>
      </c>
      <c r="V131" s="113">
        <f t="shared" si="93"/>
        <v>8.3934539151734473</v>
      </c>
      <c r="W131" s="113">
        <f>0.75*W132+0.25*W129</f>
        <v>8.1742178402844292</v>
      </c>
      <c r="X131" s="113">
        <f>0.75*X132+0.25*X129</f>
        <v>8.1742178402844292</v>
      </c>
      <c r="Y131" s="113">
        <f t="shared" si="94"/>
        <v>8.1742178402844292</v>
      </c>
      <c r="Z131" s="113">
        <f t="shared" si="94"/>
        <v>8.1742178402844292</v>
      </c>
      <c r="AA131" s="113">
        <f>0.75*AA132+0.25*AA129</f>
        <v>8.3456480095585093</v>
      </c>
      <c r="AC131" s="110">
        <f t="shared" ref="AC131:AC147" si="97">A131</f>
        <v>44866</v>
      </c>
      <c r="AD131" s="112">
        <f t="shared" ref="AD131:AD146" si="98">AA131</f>
        <v>8.3456480095585093</v>
      </c>
      <c r="AE131" s="112"/>
      <c r="AF131" s="112"/>
      <c r="AK131" s="9"/>
      <c r="AL131" s="112"/>
      <c r="AM131" s="9"/>
    </row>
    <row r="132" spans="1:39" x14ac:dyDescent="0.2">
      <c r="A132" s="110">
        <v>44896</v>
      </c>
      <c r="B132" s="111"/>
      <c r="C132" s="111"/>
      <c r="D132" s="111"/>
      <c r="E132" s="111"/>
      <c r="F132" s="111"/>
      <c r="G132" s="113"/>
      <c r="H132" s="113"/>
      <c r="K132" s="120">
        <v>11.805229088345868</v>
      </c>
      <c r="L132" s="113"/>
      <c r="M132" s="120">
        <v>10.5</v>
      </c>
      <c r="N132" s="122">
        <f t="shared" si="88"/>
        <v>10.5</v>
      </c>
      <c r="O132" s="120">
        <f>O129*(1+AI161/100)-0.1</f>
        <v>10.505114967697223</v>
      </c>
      <c r="P132" s="120">
        <f>P129*(1+$AI$161/100)-0.1</f>
        <v>9.4698497994021889</v>
      </c>
      <c r="Q132" s="120">
        <f t="shared" si="89"/>
        <v>9.4698497994021889</v>
      </c>
      <c r="R132" s="120">
        <f>R129*(1+$AI$161/100)-0.1</f>
        <v>8.7928811059968961</v>
      </c>
      <c r="S132" s="120">
        <f t="shared" si="90"/>
        <v>8.7928811059968961</v>
      </c>
      <c r="T132" s="120">
        <f>T129*(1+$AI$161/100)-0.1</f>
        <v>8.4299063669766152</v>
      </c>
      <c r="U132" s="120">
        <f>U129*(1+$AI$161/100)-0.1</f>
        <v>8.248418997466473</v>
      </c>
      <c r="V132" s="120">
        <f>U132</f>
        <v>8.248418997466473</v>
      </c>
      <c r="W132" s="120">
        <f>W129*(1+$AI$161/100)-0.1</f>
        <v>8.0322904537125712</v>
      </c>
      <c r="X132" s="120">
        <f>X129*(1+$AI$161/100)-0.1</f>
        <v>8.0322904537125712</v>
      </c>
      <c r="Y132" s="120">
        <f t="shared" si="94"/>
        <v>8.0322904537125712</v>
      </c>
      <c r="Z132" s="120">
        <f t="shared" si="94"/>
        <v>8.0322904537125712</v>
      </c>
      <c r="AA132" s="120">
        <f>AA129*(1+$AI$161/100)</f>
        <v>8.2273537870152662</v>
      </c>
      <c r="AC132" s="110">
        <f t="shared" si="97"/>
        <v>44896</v>
      </c>
      <c r="AD132" s="134">
        <f t="shared" si="98"/>
        <v>8.2273537870152662</v>
      </c>
      <c r="AE132" s="134">
        <f>AVERAGE(AD132,AD129,AD126,AD123)</f>
        <v>9.343778690061292</v>
      </c>
      <c r="AF132" s="112"/>
      <c r="AH132" s="112">
        <f>AD132-AD129</f>
        <v>-0.47317689017297226</v>
      </c>
      <c r="AI132" s="112">
        <f t="shared" ref="AI132" si="99">(AD132/AD129-1)*100</f>
        <v>-5.4384830963654434</v>
      </c>
      <c r="AK132" s="9"/>
      <c r="AL132" s="112"/>
      <c r="AM132" s="9"/>
    </row>
    <row r="133" spans="1:39" x14ac:dyDescent="0.2">
      <c r="A133" s="110">
        <v>44927</v>
      </c>
      <c r="B133" s="111"/>
      <c r="C133" s="111"/>
      <c r="D133" s="111"/>
      <c r="E133" s="111"/>
      <c r="F133" s="111"/>
      <c r="G133" s="113"/>
      <c r="H133" s="113"/>
      <c r="K133" s="113"/>
      <c r="L133" s="113"/>
      <c r="M133" s="113">
        <f>0.75*M132+0.25*M135</f>
        <v>10.625</v>
      </c>
      <c r="N133" s="113">
        <f t="shared" si="88"/>
        <v>10.625</v>
      </c>
      <c r="O133" s="113">
        <f>0.75*O132+0.25*O135</f>
        <v>10.859307662098779</v>
      </c>
      <c r="P133" s="113">
        <f>0.75*P132+0.25*P135</f>
        <v>9.7891372728227246</v>
      </c>
      <c r="Q133" s="113">
        <f t="shared" si="89"/>
        <v>9.7891372728227246</v>
      </c>
      <c r="R133" s="113">
        <f>0.75*R132+0.25*R135</f>
        <v>9.0893437587200836</v>
      </c>
      <c r="S133" s="113">
        <f t="shared" si="90"/>
        <v>9.0893437587200836</v>
      </c>
      <c r="T133" s="113">
        <f>0.75*T132+0.25*T135</f>
        <v>8.7141308860659841</v>
      </c>
      <c r="U133" s="113">
        <f>0.75*U132+0.25*U135</f>
        <v>8.5265244497389325</v>
      </c>
      <c r="V133" s="113">
        <f t="shared" si="93"/>
        <v>8.5265244497389325</v>
      </c>
      <c r="W133" s="113">
        <f>0.75*W132+0.25*W135</f>
        <v>8.3031088699569011</v>
      </c>
      <c r="X133" s="113">
        <f>0.75*X132+0.25*X135</f>
        <v>8.3031088699569011</v>
      </c>
      <c r="Y133" s="113">
        <f t="shared" si="94"/>
        <v>8.3031088699569011</v>
      </c>
      <c r="Z133" s="113">
        <f t="shared" si="94"/>
        <v>8.3031088699569011</v>
      </c>
      <c r="AA133" s="113">
        <f>0.75*AA132+0.25*AA135</f>
        <v>8.5297490001641378</v>
      </c>
      <c r="AB133" s="112"/>
      <c r="AC133" s="110">
        <f t="shared" si="97"/>
        <v>44927</v>
      </c>
      <c r="AD133" s="112">
        <f t="shared" si="98"/>
        <v>8.5297490001641378</v>
      </c>
      <c r="AE133" s="112"/>
      <c r="AF133" s="112"/>
      <c r="AG133" s="112"/>
    </row>
    <row r="134" spans="1:39" x14ac:dyDescent="0.2">
      <c r="A134" s="110">
        <v>44958</v>
      </c>
      <c r="B134" s="111"/>
      <c r="C134" s="111"/>
      <c r="D134" s="111"/>
      <c r="E134" s="111"/>
      <c r="F134" s="111"/>
      <c r="G134" s="113"/>
      <c r="H134" s="113"/>
      <c r="K134" s="113"/>
      <c r="L134" s="113"/>
      <c r="M134" s="113">
        <f>0.75*M135+0.25*M132</f>
        <v>10.875</v>
      </c>
      <c r="N134" s="113">
        <f t="shared" si="88"/>
        <v>10.875</v>
      </c>
      <c r="O134" s="113">
        <f>0.75*O135+0.25*O132</f>
        <v>11.567693050901891</v>
      </c>
      <c r="P134" s="113">
        <f>0.75*P135+0.25*P132</f>
        <v>10.427712219663794</v>
      </c>
      <c r="Q134" s="113">
        <f t="shared" si="89"/>
        <v>10.427712219663794</v>
      </c>
      <c r="R134" s="113">
        <f>0.75*R135+0.25*R132</f>
        <v>9.6822690641664568</v>
      </c>
      <c r="S134" s="113">
        <f t="shared" si="90"/>
        <v>9.6822690641664568</v>
      </c>
      <c r="T134" s="113">
        <f>0.75*T135+0.25*T132</f>
        <v>9.2825799242447236</v>
      </c>
      <c r="U134" s="113">
        <f>0.75*U135+0.25*U132</f>
        <v>9.0827353542838551</v>
      </c>
      <c r="V134" s="113">
        <f t="shared" si="93"/>
        <v>9.0827353542838551</v>
      </c>
      <c r="W134" s="113">
        <f>0.75*W135+0.25*W132</f>
        <v>8.8447457024455574</v>
      </c>
      <c r="X134" s="113">
        <f>0.75*X135+0.25*X132</f>
        <v>8.8447457024455574</v>
      </c>
      <c r="Y134" s="113">
        <f t="shared" si="94"/>
        <v>8.8447457024455574</v>
      </c>
      <c r="Z134" s="113">
        <f t="shared" si="94"/>
        <v>8.8447457024455574</v>
      </c>
      <c r="AA134" s="113">
        <f>0.75*AA135+0.25*AA132</f>
        <v>9.1345394264618847</v>
      </c>
      <c r="AB134" s="104"/>
      <c r="AC134" s="110">
        <f t="shared" si="97"/>
        <v>44958</v>
      </c>
      <c r="AD134" s="112">
        <f t="shared" si="98"/>
        <v>9.1345394264618847</v>
      </c>
      <c r="AE134" s="112"/>
      <c r="AF134" s="112"/>
      <c r="AG134" s="104"/>
    </row>
    <row r="135" spans="1:39" x14ac:dyDescent="0.2">
      <c r="A135" s="110">
        <v>44986</v>
      </c>
      <c r="B135" s="111"/>
      <c r="C135" s="111"/>
      <c r="D135" s="111"/>
      <c r="E135" s="111"/>
      <c r="F135" s="111"/>
      <c r="G135" s="113"/>
      <c r="H135" s="113"/>
      <c r="K135" s="113"/>
      <c r="L135" s="113"/>
      <c r="M135" s="120">
        <v>11</v>
      </c>
      <c r="N135" s="122">
        <f t="shared" si="88"/>
        <v>11</v>
      </c>
      <c r="O135" s="120">
        <f>O132*(1+AI158/100)</f>
        <v>11.921885745303447</v>
      </c>
      <c r="P135" s="120">
        <f>P132*(1+$AI$158/100)</f>
        <v>10.74699969308433</v>
      </c>
      <c r="Q135" s="120">
        <f t="shared" si="89"/>
        <v>10.74699969308433</v>
      </c>
      <c r="R135" s="120">
        <f>R132*(1+$AI$158/100)</f>
        <v>9.9787317168896443</v>
      </c>
      <c r="S135" s="120">
        <f t="shared" si="90"/>
        <v>9.9787317168896443</v>
      </c>
      <c r="T135" s="120">
        <f>T132*(1+$AI$158/100)</f>
        <v>9.5668044433340924</v>
      </c>
      <c r="U135" s="120">
        <f>U132*(1+$AI$158/100)</f>
        <v>9.3608408065563147</v>
      </c>
      <c r="V135" s="120">
        <f t="shared" si="93"/>
        <v>9.3608408065563147</v>
      </c>
      <c r="W135" s="120">
        <f>W132*(1+$AI$158/100)</f>
        <v>9.1155641186898855</v>
      </c>
      <c r="X135" s="120">
        <f>X132*(1+$AI$158/100)</f>
        <v>9.1155641186898855</v>
      </c>
      <c r="Y135" s="120">
        <f t="shared" si="94"/>
        <v>9.1155641186898855</v>
      </c>
      <c r="Z135" s="120">
        <f t="shared" si="94"/>
        <v>9.1155641186898855</v>
      </c>
      <c r="AA135" s="120">
        <f>AA132*(1+$AI$158/100) + 0.1</f>
        <v>9.4369346396107563</v>
      </c>
      <c r="AC135" s="110">
        <f t="shared" si="97"/>
        <v>44986</v>
      </c>
      <c r="AD135" s="112">
        <f t="shared" si="98"/>
        <v>9.4369346396107563</v>
      </c>
      <c r="AE135" s="112"/>
      <c r="AF135" s="112"/>
      <c r="AH135" s="112">
        <f t="shared" ref="AH135" si="100">AD135-AD132</f>
        <v>1.2095808525954901</v>
      </c>
      <c r="AI135" s="112">
        <f t="shared" ref="AI135" si="101">(AD135/AD132-1)*100</f>
        <v>14.701942859251993</v>
      </c>
    </row>
    <row r="136" spans="1:39" x14ac:dyDescent="0.2">
      <c r="A136" s="110">
        <v>45017</v>
      </c>
      <c r="B136" s="111"/>
      <c r="C136" s="111"/>
      <c r="D136" s="111"/>
      <c r="E136" s="111"/>
      <c r="F136" s="111"/>
      <c r="G136" s="113"/>
      <c r="H136" s="113"/>
      <c r="K136" s="113"/>
      <c r="L136" s="113"/>
      <c r="M136" s="113">
        <f>0.75*M135+0.25*M138</f>
        <v>10.875</v>
      </c>
      <c r="N136" s="113">
        <f t="shared" si="88"/>
        <v>10.875</v>
      </c>
      <c r="O136" s="113">
        <f>0.75*O135+0.25*O138</f>
        <v>11.761966360027447</v>
      </c>
      <c r="P136" s="113">
        <f>0.75*P135+0.25*P138</f>
        <v>10.602840151448355</v>
      </c>
      <c r="Q136" s="113">
        <f t="shared" si="89"/>
        <v>10.602840151448355</v>
      </c>
      <c r="R136" s="113">
        <f>0.75*R135+0.25*R138</f>
        <v>9.8448776709701242</v>
      </c>
      <c r="S136" s="113">
        <f t="shared" si="90"/>
        <v>9.8448776709701242</v>
      </c>
      <c r="T136" s="113">
        <f>0.75*T135+0.25*T138</f>
        <v>9.438475962561963</v>
      </c>
      <c r="U136" s="113">
        <f>0.75*U135+0.25*U138</f>
        <v>9.2352751083578806</v>
      </c>
      <c r="V136" s="113">
        <f t="shared" si="93"/>
        <v>9.2352751083578806</v>
      </c>
      <c r="W136" s="113">
        <f>0.75*W135+0.25*W138</f>
        <v>8.9932885457270153</v>
      </c>
      <c r="X136" s="113">
        <f>0.75*X135+0.25*X138</f>
        <v>8.9932885457270153</v>
      </c>
      <c r="Y136" s="113">
        <f t="shared" si="94"/>
        <v>8.9932885457270153</v>
      </c>
      <c r="Z136" s="113">
        <f t="shared" si="94"/>
        <v>8.9932885457270153</v>
      </c>
      <c r="AA136" s="113">
        <f>0.75*AA135+0.25*AA138</f>
        <v>9.3603482237787752</v>
      </c>
      <c r="AC136" s="110">
        <f t="shared" si="97"/>
        <v>45017</v>
      </c>
      <c r="AD136" s="112">
        <f t="shared" si="98"/>
        <v>9.3603482237787752</v>
      </c>
      <c r="AE136" s="112"/>
      <c r="AF136" s="112"/>
    </row>
    <row r="137" spans="1:39" x14ac:dyDescent="0.2">
      <c r="A137" s="110">
        <v>45047</v>
      </c>
      <c r="B137" s="111"/>
      <c r="C137" s="111"/>
      <c r="D137" s="111"/>
      <c r="E137" s="111"/>
      <c r="F137" s="111"/>
      <c r="G137" s="113"/>
      <c r="H137" s="113"/>
      <c r="K137" s="113"/>
      <c r="L137" s="113"/>
      <c r="M137" s="113">
        <f>0.75*M138+0.25*M135</f>
        <v>10.625</v>
      </c>
      <c r="N137" s="113">
        <f t="shared" si="88"/>
        <v>10.625</v>
      </c>
      <c r="O137" s="113">
        <f>0.75*O138+0.25*O135</f>
        <v>11.442127589475447</v>
      </c>
      <c r="P137" s="113">
        <f>0.75*P138+0.25*P135</f>
        <v>10.314521068176408</v>
      </c>
      <c r="Q137" s="113">
        <f t="shared" si="89"/>
        <v>10.314521068176408</v>
      </c>
      <c r="R137" s="113">
        <f>0.75*R138+0.25*R135</f>
        <v>9.577169579131084</v>
      </c>
      <c r="S137" s="113">
        <f t="shared" si="90"/>
        <v>9.577169579131084</v>
      </c>
      <c r="T137" s="113">
        <f>0.75*T138+0.25*T135</f>
        <v>9.1818190010177059</v>
      </c>
      <c r="U137" s="113">
        <f>0.75*U138+0.25*U135</f>
        <v>8.9841437119610141</v>
      </c>
      <c r="V137" s="113">
        <f t="shared" si="93"/>
        <v>8.9841437119610141</v>
      </c>
      <c r="W137" s="113">
        <f>0.75*W138+0.25*W135</f>
        <v>8.748737399801275</v>
      </c>
      <c r="X137" s="113">
        <f>0.75*X138+0.25*X135</f>
        <v>8.748737399801275</v>
      </c>
      <c r="Y137" s="113">
        <f t="shared" si="94"/>
        <v>8.748737399801275</v>
      </c>
      <c r="Z137" s="113">
        <f t="shared" si="94"/>
        <v>8.748737399801275</v>
      </c>
      <c r="AA137" s="113">
        <f>0.75*AA138+0.25*AA135</f>
        <v>9.2071753921148147</v>
      </c>
      <c r="AC137" s="110">
        <f t="shared" si="97"/>
        <v>45047</v>
      </c>
      <c r="AD137" s="112">
        <f t="shared" si="98"/>
        <v>9.2071753921148147</v>
      </c>
      <c r="AE137" s="112"/>
      <c r="AF137" s="112"/>
    </row>
    <row r="138" spans="1:39" x14ac:dyDescent="0.2">
      <c r="A138" s="110">
        <v>45078</v>
      </c>
      <c r="B138" s="111"/>
      <c r="C138" s="111"/>
      <c r="D138" s="111"/>
      <c r="E138" s="111"/>
      <c r="F138" s="111"/>
      <c r="G138" s="113"/>
      <c r="H138" s="113"/>
      <c r="K138" s="113"/>
      <c r="L138" s="113"/>
      <c r="M138" s="135">
        <v>10.5</v>
      </c>
      <c r="N138" s="122">
        <v>10.4</v>
      </c>
      <c r="O138" s="120">
        <f>O135*(1+AI159/100)</f>
        <v>11.282208204199447</v>
      </c>
      <c r="P138" s="120">
        <f>P135*(1+$AI$159/100)</f>
        <v>10.170361526540432</v>
      </c>
      <c r="Q138" s="120">
        <f t="shared" si="89"/>
        <v>10.170361526540432</v>
      </c>
      <c r="R138" s="120">
        <f>R135*(1+$AI$159/100)</f>
        <v>9.4433155332115657</v>
      </c>
      <c r="S138" s="120">
        <f t="shared" si="90"/>
        <v>9.4433155332115657</v>
      </c>
      <c r="T138" s="120">
        <f>T135*(1+$AI$159/100)</f>
        <v>9.0534905202455764</v>
      </c>
      <c r="U138" s="120">
        <f>U135*(1+$AI$159/100)</f>
        <v>8.85857801376258</v>
      </c>
      <c r="V138" s="120">
        <f t="shared" si="93"/>
        <v>8.85857801376258</v>
      </c>
      <c r="W138" s="120">
        <f>W135*(1+$AI$159/100)</f>
        <v>8.6264618268384066</v>
      </c>
      <c r="X138" s="120">
        <f>X135*(1+$AI$159/100)</f>
        <v>8.6264618268384066</v>
      </c>
      <c r="Y138" s="120">
        <f t="shared" si="94"/>
        <v>8.6264618268384066</v>
      </c>
      <c r="Z138" s="120">
        <f t="shared" si="94"/>
        <v>8.6264618268384066</v>
      </c>
      <c r="AA138" s="120">
        <f>AA135*(1+$AI$159/100) + 0.2</f>
        <v>9.1305889762828336</v>
      </c>
      <c r="AC138" s="110">
        <f t="shared" si="97"/>
        <v>45078</v>
      </c>
      <c r="AD138" s="112">
        <f t="shared" si="98"/>
        <v>9.1305889762828336</v>
      </c>
      <c r="AE138" s="112"/>
      <c r="AF138" s="112"/>
      <c r="AH138" s="112">
        <f>AD138-AD135</f>
        <v>-0.30634566332792268</v>
      </c>
      <c r="AI138" s="112">
        <f t="shared" ref="AI138" si="102">(AD138/AD135-1)*100</f>
        <v>-3.2462412322117995</v>
      </c>
    </row>
    <row r="139" spans="1:39" x14ac:dyDescent="0.2">
      <c r="A139" s="110">
        <v>45108</v>
      </c>
      <c r="B139" s="111"/>
      <c r="C139" s="111"/>
      <c r="D139" s="111"/>
      <c r="E139" s="111"/>
      <c r="F139" s="111"/>
      <c r="G139" s="113"/>
      <c r="H139" s="113"/>
      <c r="K139" s="113"/>
      <c r="L139" s="113"/>
      <c r="M139" s="113"/>
      <c r="N139" s="113">
        <v>10.3</v>
      </c>
      <c r="O139" s="113">
        <f>0.75*O138+0.25*O141</f>
        <v>11.143331072679119</v>
      </c>
      <c r="P139" s="113">
        <f>0.75*P138+0.25*P141</f>
        <v>10.042706835525598</v>
      </c>
      <c r="Q139" s="113">
        <f t="shared" si="89"/>
        <v>10.042706835525598</v>
      </c>
      <c r="R139" s="113">
        <f>0.75*R138+0.25*R141</f>
        <v>9.3229992914351367</v>
      </c>
      <c r="S139" s="113">
        <f t="shared" si="90"/>
        <v>9.3229992914351367</v>
      </c>
      <c r="T139" s="113">
        <f>0.75*T138+0.25*T141</f>
        <v>8.9371089828699155</v>
      </c>
      <c r="U139" s="113">
        <f>0.75*U138+0.25*U141</f>
        <v>8.7441638285873022</v>
      </c>
      <c r="V139" s="113">
        <f t="shared" si="93"/>
        <v>8.7441638285873022</v>
      </c>
      <c r="W139" s="113">
        <f>0.75*W138+0.25*W141</f>
        <v>8.5393905097495839</v>
      </c>
      <c r="X139" s="113">
        <f>0.75*X138+0.25*X141</f>
        <v>8.5143905097495853</v>
      </c>
      <c r="Y139" s="113">
        <f t="shared" si="94"/>
        <v>8.5143905097495853</v>
      </c>
      <c r="Z139" s="113">
        <f t="shared" si="94"/>
        <v>8.5143905097495853</v>
      </c>
      <c r="AA139" s="113">
        <f>0.75*AA138+0.25*AA141</f>
        <v>9.0884292445272017</v>
      </c>
      <c r="AC139" s="110">
        <f t="shared" si="97"/>
        <v>45108</v>
      </c>
      <c r="AD139" s="112">
        <f t="shared" si="98"/>
        <v>9.0884292445272017</v>
      </c>
      <c r="AE139" s="112"/>
      <c r="AF139" s="112"/>
    </row>
    <row r="140" spans="1:39" x14ac:dyDescent="0.2">
      <c r="A140" s="110">
        <v>45139</v>
      </c>
      <c r="B140" s="111"/>
      <c r="C140" s="111"/>
      <c r="D140" s="111"/>
      <c r="E140" s="111"/>
      <c r="F140" s="111"/>
      <c r="G140" s="113"/>
      <c r="H140" s="113"/>
      <c r="K140" s="113"/>
      <c r="L140" s="113"/>
      <c r="M140" s="113"/>
      <c r="N140" s="113"/>
      <c r="O140" s="113">
        <f>0.75*O141+0.25*O138</f>
        <v>10.865576809638467</v>
      </c>
      <c r="P140" s="113">
        <f>0.75*P141+0.25*P138</f>
        <v>9.7873974534959309</v>
      </c>
      <c r="Q140" s="113">
        <f t="shared" si="89"/>
        <v>9.7873974534959309</v>
      </c>
      <c r="R140" s="113">
        <f>0.75*R141+0.25*R138</f>
        <v>9.0823668078822806</v>
      </c>
      <c r="S140" s="113">
        <f t="shared" si="90"/>
        <v>9.0823668078822806</v>
      </c>
      <c r="T140" s="113">
        <f>0.75*T141+0.25*T138</f>
        <v>8.7043459081185937</v>
      </c>
      <c r="U140" s="113">
        <f>0.75*U141+0.25*U138</f>
        <v>8.5153354582367502</v>
      </c>
      <c r="V140" s="113">
        <f t="shared" si="93"/>
        <v>8.5153354582367502</v>
      </c>
      <c r="W140" s="113">
        <f>0.75*W141+0.25*W138</f>
        <v>8.3652478755719422</v>
      </c>
      <c r="X140" s="113">
        <f>0.75*X141+0.25*X138</f>
        <v>8.2902478755719411</v>
      </c>
      <c r="Y140" s="113">
        <f t="shared" si="94"/>
        <v>8.2902478755719411</v>
      </c>
      <c r="Z140" s="113">
        <f t="shared" si="94"/>
        <v>8.2902478755719411</v>
      </c>
      <c r="AA140" s="113">
        <f>0.75*AA141+0.25*AA138</f>
        <v>9.0041097810159378</v>
      </c>
      <c r="AC140" s="110">
        <f t="shared" si="97"/>
        <v>45139</v>
      </c>
      <c r="AD140" s="112">
        <f t="shared" si="98"/>
        <v>9.0041097810159378</v>
      </c>
      <c r="AE140" s="112"/>
      <c r="AF140" s="112"/>
    </row>
    <row r="141" spans="1:39" x14ac:dyDescent="0.2">
      <c r="A141" s="110">
        <v>45170</v>
      </c>
      <c r="B141" s="111"/>
      <c r="C141" s="111"/>
      <c r="D141" s="111"/>
      <c r="E141" s="111"/>
      <c r="F141" s="111"/>
      <c r="G141" s="113"/>
      <c r="H141" s="113"/>
      <c r="K141" s="113"/>
      <c r="L141" s="113"/>
      <c r="M141" s="113"/>
      <c r="N141" s="113"/>
      <c r="O141" s="120">
        <f>O138*(1+AI160/100)-0.1</f>
        <v>10.726699678118139</v>
      </c>
      <c r="P141" s="120">
        <f>P138*(1+$AI$160/100)-0.1</f>
        <v>9.6597427624810965</v>
      </c>
      <c r="Q141" s="120">
        <f t="shared" si="89"/>
        <v>9.6597427624810965</v>
      </c>
      <c r="R141" s="120">
        <f>R138*(1+$AI$160/100)-0.1</f>
        <v>8.9620505661058516</v>
      </c>
      <c r="S141" s="120">
        <f t="shared" si="90"/>
        <v>8.9620505661058516</v>
      </c>
      <c r="T141" s="120">
        <f>T138*(1+$AI$160/100)-0.1</f>
        <v>8.5879643707429327</v>
      </c>
      <c r="U141" s="120">
        <f>U138*(1+$AI$160/100)-0.1</f>
        <v>8.4009212730614724</v>
      </c>
      <c r="V141" s="120">
        <f t="shared" si="93"/>
        <v>8.4009212730614724</v>
      </c>
      <c r="W141" s="120">
        <f>W138*(1+$AI$160/100)</f>
        <v>8.2781765584831195</v>
      </c>
      <c r="X141" s="120">
        <f>X138*(1+$AI$160/100)-0.1</f>
        <v>8.1781765584831199</v>
      </c>
      <c r="Y141" s="120">
        <f t="shared" si="94"/>
        <v>8.1781765584831199</v>
      </c>
      <c r="Z141" s="120">
        <f t="shared" si="94"/>
        <v>8.1781765584831199</v>
      </c>
      <c r="AA141" s="120">
        <f>AA138*(1+$AI$160/100) + 0.2</f>
        <v>8.9619500492603059</v>
      </c>
      <c r="AC141" s="110">
        <f t="shared" si="97"/>
        <v>45170</v>
      </c>
      <c r="AD141" s="112">
        <f t="shared" si="98"/>
        <v>8.9619500492603059</v>
      </c>
      <c r="AE141" s="112"/>
      <c r="AF141" s="112"/>
      <c r="AH141" s="112">
        <f t="shared" ref="AH141" si="103">AD141-AD138</f>
        <v>-0.1686389270225277</v>
      </c>
      <c r="AI141" s="112">
        <f t="shared" ref="AI141" si="104">(AD141/AD138-1)*100</f>
        <v>-1.8469665808041102</v>
      </c>
    </row>
    <row r="142" spans="1:39" x14ac:dyDescent="0.2">
      <c r="A142" s="110">
        <v>45200</v>
      </c>
      <c r="B142" s="111"/>
      <c r="C142" s="111"/>
      <c r="D142" s="111"/>
      <c r="E142" s="147"/>
      <c r="F142" s="111"/>
      <c r="G142" s="113"/>
      <c r="H142" s="113"/>
      <c r="K142" s="113"/>
      <c r="L142" s="113"/>
      <c r="M142" s="113"/>
      <c r="N142" s="113"/>
      <c r="O142" s="113">
        <f>0.75*O141+0.25*O144</f>
        <v>10.555857240920055</v>
      </c>
      <c r="P142" s="113">
        <f>0.75*P141+0.25*P144</f>
        <v>9.537242009338982</v>
      </c>
      <c r="Q142" s="113">
        <f t="shared" si="89"/>
        <v>9.537242009338982</v>
      </c>
      <c r="R142" s="113">
        <f>0.75*R141+0.25*R144</f>
        <v>8.8465919792284726</v>
      </c>
      <c r="S142" s="113">
        <f t="shared" si="90"/>
        <v>8.8465919792284726</v>
      </c>
      <c r="T142" s="113">
        <f>0.75*T141+0.25*T144</f>
        <v>8.4762816282834414</v>
      </c>
      <c r="U142" s="113">
        <f>0.75*U141+0.25*U144</f>
        <v>8.2911264528109268</v>
      </c>
      <c r="V142" s="113">
        <f t="shared" si="93"/>
        <v>8.2911264528109268</v>
      </c>
      <c r="W142" s="113">
        <v>8.1</v>
      </c>
      <c r="X142" s="113">
        <f>0.75*X141+0.25*X144</f>
        <v>8.0419843710521128</v>
      </c>
      <c r="Y142" s="113">
        <f t="shared" si="94"/>
        <v>8.0419843710521128</v>
      </c>
      <c r="Z142" s="113">
        <f t="shared" si="94"/>
        <v>8.0419843710521128</v>
      </c>
      <c r="AA142" s="113">
        <f>0.75*AA141+0.25*AA144</f>
        <v>8.8901015146268723</v>
      </c>
      <c r="AC142" s="110">
        <f t="shared" si="97"/>
        <v>45200</v>
      </c>
      <c r="AD142" s="112">
        <f t="shared" si="98"/>
        <v>8.8901015146268723</v>
      </c>
      <c r="AE142" s="112"/>
      <c r="AF142" s="112"/>
    </row>
    <row r="143" spans="1:39" x14ac:dyDescent="0.2">
      <c r="A143" s="110">
        <v>45231</v>
      </c>
      <c r="B143" s="111"/>
      <c r="C143" s="111"/>
      <c r="D143" s="111"/>
      <c r="E143" s="111"/>
      <c r="F143" s="111"/>
      <c r="G143" s="113"/>
      <c r="H143" s="113"/>
      <c r="K143" s="113"/>
      <c r="L143" s="113"/>
      <c r="M143" s="113"/>
      <c r="N143" s="113"/>
      <c r="O143" s="113">
        <f>0.75*O144+0.25*O141</f>
        <v>10.214172366523883</v>
      </c>
      <c r="P143" s="113">
        <f>0.75*P144+0.25*P141</f>
        <v>9.2922405030547548</v>
      </c>
      <c r="Q143" s="113">
        <f t="shared" si="89"/>
        <v>9.2922405030547548</v>
      </c>
      <c r="R143" s="113">
        <f>0.75*R144+0.25*R141</f>
        <v>8.6156748054737129</v>
      </c>
      <c r="S143" s="113">
        <f t="shared" si="90"/>
        <v>8.6156748054737129</v>
      </c>
      <c r="T143" s="113">
        <f>0.75*T144+0.25*T141</f>
        <v>8.2529161433644607</v>
      </c>
      <c r="U143" s="113">
        <f>0.75*U144+0.25*U141</f>
        <v>8.0715368123098319</v>
      </c>
      <c r="V143" s="113">
        <f t="shared" si="93"/>
        <v>8.0715368123098319</v>
      </c>
      <c r="W143" s="113">
        <f>0.75*W144+0.25*W141</f>
        <v>7.9525088743817083</v>
      </c>
      <c r="X143" s="113">
        <f>0.75*X144+0.25*X141</f>
        <v>7.7695999961901006</v>
      </c>
      <c r="Y143" s="113">
        <f t="shared" si="94"/>
        <v>7.7695999961901006</v>
      </c>
      <c r="Z143" s="113">
        <f t="shared" si="94"/>
        <v>7.7695999961901006</v>
      </c>
      <c r="AA143" s="113">
        <f>0.75*AA144+0.25*AA141</f>
        <v>8.7464044453600032</v>
      </c>
      <c r="AC143" s="110">
        <f t="shared" si="97"/>
        <v>45231</v>
      </c>
      <c r="AD143" s="112">
        <f t="shared" si="98"/>
        <v>8.7464044453600032</v>
      </c>
      <c r="AE143" s="112"/>
      <c r="AF143" s="112"/>
    </row>
    <row r="144" spans="1:39" x14ac:dyDescent="0.2">
      <c r="A144" s="110">
        <v>45261</v>
      </c>
      <c r="B144" s="111"/>
      <c r="C144" s="111"/>
      <c r="D144" s="111"/>
      <c r="E144" s="111"/>
      <c r="F144" s="111"/>
      <c r="G144" s="113"/>
      <c r="H144" s="113"/>
      <c r="K144" s="113"/>
      <c r="L144" s="113"/>
      <c r="M144" s="113"/>
      <c r="N144" s="113"/>
      <c r="O144" s="120">
        <f>O141*(1+AI161/100)-0.1</f>
        <v>10.043329929325798</v>
      </c>
      <c r="P144" s="120">
        <f>P141*(1+$AI$160/100)-0.1</f>
        <v>9.1697397499126403</v>
      </c>
      <c r="Q144" s="120">
        <f t="shared" si="89"/>
        <v>9.1697397499126403</v>
      </c>
      <c r="R144" s="120">
        <f>R141*(1+$AI$160/100)-0.1</f>
        <v>8.5002162185963339</v>
      </c>
      <c r="S144" s="120">
        <f t="shared" si="90"/>
        <v>8.5002162185963339</v>
      </c>
      <c r="T144" s="120">
        <f>T141*(1+$AI$160/100)-0.1</f>
        <v>8.1412334009049694</v>
      </c>
      <c r="U144" s="120">
        <f>U141*(1+$AI$160/100)-0.1</f>
        <v>7.9617419920592862</v>
      </c>
      <c r="V144" s="120">
        <f t="shared" si="93"/>
        <v>7.9617419920592862</v>
      </c>
      <c r="W144" s="120">
        <f>W141*(1+$AI$160/100)-0.1</f>
        <v>7.8439529796812391</v>
      </c>
      <c r="X144" s="120">
        <f>X141*(1+$AI$161/100)-0.1</f>
        <v>7.6334078087590944</v>
      </c>
      <c r="Y144" s="120">
        <f t="shared" si="94"/>
        <v>7.6334078087590944</v>
      </c>
      <c r="Z144" s="120">
        <f t="shared" si="94"/>
        <v>7.6334078087590944</v>
      </c>
      <c r="AA144" s="120">
        <f>AA141*(1+$AI$161/100) + 0.2</f>
        <v>8.6745559107265695</v>
      </c>
      <c r="AC144" s="110">
        <f t="shared" si="97"/>
        <v>45261</v>
      </c>
      <c r="AD144" s="134">
        <f>AA144</f>
        <v>8.6745559107265695</v>
      </c>
      <c r="AE144" s="134">
        <f>AVERAGE(AD144,AD141,AD138,AD135)</f>
        <v>9.0510073939701172</v>
      </c>
      <c r="AF144" s="112"/>
      <c r="AH144" s="112">
        <f>AD144-AD141</f>
        <v>-0.28739413853373641</v>
      </c>
      <c r="AI144" s="112">
        <f>(AD144/AD141-1)*100</f>
        <v>-3.2068259358068785</v>
      </c>
    </row>
    <row r="145" spans="1:35" x14ac:dyDescent="0.2">
      <c r="A145" s="110">
        <v>45292</v>
      </c>
      <c r="B145" s="111"/>
      <c r="C145" s="111"/>
      <c r="D145" s="111"/>
      <c r="E145" s="111"/>
      <c r="F145" s="111"/>
      <c r="G145" s="113"/>
      <c r="H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>
        <f>0.75*Y144+0.25*Y147</f>
        <v>7.8657774127628599</v>
      </c>
      <c r="Z145" s="113">
        <f t="shared" ref="Z145:Z147" si="105">Y145</f>
        <v>7.8657774127628599</v>
      </c>
      <c r="AA145" s="113">
        <f>0.75*AA144+0.25*AA147</f>
        <v>8.967029085956435</v>
      </c>
      <c r="AC145" s="110">
        <f t="shared" si="97"/>
        <v>45292</v>
      </c>
      <c r="AD145" s="112">
        <f t="shared" si="98"/>
        <v>8.967029085956435</v>
      </c>
      <c r="AE145" s="112"/>
      <c r="AF145" s="112"/>
      <c r="AH145" s="112"/>
      <c r="AI145" s="112"/>
    </row>
    <row r="146" spans="1:35" x14ac:dyDescent="0.2">
      <c r="A146" s="110">
        <v>45323</v>
      </c>
      <c r="B146" s="111"/>
      <c r="C146" s="111"/>
      <c r="D146" s="111"/>
      <c r="E146" s="111"/>
      <c r="F146" s="111"/>
      <c r="G146" s="113"/>
      <c r="H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>
        <f>0.75*Y147+0.25*Y144</f>
        <v>8.3305166207703909</v>
      </c>
      <c r="Z146" s="113">
        <f t="shared" si="105"/>
        <v>8.3305166207703909</v>
      </c>
      <c r="AA146" s="113">
        <f>0.75*AA147+0.25*AA144</f>
        <v>9.5519754364161642</v>
      </c>
      <c r="AC146" s="110">
        <f t="shared" si="97"/>
        <v>45323</v>
      </c>
      <c r="AD146" s="112">
        <f t="shared" si="98"/>
        <v>9.5519754364161642</v>
      </c>
      <c r="AE146" s="112"/>
      <c r="AF146" s="112"/>
      <c r="AH146" s="112"/>
      <c r="AI146" s="112"/>
    </row>
    <row r="147" spans="1:35" x14ac:dyDescent="0.2">
      <c r="A147" s="110">
        <v>45352</v>
      </c>
      <c r="B147" s="111"/>
      <c r="C147" s="111"/>
      <c r="D147" s="111"/>
      <c r="E147" s="111"/>
      <c r="F147" s="111"/>
      <c r="G147" s="113"/>
      <c r="H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20">
        <f>Y144*(1+$AI$158/100)-0.1</f>
        <v>8.5628862247741555</v>
      </c>
      <c r="Z147" s="120">
        <f t="shared" si="105"/>
        <v>8.5628862247741555</v>
      </c>
      <c r="AA147" s="120">
        <f>AA144*(1+$AI$158/100)</f>
        <v>9.8444486116460297</v>
      </c>
      <c r="AC147" s="110">
        <f t="shared" si="97"/>
        <v>45352</v>
      </c>
      <c r="AD147" s="112">
        <f>AA147</f>
        <v>9.8444486116460297</v>
      </c>
      <c r="AE147" s="112"/>
      <c r="AF147" s="112"/>
      <c r="AH147" s="112"/>
      <c r="AI147" s="112"/>
    </row>
    <row r="148" spans="1:35" x14ac:dyDescent="0.2">
      <c r="A148" s="110"/>
    </row>
    <row r="149" spans="1:35" x14ac:dyDescent="0.2">
      <c r="A149" s="110"/>
      <c r="AH149" s="105" t="s">
        <v>79</v>
      </c>
    </row>
    <row r="150" spans="1:35" x14ac:dyDescent="0.2">
      <c r="A150" s="110"/>
      <c r="AH150" s="104" t="s">
        <v>80</v>
      </c>
      <c r="AI150" s="104" t="s">
        <v>81</v>
      </c>
    </row>
    <row r="151" spans="1:35" x14ac:dyDescent="0.2">
      <c r="A151" s="110"/>
      <c r="AG151" s="104" t="s">
        <v>82</v>
      </c>
      <c r="AH151" s="112">
        <f>AVERAGE(AH15,AH27,AH39,AH51,AH63,AH75,AH87,AH99,AH111)</f>
        <v>1.3095092736572207</v>
      </c>
      <c r="AI151" s="112">
        <f>AVERAGE(AI15,AI27,AI39,AI51,AI63,AI75,AI87,AI99,AI111)</f>
        <v>14.244737917465333</v>
      </c>
    </row>
    <row r="152" spans="1:35" x14ac:dyDescent="0.2">
      <c r="A152" s="110"/>
      <c r="AG152" s="104" t="s">
        <v>83</v>
      </c>
      <c r="AH152" s="112">
        <f>AVERAGE(AH6,AH18,AH30,AH42,AH54,AH66,AH78,AH90,AH102,AH114)</f>
        <v>-0.20833410883909612</v>
      </c>
      <c r="AI152" s="112">
        <f>AVERAGE(AI6,AI18,AI30,AI42,AI54,AI66,AI78,AI90,AI102,AI114)</f>
        <v>-1.8522681974729251</v>
      </c>
    </row>
    <row r="153" spans="1:35" x14ac:dyDescent="0.2">
      <c r="K153" s="136" t="s">
        <v>84</v>
      </c>
      <c r="L153" s="137"/>
      <c r="M153" s="138"/>
      <c r="N153" s="138"/>
      <c r="O153" s="138"/>
      <c r="AG153" s="104" t="s">
        <v>85</v>
      </c>
      <c r="AH153" s="112">
        <f>AVERAGE(AH9,AH21,AH33,AH45,AH57,AH69,AH81,AH93,AH105,AH117)</f>
        <v>-0.16045460250704141</v>
      </c>
      <c r="AI153" s="112">
        <f>AVERAGE(AI9,AI21,AI33,AI45,AI57,AI69,AI81,AI93,AI105,AI117)</f>
        <v>-1.466987219906829</v>
      </c>
    </row>
    <row r="154" spans="1:35" x14ac:dyDescent="0.2">
      <c r="AG154" s="104" t="s">
        <v>86</v>
      </c>
      <c r="AH154" s="112">
        <f>AVERAGE(AH12,AH24,AH36,AH48,AH60,AH72,AH84,AH96,AH108,AH120)</f>
        <v>-0.4951298707889098</v>
      </c>
      <c r="AI154" s="112">
        <f>AVERAGE(AI12,AI24,AI36,AI48,AI60,AI72,AI84,AI96,AI108,AI120)</f>
        <v>-4.6738692346364514</v>
      </c>
    </row>
    <row r="155" spans="1:35" x14ac:dyDescent="0.2">
      <c r="AG155" s="104"/>
      <c r="AH155" s="112"/>
      <c r="AI155" s="112"/>
    </row>
    <row r="156" spans="1:35" x14ac:dyDescent="0.2">
      <c r="AG156" s="104"/>
      <c r="AH156" s="105" t="s">
        <v>87</v>
      </c>
      <c r="AI156" s="112"/>
    </row>
    <row r="157" spans="1:35" x14ac:dyDescent="0.2">
      <c r="AG157" s="104"/>
      <c r="AH157" s="104" t="s">
        <v>80</v>
      </c>
      <c r="AI157" s="104" t="s">
        <v>81</v>
      </c>
    </row>
    <row r="158" spans="1:35" x14ac:dyDescent="0.2">
      <c r="AG158" s="104" t="s">
        <v>82</v>
      </c>
      <c r="AH158" s="112">
        <f>AVERAGE(AH15,AH27,AH63,AH75,AH87)</f>
        <v>1.2648998658656383</v>
      </c>
      <c r="AI158" s="112">
        <f>AVERAGE(AI15,AI27,AI63,AI75,AI87)</f>
        <v>13.486485221368198</v>
      </c>
    </row>
    <row r="159" spans="1:35" x14ac:dyDescent="0.2">
      <c r="AG159" s="104" t="s">
        <v>83</v>
      </c>
      <c r="AH159" s="112">
        <f>AVERAGE(AH6,AH18,AH30,AH66,AH78,AH90)</f>
        <v>-0.56738961437570212</v>
      </c>
      <c r="AI159" s="112">
        <f>AVERAGE(AI6,AI18,AI30,AI66,AI78,AI90)</f>
        <v>-5.3655734903850751</v>
      </c>
    </row>
    <row r="160" spans="1:35" x14ac:dyDescent="0.2">
      <c r="AG160" s="104" t="s">
        <v>85</v>
      </c>
      <c r="AH160" s="112">
        <f>AVERAGE(AH9,AH21,AH33,AH69,AH81,AH93)</f>
        <v>-0.39638775046371855</v>
      </c>
      <c r="AI160" s="112">
        <f>AVERAGE(AI9,AI21,AI33,AI69,AI81,AI93)</f>
        <v>-4.0374057794090366</v>
      </c>
    </row>
    <row r="161" spans="14:43" x14ac:dyDescent="0.2">
      <c r="AG161" s="104" t="s">
        <v>86</v>
      </c>
      <c r="AH161" s="112">
        <f>AVERAGE(AH12,AH24,AH36,AH72,AH84,AH96)</f>
        <v>-0.50462327655800954</v>
      </c>
      <c r="AI161" s="112">
        <f>AVERAGE(AI12,AI24,AI36,AI72,AI84,AI96)</f>
        <v>-5.4384830963654389</v>
      </c>
    </row>
    <row r="162" spans="14:43" x14ac:dyDescent="0.2">
      <c r="AG162" s="104"/>
      <c r="AH162" s="112"/>
      <c r="AI162" s="112"/>
    </row>
    <row r="163" spans="14:43" x14ac:dyDescent="0.2">
      <c r="AG163" s="104"/>
      <c r="AH163" s="112"/>
      <c r="AI163" s="112"/>
    </row>
    <row r="164" spans="14:43" x14ac:dyDescent="0.2">
      <c r="AG164" s="104"/>
      <c r="AH164" s="104"/>
      <c r="AI164" s="104"/>
    </row>
    <row r="165" spans="14:43" x14ac:dyDescent="0.2">
      <c r="AG165" s="104"/>
      <c r="AH165" s="112"/>
      <c r="AI165" s="112"/>
    </row>
    <row r="166" spans="14:43" x14ac:dyDescent="0.2">
      <c r="N166" s="112"/>
      <c r="O166" s="112"/>
      <c r="AG166" s="104"/>
      <c r="AH166" s="112"/>
      <c r="AI166" s="112"/>
    </row>
    <row r="167" spans="14:43" x14ac:dyDescent="0.2">
      <c r="AG167" s="104"/>
      <c r="AH167" s="112"/>
      <c r="AI167" s="112"/>
    </row>
    <row r="168" spans="14:43" x14ac:dyDescent="0.2">
      <c r="AG168" s="104"/>
      <c r="AH168" s="112"/>
      <c r="AI168" s="112"/>
    </row>
    <row r="169" spans="14:43" x14ac:dyDescent="0.2">
      <c r="AP169" s="112"/>
      <c r="AQ169" s="112"/>
    </row>
    <row r="170" spans="14:43" x14ac:dyDescent="0.2">
      <c r="AP170" s="112"/>
      <c r="AQ170" s="112"/>
    </row>
    <row r="171" spans="14:43" x14ac:dyDescent="0.2">
      <c r="AP171" s="112"/>
      <c r="AQ171" s="112"/>
    </row>
    <row r="172" spans="14:43" x14ac:dyDescent="0.2">
      <c r="AP172" s="112"/>
      <c r="AQ172" s="112"/>
    </row>
    <row r="173" spans="14:43" x14ac:dyDescent="0.2">
      <c r="AP173" s="112"/>
      <c r="AQ173" s="112"/>
    </row>
    <row r="174" spans="14:43" x14ac:dyDescent="0.2">
      <c r="AP174" s="112"/>
      <c r="AQ174" s="112"/>
    </row>
    <row r="175" spans="14:43" x14ac:dyDescent="0.2">
      <c r="AO175" s="105" t="s">
        <v>69</v>
      </c>
      <c r="AP175" s="112"/>
      <c r="AQ175" s="112"/>
    </row>
    <row r="176" spans="14:43" x14ac:dyDescent="0.2">
      <c r="AM176" s="110">
        <v>41244</v>
      </c>
      <c r="AN176" s="104">
        <v>2012</v>
      </c>
      <c r="AO176" s="112">
        <f t="shared" ref="AO176:AO187" si="106">VLOOKUP(AM176,$AC$3:$AE$1048576,3,FALSE)</f>
        <v>7.4106246283052197</v>
      </c>
      <c r="AP176" s="112"/>
      <c r="AQ176" s="112"/>
    </row>
    <row r="177" spans="39:43" x14ac:dyDescent="0.2">
      <c r="AM177" s="110">
        <v>41609</v>
      </c>
      <c r="AN177" s="104">
        <v>2013</v>
      </c>
      <c r="AO177" s="112">
        <f t="shared" si="106"/>
        <v>7.2190756438585124</v>
      </c>
      <c r="AP177" s="112"/>
      <c r="AQ177" s="112"/>
    </row>
    <row r="178" spans="39:43" x14ac:dyDescent="0.2">
      <c r="AM178" s="110">
        <v>41974</v>
      </c>
      <c r="AN178" s="104">
        <v>2014</v>
      </c>
      <c r="AO178" s="112">
        <f t="shared" si="106"/>
        <v>6.9067220692038553</v>
      </c>
      <c r="AP178" s="112"/>
      <c r="AQ178" s="112"/>
    </row>
    <row r="179" spans="39:43" x14ac:dyDescent="0.2">
      <c r="AM179" s="110">
        <v>42339</v>
      </c>
      <c r="AN179" s="104">
        <v>2015</v>
      </c>
      <c r="AO179" s="112">
        <f t="shared" si="106"/>
        <v>8.6470197679260803</v>
      </c>
      <c r="AP179" s="112"/>
      <c r="AQ179" s="112"/>
    </row>
    <row r="180" spans="39:43" x14ac:dyDescent="0.2">
      <c r="AM180" s="110">
        <v>42705</v>
      </c>
      <c r="AN180" s="104">
        <v>2016</v>
      </c>
      <c r="AO180" s="112">
        <f t="shared" si="106"/>
        <v>11.644415734769625</v>
      </c>
    </row>
    <row r="181" spans="39:43" x14ac:dyDescent="0.2">
      <c r="AM181" s="110">
        <v>43070</v>
      </c>
      <c r="AN181" s="104">
        <v>2017</v>
      </c>
      <c r="AO181" s="112">
        <f t="shared" si="106"/>
        <v>12.847573705675133</v>
      </c>
    </row>
    <row r="182" spans="39:43" x14ac:dyDescent="0.2">
      <c r="AM182" s="110">
        <v>43435</v>
      </c>
      <c r="AN182" s="104">
        <v>2018</v>
      </c>
      <c r="AO182" s="112">
        <f t="shared" si="106"/>
        <v>12.386439628957419</v>
      </c>
    </row>
    <row r="183" spans="39:43" x14ac:dyDescent="0.2">
      <c r="AM183" s="110">
        <v>43800</v>
      </c>
      <c r="AN183" s="104">
        <v>2019</v>
      </c>
      <c r="AO183" s="112">
        <f t="shared" si="106"/>
        <v>11.991998968980925</v>
      </c>
    </row>
    <row r="184" spans="39:43" x14ac:dyDescent="0.2">
      <c r="AM184" s="110">
        <v>44166</v>
      </c>
      <c r="AN184" s="104">
        <v>2020</v>
      </c>
      <c r="AO184" s="112">
        <f t="shared" si="106"/>
        <v>13.76031198430346</v>
      </c>
    </row>
    <row r="185" spans="39:43" x14ac:dyDescent="0.2">
      <c r="AM185" s="110">
        <v>44531</v>
      </c>
      <c r="AN185" s="104">
        <v>2021</v>
      </c>
      <c r="AO185" s="112">
        <f t="shared" si="106"/>
        <v>13.231694983585102</v>
      </c>
    </row>
    <row r="186" spans="39:43" x14ac:dyDescent="0.2">
      <c r="AM186" s="110">
        <v>44896</v>
      </c>
      <c r="AN186" s="104">
        <v>2022</v>
      </c>
      <c r="AO186" s="112">
        <f>VLOOKUP(AM186,$AC$3:$AE$1048576,3,FALSE)</f>
        <v>9.343778690061292</v>
      </c>
    </row>
    <row r="187" spans="39:43" x14ac:dyDescent="0.2">
      <c r="AM187" s="110">
        <v>45261</v>
      </c>
      <c r="AN187" s="104">
        <v>2023</v>
      </c>
      <c r="AO187" s="112">
        <f t="shared" si="106"/>
        <v>9.0510073939701172</v>
      </c>
    </row>
  </sheetData>
  <mergeCells count="1">
    <mergeCell ref="A1:A2"/>
  </mergeCells>
  <hyperlinks>
    <hyperlink ref="K153" r:id="rId1" xr:uid="{8424D56B-A499-4DFC-BAEF-E6402DC870FA}"/>
  </hyperlink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9433-2D57-4C22-B0CD-58CC60436360}">
  <sheetPr codeName="Planilha8"/>
  <dimension ref="A1:AI215"/>
  <sheetViews>
    <sheetView zoomScaleNormal="100" workbookViewId="0">
      <pane xSplit="1" ySplit="1" topLeftCell="N194" activePane="bottomRight" state="frozen"/>
      <selection pane="topRight" activeCell="B1" sqref="B1"/>
      <selection pane="bottomLeft" activeCell="A2" sqref="A2"/>
      <selection pane="bottomRight" activeCell="AA208" sqref="AA208"/>
    </sheetView>
  </sheetViews>
  <sheetFormatPr defaultColWidth="8.7109375" defaultRowHeight="15" x14ac:dyDescent="0.25"/>
  <cols>
    <col min="1" max="1" width="10.7109375" style="11" bestFit="1" customWidth="1"/>
    <col min="2" max="2" width="12.85546875" style="4" bestFit="1" customWidth="1"/>
    <col min="3" max="3" width="17.42578125" style="4" bestFit="1" customWidth="1"/>
    <col min="4" max="4" width="25.7109375" style="4" bestFit="1" customWidth="1"/>
    <col min="5" max="5" width="6.28515625" style="4" bestFit="1" customWidth="1"/>
    <col min="6" max="6" width="11" style="4" bestFit="1" customWidth="1"/>
    <col min="7" max="7" width="9.5703125" style="4" bestFit="1" customWidth="1"/>
    <col min="8" max="8" width="8.42578125" style="4" bestFit="1" customWidth="1"/>
    <col min="9" max="9" width="23.5703125" style="4" bestFit="1" customWidth="1"/>
    <col min="10" max="10" width="13.85546875" style="4" bestFit="1" customWidth="1"/>
    <col min="11" max="14" width="13.85546875" style="4" customWidth="1"/>
    <col min="15" max="15" width="11.42578125" style="4" bestFit="1" customWidth="1"/>
    <col min="16" max="17" width="11.42578125" style="4" customWidth="1"/>
    <col min="18" max="18" width="24.28515625" style="4" bestFit="1" customWidth="1"/>
    <col min="19" max="19" width="8.7109375" style="4"/>
    <col min="20" max="22" width="11.7109375" style="4" bestFit="1" customWidth="1"/>
    <col min="23" max="23" width="8.7109375" style="4"/>
    <col min="24" max="24" width="32.42578125" style="4" bestFit="1" customWidth="1"/>
    <col min="25" max="25" width="32.140625" style="4" bestFit="1" customWidth="1"/>
    <col min="26" max="26" width="8.7109375" style="4"/>
    <col min="27" max="27" width="18.42578125" style="4" customWidth="1"/>
    <col min="28" max="28" width="8.85546875" style="4" bestFit="1" customWidth="1"/>
    <col min="29" max="29" width="11.28515625" style="4" customWidth="1"/>
    <col min="30" max="31" width="6.28515625" style="4" customWidth="1"/>
    <col min="32" max="16384" width="8.7109375" style="4"/>
  </cols>
  <sheetData>
    <row r="1" spans="1:25" ht="32.25" customHeight="1" x14ac:dyDescent="0.25">
      <c r="A1" s="139" t="s">
        <v>88</v>
      </c>
      <c r="B1" s="139" t="s">
        <v>89</v>
      </c>
      <c r="C1" s="139" t="s">
        <v>90</v>
      </c>
      <c r="D1" s="139" t="s">
        <v>91</v>
      </c>
      <c r="E1" s="139" t="s">
        <v>92</v>
      </c>
      <c r="F1" s="139" t="s">
        <v>93</v>
      </c>
      <c r="G1" s="139" t="s">
        <v>94</v>
      </c>
      <c r="H1" s="139" t="s">
        <v>95</v>
      </c>
      <c r="I1" s="139" t="s">
        <v>96</v>
      </c>
      <c r="J1" s="139" t="s">
        <v>97</v>
      </c>
      <c r="O1" s="140" t="s">
        <v>98</v>
      </c>
      <c r="P1" s="140"/>
      <c r="Q1" s="140"/>
      <c r="R1" s="140" t="s">
        <v>99</v>
      </c>
      <c r="T1" s="140" t="s">
        <v>100</v>
      </c>
      <c r="U1" s="140" t="s">
        <v>101</v>
      </c>
      <c r="V1" s="140" t="s">
        <v>102</v>
      </c>
      <c r="X1" s="140" t="s">
        <v>103</v>
      </c>
      <c r="Y1" s="140" t="s">
        <v>104</v>
      </c>
    </row>
    <row r="2" spans="1:25" x14ac:dyDescent="0.25">
      <c r="A2" s="49">
        <v>39083</v>
      </c>
      <c r="B2" s="50">
        <v>21194</v>
      </c>
      <c r="C2" s="50">
        <v>2175</v>
      </c>
      <c r="D2" s="50">
        <v>44250</v>
      </c>
      <c r="E2" s="50">
        <v>1365</v>
      </c>
      <c r="F2" s="50">
        <v>15808</v>
      </c>
      <c r="G2" s="50">
        <v>1030</v>
      </c>
      <c r="H2" s="50">
        <v>54426</v>
      </c>
      <c r="I2" s="50">
        <v>427</v>
      </c>
      <c r="J2" s="50">
        <f>SUM(B2:I2)</f>
        <v>140675</v>
      </c>
      <c r="O2" s="50"/>
      <c r="P2" s="50"/>
      <c r="Q2" s="50"/>
      <c r="R2" s="50"/>
      <c r="S2" s="5"/>
      <c r="T2" s="50"/>
      <c r="U2" s="50"/>
      <c r="V2" s="50"/>
      <c r="X2" s="51">
        <f>IF(A2=0,"",MONTH(A2))</f>
        <v>1</v>
      </c>
      <c r="Y2" s="51">
        <f>IF(A2=0,"",YEAR(A2))</f>
        <v>2007</v>
      </c>
    </row>
    <row r="3" spans="1:25" x14ac:dyDescent="0.25">
      <c r="A3" s="52">
        <v>39114</v>
      </c>
      <c r="B3" s="53">
        <v>25077</v>
      </c>
      <c r="C3" s="53">
        <v>1290</v>
      </c>
      <c r="D3" s="53">
        <v>30381</v>
      </c>
      <c r="E3" s="53">
        <v>1574</v>
      </c>
      <c r="F3" s="53">
        <v>8601</v>
      </c>
      <c r="G3" s="53">
        <v>19174</v>
      </c>
      <c r="H3" s="53">
        <v>89163</v>
      </c>
      <c r="I3" s="53">
        <v>475</v>
      </c>
      <c r="J3" s="53">
        <f t="shared" ref="J3:J66" si="0">SUM(B3:I3)</f>
        <v>175735</v>
      </c>
      <c r="O3" s="53"/>
      <c r="P3" s="53"/>
      <c r="Q3" s="53"/>
      <c r="R3" s="53"/>
      <c r="S3" s="5"/>
      <c r="T3" s="53"/>
      <c r="U3" s="53"/>
      <c r="V3" s="53"/>
      <c r="X3" s="51">
        <f t="shared" ref="X3:X66" si="1">IF(A3=0,"",MONTH(A3))</f>
        <v>2</v>
      </c>
      <c r="Y3" s="51">
        <f t="shared" ref="Y3:Y66" si="2">IF(A3=0,"",YEAR(A3))</f>
        <v>2007</v>
      </c>
    </row>
    <row r="4" spans="1:25" x14ac:dyDescent="0.25">
      <c r="A4" s="49">
        <v>39142</v>
      </c>
      <c r="B4" s="50">
        <v>14647</v>
      </c>
      <c r="C4" s="50">
        <v>1122</v>
      </c>
      <c r="D4" s="50">
        <v>40761</v>
      </c>
      <c r="E4" s="50">
        <v>1169</v>
      </c>
      <c r="F4" s="50">
        <v>21232</v>
      </c>
      <c r="G4" s="50">
        <v>20182</v>
      </c>
      <c r="H4" s="50">
        <v>71620</v>
      </c>
      <c r="I4" s="50">
        <v>1024</v>
      </c>
      <c r="J4" s="50">
        <f t="shared" si="0"/>
        <v>171757</v>
      </c>
      <c r="O4" s="50"/>
      <c r="P4" s="50"/>
      <c r="Q4" s="50"/>
      <c r="R4" s="50"/>
      <c r="S4" s="5"/>
      <c r="T4" s="50"/>
      <c r="U4" s="50"/>
      <c r="V4" s="50"/>
      <c r="X4" s="51">
        <f t="shared" si="1"/>
        <v>3</v>
      </c>
      <c r="Y4" s="51">
        <f t="shared" si="2"/>
        <v>2007</v>
      </c>
    </row>
    <row r="5" spans="1:25" x14ac:dyDescent="0.25">
      <c r="A5" s="52">
        <v>39173</v>
      </c>
      <c r="B5" s="53">
        <v>48065</v>
      </c>
      <c r="C5" s="53">
        <v>2034</v>
      </c>
      <c r="D5" s="53">
        <v>107105</v>
      </c>
      <c r="E5" s="53">
        <v>2149</v>
      </c>
      <c r="F5" s="53">
        <v>35551</v>
      </c>
      <c r="G5" s="53">
        <v>46372</v>
      </c>
      <c r="H5" s="53">
        <v>97632</v>
      </c>
      <c r="I5" s="53">
        <v>1418</v>
      </c>
      <c r="J5" s="53">
        <f t="shared" si="0"/>
        <v>340326</v>
      </c>
      <c r="O5" s="53"/>
      <c r="P5" s="53"/>
      <c r="Q5" s="53"/>
      <c r="R5" s="53"/>
      <c r="S5" s="5"/>
      <c r="T5" s="53"/>
      <c r="U5" s="53"/>
      <c r="V5" s="53"/>
      <c r="X5" s="51">
        <f t="shared" si="1"/>
        <v>4</v>
      </c>
      <c r="Y5" s="51">
        <f t="shared" si="2"/>
        <v>2007</v>
      </c>
    </row>
    <row r="6" spans="1:25" x14ac:dyDescent="0.25">
      <c r="A6" s="49">
        <v>39203</v>
      </c>
      <c r="B6" s="50">
        <v>88582</v>
      </c>
      <c r="C6" s="50">
        <v>1748</v>
      </c>
      <c r="D6" s="50">
        <v>59176</v>
      </c>
      <c r="E6" s="50">
        <v>476</v>
      </c>
      <c r="F6" s="50">
        <v>17629</v>
      </c>
      <c r="G6" s="50">
        <v>24054</v>
      </c>
      <c r="H6" s="50">
        <v>52635</v>
      </c>
      <c r="I6" s="50">
        <v>494</v>
      </c>
      <c r="J6" s="50">
        <f t="shared" si="0"/>
        <v>244794</v>
      </c>
      <c r="O6" s="50"/>
      <c r="P6" s="50"/>
      <c r="Q6" s="50"/>
      <c r="R6" s="50"/>
      <c r="S6" s="5"/>
      <c r="T6" s="50"/>
      <c r="U6" s="50"/>
      <c r="V6" s="50"/>
      <c r="X6" s="51">
        <f t="shared" si="1"/>
        <v>5</v>
      </c>
      <c r="Y6" s="51">
        <f t="shared" si="2"/>
        <v>2007</v>
      </c>
    </row>
    <row r="7" spans="1:25" x14ac:dyDescent="0.25">
      <c r="A7" s="52">
        <v>39234</v>
      </c>
      <c r="B7" s="53">
        <v>72754</v>
      </c>
      <c r="C7" s="53">
        <v>1622</v>
      </c>
      <c r="D7" s="53">
        <v>29792</v>
      </c>
      <c r="E7" s="53">
        <v>1777</v>
      </c>
      <c r="F7" s="53">
        <v>21337</v>
      </c>
      <c r="G7" s="53">
        <v>36242</v>
      </c>
      <c r="H7" s="53">
        <v>45101</v>
      </c>
      <c r="I7" s="53">
        <v>717</v>
      </c>
      <c r="J7" s="53">
        <f t="shared" si="0"/>
        <v>209342</v>
      </c>
      <c r="O7" s="53"/>
      <c r="P7" s="53"/>
      <c r="Q7" s="53"/>
      <c r="R7" s="53"/>
      <c r="S7" s="5"/>
      <c r="T7" s="53"/>
      <c r="U7" s="53"/>
      <c r="V7" s="53"/>
      <c r="X7" s="51">
        <f t="shared" si="1"/>
        <v>6</v>
      </c>
      <c r="Y7" s="51">
        <f t="shared" si="2"/>
        <v>2007</v>
      </c>
    </row>
    <row r="8" spans="1:25" x14ac:dyDescent="0.25">
      <c r="A8" s="49">
        <v>39264</v>
      </c>
      <c r="B8" s="50">
        <v>12683</v>
      </c>
      <c r="C8" s="50">
        <v>1459</v>
      </c>
      <c r="D8" s="50">
        <v>29342</v>
      </c>
      <c r="E8" s="50">
        <v>1136</v>
      </c>
      <c r="F8" s="50">
        <v>22852</v>
      </c>
      <c r="G8" s="50">
        <v>35401</v>
      </c>
      <c r="H8" s="50">
        <v>52838</v>
      </c>
      <c r="I8" s="50">
        <v>151</v>
      </c>
      <c r="J8" s="50">
        <f t="shared" si="0"/>
        <v>155862</v>
      </c>
      <c r="O8" s="50"/>
      <c r="P8" s="50"/>
      <c r="Q8" s="50"/>
      <c r="R8" s="50"/>
      <c r="S8" s="5"/>
      <c r="T8" s="50"/>
      <c r="U8" s="50"/>
      <c r="V8" s="50"/>
      <c r="X8" s="51">
        <f t="shared" si="1"/>
        <v>7</v>
      </c>
      <c r="Y8" s="51">
        <f t="shared" si="2"/>
        <v>2007</v>
      </c>
    </row>
    <row r="9" spans="1:25" x14ac:dyDescent="0.25">
      <c r="A9" s="52">
        <v>39295</v>
      </c>
      <c r="B9" s="53">
        <v>-28427</v>
      </c>
      <c r="C9" s="53">
        <v>929</v>
      </c>
      <c r="D9" s="53">
        <v>40755</v>
      </c>
      <c r="E9" s="53">
        <v>649</v>
      </c>
      <c r="F9" s="53">
        <v>30756</v>
      </c>
      <c r="G9" s="53">
        <v>46217</v>
      </c>
      <c r="H9" s="53">
        <v>72618</v>
      </c>
      <c r="I9" s="53">
        <v>1025</v>
      </c>
      <c r="J9" s="53">
        <f t="shared" si="0"/>
        <v>164522</v>
      </c>
      <c r="O9" s="53"/>
      <c r="P9" s="53"/>
      <c r="Q9" s="53"/>
      <c r="R9" s="53"/>
      <c r="S9" s="5"/>
      <c r="T9" s="53"/>
      <c r="U9" s="53"/>
      <c r="V9" s="53"/>
      <c r="X9" s="51">
        <f t="shared" si="1"/>
        <v>8</v>
      </c>
      <c r="Y9" s="51">
        <f t="shared" si="2"/>
        <v>2007</v>
      </c>
    </row>
    <row r="10" spans="1:25" x14ac:dyDescent="0.25">
      <c r="A10" s="49">
        <v>39326</v>
      </c>
      <c r="B10" s="50">
        <v>-15438</v>
      </c>
      <c r="C10" s="50">
        <v>946</v>
      </c>
      <c r="D10" s="50">
        <v>122664</v>
      </c>
      <c r="E10" s="50">
        <v>819</v>
      </c>
      <c r="F10" s="50">
        <v>34574</v>
      </c>
      <c r="G10" s="50">
        <v>60326</v>
      </c>
      <c r="H10" s="50">
        <v>87392</v>
      </c>
      <c r="I10" s="50">
        <v>801</v>
      </c>
      <c r="J10" s="50">
        <f t="shared" si="0"/>
        <v>292084</v>
      </c>
      <c r="O10" s="50"/>
      <c r="P10" s="50"/>
      <c r="Q10" s="50"/>
      <c r="R10" s="50"/>
      <c r="S10" s="5"/>
      <c r="T10" s="50"/>
      <c r="U10" s="50"/>
      <c r="V10" s="50"/>
      <c r="X10" s="51">
        <f t="shared" si="1"/>
        <v>9</v>
      </c>
      <c r="Y10" s="51">
        <f t="shared" si="2"/>
        <v>2007</v>
      </c>
    </row>
    <row r="11" spans="1:25" x14ac:dyDescent="0.25">
      <c r="A11" s="52">
        <v>39356</v>
      </c>
      <c r="B11" s="53">
        <v>-10251</v>
      </c>
      <c r="C11" s="53">
        <v>1041</v>
      </c>
      <c r="D11" s="53">
        <v>63217</v>
      </c>
      <c r="E11" s="53">
        <v>811</v>
      </c>
      <c r="F11" s="53">
        <v>26108</v>
      </c>
      <c r="G11" s="53">
        <v>73533</v>
      </c>
      <c r="H11" s="53">
        <v>78163</v>
      </c>
      <c r="I11" s="53">
        <v>210</v>
      </c>
      <c r="J11" s="53">
        <f t="shared" si="0"/>
        <v>232832</v>
      </c>
      <c r="O11" s="53"/>
      <c r="P11" s="53"/>
      <c r="Q11" s="53"/>
      <c r="R11" s="53"/>
      <c r="S11" s="5"/>
      <c r="T11" s="53"/>
      <c r="U11" s="53"/>
      <c r="V11" s="53"/>
      <c r="X11" s="51">
        <f t="shared" si="1"/>
        <v>10</v>
      </c>
      <c r="Y11" s="51">
        <f t="shared" si="2"/>
        <v>2007</v>
      </c>
    </row>
    <row r="12" spans="1:25" x14ac:dyDescent="0.25">
      <c r="A12" s="49">
        <v>39387</v>
      </c>
      <c r="B12" s="50">
        <v>-45339</v>
      </c>
      <c r="C12" s="50">
        <v>192</v>
      </c>
      <c r="D12" s="50">
        <v>-3751</v>
      </c>
      <c r="E12" s="50">
        <v>562</v>
      </c>
      <c r="F12" s="50">
        <v>11562</v>
      </c>
      <c r="G12" s="50">
        <v>109858</v>
      </c>
      <c r="H12" s="50">
        <v>71029</v>
      </c>
      <c r="I12" s="50">
        <v>-296</v>
      </c>
      <c r="J12" s="50">
        <f t="shared" si="0"/>
        <v>143817</v>
      </c>
      <c r="O12" s="50"/>
      <c r="P12" s="50"/>
      <c r="Q12" s="50"/>
      <c r="R12" s="50"/>
      <c r="S12" s="5"/>
      <c r="T12" s="50"/>
      <c r="U12" s="50"/>
      <c r="V12" s="50"/>
      <c r="X12" s="51">
        <f t="shared" si="1"/>
        <v>11</v>
      </c>
      <c r="Y12" s="51">
        <f t="shared" si="2"/>
        <v>2007</v>
      </c>
    </row>
    <row r="13" spans="1:25" x14ac:dyDescent="0.25">
      <c r="A13" s="52">
        <v>39417</v>
      </c>
      <c r="B13" s="53">
        <v>-132161</v>
      </c>
      <c r="C13" s="53">
        <v>609</v>
      </c>
      <c r="D13" s="53">
        <v>-145872</v>
      </c>
      <c r="E13" s="53">
        <v>3</v>
      </c>
      <c r="F13" s="53">
        <v>-24626</v>
      </c>
      <c r="G13" s="53">
        <v>34218</v>
      </c>
      <c r="H13" s="53">
        <v>-58254</v>
      </c>
      <c r="I13" s="53">
        <v>-2613</v>
      </c>
      <c r="J13" s="53">
        <f t="shared" si="0"/>
        <v>-328696</v>
      </c>
      <c r="O13" s="53">
        <f>IF(J13=0,"",SUM(J2:J13))</f>
        <v>1943050</v>
      </c>
      <c r="P13" s="53"/>
      <c r="Q13" s="53"/>
      <c r="R13" s="53"/>
      <c r="S13" s="5"/>
      <c r="T13" s="53">
        <f>IF(J13=0,"",SUM(D2:D13))</f>
        <v>417820</v>
      </c>
      <c r="U13" s="53">
        <f>IF(J13=0,"",SUM(F2:F13))</f>
        <v>221384</v>
      </c>
      <c r="V13" s="53">
        <f>IF(J13=0,"",SUM(C2:F13))</f>
        <v>666861</v>
      </c>
      <c r="X13" s="51">
        <f t="shared" si="1"/>
        <v>12</v>
      </c>
      <c r="Y13" s="51">
        <f t="shared" si="2"/>
        <v>2007</v>
      </c>
    </row>
    <row r="14" spans="1:25" x14ac:dyDescent="0.25">
      <c r="A14" s="49">
        <v>39448</v>
      </c>
      <c r="B14" s="50">
        <v>7505</v>
      </c>
      <c r="C14" s="50">
        <v>1178</v>
      </c>
      <c r="D14" s="50">
        <v>63979</v>
      </c>
      <c r="E14" s="50">
        <v>2058</v>
      </c>
      <c r="F14" s="50">
        <v>46248</v>
      </c>
      <c r="G14" s="50">
        <v>-5204</v>
      </c>
      <c r="H14" s="50">
        <v>61108</v>
      </c>
      <c r="I14" s="50">
        <v>0</v>
      </c>
      <c r="J14" s="50">
        <f t="shared" si="0"/>
        <v>176872</v>
      </c>
      <c r="O14" s="50">
        <f t="shared" ref="O14:O77" si="3">IF(J14=0,"",SUM(J3:J14))</f>
        <v>1979247</v>
      </c>
      <c r="P14" s="50"/>
      <c r="Q14" s="50"/>
      <c r="R14" s="50" t="b">
        <f>IF(J14=0,"",J14&gt;J2)</f>
        <v>1</v>
      </c>
      <c r="S14" s="5"/>
      <c r="T14" s="50">
        <f t="shared" ref="T14:T77" si="4">IF(J14=0,"",SUM(D3:D14))</f>
        <v>437549</v>
      </c>
      <c r="U14" s="50">
        <f t="shared" ref="U14:U77" si="5">IF(J14=0,"",SUM(F3:F14))</f>
        <v>251824</v>
      </c>
      <c r="V14" s="50">
        <f t="shared" ref="V14:V77" si="6">IF(J14=0,"",SUM(C3:F14))</f>
        <v>716726</v>
      </c>
      <c r="X14" s="51">
        <f t="shared" si="1"/>
        <v>1</v>
      </c>
      <c r="Y14" s="51">
        <f t="shared" si="2"/>
        <v>2008</v>
      </c>
    </row>
    <row r="15" spans="1:25" x14ac:dyDescent="0.25">
      <c r="A15" s="52">
        <v>39479</v>
      </c>
      <c r="B15" s="53">
        <v>20196</v>
      </c>
      <c r="C15" s="53">
        <v>844</v>
      </c>
      <c r="D15" s="53">
        <v>53086</v>
      </c>
      <c r="E15" s="53">
        <v>1407</v>
      </c>
      <c r="F15" s="53">
        <v>32756</v>
      </c>
      <c r="G15" s="53">
        <v>20552</v>
      </c>
      <c r="H15" s="53">
        <v>105447</v>
      </c>
      <c r="I15" s="53">
        <v>0</v>
      </c>
      <c r="J15" s="53">
        <f t="shared" si="0"/>
        <v>234288</v>
      </c>
      <c r="O15" s="53">
        <f t="shared" si="3"/>
        <v>2037800</v>
      </c>
      <c r="P15" s="53"/>
      <c r="Q15" s="53"/>
      <c r="R15" s="53" t="b">
        <f t="shared" ref="R15:R78" si="7">IF(J15=0,"",J15&gt;J3)</f>
        <v>1</v>
      </c>
      <c r="S15" s="5"/>
      <c r="T15" s="53">
        <f t="shared" si="4"/>
        <v>460254</v>
      </c>
      <c r="U15" s="53">
        <f t="shared" si="5"/>
        <v>275979</v>
      </c>
      <c r="V15" s="53">
        <f t="shared" si="6"/>
        <v>762973</v>
      </c>
      <c r="X15" s="51">
        <f t="shared" si="1"/>
        <v>2</v>
      </c>
      <c r="Y15" s="51">
        <f t="shared" si="2"/>
        <v>2008</v>
      </c>
    </row>
    <row r="16" spans="1:25" x14ac:dyDescent="0.25">
      <c r="A16" s="49">
        <v>39508</v>
      </c>
      <c r="B16" s="50">
        <v>9722</v>
      </c>
      <c r="C16" s="50">
        <v>1562</v>
      </c>
      <c r="D16" s="50">
        <v>43408</v>
      </c>
      <c r="E16" s="50">
        <v>1955</v>
      </c>
      <c r="F16" s="50">
        <v>38886</v>
      </c>
      <c r="G16" s="50">
        <v>26118</v>
      </c>
      <c r="H16" s="50">
        <v>105474</v>
      </c>
      <c r="I16" s="50">
        <v>0</v>
      </c>
      <c r="J16" s="50">
        <f t="shared" si="0"/>
        <v>227125</v>
      </c>
      <c r="O16" s="50">
        <f t="shared" si="3"/>
        <v>2093168</v>
      </c>
      <c r="P16" s="50"/>
      <c r="Q16" s="50"/>
      <c r="R16" s="50" t="b">
        <f t="shared" si="7"/>
        <v>1</v>
      </c>
      <c r="S16" s="5"/>
      <c r="T16" s="50">
        <f t="shared" si="4"/>
        <v>462901</v>
      </c>
      <c r="U16" s="50">
        <f t="shared" si="5"/>
        <v>293633</v>
      </c>
      <c r="V16" s="50">
        <f t="shared" si="6"/>
        <v>784500</v>
      </c>
      <c r="X16" s="51">
        <f t="shared" si="1"/>
        <v>3</v>
      </c>
      <c r="Y16" s="51">
        <f t="shared" si="2"/>
        <v>2008</v>
      </c>
    </row>
    <row r="17" spans="1:25" x14ac:dyDescent="0.25">
      <c r="A17" s="52">
        <v>39539</v>
      </c>
      <c r="B17" s="53">
        <v>39733</v>
      </c>
      <c r="C17" s="53">
        <v>2342</v>
      </c>
      <c r="D17" s="53">
        <v>83409</v>
      </c>
      <c r="E17" s="53">
        <v>2626</v>
      </c>
      <c r="F17" s="53">
        <v>38636</v>
      </c>
      <c r="G17" s="53">
        <v>42833</v>
      </c>
      <c r="H17" s="53">
        <v>116292</v>
      </c>
      <c r="I17" s="53">
        <v>0</v>
      </c>
      <c r="J17" s="53">
        <f t="shared" si="0"/>
        <v>325871</v>
      </c>
      <c r="O17" s="53">
        <f t="shared" si="3"/>
        <v>2078713</v>
      </c>
      <c r="P17" s="53"/>
      <c r="Q17" s="53"/>
      <c r="R17" s="53" t="b">
        <f t="shared" si="7"/>
        <v>0</v>
      </c>
      <c r="S17" s="5"/>
      <c r="T17" s="53">
        <f t="shared" si="4"/>
        <v>439205</v>
      </c>
      <c r="U17" s="53">
        <f t="shared" si="5"/>
        <v>296718</v>
      </c>
      <c r="V17" s="53">
        <f t="shared" si="6"/>
        <v>764674</v>
      </c>
      <c r="X17" s="51">
        <f t="shared" si="1"/>
        <v>4</v>
      </c>
      <c r="Y17" s="51">
        <f t="shared" si="2"/>
        <v>2008</v>
      </c>
    </row>
    <row r="18" spans="1:25" x14ac:dyDescent="0.25">
      <c r="A18" s="49">
        <v>39569</v>
      </c>
      <c r="B18" s="50">
        <v>50544</v>
      </c>
      <c r="C18" s="50">
        <v>2288</v>
      </c>
      <c r="D18" s="50">
        <v>36182</v>
      </c>
      <c r="E18" s="50">
        <v>862</v>
      </c>
      <c r="F18" s="50">
        <v>33591</v>
      </c>
      <c r="G18" s="50">
        <v>37623</v>
      </c>
      <c r="H18" s="50">
        <v>67094</v>
      </c>
      <c r="I18" s="50">
        <v>0</v>
      </c>
      <c r="J18" s="50">
        <f t="shared" si="0"/>
        <v>228184</v>
      </c>
      <c r="O18" s="50">
        <f t="shared" si="3"/>
        <v>2062103</v>
      </c>
      <c r="P18" s="50"/>
      <c r="Q18" s="50"/>
      <c r="R18" s="50" t="b">
        <f t="shared" si="7"/>
        <v>0</v>
      </c>
      <c r="S18" s="5"/>
      <c r="T18" s="50">
        <f t="shared" si="4"/>
        <v>416211</v>
      </c>
      <c r="U18" s="50">
        <f t="shared" si="5"/>
        <v>312680</v>
      </c>
      <c r="V18" s="50">
        <f t="shared" si="6"/>
        <v>758568</v>
      </c>
      <c r="X18" s="51">
        <f t="shared" si="1"/>
        <v>5</v>
      </c>
      <c r="Y18" s="51">
        <f t="shared" si="2"/>
        <v>2008</v>
      </c>
    </row>
    <row r="19" spans="1:25" x14ac:dyDescent="0.25">
      <c r="A19" s="52">
        <v>39600</v>
      </c>
      <c r="B19" s="53">
        <v>102685</v>
      </c>
      <c r="C19" s="53">
        <v>2086</v>
      </c>
      <c r="D19" s="53">
        <v>50777</v>
      </c>
      <c r="E19" s="53">
        <v>1519</v>
      </c>
      <c r="F19" s="53">
        <v>45090</v>
      </c>
      <c r="G19" s="53">
        <v>57410</v>
      </c>
      <c r="H19" s="53">
        <v>85401</v>
      </c>
      <c r="I19" s="53">
        <v>0</v>
      </c>
      <c r="J19" s="53">
        <f t="shared" si="0"/>
        <v>344968</v>
      </c>
      <c r="O19" s="53">
        <f t="shared" si="3"/>
        <v>2197729</v>
      </c>
      <c r="P19" s="53"/>
      <c r="Q19" s="53"/>
      <c r="R19" s="53" t="b">
        <f t="shared" si="7"/>
        <v>1</v>
      </c>
      <c r="S19" s="5"/>
      <c r="T19" s="53">
        <f t="shared" si="4"/>
        <v>437196</v>
      </c>
      <c r="U19" s="53">
        <f t="shared" si="5"/>
        <v>336433</v>
      </c>
      <c r="V19" s="53">
        <f t="shared" si="6"/>
        <v>803512</v>
      </c>
      <c r="X19" s="51">
        <f t="shared" si="1"/>
        <v>6</v>
      </c>
      <c r="Y19" s="51">
        <f t="shared" si="2"/>
        <v>2008</v>
      </c>
    </row>
    <row r="20" spans="1:25" x14ac:dyDescent="0.25">
      <c r="A20" s="49">
        <v>39630</v>
      </c>
      <c r="B20" s="50">
        <v>52185</v>
      </c>
      <c r="C20" s="50">
        <v>1684</v>
      </c>
      <c r="D20" s="50">
        <v>35942</v>
      </c>
      <c r="E20" s="50">
        <v>1511</v>
      </c>
      <c r="F20" s="50">
        <v>43325</v>
      </c>
      <c r="G20" s="50">
        <v>32293</v>
      </c>
      <c r="H20" s="50">
        <v>65457</v>
      </c>
      <c r="I20" s="50">
        <v>0</v>
      </c>
      <c r="J20" s="50">
        <f t="shared" si="0"/>
        <v>232397</v>
      </c>
      <c r="O20" s="50">
        <f t="shared" si="3"/>
        <v>2274264</v>
      </c>
      <c r="P20" s="50"/>
      <c r="Q20" s="50"/>
      <c r="R20" s="50" t="b">
        <f t="shared" si="7"/>
        <v>1</v>
      </c>
      <c r="S20" s="5"/>
      <c r="T20" s="50">
        <f t="shared" si="4"/>
        <v>443796</v>
      </c>
      <c r="U20" s="50">
        <f t="shared" si="5"/>
        <v>356906</v>
      </c>
      <c r="V20" s="50">
        <f t="shared" si="6"/>
        <v>831185</v>
      </c>
      <c r="X20" s="51">
        <f t="shared" si="1"/>
        <v>7</v>
      </c>
      <c r="Y20" s="51">
        <f t="shared" si="2"/>
        <v>2008</v>
      </c>
    </row>
    <row r="21" spans="1:25" x14ac:dyDescent="0.25">
      <c r="A21" s="52">
        <v>39661</v>
      </c>
      <c r="B21" s="53">
        <v>3074</v>
      </c>
      <c r="C21" s="53">
        <v>1878</v>
      </c>
      <c r="D21" s="53">
        <v>48957</v>
      </c>
      <c r="E21" s="53">
        <v>1535</v>
      </c>
      <c r="F21" s="53">
        <v>43287</v>
      </c>
      <c r="G21" s="53">
        <v>63958</v>
      </c>
      <c r="H21" s="53">
        <v>106129</v>
      </c>
      <c r="I21" s="53">
        <v>0</v>
      </c>
      <c r="J21" s="53">
        <f t="shared" si="0"/>
        <v>268818</v>
      </c>
      <c r="O21" s="53">
        <f t="shared" si="3"/>
        <v>2378560</v>
      </c>
      <c r="P21" s="53"/>
      <c r="Q21" s="53"/>
      <c r="R21" s="53" t="b">
        <f t="shared" si="7"/>
        <v>1</v>
      </c>
      <c r="S21" s="5"/>
      <c r="T21" s="53">
        <f t="shared" si="4"/>
        <v>451998</v>
      </c>
      <c r="U21" s="53">
        <f t="shared" si="5"/>
        <v>369437</v>
      </c>
      <c r="V21" s="53">
        <f t="shared" si="6"/>
        <v>853753</v>
      </c>
      <c r="X21" s="51">
        <f t="shared" si="1"/>
        <v>8</v>
      </c>
      <c r="Y21" s="51">
        <f t="shared" si="2"/>
        <v>2008</v>
      </c>
    </row>
    <row r="22" spans="1:25" x14ac:dyDescent="0.25">
      <c r="A22" s="49">
        <v>39692</v>
      </c>
      <c r="B22" s="50">
        <v>-24353</v>
      </c>
      <c r="C22" s="50">
        <v>1688</v>
      </c>
      <c r="D22" s="50">
        <v>115100</v>
      </c>
      <c r="E22" s="50">
        <v>1656</v>
      </c>
      <c r="F22" s="50">
        <v>39200</v>
      </c>
      <c r="G22" s="50">
        <v>62597</v>
      </c>
      <c r="H22" s="50">
        <v>115114</v>
      </c>
      <c r="I22" s="50">
        <v>3</v>
      </c>
      <c r="J22" s="50">
        <f t="shared" si="0"/>
        <v>311005</v>
      </c>
      <c r="O22" s="50">
        <f t="shared" si="3"/>
        <v>2397481</v>
      </c>
      <c r="P22" s="50"/>
      <c r="Q22" s="50"/>
      <c r="R22" s="50" t="b">
        <f t="shared" si="7"/>
        <v>1</v>
      </c>
      <c r="S22" s="5"/>
      <c r="T22" s="50">
        <f t="shared" si="4"/>
        <v>444434</v>
      </c>
      <c r="U22" s="50">
        <f t="shared" si="5"/>
        <v>374063</v>
      </c>
      <c r="V22" s="50">
        <f t="shared" si="6"/>
        <v>852394</v>
      </c>
      <c r="X22" s="51">
        <f t="shared" si="1"/>
        <v>9</v>
      </c>
      <c r="Y22" s="51">
        <f t="shared" si="2"/>
        <v>2008</v>
      </c>
    </row>
    <row r="23" spans="1:25" x14ac:dyDescent="0.25">
      <c r="A23" s="52">
        <v>39722</v>
      </c>
      <c r="B23" s="53">
        <v>-40897</v>
      </c>
      <c r="C23" s="53">
        <v>309</v>
      </c>
      <c r="D23" s="53">
        <v>8959</v>
      </c>
      <c r="E23" s="53">
        <v>-839</v>
      </c>
      <c r="F23" s="53">
        <v>7070</v>
      </c>
      <c r="G23" s="53">
        <v>62209</v>
      </c>
      <c r="H23" s="53">
        <v>43688</v>
      </c>
      <c r="I23" s="53">
        <v>-2</v>
      </c>
      <c r="J23" s="53">
        <f t="shared" si="0"/>
        <v>80497</v>
      </c>
      <c r="O23" s="53">
        <f t="shared" si="3"/>
        <v>2245146</v>
      </c>
      <c r="P23" s="53"/>
      <c r="Q23" s="53"/>
      <c r="R23" s="53" t="b">
        <f t="shared" si="7"/>
        <v>0</v>
      </c>
      <c r="S23" s="5"/>
      <c r="T23" s="53">
        <f t="shared" si="4"/>
        <v>390176</v>
      </c>
      <c r="U23" s="53">
        <f t="shared" si="5"/>
        <v>355025</v>
      </c>
      <c r="V23" s="53">
        <f t="shared" si="6"/>
        <v>776716</v>
      </c>
      <c r="X23" s="51">
        <f t="shared" si="1"/>
        <v>10</v>
      </c>
      <c r="Y23" s="51">
        <f t="shared" si="2"/>
        <v>2008</v>
      </c>
    </row>
    <row r="24" spans="1:25" x14ac:dyDescent="0.25">
      <c r="A24" s="49">
        <v>39753</v>
      </c>
      <c r="B24" s="50">
        <v>-52593</v>
      </c>
      <c r="C24" s="50">
        <v>-878</v>
      </c>
      <c r="D24" s="50">
        <v>-84311</v>
      </c>
      <c r="E24" s="50">
        <v>-1184</v>
      </c>
      <c r="F24" s="50">
        <v>-21298</v>
      </c>
      <c r="G24" s="50">
        <v>85415</v>
      </c>
      <c r="H24" s="50">
        <v>47473</v>
      </c>
      <c r="I24" s="50">
        <v>2</v>
      </c>
      <c r="J24" s="50">
        <f t="shared" si="0"/>
        <v>-27374</v>
      </c>
      <c r="O24" s="50">
        <f t="shared" si="3"/>
        <v>2073955</v>
      </c>
      <c r="P24" s="50"/>
      <c r="Q24" s="50"/>
      <c r="R24" s="50" t="b">
        <f t="shared" si="7"/>
        <v>0</v>
      </c>
      <c r="S24" s="5"/>
      <c r="T24" s="50">
        <f t="shared" si="4"/>
        <v>309616</v>
      </c>
      <c r="U24" s="50">
        <f t="shared" si="5"/>
        <v>322165</v>
      </c>
      <c r="V24" s="50">
        <f t="shared" si="6"/>
        <v>660480</v>
      </c>
      <c r="X24" s="51">
        <f t="shared" si="1"/>
        <v>11</v>
      </c>
      <c r="Y24" s="51">
        <f t="shared" si="2"/>
        <v>2008</v>
      </c>
    </row>
    <row r="25" spans="1:25" x14ac:dyDescent="0.25">
      <c r="A25" s="52">
        <v>39783</v>
      </c>
      <c r="B25" s="53">
        <v>-148293</v>
      </c>
      <c r="C25" s="53">
        <v>-3068</v>
      </c>
      <c r="D25" s="53">
        <v>-281978</v>
      </c>
      <c r="E25" s="53">
        <v>-2022</v>
      </c>
      <c r="F25" s="53">
        <v>-88487</v>
      </c>
      <c r="G25" s="53">
        <v>-15520</v>
      </c>
      <c r="H25" s="53">
        <v>-155993</v>
      </c>
      <c r="I25" s="53">
        <v>0</v>
      </c>
      <c r="J25" s="53">
        <f t="shared" si="0"/>
        <v>-695361</v>
      </c>
      <c r="O25" s="53">
        <f t="shared" si="3"/>
        <v>1707290</v>
      </c>
      <c r="P25" s="53"/>
      <c r="Q25" s="53"/>
      <c r="R25" s="53" t="b">
        <f t="shared" si="7"/>
        <v>0</v>
      </c>
      <c r="S25" s="5"/>
      <c r="T25" s="53">
        <f t="shared" si="4"/>
        <v>173510</v>
      </c>
      <c r="U25" s="53">
        <f t="shared" si="5"/>
        <v>258304</v>
      </c>
      <c r="V25" s="53">
        <f t="shared" si="6"/>
        <v>454811</v>
      </c>
      <c r="X25" s="51">
        <f t="shared" si="1"/>
        <v>12</v>
      </c>
      <c r="Y25" s="51">
        <f t="shared" si="2"/>
        <v>2008</v>
      </c>
    </row>
    <row r="26" spans="1:25" x14ac:dyDescent="0.25">
      <c r="A26" s="49">
        <v>39814</v>
      </c>
      <c r="B26" s="50">
        <v>-11425</v>
      </c>
      <c r="C26" s="50">
        <v>-564</v>
      </c>
      <c r="D26" s="50">
        <v>-52334</v>
      </c>
      <c r="E26" s="50">
        <v>742</v>
      </c>
      <c r="F26" s="50">
        <v>19483</v>
      </c>
      <c r="G26" s="50">
        <v>-42494</v>
      </c>
      <c r="H26" s="50">
        <v>19512</v>
      </c>
      <c r="I26" s="50">
        <v>3</v>
      </c>
      <c r="J26" s="50">
        <f t="shared" si="0"/>
        <v>-67077</v>
      </c>
      <c r="O26" s="50">
        <f t="shared" si="3"/>
        <v>1463341</v>
      </c>
      <c r="P26" s="50"/>
      <c r="Q26" s="50"/>
      <c r="R26" s="50" t="b">
        <f t="shared" si="7"/>
        <v>0</v>
      </c>
      <c r="S26" s="5"/>
      <c r="T26" s="50">
        <f t="shared" si="4"/>
        <v>57197</v>
      </c>
      <c r="U26" s="50">
        <f t="shared" si="5"/>
        <v>231539</v>
      </c>
      <c r="V26" s="50">
        <f t="shared" si="6"/>
        <v>308675</v>
      </c>
      <c r="X26" s="51">
        <f t="shared" si="1"/>
        <v>1</v>
      </c>
      <c r="Y26" s="51">
        <f t="shared" si="2"/>
        <v>2009</v>
      </c>
    </row>
    <row r="27" spans="1:25" x14ac:dyDescent="0.25">
      <c r="A27" s="52">
        <v>39845</v>
      </c>
      <c r="B27" s="53">
        <v>2845</v>
      </c>
      <c r="C27" s="53">
        <v>-514</v>
      </c>
      <c r="D27" s="53">
        <v>-57018</v>
      </c>
      <c r="E27" s="53">
        <v>325</v>
      </c>
      <c r="F27" s="53">
        <v>10494</v>
      </c>
      <c r="G27" s="53">
        <v>-2140</v>
      </c>
      <c r="H27" s="53">
        <v>93815</v>
      </c>
      <c r="I27" s="53">
        <v>0</v>
      </c>
      <c r="J27" s="53">
        <f t="shared" si="0"/>
        <v>47807</v>
      </c>
      <c r="O27" s="53">
        <f t="shared" si="3"/>
        <v>1276860</v>
      </c>
      <c r="P27" s="53"/>
      <c r="Q27" s="53"/>
      <c r="R27" s="53" t="b">
        <f t="shared" si="7"/>
        <v>0</v>
      </c>
      <c r="S27" s="5"/>
      <c r="T27" s="53">
        <f t="shared" si="4"/>
        <v>-52907</v>
      </c>
      <c r="U27" s="53">
        <f t="shared" si="5"/>
        <v>209277</v>
      </c>
      <c r="V27" s="53">
        <f t="shared" si="6"/>
        <v>173869</v>
      </c>
      <c r="X27" s="51">
        <f t="shared" si="1"/>
        <v>2</v>
      </c>
      <c r="Y27" s="51">
        <f t="shared" si="2"/>
        <v>2009</v>
      </c>
    </row>
    <row r="28" spans="1:25" x14ac:dyDescent="0.25">
      <c r="A28" s="49">
        <v>39873</v>
      </c>
      <c r="B28" s="50">
        <v>9097</v>
      </c>
      <c r="C28" s="50">
        <v>223</v>
      </c>
      <c r="D28" s="50">
        <v>-31864</v>
      </c>
      <c r="E28" s="50">
        <v>-31</v>
      </c>
      <c r="F28" s="50">
        <v>22185</v>
      </c>
      <c r="G28" s="50">
        <v>-2030</v>
      </c>
      <c r="H28" s="50">
        <v>71281</v>
      </c>
      <c r="I28" s="50">
        <v>2</v>
      </c>
      <c r="J28" s="50">
        <f t="shared" si="0"/>
        <v>68863</v>
      </c>
      <c r="O28" s="50">
        <f t="shared" si="3"/>
        <v>1118598</v>
      </c>
      <c r="P28" s="50"/>
      <c r="Q28" s="50"/>
      <c r="R28" s="50" t="b">
        <f t="shared" si="7"/>
        <v>0</v>
      </c>
      <c r="S28" s="5"/>
      <c r="T28" s="50">
        <f t="shared" si="4"/>
        <v>-128179</v>
      </c>
      <c r="U28" s="50">
        <f t="shared" si="5"/>
        <v>192576</v>
      </c>
      <c r="V28" s="50">
        <f t="shared" si="6"/>
        <v>78571</v>
      </c>
      <c r="X28" s="51">
        <f t="shared" si="1"/>
        <v>3</v>
      </c>
      <c r="Y28" s="51">
        <f t="shared" si="2"/>
        <v>2009</v>
      </c>
    </row>
    <row r="29" spans="1:25" x14ac:dyDescent="0.25">
      <c r="A29" s="52">
        <v>39904</v>
      </c>
      <c r="B29" s="53">
        <v>25532</v>
      </c>
      <c r="C29" s="53">
        <v>-358</v>
      </c>
      <c r="D29" s="53">
        <v>1953</v>
      </c>
      <c r="E29" s="53">
        <v>475</v>
      </c>
      <c r="F29" s="53">
        <v>19159</v>
      </c>
      <c r="G29" s="53">
        <v>14523</v>
      </c>
      <c r="H29" s="53">
        <v>79813</v>
      </c>
      <c r="I29" s="53">
        <v>9</v>
      </c>
      <c r="J29" s="53">
        <f t="shared" si="0"/>
        <v>141106</v>
      </c>
      <c r="O29" s="53">
        <f t="shared" si="3"/>
        <v>933833</v>
      </c>
      <c r="P29" s="53"/>
      <c r="Q29" s="53"/>
      <c r="R29" s="53" t="b">
        <f t="shared" si="7"/>
        <v>0</v>
      </c>
      <c r="S29" s="5"/>
      <c r="T29" s="53">
        <f t="shared" si="4"/>
        <v>-209635</v>
      </c>
      <c r="U29" s="53">
        <f t="shared" si="5"/>
        <v>173099</v>
      </c>
      <c r="V29" s="53">
        <f t="shared" si="6"/>
        <v>-27213</v>
      </c>
      <c r="X29" s="51">
        <f t="shared" si="1"/>
        <v>4</v>
      </c>
      <c r="Y29" s="51">
        <f t="shared" si="2"/>
        <v>2009</v>
      </c>
    </row>
    <row r="30" spans="1:25" x14ac:dyDescent="0.25">
      <c r="A30" s="49">
        <v>39934</v>
      </c>
      <c r="B30" s="50">
        <v>60318</v>
      </c>
      <c r="C30" s="50">
        <v>238</v>
      </c>
      <c r="D30" s="50">
        <v>2314</v>
      </c>
      <c r="E30" s="50">
        <v>358</v>
      </c>
      <c r="F30" s="50">
        <v>23184</v>
      </c>
      <c r="G30" s="50">
        <v>23961</v>
      </c>
      <c r="H30" s="50">
        <v>58536</v>
      </c>
      <c r="I30" s="50">
        <v>-1</v>
      </c>
      <c r="J30" s="50">
        <f t="shared" si="0"/>
        <v>168908</v>
      </c>
      <c r="O30" s="50">
        <f t="shared" si="3"/>
        <v>874557</v>
      </c>
      <c r="P30" s="50"/>
      <c r="Q30" s="50"/>
      <c r="R30" s="50" t="b">
        <f t="shared" si="7"/>
        <v>0</v>
      </c>
      <c r="S30" s="5"/>
      <c r="T30" s="50">
        <f t="shared" si="4"/>
        <v>-243503</v>
      </c>
      <c r="U30" s="50">
        <f t="shared" si="5"/>
        <v>162692</v>
      </c>
      <c r="V30" s="50">
        <f t="shared" si="6"/>
        <v>-74042</v>
      </c>
      <c r="X30" s="51">
        <f t="shared" si="1"/>
        <v>5</v>
      </c>
      <c r="Y30" s="51">
        <f t="shared" si="2"/>
        <v>2009</v>
      </c>
    </row>
    <row r="31" spans="1:25" x14ac:dyDescent="0.25">
      <c r="A31" s="52">
        <v>39965</v>
      </c>
      <c r="B31" s="53">
        <v>63454</v>
      </c>
      <c r="C31" s="53">
        <v>191</v>
      </c>
      <c r="D31" s="53">
        <v>2857</v>
      </c>
      <c r="E31" s="53">
        <v>159</v>
      </c>
      <c r="F31" s="53">
        <v>25318</v>
      </c>
      <c r="G31" s="53">
        <v>26845</v>
      </c>
      <c r="H31" s="53">
        <v>32554</v>
      </c>
      <c r="I31" s="53">
        <v>0</v>
      </c>
      <c r="J31" s="53">
        <f t="shared" si="0"/>
        <v>151378</v>
      </c>
      <c r="O31" s="53">
        <f t="shared" si="3"/>
        <v>680967</v>
      </c>
      <c r="P31" s="53"/>
      <c r="Q31" s="53"/>
      <c r="R31" s="53" t="b">
        <f t="shared" si="7"/>
        <v>0</v>
      </c>
      <c r="S31" s="5"/>
      <c r="T31" s="53">
        <f t="shared" si="4"/>
        <v>-291423</v>
      </c>
      <c r="U31" s="53">
        <f t="shared" si="5"/>
        <v>142920</v>
      </c>
      <c r="V31" s="53">
        <f t="shared" si="6"/>
        <v>-144989</v>
      </c>
      <c r="X31" s="51">
        <f t="shared" si="1"/>
        <v>6</v>
      </c>
      <c r="Y31" s="51">
        <f t="shared" si="2"/>
        <v>2009</v>
      </c>
    </row>
    <row r="32" spans="1:25" x14ac:dyDescent="0.25">
      <c r="A32" s="49">
        <v>39995</v>
      </c>
      <c r="B32" s="50">
        <v>34651</v>
      </c>
      <c r="C32" s="50">
        <v>500</v>
      </c>
      <c r="D32" s="50">
        <v>20273</v>
      </c>
      <c r="E32" s="50">
        <v>3061</v>
      </c>
      <c r="F32" s="50">
        <v>39410</v>
      </c>
      <c r="G32" s="50">
        <v>36862</v>
      </c>
      <c r="H32" s="50">
        <v>38943</v>
      </c>
      <c r="I32" s="50">
        <v>-1</v>
      </c>
      <c r="J32" s="50">
        <f t="shared" si="0"/>
        <v>173699</v>
      </c>
      <c r="O32" s="50">
        <f t="shared" si="3"/>
        <v>622269</v>
      </c>
      <c r="P32" s="50"/>
      <c r="Q32" s="50"/>
      <c r="R32" s="50" t="b">
        <f t="shared" si="7"/>
        <v>0</v>
      </c>
      <c r="S32" s="5"/>
      <c r="T32" s="50">
        <f t="shared" si="4"/>
        <v>-307092</v>
      </c>
      <c r="U32" s="50">
        <f t="shared" si="5"/>
        <v>139005</v>
      </c>
      <c r="V32" s="50">
        <f t="shared" si="6"/>
        <v>-164207</v>
      </c>
      <c r="X32" s="51">
        <f t="shared" si="1"/>
        <v>7</v>
      </c>
      <c r="Y32" s="51">
        <f t="shared" si="2"/>
        <v>2009</v>
      </c>
    </row>
    <row r="33" spans="1:25" x14ac:dyDescent="0.25">
      <c r="A33" s="52">
        <v>40026</v>
      </c>
      <c r="B33" s="53">
        <v>-8510</v>
      </c>
      <c r="C33" s="53">
        <v>1371</v>
      </c>
      <c r="D33" s="53">
        <v>67976</v>
      </c>
      <c r="E33" s="53">
        <v>674</v>
      </c>
      <c r="F33" s="53">
        <v>48751</v>
      </c>
      <c r="G33" s="53">
        <v>69604</v>
      </c>
      <c r="H33" s="53">
        <v>101552</v>
      </c>
      <c r="I33" s="53">
        <v>-2</v>
      </c>
      <c r="J33" s="53">
        <f t="shared" si="0"/>
        <v>281416</v>
      </c>
      <c r="O33" s="53">
        <f t="shared" si="3"/>
        <v>634867</v>
      </c>
      <c r="P33" s="53"/>
      <c r="Q33" s="53"/>
      <c r="R33" s="53" t="b">
        <f t="shared" si="7"/>
        <v>1</v>
      </c>
      <c r="S33" s="5"/>
      <c r="T33" s="53">
        <f t="shared" si="4"/>
        <v>-288073</v>
      </c>
      <c r="U33" s="53">
        <f t="shared" si="5"/>
        <v>144469</v>
      </c>
      <c r="V33" s="53">
        <f t="shared" si="6"/>
        <v>-141092</v>
      </c>
      <c r="X33" s="51">
        <f t="shared" si="1"/>
        <v>8</v>
      </c>
      <c r="Y33" s="51">
        <f t="shared" si="2"/>
        <v>2009</v>
      </c>
    </row>
    <row r="34" spans="1:25" x14ac:dyDescent="0.25">
      <c r="A34" s="49">
        <v>40057</v>
      </c>
      <c r="B34" s="50">
        <v>-12156</v>
      </c>
      <c r="C34" s="50">
        <v>1355</v>
      </c>
      <c r="D34" s="50">
        <v>128713</v>
      </c>
      <c r="E34" s="50">
        <v>-2059</v>
      </c>
      <c r="F34" s="50">
        <v>40799</v>
      </c>
      <c r="G34" s="50">
        <v>64462</v>
      </c>
      <c r="H34" s="50">
        <v>78997</v>
      </c>
      <c r="I34" s="50">
        <v>-5</v>
      </c>
      <c r="J34" s="50">
        <f t="shared" si="0"/>
        <v>300106</v>
      </c>
      <c r="O34" s="50">
        <f t="shared" si="3"/>
        <v>623968</v>
      </c>
      <c r="P34" s="50"/>
      <c r="Q34" s="50"/>
      <c r="R34" s="50" t="b">
        <f t="shared" si="7"/>
        <v>0</v>
      </c>
      <c r="S34" s="5"/>
      <c r="T34" s="50">
        <f t="shared" si="4"/>
        <v>-274460</v>
      </c>
      <c r="U34" s="50">
        <f t="shared" si="5"/>
        <v>146068</v>
      </c>
      <c r="V34" s="50">
        <f t="shared" si="6"/>
        <v>-129928</v>
      </c>
      <c r="X34" s="51">
        <f t="shared" si="1"/>
        <v>9</v>
      </c>
      <c r="Y34" s="51">
        <f t="shared" si="2"/>
        <v>2009</v>
      </c>
    </row>
    <row r="35" spans="1:25" x14ac:dyDescent="0.25">
      <c r="A35" s="52">
        <v>40087</v>
      </c>
      <c r="B35" s="53">
        <v>-9661</v>
      </c>
      <c r="C35" s="53">
        <v>1268</v>
      </c>
      <c r="D35" s="53">
        <v>79548</v>
      </c>
      <c r="E35" s="53">
        <v>1747</v>
      </c>
      <c r="F35" s="53">
        <v>34494</v>
      </c>
      <c r="G35" s="53">
        <v>83606</v>
      </c>
      <c r="H35" s="53">
        <v>85120</v>
      </c>
      <c r="I35" s="53">
        <v>0</v>
      </c>
      <c r="J35" s="53">
        <f t="shared" si="0"/>
        <v>276122</v>
      </c>
      <c r="O35" s="53">
        <f t="shared" si="3"/>
        <v>819593</v>
      </c>
      <c r="P35" s="53"/>
      <c r="Q35" s="53"/>
      <c r="R35" s="53" t="b">
        <f t="shared" si="7"/>
        <v>1</v>
      </c>
      <c r="S35" s="5"/>
      <c r="T35" s="53">
        <f t="shared" si="4"/>
        <v>-203871</v>
      </c>
      <c r="U35" s="53">
        <f t="shared" si="5"/>
        <v>173492</v>
      </c>
      <c r="V35" s="53">
        <f t="shared" si="6"/>
        <v>-28370</v>
      </c>
      <c r="X35" s="51">
        <f t="shared" si="1"/>
        <v>10</v>
      </c>
      <c r="Y35" s="51">
        <f t="shared" si="2"/>
        <v>2009</v>
      </c>
    </row>
    <row r="36" spans="1:25" x14ac:dyDescent="0.25">
      <c r="A36" s="49">
        <v>40118</v>
      </c>
      <c r="B36" s="50">
        <v>-17287</v>
      </c>
      <c r="C36" s="50">
        <v>1002</v>
      </c>
      <c r="D36" s="50">
        <v>40795</v>
      </c>
      <c r="E36" s="50">
        <v>1173</v>
      </c>
      <c r="F36" s="50">
        <v>24423</v>
      </c>
      <c r="G36" s="50">
        <v>132550</v>
      </c>
      <c r="H36" s="50">
        <v>99186</v>
      </c>
      <c r="I36" s="50">
        <v>0</v>
      </c>
      <c r="J36" s="50">
        <f t="shared" si="0"/>
        <v>281842</v>
      </c>
      <c r="O36" s="50">
        <f t="shared" si="3"/>
        <v>1128809</v>
      </c>
      <c r="P36" s="50"/>
      <c r="Q36" s="50"/>
      <c r="R36" s="50" t="b">
        <f t="shared" si="7"/>
        <v>1</v>
      </c>
      <c r="S36" s="5"/>
      <c r="T36" s="50">
        <f t="shared" si="4"/>
        <v>-78765</v>
      </c>
      <c r="U36" s="50">
        <f t="shared" si="5"/>
        <v>219213</v>
      </c>
      <c r="V36" s="50">
        <f t="shared" si="6"/>
        <v>146694</v>
      </c>
      <c r="X36" s="51">
        <f t="shared" si="1"/>
        <v>11</v>
      </c>
      <c r="Y36" s="51">
        <f t="shared" si="2"/>
        <v>2009</v>
      </c>
    </row>
    <row r="37" spans="1:25" x14ac:dyDescent="0.25">
      <c r="A37" s="52">
        <v>40148</v>
      </c>
      <c r="B37" s="53">
        <v>-126979</v>
      </c>
      <c r="C37" s="53">
        <v>-276</v>
      </c>
      <c r="D37" s="53">
        <v>-164680</v>
      </c>
      <c r="E37" s="53">
        <v>-1273</v>
      </c>
      <c r="F37" s="53">
        <v>-54220</v>
      </c>
      <c r="G37" s="53">
        <v>14254</v>
      </c>
      <c r="H37" s="53">
        <v>-93151</v>
      </c>
      <c r="I37" s="53">
        <v>0</v>
      </c>
      <c r="J37" s="53">
        <f t="shared" si="0"/>
        <v>-426325</v>
      </c>
      <c r="O37" s="53">
        <f t="shared" si="3"/>
        <v>1397845</v>
      </c>
      <c r="P37" s="53"/>
      <c r="Q37" s="53"/>
      <c r="R37" s="53" t="b">
        <f t="shared" si="7"/>
        <v>1</v>
      </c>
      <c r="S37" s="5"/>
      <c r="T37" s="53">
        <f t="shared" si="4"/>
        <v>38533</v>
      </c>
      <c r="U37" s="53">
        <f t="shared" si="5"/>
        <v>253480</v>
      </c>
      <c r="V37" s="53">
        <f t="shared" si="6"/>
        <v>301800</v>
      </c>
      <c r="X37" s="51">
        <f t="shared" si="1"/>
        <v>12</v>
      </c>
      <c r="Y37" s="51">
        <f t="shared" si="2"/>
        <v>2009</v>
      </c>
    </row>
    <row r="38" spans="1:25" x14ac:dyDescent="0.25">
      <c r="A38" s="49">
        <v>40179</v>
      </c>
      <c r="B38" s="50">
        <v>4436</v>
      </c>
      <c r="C38" s="50">
        <v>1488</v>
      </c>
      <c r="D38" s="50">
        <v>73623</v>
      </c>
      <c r="E38" s="50">
        <v>3059</v>
      </c>
      <c r="F38" s="50">
        <v>69615</v>
      </c>
      <c r="G38" s="50">
        <v>7137</v>
      </c>
      <c r="H38" s="50">
        <v>80782</v>
      </c>
      <c r="I38" s="50">
        <v>0</v>
      </c>
      <c r="J38" s="50">
        <f t="shared" si="0"/>
        <v>240140</v>
      </c>
      <c r="O38" s="50">
        <f t="shared" si="3"/>
        <v>1705062</v>
      </c>
      <c r="P38" s="50"/>
      <c r="Q38" s="50"/>
      <c r="R38" s="50" t="b">
        <f t="shared" si="7"/>
        <v>1</v>
      </c>
      <c r="S38" s="5"/>
      <c r="T38" s="50">
        <f t="shared" si="4"/>
        <v>164490</v>
      </c>
      <c r="U38" s="50">
        <f t="shared" si="5"/>
        <v>303612</v>
      </c>
      <c r="V38" s="50">
        <f t="shared" si="6"/>
        <v>482258</v>
      </c>
      <c r="X38" s="51">
        <f t="shared" si="1"/>
        <v>1</v>
      </c>
      <c r="Y38" s="51">
        <f t="shared" si="2"/>
        <v>2010</v>
      </c>
    </row>
    <row r="39" spans="1:25" x14ac:dyDescent="0.25">
      <c r="A39" s="52">
        <v>40210</v>
      </c>
      <c r="B39" s="53">
        <v>6322</v>
      </c>
      <c r="C39" s="53">
        <v>1811</v>
      </c>
      <c r="D39" s="53">
        <v>65121</v>
      </c>
      <c r="E39" s="53">
        <v>2294</v>
      </c>
      <c r="F39" s="53">
        <v>46123</v>
      </c>
      <c r="G39" s="53">
        <v>21200</v>
      </c>
      <c r="H39" s="53">
        <v>115604</v>
      </c>
      <c r="I39" s="53">
        <v>0</v>
      </c>
      <c r="J39" s="53">
        <f t="shared" si="0"/>
        <v>258475</v>
      </c>
      <c r="O39" s="53">
        <f t="shared" si="3"/>
        <v>1915730</v>
      </c>
      <c r="P39" s="53"/>
      <c r="Q39" s="53"/>
      <c r="R39" s="53" t="b">
        <f t="shared" si="7"/>
        <v>1</v>
      </c>
      <c r="S39" s="5"/>
      <c r="T39" s="53">
        <f t="shared" si="4"/>
        <v>286629</v>
      </c>
      <c r="U39" s="53">
        <f t="shared" si="5"/>
        <v>339241</v>
      </c>
      <c r="V39" s="53">
        <f t="shared" si="6"/>
        <v>644320</v>
      </c>
      <c r="X39" s="51">
        <f t="shared" si="1"/>
        <v>2</v>
      </c>
      <c r="Y39" s="51">
        <f t="shared" si="2"/>
        <v>2010</v>
      </c>
    </row>
    <row r="40" spans="1:25" x14ac:dyDescent="0.25">
      <c r="A40" s="49">
        <v>40238</v>
      </c>
      <c r="B40" s="50">
        <v>13183</v>
      </c>
      <c r="C40" s="50">
        <v>1781</v>
      </c>
      <c r="D40" s="50">
        <v>76931</v>
      </c>
      <c r="E40" s="50">
        <v>2142</v>
      </c>
      <c r="F40" s="50">
        <v>51785</v>
      </c>
      <c r="G40" s="50">
        <v>41708</v>
      </c>
      <c r="H40" s="50">
        <v>134980</v>
      </c>
      <c r="I40" s="50">
        <v>0</v>
      </c>
      <c r="J40" s="50">
        <f t="shared" si="0"/>
        <v>322510</v>
      </c>
      <c r="O40" s="50">
        <f t="shared" si="3"/>
        <v>2169377</v>
      </c>
      <c r="P40" s="50"/>
      <c r="Q40" s="50"/>
      <c r="R40" s="50" t="b">
        <f t="shared" si="7"/>
        <v>1</v>
      </c>
      <c r="S40" s="5"/>
      <c r="T40" s="50">
        <f t="shared" si="4"/>
        <v>395424</v>
      </c>
      <c r="U40" s="50">
        <f t="shared" si="5"/>
        <v>368841</v>
      </c>
      <c r="V40" s="50">
        <f t="shared" si="6"/>
        <v>786446</v>
      </c>
      <c r="X40" s="51">
        <f t="shared" si="1"/>
        <v>3</v>
      </c>
      <c r="Y40" s="51">
        <f t="shared" si="2"/>
        <v>2010</v>
      </c>
    </row>
    <row r="41" spans="1:25" x14ac:dyDescent="0.25">
      <c r="A41" s="52">
        <v>40269</v>
      </c>
      <c r="B41" s="53">
        <v>43284</v>
      </c>
      <c r="C41" s="53">
        <v>1538</v>
      </c>
      <c r="D41" s="53">
        <v>83303</v>
      </c>
      <c r="E41" s="53">
        <v>3137</v>
      </c>
      <c r="F41" s="53">
        <v>50733</v>
      </c>
      <c r="G41" s="53">
        <v>52264</v>
      </c>
      <c r="H41" s="53">
        <v>115102</v>
      </c>
      <c r="I41" s="53">
        <v>0</v>
      </c>
      <c r="J41" s="53">
        <f t="shared" si="0"/>
        <v>349361</v>
      </c>
      <c r="O41" s="53">
        <f t="shared" si="3"/>
        <v>2377632</v>
      </c>
      <c r="P41" s="53"/>
      <c r="Q41" s="53"/>
      <c r="R41" s="53" t="b">
        <f t="shared" si="7"/>
        <v>1</v>
      </c>
      <c r="S41" s="5"/>
      <c r="T41" s="53">
        <f t="shared" si="4"/>
        <v>476774</v>
      </c>
      <c r="U41" s="53">
        <f t="shared" si="5"/>
        <v>400415</v>
      </c>
      <c r="V41" s="53">
        <f t="shared" si="6"/>
        <v>903928</v>
      </c>
      <c r="X41" s="51">
        <f t="shared" si="1"/>
        <v>4</v>
      </c>
      <c r="Y41" s="51">
        <f t="shared" si="2"/>
        <v>2010</v>
      </c>
    </row>
    <row r="42" spans="1:25" x14ac:dyDescent="0.25">
      <c r="A42" s="49">
        <v>40299</v>
      </c>
      <c r="B42" s="50">
        <v>72384</v>
      </c>
      <c r="C42" s="50">
        <v>2176</v>
      </c>
      <c r="D42" s="50">
        <v>63928</v>
      </c>
      <c r="E42" s="50">
        <v>1543</v>
      </c>
      <c r="F42" s="50">
        <v>50910</v>
      </c>
      <c r="G42" s="50">
        <v>56547</v>
      </c>
      <c r="H42" s="50">
        <v>102242</v>
      </c>
      <c r="I42" s="50">
        <v>0</v>
      </c>
      <c r="J42" s="50">
        <f t="shared" si="0"/>
        <v>349730</v>
      </c>
      <c r="O42" s="50">
        <f t="shared" si="3"/>
        <v>2558454</v>
      </c>
      <c r="P42" s="50"/>
      <c r="Q42" s="50"/>
      <c r="R42" s="50" t="b">
        <f t="shared" si="7"/>
        <v>1</v>
      </c>
      <c r="S42" s="5"/>
      <c r="T42" s="50">
        <f t="shared" si="4"/>
        <v>538388</v>
      </c>
      <c r="U42" s="50">
        <f t="shared" si="5"/>
        <v>428141</v>
      </c>
      <c r="V42" s="50">
        <f t="shared" si="6"/>
        <v>996391</v>
      </c>
      <c r="X42" s="51">
        <f t="shared" si="1"/>
        <v>5</v>
      </c>
      <c r="Y42" s="51">
        <f t="shared" si="2"/>
        <v>2010</v>
      </c>
    </row>
    <row r="43" spans="1:25" x14ac:dyDescent="0.25">
      <c r="A43" s="52">
        <v>40330</v>
      </c>
      <c r="B43" s="53">
        <v>62791</v>
      </c>
      <c r="C43" s="53">
        <v>1705</v>
      </c>
      <c r="D43" s="53">
        <v>47395</v>
      </c>
      <c r="E43" s="53">
        <v>1799</v>
      </c>
      <c r="F43" s="53">
        <v>34558</v>
      </c>
      <c r="G43" s="53">
        <v>37954</v>
      </c>
      <c r="H43" s="53">
        <v>70774</v>
      </c>
      <c r="I43" s="53">
        <v>0</v>
      </c>
      <c r="J43" s="53">
        <f t="shared" si="0"/>
        <v>256976</v>
      </c>
      <c r="O43" s="53">
        <f t="shared" si="3"/>
        <v>2664052</v>
      </c>
      <c r="P43" s="53"/>
      <c r="Q43" s="53"/>
      <c r="R43" s="53" t="b">
        <f t="shared" si="7"/>
        <v>1</v>
      </c>
      <c r="S43" s="5"/>
      <c r="T43" s="53">
        <f t="shared" si="4"/>
        <v>582926</v>
      </c>
      <c r="U43" s="53">
        <f t="shared" si="5"/>
        <v>437381</v>
      </c>
      <c r="V43" s="53">
        <f t="shared" si="6"/>
        <v>1053323</v>
      </c>
      <c r="X43" s="51">
        <f t="shared" si="1"/>
        <v>6</v>
      </c>
      <c r="Y43" s="51">
        <f t="shared" si="2"/>
        <v>2010</v>
      </c>
    </row>
    <row r="44" spans="1:25" x14ac:dyDescent="0.25">
      <c r="A44" s="49">
        <v>40360</v>
      </c>
      <c r="B44" s="50">
        <v>10687</v>
      </c>
      <c r="C44" s="50">
        <v>2047</v>
      </c>
      <c r="D44" s="50">
        <v>43914</v>
      </c>
      <c r="E44" s="50">
        <v>1635</v>
      </c>
      <c r="F44" s="50">
        <v>50955</v>
      </c>
      <c r="G44" s="50">
        <v>40012</v>
      </c>
      <c r="H44" s="50">
        <v>70875</v>
      </c>
      <c r="I44" s="50">
        <v>0</v>
      </c>
      <c r="J44" s="50">
        <f t="shared" si="0"/>
        <v>220125</v>
      </c>
      <c r="O44" s="50">
        <f t="shared" si="3"/>
        <v>2710478</v>
      </c>
      <c r="P44" s="50"/>
      <c r="Q44" s="50"/>
      <c r="R44" s="50" t="b">
        <f t="shared" si="7"/>
        <v>1</v>
      </c>
      <c r="S44" s="5"/>
      <c r="T44" s="50">
        <f t="shared" si="4"/>
        <v>606567</v>
      </c>
      <c r="U44" s="50">
        <f t="shared" si="5"/>
        <v>448926</v>
      </c>
      <c r="V44" s="50">
        <f t="shared" si="6"/>
        <v>1088630</v>
      </c>
      <c r="X44" s="51">
        <f t="shared" si="1"/>
        <v>7</v>
      </c>
      <c r="Y44" s="51">
        <f t="shared" si="2"/>
        <v>2010</v>
      </c>
    </row>
    <row r="45" spans="1:25" x14ac:dyDescent="0.25">
      <c r="A45" s="52">
        <v>40391</v>
      </c>
      <c r="B45" s="53">
        <v>-9721</v>
      </c>
      <c r="C45" s="53">
        <v>1925</v>
      </c>
      <c r="D45" s="53">
        <v>71909</v>
      </c>
      <c r="E45" s="53">
        <v>3192</v>
      </c>
      <c r="F45" s="53">
        <v>54354</v>
      </c>
      <c r="G45" s="53">
        <v>79696</v>
      </c>
      <c r="H45" s="53">
        <v>156429</v>
      </c>
      <c r="I45" s="53">
        <v>0</v>
      </c>
      <c r="J45" s="53">
        <f t="shared" si="0"/>
        <v>357784</v>
      </c>
      <c r="O45" s="53">
        <f t="shared" si="3"/>
        <v>2786846</v>
      </c>
      <c r="P45" s="53"/>
      <c r="Q45" s="53"/>
      <c r="R45" s="53" t="b">
        <f t="shared" si="7"/>
        <v>1</v>
      </c>
      <c r="S45" s="5"/>
      <c r="T45" s="53">
        <f t="shared" si="4"/>
        <v>610500</v>
      </c>
      <c r="U45" s="53">
        <f t="shared" si="5"/>
        <v>454529</v>
      </c>
      <c r="V45" s="53">
        <f t="shared" si="6"/>
        <v>1101238</v>
      </c>
      <c r="X45" s="51">
        <f t="shared" si="1"/>
        <v>8</v>
      </c>
      <c r="Y45" s="51">
        <f t="shared" si="2"/>
        <v>2010</v>
      </c>
    </row>
    <row r="46" spans="1:25" x14ac:dyDescent="0.25">
      <c r="A46" s="49">
        <v>40422</v>
      </c>
      <c r="B46" s="50">
        <v>-22183</v>
      </c>
      <c r="C46" s="50">
        <v>2583</v>
      </c>
      <c r="D46" s="50">
        <v>103215</v>
      </c>
      <c r="E46" s="50">
        <v>1232</v>
      </c>
      <c r="F46" s="50">
        <v>32462</v>
      </c>
      <c r="G46" s="50">
        <v>69436</v>
      </c>
      <c r="H46" s="50">
        <v>108887</v>
      </c>
      <c r="I46" s="50">
        <v>0</v>
      </c>
      <c r="J46" s="50">
        <f t="shared" si="0"/>
        <v>295632</v>
      </c>
      <c r="O46" s="50">
        <f t="shared" si="3"/>
        <v>2782372</v>
      </c>
      <c r="P46" s="50"/>
      <c r="Q46" s="50"/>
      <c r="R46" s="50" t="b">
        <f t="shared" si="7"/>
        <v>0</v>
      </c>
      <c r="S46" s="5"/>
      <c r="T46" s="50">
        <f t="shared" si="4"/>
        <v>585002</v>
      </c>
      <c r="U46" s="50">
        <f t="shared" si="5"/>
        <v>446192</v>
      </c>
      <c r="V46" s="50">
        <f t="shared" si="6"/>
        <v>1071922</v>
      </c>
      <c r="X46" s="51">
        <f t="shared" si="1"/>
        <v>9</v>
      </c>
      <c r="Y46" s="51">
        <f t="shared" si="2"/>
        <v>2010</v>
      </c>
    </row>
    <row r="47" spans="1:25" x14ac:dyDescent="0.25">
      <c r="A47" s="52">
        <v>40452</v>
      </c>
      <c r="B47" s="53">
        <v>-26005</v>
      </c>
      <c r="C47" s="53">
        <v>1596</v>
      </c>
      <c r="D47" s="53">
        <v>47768</v>
      </c>
      <c r="E47" s="53">
        <v>1723</v>
      </c>
      <c r="F47" s="53">
        <v>21466</v>
      </c>
      <c r="G47" s="53">
        <v>95230</v>
      </c>
      <c r="H47" s="53">
        <v>100158</v>
      </c>
      <c r="I47" s="53">
        <v>0</v>
      </c>
      <c r="J47" s="53">
        <f t="shared" si="0"/>
        <v>241936</v>
      </c>
      <c r="O47" s="53">
        <f t="shared" si="3"/>
        <v>2748186</v>
      </c>
      <c r="P47" s="53"/>
      <c r="Q47" s="53"/>
      <c r="R47" s="53" t="b">
        <f t="shared" si="7"/>
        <v>0</v>
      </c>
      <c r="S47" s="5"/>
      <c r="T47" s="53">
        <f t="shared" si="4"/>
        <v>553222</v>
      </c>
      <c r="U47" s="53">
        <f t="shared" si="5"/>
        <v>433164</v>
      </c>
      <c r="V47" s="53">
        <f t="shared" si="6"/>
        <v>1027418</v>
      </c>
      <c r="X47" s="51">
        <f t="shared" si="1"/>
        <v>10</v>
      </c>
      <c r="Y47" s="51">
        <f t="shared" si="2"/>
        <v>2010</v>
      </c>
    </row>
    <row r="48" spans="1:25" x14ac:dyDescent="0.25">
      <c r="A48" s="49">
        <v>40483</v>
      </c>
      <c r="B48" s="50">
        <v>-59548</v>
      </c>
      <c r="C48" s="50">
        <v>1521</v>
      </c>
      <c r="D48" s="50">
        <v>-7156</v>
      </c>
      <c r="E48" s="50">
        <v>1622</v>
      </c>
      <c r="F48" s="50">
        <v>571</v>
      </c>
      <c r="G48" s="50">
        <v>146691</v>
      </c>
      <c r="H48" s="50">
        <v>73330</v>
      </c>
      <c r="I48" s="50">
        <v>0</v>
      </c>
      <c r="J48" s="50">
        <f t="shared" si="0"/>
        <v>157031</v>
      </c>
      <c r="O48" s="50">
        <f t="shared" si="3"/>
        <v>2623375</v>
      </c>
      <c r="P48" s="50"/>
      <c r="Q48" s="50"/>
      <c r="R48" s="50" t="b">
        <f t="shared" si="7"/>
        <v>0</v>
      </c>
      <c r="S48" s="5"/>
      <c r="T48" s="50">
        <f t="shared" si="4"/>
        <v>505271</v>
      </c>
      <c r="U48" s="50">
        <f t="shared" si="5"/>
        <v>409312</v>
      </c>
      <c r="V48" s="50">
        <f t="shared" si="6"/>
        <v>956583</v>
      </c>
      <c r="X48" s="51">
        <f t="shared" si="1"/>
        <v>11</v>
      </c>
      <c r="Y48" s="51">
        <f t="shared" si="2"/>
        <v>2010</v>
      </c>
    </row>
    <row r="49" spans="1:25" x14ac:dyDescent="0.25">
      <c r="A49" s="52">
        <v>40513</v>
      </c>
      <c r="B49" s="53">
        <v>-97548</v>
      </c>
      <c r="C49" s="53">
        <v>-110</v>
      </c>
      <c r="D49" s="53">
        <v>-150485</v>
      </c>
      <c r="E49" s="53">
        <v>706</v>
      </c>
      <c r="F49" s="53">
        <v>-83235</v>
      </c>
      <c r="G49" s="53">
        <v>19429</v>
      </c>
      <c r="H49" s="53">
        <v>-108630</v>
      </c>
      <c r="I49" s="53">
        <v>0</v>
      </c>
      <c r="J49" s="53">
        <f t="shared" si="0"/>
        <v>-419873</v>
      </c>
      <c r="O49" s="53">
        <f t="shared" si="3"/>
        <v>2629827</v>
      </c>
      <c r="P49" s="53"/>
      <c r="Q49" s="53"/>
      <c r="R49" s="53" t="b">
        <f t="shared" si="7"/>
        <v>1</v>
      </c>
      <c r="S49" s="5"/>
      <c r="T49" s="53">
        <f t="shared" si="4"/>
        <v>519466</v>
      </c>
      <c r="U49" s="53">
        <f t="shared" si="5"/>
        <v>380297</v>
      </c>
      <c r="V49" s="53">
        <f t="shared" si="6"/>
        <v>943908</v>
      </c>
      <c r="X49" s="51">
        <f t="shared" si="1"/>
        <v>12</v>
      </c>
      <c r="Y49" s="51">
        <f t="shared" si="2"/>
        <v>2010</v>
      </c>
    </row>
    <row r="50" spans="1:25" x14ac:dyDescent="0.25">
      <c r="A50" s="49">
        <v>40544</v>
      </c>
      <c r="B50" s="50">
        <v>11768</v>
      </c>
      <c r="C50" s="50">
        <v>2083</v>
      </c>
      <c r="D50" s="50">
        <v>57982</v>
      </c>
      <c r="E50" s="50">
        <v>2027</v>
      </c>
      <c r="F50" s="50">
        <v>46351</v>
      </c>
      <c r="G50" s="50">
        <v>-3364</v>
      </c>
      <c r="H50" s="50">
        <v>85325</v>
      </c>
      <c r="I50" s="50">
        <v>0</v>
      </c>
      <c r="J50" s="50">
        <f t="shared" si="0"/>
        <v>202172</v>
      </c>
      <c r="O50" s="50">
        <f t="shared" si="3"/>
        <v>2591859</v>
      </c>
      <c r="P50" s="50"/>
      <c r="Q50" s="50"/>
      <c r="R50" s="50" t="b">
        <f t="shared" si="7"/>
        <v>0</v>
      </c>
      <c r="S50" s="5"/>
      <c r="T50" s="50">
        <f t="shared" si="4"/>
        <v>503825</v>
      </c>
      <c r="U50" s="50">
        <f t="shared" si="5"/>
        <v>357033</v>
      </c>
      <c r="V50" s="50">
        <f t="shared" si="6"/>
        <v>904566</v>
      </c>
      <c r="X50" s="51">
        <f t="shared" si="1"/>
        <v>1</v>
      </c>
      <c r="Y50" s="51">
        <f t="shared" si="2"/>
        <v>2011</v>
      </c>
    </row>
    <row r="51" spans="1:25" x14ac:dyDescent="0.25">
      <c r="A51" s="52">
        <v>40575</v>
      </c>
      <c r="B51" s="53">
        <v>25161</v>
      </c>
      <c r="C51" s="53">
        <v>2236</v>
      </c>
      <c r="D51" s="53">
        <v>62406</v>
      </c>
      <c r="E51" s="53">
        <v>1172</v>
      </c>
      <c r="F51" s="53">
        <v>47205</v>
      </c>
      <c r="G51" s="53">
        <v>30132</v>
      </c>
      <c r="H51" s="53">
        <v>178758</v>
      </c>
      <c r="I51" s="53">
        <v>0</v>
      </c>
      <c r="J51" s="53">
        <f t="shared" si="0"/>
        <v>347070</v>
      </c>
      <c r="O51" s="53">
        <f t="shared" si="3"/>
        <v>2680454</v>
      </c>
      <c r="P51" s="53"/>
      <c r="Q51" s="53"/>
      <c r="R51" s="53" t="b">
        <f t="shared" si="7"/>
        <v>1</v>
      </c>
      <c r="S51" s="5"/>
      <c r="T51" s="53">
        <f t="shared" si="4"/>
        <v>501110</v>
      </c>
      <c r="U51" s="53">
        <f t="shared" si="5"/>
        <v>358115</v>
      </c>
      <c r="V51" s="53">
        <f t="shared" si="6"/>
        <v>902236</v>
      </c>
      <c r="X51" s="51">
        <f t="shared" si="1"/>
        <v>2</v>
      </c>
      <c r="Y51" s="51">
        <f t="shared" si="2"/>
        <v>2011</v>
      </c>
    </row>
    <row r="52" spans="1:25" x14ac:dyDescent="0.25">
      <c r="A52" s="49">
        <v>40603</v>
      </c>
      <c r="B52" s="50">
        <v>12595</v>
      </c>
      <c r="C52" s="50">
        <v>2031</v>
      </c>
      <c r="D52" s="50">
        <v>17229</v>
      </c>
      <c r="E52" s="50">
        <v>1268</v>
      </c>
      <c r="F52" s="50">
        <v>10944</v>
      </c>
      <c r="G52" s="50">
        <v>4486</v>
      </c>
      <c r="H52" s="50">
        <v>77553</v>
      </c>
      <c r="I52" s="50">
        <v>0</v>
      </c>
      <c r="J52" s="50">
        <f t="shared" si="0"/>
        <v>126106</v>
      </c>
      <c r="O52" s="50">
        <f t="shared" si="3"/>
        <v>2484050</v>
      </c>
      <c r="P52" s="50"/>
      <c r="Q52" s="50"/>
      <c r="R52" s="50" t="b">
        <f t="shared" si="7"/>
        <v>0</v>
      </c>
      <c r="S52" s="5"/>
      <c r="T52" s="50">
        <f t="shared" si="4"/>
        <v>441408</v>
      </c>
      <c r="U52" s="50">
        <f t="shared" si="5"/>
        <v>317274</v>
      </c>
      <c r="V52" s="50">
        <f t="shared" si="6"/>
        <v>801069</v>
      </c>
      <c r="X52" s="51">
        <f t="shared" si="1"/>
        <v>3</v>
      </c>
      <c r="Y52" s="51">
        <f t="shared" si="2"/>
        <v>2011</v>
      </c>
    </row>
    <row r="53" spans="1:25" x14ac:dyDescent="0.25">
      <c r="A53" s="52">
        <v>40634</v>
      </c>
      <c r="B53" s="53">
        <v>31044</v>
      </c>
      <c r="C53" s="53">
        <v>2600</v>
      </c>
      <c r="D53" s="53">
        <v>52786</v>
      </c>
      <c r="E53" s="53">
        <v>2369</v>
      </c>
      <c r="F53" s="53">
        <v>45046</v>
      </c>
      <c r="G53" s="53">
        <v>54870</v>
      </c>
      <c r="H53" s="53">
        <v>128728</v>
      </c>
      <c r="I53" s="53">
        <v>0</v>
      </c>
      <c r="J53" s="53">
        <f t="shared" si="0"/>
        <v>317443</v>
      </c>
      <c r="O53" s="53">
        <f t="shared" si="3"/>
        <v>2452132</v>
      </c>
      <c r="P53" s="53"/>
      <c r="Q53" s="53"/>
      <c r="R53" s="53" t="b">
        <f t="shared" si="7"/>
        <v>0</v>
      </c>
      <c r="S53" s="5"/>
      <c r="T53" s="53">
        <f t="shared" si="4"/>
        <v>410891</v>
      </c>
      <c r="U53" s="53">
        <f t="shared" si="5"/>
        <v>311587</v>
      </c>
      <c r="V53" s="53">
        <f t="shared" si="6"/>
        <v>765159</v>
      </c>
      <c r="X53" s="51">
        <f t="shared" si="1"/>
        <v>4</v>
      </c>
      <c r="Y53" s="51">
        <f t="shared" si="2"/>
        <v>2011</v>
      </c>
    </row>
    <row r="54" spans="1:25" x14ac:dyDescent="0.25">
      <c r="A54" s="49">
        <v>40664</v>
      </c>
      <c r="B54" s="50">
        <v>85237</v>
      </c>
      <c r="C54" s="50">
        <v>2121</v>
      </c>
      <c r="D54" s="50">
        <v>44309</v>
      </c>
      <c r="E54" s="50">
        <v>1497</v>
      </c>
      <c r="F54" s="50">
        <v>38822</v>
      </c>
      <c r="G54" s="50">
        <v>34775</v>
      </c>
      <c r="H54" s="50">
        <v>81988</v>
      </c>
      <c r="I54" s="50">
        <v>0</v>
      </c>
      <c r="J54" s="50">
        <f t="shared" si="0"/>
        <v>288749</v>
      </c>
      <c r="O54" s="50">
        <f t="shared" si="3"/>
        <v>2391151</v>
      </c>
      <c r="P54" s="50"/>
      <c r="Q54" s="50"/>
      <c r="R54" s="50" t="b">
        <f t="shared" si="7"/>
        <v>0</v>
      </c>
      <c r="S54" s="5"/>
      <c r="T54" s="50">
        <f t="shared" si="4"/>
        <v>391272</v>
      </c>
      <c r="U54" s="50">
        <f t="shared" si="5"/>
        <v>299499</v>
      </c>
      <c r="V54" s="50">
        <f t="shared" si="6"/>
        <v>733351</v>
      </c>
      <c r="X54" s="51">
        <f t="shared" si="1"/>
        <v>5</v>
      </c>
      <c r="Y54" s="51">
        <f t="shared" si="2"/>
        <v>2011</v>
      </c>
    </row>
    <row r="55" spans="1:25" x14ac:dyDescent="0.25">
      <c r="A55" s="52">
        <v>40695</v>
      </c>
      <c r="B55" s="53">
        <v>81727</v>
      </c>
      <c r="C55" s="53">
        <v>2235</v>
      </c>
      <c r="D55" s="53">
        <v>25363</v>
      </c>
      <c r="E55" s="53">
        <v>502</v>
      </c>
      <c r="F55" s="53">
        <v>41132</v>
      </c>
      <c r="G55" s="53">
        <v>40980</v>
      </c>
      <c r="H55" s="53">
        <v>63479</v>
      </c>
      <c r="I55" s="53">
        <v>0</v>
      </c>
      <c r="J55" s="53">
        <f t="shared" si="0"/>
        <v>255418</v>
      </c>
      <c r="O55" s="53">
        <f t="shared" si="3"/>
        <v>2389593</v>
      </c>
      <c r="P55" s="53"/>
      <c r="Q55" s="53"/>
      <c r="R55" s="53" t="b">
        <f t="shared" si="7"/>
        <v>0</v>
      </c>
      <c r="S55" s="5"/>
      <c r="T55" s="53">
        <f t="shared" si="4"/>
        <v>369240</v>
      </c>
      <c r="U55" s="53">
        <f t="shared" si="5"/>
        <v>306073</v>
      </c>
      <c r="V55" s="53">
        <f t="shared" si="6"/>
        <v>717126</v>
      </c>
      <c r="X55" s="51">
        <f t="shared" si="1"/>
        <v>6</v>
      </c>
      <c r="Y55" s="51">
        <f t="shared" si="2"/>
        <v>2011</v>
      </c>
    </row>
    <row r="56" spans="1:25" x14ac:dyDescent="0.25">
      <c r="A56" s="49">
        <v>40725</v>
      </c>
      <c r="B56" s="50">
        <v>17632</v>
      </c>
      <c r="C56" s="50">
        <v>2489</v>
      </c>
      <c r="D56" s="50">
        <v>25087</v>
      </c>
      <c r="E56" s="50">
        <v>1449</v>
      </c>
      <c r="F56" s="50">
        <v>36109</v>
      </c>
      <c r="G56" s="50">
        <v>37764</v>
      </c>
      <c r="H56" s="50">
        <v>56752</v>
      </c>
      <c r="I56" s="50">
        <v>0</v>
      </c>
      <c r="J56" s="50">
        <f t="shared" si="0"/>
        <v>177282</v>
      </c>
      <c r="O56" s="50">
        <f t="shared" si="3"/>
        <v>2346750</v>
      </c>
      <c r="P56" s="50"/>
      <c r="Q56" s="50"/>
      <c r="R56" s="50" t="b">
        <f t="shared" si="7"/>
        <v>0</v>
      </c>
      <c r="S56" s="5"/>
      <c r="T56" s="50">
        <f t="shared" si="4"/>
        <v>350413</v>
      </c>
      <c r="U56" s="50">
        <f t="shared" si="5"/>
        <v>291227</v>
      </c>
      <c r="V56" s="50">
        <f t="shared" si="6"/>
        <v>683709</v>
      </c>
      <c r="X56" s="51">
        <f t="shared" si="1"/>
        <v>7</v>
      </c>
      <c r="Y56" s="51">
        <f t="shared" si="2"/>
        <v>2011</v>
      </c>
    </row>
    <row r="57" spans="1:25" x14ac:dyDescent="0.25">
      <c r="A57" s="52">
        <v>40756</v>
      </c>
      <c r="B57" s="53">
        <v>-17238</v>
      </c>
      <c r="C57" s="53">
        <v>2595</v>
      </c>
      <c r="D57" s="53">
        <v>38884</v>
      </c>
      <c r="E57" s="53">
        <v>246</v>
      </c>
      <c r="F57" s="53">
        <v>42763</v>
      </c>
      <c r="G57" s="53">
        <v>55430</v>
      </c>
      <c r="H57" s="53">
        <v>107939</v>
      </c>
      <c r="I57" s="53">
        <v>0</v>
      </c>
      <c r="J57" s="53">
        <f t="shared" si="0"/>
        <v>230619</v>
      </c>
      <c r="O57" s="53">
        <f t="shared" si="3"/>
        <v>2219585</v>
      </c>
      <c r="P57" s="53"/>
      <c r="Q57" s="53"/>
      <c r="R57" s="53" t="b">
        <f t="shared" si="7"/>
        <v>0</v>
      </c>
      <c r="S57" s="5"/>
      <c r="T57" s="53">
        <f t="shared" si="4"/>
        <v>317388</v>
      </c>
      <c r="U57" s="53">
        <f t="shared" si="5"/>
        <v>279636</v>
      </c>
      <c r="V57" s="53">
        <f t="shared" si="6"/>
        <v>636817</v>
      </c>
      <c r="X57" s="51">
        <f t="shared" si="1"/>
        <v>8</v>
      </c>
      <c r="Y57" s="51">
        <f t="shared" si="2"/>
        <v>2011</v>
      </c>
    </row>
    <row r="58" spans="1:25" x14ac:dyDescent="0.25">
      <c r="A58" s="49">
        <v>40787</v>
      </c>
      <c r="B58" s="50">
        <v>-19138</v>
      </c>
      <c r="C58" s="50">
        <v>2269</v>
      </c>
      <c r="D58" s="50">
        <v>69049</v>
      </c>
      <c r="E58" s="50">
        <v>1102</v>
      </c>
      <c r="F58" s="50">
        <v>34334</v>
      </c>
      <c r="G58" s="50">
        <v>54473</v>
      </c>
      <c r="H58" s="50">
        <v>109216</v>
      </c>
      <c r="I58" s="50">
        <v>0</v>
      </c>
      <c r="J58" s="50">
        <f t="shared" si="0"/>
        <v>251305</v>
      </c>
      <c r="O58" s="50">
        <f t="shared" si="3"/>
        <v>2175258</v>
      </c>
      <c r="P58" s="50"/>
      <c r="Q58" s="50"/>
      <c r="R58" s="50" t="b">
        <f t="shared" si="7"/>
        <v>0</v>
      </c>
      <c r="S58" s="5"/>
      <c r="T58" s="50">
        <f t="shared" si="4"/>
        <v>283222</v>
      </c>
      <c r="U58" s="50">
        <f t="shared" si="5"/>
        <v>281508</v>
      </c>
      <c r="V58" s="50">
        <f t="shared" si="6"/>
        <v>604079</v>
      </c>
      <c r="X58" s="51">
        <f t="shared" si="1"/>
        <v>9</v>
      </c>
      <c r="Y58" s="51">
        <f t="shared" si="2"/>
        <v>2011</v>
      </c>
    </row>
    <row r="59" spans="1:25" x14ac:dyDescent="0.25">
      <c r="A59" s="52">
        <v>40817</v>
      </c>
      <c r="B59" s="53">
        <v>-27603</v>
      </c>
      <c r="C59" s="53">
        <v>1667</v>
      </c>
      <c r="D59" s="53">
        <v>8774</v>
      </c>
      <c r="E59" s="53">
        <v>407</v>
      </c>
      <c r="F59" s="53">
        <v>18855</v>
      </c>
      <c r="G59" s="53">
        <v>71826</v>
      </c>
      <c r="H59" s="53">
        <v>86202</v>
      </c>
      <c r="I59" s="53">
        <v>0</v>
      </c>
      <c r="J59" s="53">
        <f t="shared" si="0"/>
        <v>160128</v>
      </c>
      <c r="O59" s="53">
        <f t="shared" si="3"/>
        <v>2093450</v>
      </c>
      <c r="P59" s="53"/>
      <c r="Q59" s="53"/>
      <c r="R59" s="53" t="b">
        <f t="shared" si="7"/>
        <v>0</v>
      </c>
      <c r="S59" s="5"/>
      <c r="T59" s="53">
        <f t="shared" si="4"/>
        <v>244228</v>
      </c>
      <c r="U59" s="53">
        <f t="shared" si="5"/>
        <v>278897</v>
      </c>
      <c r="V59" s="53">
        <f t="shared" si="6"/>
        <v>561229</v>
      </c>
      <c r="X59" s="51">
        <f t="shared" si="1"/>
        <v>10</v>
      </c>
      <c r="Y59" s="51">
        <f t="shared" si="2"/>
        <v>2011</v>
      </c>
    </row>
    <row r="60" spans="1:25" x14ac:dyDescent="0.25">
      <c r="A60" s="49">
        <v>40848</v>
      </c>
      <c r="B60" s="50">
        <v>-42423</v>
      </c>
      <c r="C60" s="50">
        <v>423</v>
      </c>
      <c r="D60" s="50">
        <v>-51832</v>
      </c>
      <c r="E60" s="50">
        <v>-340</v>
      </c>
      <c r="F60" s="50">
        <v>-15787</v>
      </c>
      <c r="G60" s="50">
        <v>119806</v>
      </c>
      <c r="H60" s="50">
        <v>62820</v>
      </c>
      <c r="I60" s="50">
        <v>0</v>
      </c>
      <c r="J60" s="50">
        <f t="shared" si="0"/>
        <v>72667</v>
      </c>
      <c r="O60" s="50">
        <f t="shared" si="3"/>
        <v>2009086</v>
      </c>
      <c r="P60" s="50"/>
      <c r="Q60" s="50"/>
      <c r="R60" s="50" t="b">
        <f t="shared" si="7"/>
        <v>0</v>
      </c>
      <c r="S60" s="5"/>
      <c r="T60" s="50">
        <f t="shared" si="4"/>
        <v>199552</v>
      </c>
      <c r="U60" s="50">
        <f t="shared" si="5"/>
        <v>262539</v>
      </c>
      <c r="V60" s="50">
        <f t="shared" si="6"/>
        <v>497135</v>
      </c>
      <c r="X60" s="51">
        <f t="shared" si="1"/>
        <v>11</v>
      </c>
      <c r="Y60" s="51">
        <f t="shared" si="2"/>
        <v>2011</v>
      </c>
    </row>
    <row r="61" spans="1:25" x14ac:dyDescent="0.25">
      <c r="A61" s="52">
        <v>40878</v>
      </c>
      <c r="B61" s="53">
        <v>-75463</v>
      </c>
      <c r="C61" s="53">
        <v>518</v>
      </c>
      <c r="D61" s="53">
        <v>-141529</v>
      </c>
      <c r="E61" s="53">
        <v>-1651</v>
      </c>
      <c r="F61" s="53">
        <v>-79549</v>
      </c>
      <c r="G61" s="53">
        <v>-5223</v>
      </c>
      <c r="H61" s="53">
        <v>-99491</v>
      </c>
      <c r="I61" s="53">
        <v>0</v>
      </c>
      <c r="J61" s="53">
        <f t="shared" si="0"/>
        <v>-402388</v>
      </c>
      <c r="O61" s="53">
        <f t="shared" si="3"/>
        <v>2026571</v>
      </c>
      <c r="P61" s="53"/>
      <c r="Q61" s="53"/>
      <c r="R61" s="53" t="b">
        <f t="shared" si="7"/>
        <v>1</v>
      </c>
      <c r="S61" s="5"/>
      <c r="T61" s="53">
        <f t="shared" si="4"/>
        <v>208508</v>
      </c>
      <c r="U61" s="53">
        <f t="shared" si="5"/>
        <v>266225</v>
      </c>
      <c r="V61" s="53">
        <f t="shared" si="6"/>
        <v>508048</v>
      </c>
      <c r="X61" s="51">
        <f t="shared" si="1"/>
        <v>12</v>
      </c>
      <c r="Y61" s="51">
        <f t="shared" si="2"/>
        <v>2011</v>
      </c>
    </row>
    <row r="62" spans="1:25" x14ac:dyDescent="0.25">
      <c r="A62" s="49">
        <v>40909</v>
      </c>
      <c r="B62" s="50">
        <v>16478</v>
      </c>
      <c r="C62" s="50">
        <v>1768</v>
      </c>
      <c r="D62" s="50">
        <v>41047</v>
      </c>
      <c r="E62" s="50">
        <v>1242</v>
      </c>
      <c r="F62" s="50">
        <v>62219</v>
      </c>
      <c r="G62" s="50">
        <v>-22575</v>
      </c>
      <c r="H62" s="50">
        <v>80451</v>
      </c>
      <c r="I62" s="50">
        <v>0</v>
      </c>
      <c r="J62" s="50">
        <f t="shared" si="0"/>
        <v>180630</v>
      </c>
      <c r="O62" s="50">
        <f t="shared" si="3"/>
        <v>2005029</v>
      </c>
      <c r="P62" s="50"/>
      <c r="Q62" s="50"/>
      <c r="R62" s="50" t="b">
        <f t="shared" si="7"/>
        <v>0</v>
      </c>
      <c r="S62" s="5"/>
      <c r="T62" s="50">
        <f t="shared" si="4"/>
        <v>191573</v>
      </c>
      <c r="U62" s="50">
        <f t="shared" si="5"/>
        <v>282093</v>
      </c>
      <c r="V62" s="50">
        <f t="shared" si="6"/>
        <v>505881</v>
      </c>
      <c r="X62" s="51">
        <f t="shared" si="1"/>
        <v>1</v>
      </c>
      <c r="Y62" s="51">
        <f t="shared" si="2"/>
        <v>2012</v>
      </c>
    </row>
    <row r="63" spans="1:25" x14ac:dyDescent="0.25">
      <c r="A63" s="52">
        <v>40940</v>
      </c>
      <c r="B63" s="53">
        <v>1369</v>
      </c>
      <c r="C63" s="53">
        <v>1759</v>
      </c>
      <c r="D63" s="53">
        <v>24286</v>
      </c>
      <c r="E63" s="53">
        <v>1437</v>
      </c>
      <c r="F63" s="53">
        <v>40905</v>
      </c>
      <c r="G63" s="53">
        <v>3787</v>
      </c>
      <c r="H63" s="53">
        <v>126836</v>
      </c>
      <c r="I63" s="53">
        <v>0</v>
      </c>
      <c r="J63" s="53">
        <f t="shared" si="0"/>
        <v>200379</v>
      </c>
      <c r="O63" s="53">
        <f t="shared" si="3"/>
        <v>1858338</v>
      </c>
      <c r="P63" s="53"/>
      <c r="Q63" s="53"/>
      <c r="R63" s="53" t="b">
        <f t="shared" si="7"/>
        <v>0</v>
      </c>
      <c r="S63" s="5"/>
      <c r="T63" s="53">
        <f t="shared" si="4"/>
        <v>153453</v>
      </c>
      <c r="U63" s="53">
        <f t="shared" si="5"/>
        <v>275793</v>
      </c>
      <c r="V63" s="53">
        <f t="shared" si="6"/>
        <v>461249</v>
      </c>
      <c r="X63" s="51">
        <f t="shared" si="1"/>
        <v>2</v>
      </c>
      <c r="Y63" s="51">
        <f t="shared" si="2"/>
        <v>2012</v>
      </c>
    </row>
    <row r="64" spans="1:25" x14ac:dyDescent="0.25">
      <c r="A64" s="49">
        <v>40969</v>
      </c>
      <c r="B64" s="50">
        <v>-15670</v>
      </c>
      <c r="C64" s="50">
        <v>1970</v>
      </c>
      <c r="D64" s="50">
        <v>-250</v>
      </c>
      <c r="E64" s="50">
        <v>1368</v>
      </c>
      <c r="F64" s="50">
        <v>48768</v>
      </c>
      <c r="G64" s="50">
        <v>19919</v>
      </c>
      <c r="H64" s="50">
        <v>109787</v>
      </c>
      <c r="I64" s="50">
        <v>0</v>
      </c>
      <c r="J64" s="50">
        <f t="shared" si="0"/>
        <v>165892</v>
      </c>
      <c r="O64" s="50">
        <f t="shared" si="3"/>
        <v>1898124</v>
      </c>
      <c r="P64" s="50"/>
      <c r="Q64" s="50"/>
      <c r="R64" s="50" t="b">
        <f t="shared" si="7"/>
        <v>1</v>
      </c>
      <c r="S64" s="5"/>
      <c r="T64" s="50">
        <f t="shared" si="4"/>
        <v>135974</v>
      </c>
      <c r="U64" s="50">
        <f t="shared" si="5"/>
        <v>313617</v>
      </c>
      <c r="V64" s="50">
        <f t="shared" si="6"/>
        <v>481633</v>
      </c>
      <c r="X64" s="51">
        <f t="shared" si="1"/>
        <v>3</v>
      </c>
      <c r="Y64" s="51">
        <f t="shared" si="2"/>
        <v>2012</v>
      </c>
    </row>
    <row r="65" spans="1:25" x14ac:dyDescent="0.25">
      <c r="A65" s="52">
        <v>41000</v>
      </c>
      <c r="B65" s="53">
        <v>24782</v>
      </c>
      <c r="C65" s="53">
        <v>2222</v>
      </c>
      <c r="D65" s="53">
        <v>34460</v>
      </c>
      <c r="E65" s="53">
        <v>1834</v>
      </c>
      <c r="F65" s="53">
        <v>52238</v>
      </c>
      <c r="G65" s="53">
        <v>46825</v>
      </c>
      <c r="H65" s="53">
        <v>101249</v>
      </c>
      <c r="I65" s="53">
        <v>0</v>
      </c>
      <c r="J65" s="53">
        <f t="shared" si="0"/>
        <v>263610</v>
      </c>
      <c r="O65" s="53">
        <f t="shared" si="3"/>
        <v>1844291</v>
      </c>
      <c r="P65" s="53"/>
      <c r="Q65" s="53"/>
      <c r="R65" s="53" t="b">
        <f t="shared" si="7"/>
        <v>0</v>
      </c>
      <c r="S65" s="5"/>
      <c r="T65" s="53">
        <f t="shared" si="4"/>
        <v>117648</v>
      </c>
      <c r="U65" s="53">
        <f t="shared" si="5"/>
        <v>320809</v>
      </c>
      <c r="V65" s="53">
        <f t="shared" si="6"/>
        <v>469586</v>
      </c>
      <c r="X65" s="51">
        <f t="shared" si="1"/>
        <v>4</v>
      </c>
      <c r="Y65" s="51">
        <f t="shared" si="2"/>
        <v>2012</v>
      </c>
    </row>
    <row r="66" spans="1:25" x14ac:dyDescent="0.25">
      <c r="A66" s="49">
        <v>41030</v>
      </c>
      <c r="B66" s="50">
        <v>53641</v>
      </c>
      <c r="C66" s="50">
        <v>1571</v>
      </c>
      <c r="D66" s="50">
        <v>26064</v>
      </c>
      <c r="E66" s="50">
        <v>132</v>
      </c>
      <c r="F66" s="50">
        <v>26021</v>
      </c>
      <c r="G66" s="50">
        <v>22404</v>
      </c>
      <c r="H66" s="50">
        <v>65941</v>
      </c>
      <c r="I66" s="50">
        <v>0</v>
      </c>
      <c r="J66" s="50">
        <f t="shared" si="0"/>
        <v>195774</v>
      </c>
      <c r="O66" s="50">
        <f t="shared" si="3"/>
        <v>1751316</v>
      </c>
      <c r="P66" s="50"/>
      <c r="Q66" s="50"/>
      <c r="R66" s="50" t="b">
        <f t="shared" si="7"/>
        <v>0</v>
      </c>
      <c r="S66" s="5"/>
      <c r="T66" s="50">
        <f t="shared" si="4"/>
        <v>99403</v>
      </c>
      <c r="U66" s="50">
        <f t="shared" si="5"/>
        <v>308008</v>
      </c>
      <c r="V66" s="50">
        <f t="shared" si="6"/>
        <v>436625</v>
      </c>
      <c r="X66" s="51">
        <f t="shared" si="1"/>
        <v>5</v>
      </c>
      <c r="Y66" s="51">
        <f t="shared" si="2"/>
        <v>2012</v>
      </c>
    </row>
    <row r="67" spans="1:25" x14ac:dyDescent="0.25">
      <c r="A67" s="52">
        <v>41061</v>
      </c>
      <c r="B67" s="53">
        <v>65015</v>
      </c>
      <c r="C67" s="53">
        <v>1954</v>
      </c>
      <c r="D67" s="53">
        <v>13413</v>
      </c>
      <c r="E67" s="53">
        <v>3567</v>
      </c>
      <c r="F67" s="53">
        <v>11325</v>
      </c>
      <c r="G67" s="53">
        <v>22310</v>
      </c>
      <c r="H67" s="53">
        <v>45643</v>
      </c>
      <c r="I67" s="53">
        <v>0</v>
      </c>
      <c r="J67" s="53">
        <f t="shared" ref="J67:J130" si="8">SUM(B67:I67)</f>
        <v>163227</v>
      </c>
      <c r="O67" s="53">
        <f t="shared" si="3"/>
        <v>1659125</v>
      </c>
      <c r="P67" s="53"/>
      <c r="Q67" s="53"/>
      <c r="R67" s="53" t="b">
        <f t="shared" si="7"/>
        <v>0</v>
      </c>
      <c r="S67" s="5"/>
      <c r="T67" s="53">
        <f t="shared" si="4"/>
        <v>87453</v>
      </c>
      <c r="U67" s="53">
        <f t="shared" si="5"/>
        <v>278201</v>
      </c>
      <c r="V67" s="53">
        <f t="shared" si="6"/>
        <v>397652</v>
      </c>
      <c r="X67" s="51">
        <f t="shared" ref="X67:X130" si="9">IF(A67=0,"",MONTH(A67))</f>
        <v>6</v>
      </c>
      <c r="Y67" s="51">
        <f t="shared" ref="Y67:Y130" si="10">IF(A67=0,"",YEAR(A67))</f>
        <v>2012</v>
      </c>
    </row>
    <row r="68" spans="1:25" x14ac:dyDescent="0.25">
      <c r="A68" s="49">
        <v>41091</v>
      </c>
      <c r="B68" s="50">
        <v>27315</v>
      </c>
      <c r="C68" s="50">
        <v>2430</v>
      </c>
      <c r="D68" s="50">
        <v>29582</v>
      </c>
      <c r="E68" s="50">
        <v>2153</v>
      </c>
      <c r="F68" s="50">
        <v>34022</v>
      </c>
      <c r="G68" s="50">
        <v>33635</v>
      </c>
      <c r="H68" s="50">
        <v>54859</v>
      </c>
      <c r="I68" s="50">
        <v>0</v>
      </c>
      <c r="J68" s="50">
        <f t="shared" si="8"/>
        <v>183996</v>
      </c>
      <c r="O68" s="50">
        <f t="shared" si="3"/>
        <v>1665839</v>
      </c>
      <c r="P68" s="50"/>
      <c r="Q68" s="50"/>
      <c r="R68" s="50" t="b">
        <f t="shared" si="7"/>
        <v>1</v>
      </c>
      <c r="S68" s="5"/>
      <c r="T68" s="50">
        <f t="shared" si="4"/>
        <v>91948</v>
      </c>
      <c r="U68" s="50">
        <f t="shared" si="5"/>
        <v>276114</v>
      </c>
      <c r="V68" s="50">
        <f t="shared" si="6"/>
        <v>400705</v>
      </c>
      <c r="X68" s="51">
        <f t="shared" si="9"/>
        <v>7</v>
      </c>
      <c r="Y68" s="51">
        <f t="shared" si="10"/>
        <v>2012</v>
      </c>
    </row>
    <row r="69" spans="1:25" x14ac:dyDescent="0.25">
      <c r="A69" s="52">
        <v>41122</v>
      </c>
      <c r="B69" s="53">
        <v>-14911</v>
      </c>
      <c r="C69" s="53">
        <v>1406</v>
      </c>
      <c r="D69" s="53">
        <v>21385</v>
      </c>
      <c r="E69" s="53">
        <v>2359</v>
      </c>
      <c r="F69" s="53">
        <v>20462</v>
      </c>
      <c r="G69" s="53">
        <v>44038</v>
      </c>
      <c r="H69" s="53">
        <v>78749</v>
      </c>
      <c r="I69" s="53">
        <v>0</v>
      </c>
      <c r="J69" s="53">
        <f t="shared" si="8"/>
        <v>153488</v>
      </c>
      <c r="O69" s="53">
        <f t="shared" si="3"/>
        <v>1588708</v>
      </c>
      <c r="P69" s="53"/>
      <c r="Q69" s="53"/>
      <c r="R69" s="53" t="b">
        <f t="shared" si="7"/>
        <v>0</v>
      </c>
      <c r="S69" s="5"/>
      <c r="T69" s="53">
        <f t="shared" si="4"/>
        <v>74449</v>
      </c>
      <c r="U69" s="53">
        <f t="shared" si="5"/>
        <v>253813</v>
      </c>
      <c r="V69" s="53">
        <f t="shared" si="6"/>
        <v>361829</v>
      </c>
      <c r="X69" s="51">
        <f t="shared" si="9"/>
        <v>8</v>
      </c>
      <c r="Y69" s="51">
        <f t="shared" si="10"/>
        <v>2012</v>
      </c>
    </row>
    <row r="70" spans="1:25" x14ac:dyDescent="0.25">
      <c r="A70" s="49">
        <v>41153</v>
      </c>
      <c r="B70" s="50">
        <v>-17323</v>
      </c>
      <c r="C70" s="50">
        <v>1112</v>
      </c>
      <c r="D70" s="50">
        <v>72466</v>
      </c>
      <c r="E70" s="50">
        <v>921</v>
      </c>
      <c r="F70" s="50">
        <v>18985</v>
      </c>
      <c r="G70" s="50">
        <v>49913</v>
      </c>
      <c r="H70" s="50">
        <v>76265</v>
      </c>
      <c r="I70" s="50">
        <v>0</v>
      </c>
      <c r="J70" s="50">
        <f t="shared" si="8"/>
        <v>202339</v>
      </c>
      <c r="O70" s="50">
        <f t="shared" si="3"/>
        <v>1539742</v>
      </c>
      <c r="P70" s="50"/>
      <c r="Q70" s="50"/>
      <c r="R70" s="50" t="b">
        <f t="shared" si="7"/>
        <v>0</v>
      </c>
      <c r="S70" s="5"/>
      <c r="T70" s="50">
        <f t="shared" si="4"/>
        <v>77866</v>
      </c>
      <c r="U70" s="50">
        <f t="shared" si="5"/>
        <v>238464</v>
      </c>
      <c r="V70" s="50">
        <f t="shared" si="6"/>
        <v>348559</v>
      </c>
      <c r="X70" s="51">
        <f t="shared" si="9"/>
        <v>9</v>
      </c>
      <c r="Y70" s="51">
        <f t="shared" si="10"/>
        <v>2012</v>
      </c>
    </row>
    <row r="71" spans="1:25" x14ac:dyDescent="0.25">
      <c r="A71" s="52">
        <v>41183</v>
      </c>
      <c r="B71" s="53">
        <v>-19553</v>
      </c>
      <c r="C71" s="53">
        <v>124</v>
      </c>
      <c r="D71" s="53">
        <v>22685</v>
      </c>
      <c r="E71" s="53">
        <v>-729</v>
      </c>
      <c r="F71" s="53">
        <v>-4395</v>
      </c>
      <c r="G71" s="53">
        <v>61579</v>
      </c>
      <c r="H71" s="53">
        <v>30432</v>
      </c>
      <c r="I71" s="53">
        <v>0</v>
      </c>
      <c r="J71" s="53">
        <f t="shared" si="8"/>
        <v>90143</v>
      </c>
      <c r="O71" s="53">
        <f t="shared" si="3"/>
        <v>1469757</v>
      </c>
      <c r="P71" s="53"/>
      <c r="Q71" s="53"/>
      <c r="R71" s="53" t="b">
        <f t="shared" si="7"/>
        <v>0</v>
      </c>
      <c r="S71" s="5"/>
      <c r="T71" s="53">
        <f t="shared" si="4"/>
        <v>91777</v>
      </c>
      <c r="U71" s="53">
        <f t="shared" si="5"/>
        <v>215214</v>
      </c>
      <c r="V71" s="53">
        <f t="shared" si="6"/>
        <v>336541</v>
      </c>
      <c r="X71" s="51">
        <f t="shared" si="9"/>
        <v>10</v>
      </c>
      <c r="Y71" s="51">
        <f t="shared" si="10"/>
        <v>2012</v>
      </c>
    </row>
    <row r="72" spans="1:25" x14ac:dyDescent="0.25">
      <c r="A72" s="49">
        <v>41214</v>
      </c>
      <c r="B72" s="50">
        <v>-32572</v>
      </c>
      <c r="C72" s="50">
        <v>-33</v>
      </c>
      <c r="D72" s="50">
        <v>-22252</v>
      </c>
      <c r="E72" s="50">
        <v>-1625</v>
      </c>
      <c r="F72" s="50">
        <v>-36822</v>
      </c>
      <c r="G72" s="50">
        <v>122436</v>
      </c>
      <c r="H72" s="50">
        <v>47025</v>
      </c>
      <c r="I72" s="50">
        <v>0</v>
      </c>
      <c r="J72" s="50">
        <f t="shared" si="8"/>
        <v>76157</v>
      </c>
      <c r="O72" s="50">
        <f t="shared" si="3"/>
        <v>1473247</v>
      </c>
      <c r="P72" s="50"/>
      <c r="Q72" s="50"/>
      <c r="R72" s="50" t="b">
        <f t="shared" si="7"/>
        <v>1</v>
      </c>
      <c r="S72" s="5"/>
      <c r="T72" s="50">
        <f t="shared" si="4"/>
        <v>121357</v>
      </c>
      <c r="U72" s="50">
        <f t="shared" si="5"/>
        <v>194179</v>
      </c>
      <c r="V72" s="50">
        <f t="shared" si="6"/>
        <v>343345</v>
      </c>
      <c r="X72" s="51">
        <f t="shared" si="9"/>
        <v>11</v>
      </c>
      <c r="Y72" s="51">
        <f t="shared" si="10"/>
        <v>2012</v>
      </c>
    </row>
    <row r="73" spans="1:25" x14ac:dyDescent="0.25">
      <c r="A73" s="52">
        <v>41244</v>
      </c>
      <c r="B73" s="53">
        <v>-85199</v>
      </c>
      <c r="C73" s="53">
        <v>-1582</v>
      </c>
      <c r="D73" s="53">
        <v>-175590</v>
      </c>
      <c r="E73" s="53">
        <v>-1049</v>
      </c>
      <c r="F73" s="53">
        <v>-100334</v>
      </c>
      <c r="G73" s="53">
        <v>8458</v>
      </c>
      <c r="H73" s="53">
        <v>-147745</v>
      </c>
      <c r="I73" s="53">
        <v>0</v>
      </c>
      <c r="J73" s="53">
        <f t="shared" si="8"/>
        <v>-503041</v>
      </c>
      <c r="O73" s="53">
        <f t="shared" si="3"/>
        <v>1372594</v>
      </c>
      <c r="P73" s="53"/>
      <c r="Q73" s="53"/>
      <c r="R73" s="53" t="b">
        <f t="shared" si="7"/>
        <v>0</v>
      </c>
      <c r="S73" s="5"/>
      <c r="T73" s="53">
        <f t="shared" si="4"/>
        <v>87296</v>
      </c>
      <c r="U73" s="53">
        <f t="shared" si="5"/>
        <v>173394</v>
      </c>
      <c r="V73" s="53">
        <f t="shared" si="6"/>
        <v>287001</v>
      </c>
      <c r="X73" s="51">
        <f t="shared" si="9"/>
        <v>12</v>
      </c>
      <c r="Y73" s="51">
        <f t="shared" si="10"/>
        <v>2012</v>
      </c>
    </row>
    <row r="74" spans="1:25" x14ac:dyDescent="0.25">
      <c r="A74" s="49">
        <v>41275</v>
      </c>
      <c r="B74" s="50">
        <v>1239</v>
      </c>
      <c r="C74" s="50">
        <v>926</v>
      </c>
      <c r="D74" s="50">
        <v>49723</v>
      </c>
      <c r="E74" s="50">
        <v>5978</v>
      </c>
      <c r="F74" s="50">
        <v>47515</v>
      </c>
      <c r="G74" s="50">
        <v>-56025</v>
      </c>
      <c r="H74" s="50">
        <v>26258</v>
      </c>
      <c r="I74" s="50">
        <v>0</v>
      </c>
      <c r="J74" s="50">
        <f t="shared" si="8"/>
        <v>75614</v>
      </c>
      <c r="O74" s="50">
        <f t="shared" si="3"/>
        <v>1267578</v>
      </c>
      <c r="P74" s="50"/>
      <c r="Q74" s="50"/>
      <c r="R74" s="50" t="b">
        <f t="shared" si="7"/>
        <v>0</v>
      </c>
      <c r="S74" s="5"/>
      <c r="T74" s="50">
        <f t="shared" si="4"/>
        <v>95972</v>
      </c>
      <c r="U74" s="50">
        <f t="shared" si="5"/>
        <v>158690</v>
      </c>
      <c r="V74" s="50">
        <f t="shared" si="6"/>
        <v>284867</v>
      </c>
      <c r="X74" s="51">
        <f t="shared" si="9"/>
        <v>1</v>
      </c>
      <c r="Y74" s="51">
        <f t="shared" si="10"/>
        <v>2013</v>
      </c>
    </row>
    <row r="75" spans="1:25" x14ac:dyDescent="0.25">
      <c r="A75" s="52">
        <v>41306</v>
      </c>
      <c r="B75" s="53">
        <v>-6683</v>
      </c>
      <c r="C75" s="53">
        <v>401</v>
      </c>
      <c r="D75" s="53">
        <v>34941</v>
      </c>
      <c r="E75" s="53">
        <v>705</v>
      </c>
      <c r="F75" s="53">
        <v>26784</v>
      </c>
      <c r="G75" s="53">
        <v>266</v>
      </c>
      <c r="H75" s="53">
        <v>112434</v>
      </c>
      <c r="I75" s="53">
        <v>0</v>
      </c>
      <c r="J75" s="53">
        <f t="shared" si="8"/>
        <v>168848</v>
      </c>
      <c r="O75" s="53">
        <f t="shared" si="3"/>
        <v>1236047</v>
      </c>
      <c r="P75" s="53"/>
      <c r="Q75" s="53"/>
      <c r="R75" s="53" t="b">
        <f t="shared" si="7"/>
        <v>0</v>
      </c>
      <c r="S75" s="5"/>
      <c r="T75" s="53">
        <f t="shared" si="4"/>
        <v>106627</v>
      </c>
      <c r="U75" s="53">
        <f t="shared" si="5"/>
        <v>144569</v>
      </c>
      <c r="V75" s="53">
        <f t="shared" si="6"/>
        <v>279311</v>
      </c>
      <c r="X75" s="51">
        <f t="shared" si="9"/>
        <v>2</v>
      </c>
      <c r="Y75" s="51">
        <f t="shared" si="10"/>
        <v>2013</v>
      </c>
    </row>
    <row r="76" spans="1:25" x14ac:dyDescent="0.25">
      <c r="A76" s="49">
        <v>41334</v>
      </c>
      <c r="B76" s="50">
        <v>-1209</v>
      </c>
      <c r="C76" s="50">
        <v>908</v>
      </c>
      <c r="D76" s="50">
        <v>31203</v>
      </c>
      <c r="E76" s="50">
        <v>391</v>
      </c>
      <c r="F76" s="50">
        <v>34100</v>
      </c>
      <c r="G76" s="50">
        <v>19889</v>
      </c>
      <c r="H76" s="50">
        <v>97736</v>
      </c>
      <c r="I76" s="50">
        <v>0</v>
      </c>
      <c r="J76" s="50">
        <f t="shared" si="8"/>
        <v>183018</v>
      </c>
      <c r="O76" s="50">
        <f t="shared" si="3"/>
        <v>1253173</v>
      </c>
      <c r="P76" s="50"/>
      <c r="Q76" s="50"/>
      <c r="R76" s="50" t="b">
        <f t="shared" si="7"/>
        <v>1</v>
      </c>
      <c r="S76" s="5"/>
      <c r="T76" s="50">
        <f t="shared" si="4"/>
        <v>138080</v>
      </c>
      <c r="U76" s="50">
        <f t="shared" si="5"/>
        <v>129901</v>
      </c>
      <c r="V76" s="50">
        <f t="shared" si="6"/>
        <v>294057</v>
      </c>
      <c r="X76" s="51">
        <f t="shared" si="9"/>
        <v>3</v>
      </c>
      <c r="Y76" s="51">
        <f t="shared" si="10"/>
        <v>2013</v>
      </c>
    </row>
    <row r="77" spans="1:25" x14ac:dyDescent="0.25">
      <c r="A77" s="52">
        <v>41365</v>
      </c>
      <c r="B77" s="53">
        <v>30039</v>
      </c>
      <c r="C77" s="53">
        <v>910</v>
      </c>
      <c r="D77" s="53">
        <v>45684</v>
      </c>
      <c r="E77" s="53">
        <v>2673</v>
      </c>
      <c r="F77" s="53">
        <v>44835</v>
      </c>
      <c r="G77" s="53">
        <v>32148</v>
      </c>
      <c r="H77" s="53">
        <v>99936</v>
      </c>
      <c r="I77" s="53">
        <v>0</v>
      </c>
      <c r="J77" s="53">
        <f t="shared" si="8"/>
        <v>256225</v>
      </c>
      <c r="O77" s="53">
        <f t="shared" si="3"/>
        <v>1245788</v>
      </c>
      <c r="P77" s="53"/>
      <c r="Q77" s="53"/>
      <c r="R77" s="53" t="b">
        <f t="shared" si="7"/>
        <v>0</v>
      </c>
      <c r="S77" s="5"/>
      <c r="T77" s="53">
        <f t="shared" si="4"/>
        <v>149304</v>
      </c>
      <c r="U77" s="53">
        <f t="shared" si="5"/>
        <v>122498</v>
      </c>
      <c r="V77" s="53">
        <f t="shared" si="6"/>
        <v>297405</v>
      </c>
      <c r="X77" s="51">
        <f t="shared" si="9"/>
        <v>4</v>
      </c>
      <c r="Y77" s="51">
        <f t="shared" si="10"/>
        <v>2013</v>
      </c>
    </row>
    <row r="78" spans="1:25" x14ac:dyDescent="0.25">
      <c r="A78" s="49">
        <v>41395</v>
      </c>
      <c r="B78" s="50">
        <v>40004</v>
      </c>
      <c r="C78" s="50">
        <v>-1</v>
      </c>
      <c r="D78" s="50">
        <v>18604</v>
      </c>
      <c r="E78" s="50">
        <v>582</v>
      </c>
      <c r="F78" s="50">
        <v>3489</v>
      </c>
      <c r="G78" s="50">
        <v>9178</v>
      </c>
      <c r="H78" s="50">
        <v>39368</v>
      </c>
      <c r="I78" s="50">
        <v>0</v>
      </c>
      <c r="J78" s="50">
        <f t="shared" si="8"/>
        <v>111224</v>
      </c>
      <c r="O78" s="50">
        <f t="shared" ref="O78:O141" si="11">IF(J78=0,"",SUM(J67:J78))</f>
        <v>1161238</v>
      </c>
      <c r="P78" s="50"/>
      <c r="Q78" s="50"/>
      <c r="R78" s="50" t="b">
        <f t="shared" si="7"/>
        <v>0</v>
      </c>
      <c r="S78" s="5"/>
      <c r="T78" s="50">
        <f t="shared" ref="T78:T141" si="12">IF(J78=0,"",SUM(D67:D78))</f>
        <v>141844</v>
      </c>
      <c r="U78" s="50">
        <f t="shared" ref="U78:U141" si="13">IF(J78=0,"",SUM(F67:F78))</f>
        <v>99966</v>
      </c>
      <c r="V78" s="50">
        <f t="shared" ref="V78:V141" si="14">IF(J78=0,"",SUM(C67:F78))</f>
        <v>266291</v>
      </c>
      <c r="X78" s="51">
        <f t="shared" si="9"/>
        <v>5</v>
      </c>
      <c r="Y78" s="51">
        <f t="shared" si="10"/>
        <v>2013</v>
      </c>
    </row>
    <row r="79" spans="1:25" x14ac:dyDescent="0.25">
      <c r="A79" s="52">
        <v>41426</v>
      </c>
      <c r="B79" s="53">
        <v>63517</v>
      </c>
      <c r="C79" s="53">
        <v>570</v>
      </c>
      <c r="D79" s="53">
        <v>10175</v>
      </c>
      <c r="E79" s="53">
        <v>797</v>
      </c>
      <c r="F79" s="53">
        <v>9445</v>
      </c>
      <c r="G79" s="53">
        <v>18521</v>
      </c>
      <c r="H79" s="53">
        <v>55044</v>
      </c>
      <c r="I79" s="53">
        <v>0</v>
      </c>
      <c r="J79" s="53">
        <f t="shared" si="8"/>
        <v>158069</v>
      </c>
      <c r="O79" s="53">
        <f t="shared" si="11"/>
        <v>1156080</v>
      </c>
      <c r="P79" s="53"/>
      <c r="Q79" s="53"/>
      <c r="R79" s="53" t="b">
        <f t="shared" ref="R79:R142" si="15">IF(J79=0,"",J79&gt;J67)</f>
        <v>0</v>
      </c>
      <c r="S79" s="5"/>
      <c r="T79" s="53">
        <f t="shared" si="12"/>
        <v>138606</v>
      </c>
      <c r="U79" s="53">
        <f t="shared" si="13"/>
        <v>98086</v>
      </c>
      <c r="V79" s="53">
        <f t="shared" si="14"/>
        <v>257019</v>
      </c>
      <c r="X79" s="51">
        <f t="shared" si="9"/>
        <v>6</v>
      </c>
      <c r="Y79" s="51">
        <f t="shared" si="10"/>
        <v>2013</v>
      </c>
    </row>
    <row r="80" spans="1:25" x14ac:dyDescent="0.25">
      <c r="A80" s="49">
        <v>41456</v>
      </c>
      <c r="B80" s="50">
        <v>21017</v>
      </c>
      <c r="C80" s="50">
        <v>-142</v>
      </c>
      <c r="D80" s="50">
        <v>10892</v>
      </c>
      <c r="E80" s="50">
        <v>-1375</v>
      </c>
      <c r="F80" s="50">
        <v>10343</v>
      </c>
      <c r="G80" s="50">
        <v>9276</v>
      </c>
      <c r="H80" s="50">
        <v>23206</v>
      </c>
      <c r="I80" s="50">
        <v>0</v>
      </c>
      <c r="J80" s="50">
        <f t="shared" si="8"/>
        <v>73217</v>
      </c>
      <c r="O80" s="50">
        <f t="shared" si="11"/>
        <v>1045301</v>
      </c>
      <c r="P80" s="50"/>
      <c r="Q80" s="50"/>
      <c r="R80" s="50" t="b">
        <f t="shared" si="15"/>
        <v>0</v>
      </c>
      <c r="S80" s="5"/>
      <c r="T80" s="50">
        <f t="shared" si="12"/>
        <v>119916</v>
      </c>
      <c r="U80" s="50">
        <f t="shared" si="13"/>
        <v>74407</v>
      </c>
      <c r="V80" s="50">
        <f t="shared" si="14"/>
        <v>208550</v>
      </c>
      <c r="X80" s="51">
        <f t="shared" si="9"/>
        <v>7</v>
      </c>
      <c r="Y80" s="51">
        <f t="shared" si="10"/>
        <v>2013</v>
      </c>
    </row>
    <row r="81" spans="1:25" x14ac:dyDescent="0.25">
      <c r="A81" s="52">
        <v>41487</v>
      </c>
      <c r="B81" s="53">
        <v>-10950</v>
      </c>
      <c r="C81" s="53">
        <v>133</v>
      </c>
      <c r="D81" s="53">
        <v>14575</v>
      </c>
      <c r="E81" s="53">
        <v>-601</v>
      </c>
      <c r="F81" s="53">
        <v>20743</v>
      </c>
      <c r="G81" s="53">
        <v>61025</v>
      </c>
      <c r="H81" s="53">
        <v>77235</v>
      </c>
      <c r="I81" s="53">
        <v>0</v>
      </c>
      <c r="J81" s="53">
        <f t="shared" si="8"/>
        <v>162160</v>
      </c>
      <c r="O81" s="53">
        <f t="shared" si="11"/>
        <v>1053973</v>
      </c>
      <c r="P81" s="53"/>
      <c r="Q81" s="53"/>
      <c r="R81" s="53" t="b">
        <f t="shared" si="15"/>
        <v>1</v>
      </c>
      <c r="S81" s="5"/>
      <c r="T81" s="53">
        <f t="shared" si="12"/>
        <v>113106</v>
      </c>
      <c r="U81" s="53">
        <f t="shared" si="13"/>
        <v>74688</v>
      </c>
      <c r="V81" s="53">
        <f t="shared" si="14"/>
        <v>197788</v>
      </c>
      <c r="X81" s="51">
        <f t="shared" si="9"/>
        <v>8</v>
      </c>
      <c r="Y81" s="51">
        <f t="shared" si="10"/>
        <v>2013</v>
      </c>
    </row>
    <row r="82" spans="1:25" x14ac:dyDescent="0.25">
      <c r="A82" s="49">
        <v>41518</v>
      </c>
      <c r="B82" s="50">
        <v>-7534</v>
      </c>
      <c r="C82" s="50">
        <v>623</v>
      </c>
      <c r="D82" s="50">
        <v>68704</v>
      </c>
      <c r="E82" s="50">
        <v>1046</v>
      </c>
      <c r="F82" s="50">
        <v>37353</v>
      </c>
      <c r="G82" s="50">
        <v>67538</v>
      </c>
      <c r="H82" s="50">
        <v>89938</v>
      </c>
      <c r="I82" s="50">
        <v>0</v>
      </c>
      <c r="J82" s="50">
        <f t="shared" si="8"/>
        <v>257668</v>
      </c>
      <c r="O82" s="50">
        <f t="shared" si="11"/>
        <v>1109302</v>
      </c>
      <c r="P82" s="50"/>
      <c r="Q82" s="50"/>
      <c r="R82" s="50" t="b">
        <f t="shared" si="15"/>
        <v>1</v>
      </c>
      <c r="S82" s="5"/>
      <c r="T82" s="50">
        <f t="shared" si="12"/>
        <v>109344</v>
      </c>
      <c r="U82" s="50">
        <f t="shared" si="13"/>
        <v>93056</v>
      </c>
      <c r="V82" s="50">
        <f t="shared" si="14"/>
        <v>212030</v>
      </c>
      <c r="X82" s="51">
        <f t="shared" si="9"/>
        <v>9</v>
      </c>
      <c r="Y82" s="51">
        <f t="shared" si="10"/>
        <v>2013</v>
      </c>
    </row>
    <row r="83" spans="1:25" x14ac:dyDescent="0.25">
      <c r="A83" s="52">
        <v>41548</v>
      </c>
      <c r="B83" s="53">
        <v>-21165</v>
      </c>
      <c r="C83" s="53">
        <v>-34</v>
      </c>
      <c r="D83" s="53">
        <v>36234</v>
      </c>
      <c r="E83" s="53">
        <v>1601</v>
      </c>
      <c r="F83" s="53">
        <v>3934</v>
      </c>
      <c r="G83" s="53">
        <v>61943</v>
      </c>
      <c r="H83" s="53">
        <v>48352</v>
      </c>
      <c r="I83" s="53">
        <v>0</v>
      </c>
      <c r="J83" s="53">
        <f t="shared" si="8"/>
        <v>130865</v>
      </c>
      <c r="O83" s="53">
        <f t="shared" si="11"/>
        <v>1150024</v>
      </c>
      <c r="P83" s="53"/>
      <c r="Q83" s="53"/>
      <c r="R83" s="53" t="b">
        <f t="shared" si="15"/>
        <v>1</v>
      </c>
      <c r="S83" s="5"/>
      <c r="T83" s="53">
        <f t="shared" si="12"/>
        <v>122893</v>
      </c>
      <c r="U83" s="53">
        <f t="shared" si="13"/>
        <v>101385</v>
      </c>
      <c r="V83" s="53">
        <f t="shared" si="14"/>
        <v>236080</v>
      </c>
      <c r="X83" s="51">
        <f t="shared" si="9"/>
        <v>10</v>
      </c>
      <c r="Y83" s="51">
        <f t="shared" si="10"/>
        <v>2013</v>
      </c>
    </row>
    <row r="84" spans="1:25" x14ac:dyDescent="0.25">
      <c r="A84" s="49">
        <v>41579</v>
      </c>
      <c r="B84" s="50">
        <v>-34454</v>
      </c>
      <c r="C84" s="50">
        <v>-1426</v>
      </c>
      <c r="D84" s="50">
        <v>-33297</v>
      </c>
      <c r="E84" s="50">
        <v>32</v>
      </c>
      <c r="F84" s="50">
        <v>-29943</v>
      </c>
      <c r="G84" s="50">
        <v>115942</v>
      </c>
      <c r="H84" s="50">
        <v>52507</v>
      </c>
      <c r="I84" s="50">
        <v>0</v>
      </c>
      <c r="J84" s="50">
        <f t="shared" si="8"/>
        <v>69361</v>
      </c>
      <c r="O84" s="50">
        <f t="shared" si="11"/>
        <v>1143228</v>
      </c>
      <c r="P84" s="50"/>
      <c r="Q84" s="50"/>
      <c r="R84" s="50" t="b">
        <f t="shared" si="15"/>
        <v>0</v>
      </c>
      <c r="S84" s="5"/>
      <c r="T84" s="50">
        <f t="shared" si="12"/>
        <v>111848</v>
      </c>
      <c r="U84" s="50">
        <f t="shared" si="13"/>
        <v>108264</v>
      </c>
      <c r="V84" s="50">
        <f t="shared" si="14"/>
        <v>232178</v>
      </c>
      <c r="X84" s="51">
        <f t="shared" si="9"/>
        <v>11</v>
      </c>
      <c r="Y84" s="51">
        <f t="shared" si="10"/>
        <v>2013</v>
      </c>
    </row>
    <row r="85" spans="1:25" x14ac:dyDescent="0.25">
      <c r="A85" s="52">
        <v>41609</v>
      </c>
      <c r="B85" s="53">
        <v>-83826</v>
      </c>
      <c r="C85" s="53">
        <v>-2001</v>
      </c>
      <c r="D85" s="53">
        <v>-172361</v>
      </c>
      <c r="E85" s="53">
        <v>-2288</v>
      </c>
      <c r="F85" s="53">
        <v>-101274</v>
      </c>
      <c r="G85" s="53">
        <v>-4526</v>
      </c>
      <c r="H85" s="53">
        <v>-141431</v>
      </c>
      <c r="I85" s="53">
        <v>0</v>
      </c>
      <c r="J85" s="53">
        <f t="shared" si="8"/>
        <v>-507707</v>
      </c>
      <c r="O85" s="53">
        <f t="shared" si="11"/>
        <v>1138562</v>
      </c>
      <c r="P85" s="53"/>
      <c r="Q85" s="53"/>
      <c r="R85" s="53" t="b">
        <f t="shared" si="15"/>
        <v>0</v>
      </c>
      <c r="S85" s="5"/>
      <c r="T85" s="53">
        <f t="shared" si="12"/>
        <v>115077</v>
      </c>
      <c r="U85" s="53">
        <f t="shared" si="13"/>
        <v>107324</v>
      </c>
      <c r="V85" s="53">
        <f t="shared" si="14"/>
        <v>232809</v>
      </c>
      <c r="X85" s="51">
        <f t="shared" si="9"/>
        <v>12</v>
      </c>
      <c r="Y85" s="51">
        <f t="shared" si="10"/>
        <v>2013</v>
      </c>
    </row>
    <row r="86" spans="1:25" x14ac:dyDescent="0.25">
      <c r="A86" s="49">
        <v>41640</v>
      </c>
      <c r="B86" s="50">
        <v>4786</v>
      </c>
      <c r="C86" s="50">
        <v>376</v>
      </c>
      <c r="D86" s="50">
        <v>41182</v>
      </c>
      <c r="E86" s="50">
        <v>1308</v>
      </c>
      <c r="F86" s="50">
        <v>48335</v>
      </c>
      <c r="G86" s="50">
        <v>-71186</v>
      </c>
      <c r="H86" s="50">
        <v>38437</v>
      </c>
      <c r="I86" s="50">
        <v>0</v>
      </c>
      <c r="J86" s="50">
        <f t="shared" si="8"/>
        <v>63238</v>
      </c>
      <c r="O86" s="50">
        <f t="shared" si="11"/>
        <v>1126186</v>
      </c>
      <c r="P86" s="50"/>
      <c r="Q86" s="50"/>
      <c r="R86" s="50" t="b">
        <f t="shared" si="15"/>
        <v>0</v>
      </c>
      <c r="S86" s="5"/>
      <c r="T86" s="50">
        <f t="shared" si="12"/>
        <v>106536</v>
      </c>
      <c r="U86" s="50">
        <f t="shared" si="13"/>
        <v>108144</v>
      </c>
      <c r="V86" s="50">
        <f t="shared" si="14"/>
        <v>219868</v>
      </c>
      <c r="X86" s="51">
        <f t="shared" si="9"/>
        <v>1</v>
      </c>
      <c r="Y86" s="51">
        <f t="shared" si="10"/>
        <v>2014</v>
      </c>
    </row>
    <row r="87" spans="1:25" x14ac:dyDescent="0.25">
      <c r="A87" s="52">
        <v>41671</v>
      </c>
      <c r="B87" s="53">
        <v>7090</v>
      </c>
      <c r="C87" s="53">
        <v>790</v>
      </c>
      <c r="D87" s="53">
        <v>52212</v>
      </c>
      <c r="E87" s="53">
        <v>2235</v>
      </c>
      <c r="F87" s="53">
        <v>34177</v>
      </c>
      <c r="G87" s="53">
        <v>28962</v>
      </c>
      <c r="H87" s="53">
        <v>175928</v>
      </c>
      <c r="I87" s="53">
        <v>0</v>
      </c>
      <c r="J87" s="53">
        <f t="shared" si="8"/>
        <v>301394</v>
      </c>
      <c r="O87" s="53">
        <f t="shared" si="11"/>
        <v>1258732</v>
      </c>
      <c r="P87" s="53"/>
      <c r="Q87" s="53"/>
      <c r="R87" s="53" t="b">
        <f t="shared" si="15"/>
        <v>1</v>
      </c>
      <c r="S87" s="5"/>
      <c r="T87" s="53">
        <f t="shared" si="12"/>
        <v>123807</v>
      </c>
      <c r="U87" s="53">
        <f t="shared" si="13"/>
        <v>115537</v>
      </c>
      <c r="V87" s="53">
        <f t="shared" si="14"/>
        <v>246451</v>
      </c>
      <c r="X87" s="51">
        <f t="shared" si="9"/>
        <v>2</v>
      </c>
      <c r="Y87" s="51">
        <f t="shared" si="10"/>
        <v>2014</v>
      </c>
    </row>
    <row r="88" spans="1:25" x14ac:dyDescent="0.25">
      <c r="A88" s="49">
        <v>41699</v>
      </c>
      <c r="B88" s="50">
        <v>-4159</v>
      </c>
      <c r="C88" s="50">
        <v>143</v>
      </c>
      <c r="D88" s="50">
        <v>7032</v>
      </c>
      <c r="E88" s="50">
        <v>366</v>
      </c>
      <c r="F88" s="50">
        <v>430</v>
      </c>
      <c r="G88" s="50">
        <v>-21666</v>
      </c>
      <c r="H88" s="50">
        <v>52959</v>
      </c>
      <c r="I88" s="50">
        <v>0</v>
      </c>
      <c r="J88" s="50">
        <f t="shared" si="8"/>
        <v>35105</v>
      </c>
      <c r="O88" s="50">
        <f t="shared" si="11"/>
        <v>1110819</v>
      </c>
      <c r="P88" s="50"/>
      <c r="Q88" s="50"/>
      <c r="R88" s="50" t="b">
        <f t="shared" si="15"/>
        <v>0</v>
      </c>
      <c r="S88" s="5"/>
      <c r="T88" s="50">
        <f t="shared" si="12"/>
        <v>99636</v>
      </c>
      <c r="U88" s="50">
        <f t="shared" si="13"/>
        <v>81867</v>
      </c>
      <c r="V88" s="50">
        <f t="shared" si="14"/>
        <v>187820</v>
      </c>
      <c r="X88" s="51">
        <f t="shared" si="9"/>
        <v>3</v>
      </c>
      <c r="Y88" s="51">
        <f t="shared" si="10"/>
        <v>2014</v>
      </c>
    </row>
    <row r="89" spans="1:25" x14ac:dyDescent="0.25">
      <c r="A89" s="52">
        <v>41730</v>
      </c>
      <c r="B89" s="53">
        <v>16372</v>
      </c>
      <c r="C89" s="53">
        <v>724</v>
      </c>
      <c r="D89" s="53">
        <v>-3483</v>
      </c>
      <c r="E89" s="53">
        <v>1246</v>
      </c>
      <c r="F89" s="53">
        <v>8606</v>
      </c>
      <c r="G89" s="53">
        <v>24630</v>
      </c>
      <c r="H89" s="53">
        <v>84620</v>
      </c>
      <c r="I89" s="53">
        <v>0</v>
      </c>
      <c r="J89" s="53">
        <f t="shared" si="8"/>
        <v>132715</v>
      </c>
      <c r="O89" s="53">
        <f t="shared" si="11"/>
        <v>987309</v>
      </c>
      <c r="P89" s="53"/>
      <c r="Q89" s="53"/>
      <c r="R89" s="53" t="b">
        <f t="shared" si="15"/>
        <v>0</v>
      </c>
      <c r="S89" s="5"/>
      <c r="T89" s="53">
        <f t="shared" si="12"/>
        <v>50469</v>
      </c>
      <c r="U89" s="53">
        <f t="shared" si="13"/>
        <v>45638</v>
      </c>
      <c r="V89" s="53">
        <f t="shared" si="14"/>
        <v>100811</v>
      </c>
      <c r="X89" s="51">
        <f t="shared" si="9"/>
        <v>4</v>
      </c>
      <c r="Y89" s="51">
        <f t="shared" si="10"/>
        <v>2014</v>
      </c>
    </row>
    <row r="90" spans="1:25" x14ac:dyDescent="0.25">
      <c r="A90" s="49">
        <v>41760</v>
      </c>
      <c r="B90" s="50">
        <v>48083</v>
      </c>
      <c r="C90" s="50">
        <v>74</v>
      </c>
      <c r="D90" s="50">
        <v>-28498</v>
      </c>
      <c r="E90" s="50">
        <v>462</v>
      </c>
      <c r="F90" s="50">
        <v>5634</v>
      </c>
      <c r="G90" s="50">
        <v>5458</v>
      </c>
      <c r="H90" s="50">
        <v>55459</v>
      </c>
      <c r="I90" s="50">
        <v>0</v>
      </c>
      <c r="J90" s="50">
        <f t="shared" si="8"/>
        <v>86672</v>
      </c>
      <c r="O90" s="50">
        <f t="shared" si="11"/>
        <v>962757</v>
      </c>
      <c r="P90" s="50"/>
      <c r="Q90" s="50"/>
      <c r="R90" s="50" t="b">
        <f t="shared" si="15"/>
        <v>0</v>
      </c>
      <c r="S90" s="5"/>
      <c r="T90" s="50">
        <f t="shared" si="12"/>
        <v>3367</v>
      </c>
      <c r="U90" s="50">
        <f t="shared" si="13"/>
        <v>47783</v>
      </c>
      <c r="V90" s="50">
        <f t="shared" si="14"/>
        <v>55809</v>
      </c>
      <c r="X90" s="51">
        <f t="shared" si="9"/>
        <v>5</v>
      </c>
      <c r="Y90" s="51">
        <f t="shared" si="10"/>
        <v>2014</v>
      </c>
    </row>
    <row r="91" spans="1:25" x14ac:dyDescent="0.25">
      <c r="A91" s="52">
        <v>41791</v>
      </c>
      <c r="B91" s="53">
        <v>43055</v>
      </c>
      <c r="C91" s="53">
        <v>-26</v>
      </c>
      <c r="D91" s="53">
        <v>-26554</v>
      </c>
      <c r="E91" s="53">
        <v>101</v>
      </c>
      <c r="F91" s="53">
        <v>-9615</v>
      </c>
      <c r="G91" s="53">
        <v>-1357</v>
      </c>
      <c r="H91" s="53">
        <v>44969</v>
      </c>
      <c r="I91" s="53">
        <v>0</v>
      </c>
      <c r="J91" s="53">
        <f t="shared" si="8"/>
        <v>50573</v>
      </c>
      <c r="O91" s="53">
        <f t="shared" si="11"/>
        <v>855261</v>
      </c>
      <c r="P91" s="53"/>
      <c r="Q91" s="53"/>
      <c r="R91" s="53" t="b">
        <f t="shared" si="15"/>
        <v>0</v>
      </c>
      <c r="S91" s="5"/>
      <c r="T91" s="53">
        <f t="shared" si="12"/>
        <v>-33362</v>
      </c>
      <c r="U91" s="53">
        <f t="shared" si="13"/>
        <v>28723</v>
      </c>
      <c r="V91" s="53">
        <f t="shared" si="14"/>
        <v>-1272</v>
      </c>
      <c r="X91" s="51">
        <f t="shared" si="9"/>
        <v>6</v>
      </c>
      <c r="Y91" s="51">
        <f t="shared" si="10"/>
        <v>2014</v>
      </c>
    </row>
    <row r="92" spans="1:25" x14ac:dyDescent="0.25">
      <c r="A92" s="49">
        <v>41821</v>
      </c>
      <c r="B92" s="50">
        <v>13105</v>
      </c>
      <c r="C92" s="50">
        <v>97</v>
      </c>
      <c r="D92" s="50">
        <v>-12472</v>
      </c>
      <c r="E92" s="50">
        <v>716</v>
      </c>
      <c r="F92" s="50">
        <v>6095</v>
      </c>
      <c r="G92" s="50">
        <v>5637</v>
      </c>
      <c r="H92" s="50">
        <v>18005</v>
      </c>
      <c r="I92" s="50">
        <v>0</v>
      </c>
      <c r="J92" s="50">
        <f t="shared" si="8"/>
        <v>31183</v>
      </c>
      <c r="O92" s="50">
        <f t="shared" si="11"/>
        <v>813227</v>
      </c>
      <c r="P92" s="50"/>
      <c r="Q92" s="50"/>
      <c r="R92" s="50" t="b">
        <f t="shared" si="15"/>
        <v>0</v>
      </c>
      <c r="S92" s="5"/>
      <c r="T92" s="50">
        <f t="shared" si="12"/>
        <v>-56726</v>
      </c>
      <c r="U92" s="50">
        <f t="shared" si="13"/>
        <v>24475</v>
      </c>
      <c r="V92" s="50">
        <f t="shared" si="14"/>
        <v>-26554</v>
      </c>
      <c r="X92" s="51">
        <f t="shared" si="9"/>
        <v>7</v>
      </c>
      <c r="Y92" s="51">
        <f t="shared" si="10"/>
        <v>2014</v>
      </c>
    </row>
    <row r="93" spans="1:25" x14ac:dyDescent="0.25">
      <c r="A93" s="52">
        <v>41852</v>
      </c>
      <c r="B93" s="53">
        <v>-7176</v>
      </c>
      <c r="C93" s="53">
        <v>383</v>
      </c>
      <c r="D93" s="53">
        <v>-2658</v>
      </c>
      <c r="E93" s="53">
        <v>288</v>
      </c>
      <c r="F93" s="53">
        <v>7253</v>
      </c>
      <c r="G93" s="53">
        <v>50766</v>
      </c>
      <c r="H93" s="53">
        <v>82048</v>
      </c>
      <c r="I93" s="53">
        <v>0</v>
      </c>
      <c r="J93" s="53">
        <f t="shared" si="8"/>
        <v>130904</v>
      </c>
      <c r="O93" s="53">
        <f t="shared" si="11"/>
        <v>781971</v>
      </c>
      <c r="P93" s="53"/>
      <c r="Q93" s="53"/>
      <c r="R93" s="53" t="b">
        <f t="shared" si="15"/>
        <v>0</v>
      </c>
      <c r="S93" s="5"/>
      <c r="T93" s="53">
        <f t="shared" si="12"/>
        <v>-73959</v>
      </c>
      <c r="U93" s="53">
        <f t="shared" si="13"/>
        <v>10985</v>
      </c>
      <c r="V93" s="53">
        <f t="shared" si="14"/>
        <v>-56138</v>
      </c>
      <c r="X93" s="51">
        <f t="shared" si="9"/>
        <v>8</v>
      </c>
      <c r="Y93" s="51">
        <f t="shared" si="10"/>
        <v>2014</v>
      </c>
    </row>
    <row r="94" spans="1:25" x14ac:dyDescent="0.25">
      <c r="A94" s="49">
        <v>41883</v>
      </c>
      <c r="B94" s="50">
        <v>-5273</v>
      </c>
      <c r="C94" s="50">
        <v>-368</v>
      </c>
      <c r="D94" s="50">
        <v>29003</v>
      </c>
      <c r="E94" s="50">
        <v>555</v>
      </c>
      <c r="F94" s="50">
        <v>15254</v>
      </c>
      <c r="G94" s="50">
        <v>49273</v>
      </c>
      <c r="H94" s="50">
        <v>80382</v>
      </c>
      <c r="I94" s="50">
        <v>0</v>
      </c>
      <c r="J94" s="50">
        <f t="shared" si="8"/>
        <v>168826</v>
      </c>
      <c r="O94" s="50">
        <f t="shared" si="11"/>
        <v>693129</v>
      </c>
      <c r="P94" s="50"/>
      <c r="Q94" s="50"/>
      <c r="R94" s="50" t="b">
        <f t="shared" si="15"/>
        <v>0</v>
      </c>
      <c r="S94" s="5"/>
      <c r="T94" s="50">
        <f t="shared" si="12"/>
        <v>-113660</v>
      </c>
      <c r="U94" s="50">
        <f t="shared" si="13"/>
        <v>-11114</v>
      </c>
      <c r="V94" s="50">
        <f t="shared" si="14"/>
        <v>-119420</v>
      </c>
      <c r="X94" s="51">
        <f t="shared" si="9"/>
        <v>9</v>
      </c>
      <c r="Y94" s="51">
        <f t="shared" si="10"/>
        <v>2014</v>
      </c>
    </row>
    <row r="95" spans="1:25" x14ac:dyDescent="0.25">
      <c r="A95" s="52">
        <v>41913</v>
      </c>
      <c r="B95" s="53">
        <v>-18886</v>
      </c>
      <c r="C95" s="53">
        <v>-513</v>
      </c>
      <c r="D95" s="53">
        <v>-8315</v>
      </c>
      <c r="E95" s="53">
        <v>-181</v>
      </c>
      <c r="F95" s="53">
        <v>-34668</v>
      </c>
      <c r="G95" s="53">
        <v>38194</v>
      </c>
      <c r="H95" s="53">
        <v>7337</v>
      </c>
      <c r="I95" s="53">
        <v>0</v>
      </c>
      <c r="J95" s="53">
        <f t="shared" si="8"/>
        <v>-17032</v>
      </c>
      <c r="O95" s="53">
        <f t="shared" si="11"/>
        <v>545232</v>
      </c>
      <c r="P95" s="53"/>
      <c r="Q95" s="53"/>
      <c r="R95" s="53" t="b">
        <f t="shared" si="15"/>
        <v>0</v>
      </c>
      <c r="S95" s="5"/>
      <c r="T95" s="53">
        <f t="shared" si="12"/>
        <v>-158209</v>
      </c>
      <c r="U95" s="53">
        <f t="shared" si="13"/>
        <v>-49716</v>
      </c>
      <c r="V95" s="53">
        <f t="shared" si="14"/>
        <v>-204832</v>
      </c>
      <c r="X95" s="51">
        <f t="shared" si="9"/>
        <v>10</v>
      </c>
      <c r="Y95" s="51">
        <f t="shared" si="10"/>
        <v>2014</v>
      </c>
    </row>
    <row r="96" spans="1:25" x14ac:dyDescent="0.25">
      <c r="A96" s="49">
        <v>41944</v>
      </c>
      <c r="B96" s="50">
        <v>-33257</v>
      </c>
      <c r="C96" s="50">
        <v>-896</v>
      </c>
      <c r="D96" s="50">
        <v>-42909</v>
      </c>
      <c r="E96" s="50">
        <v>-171</v>
      </c>
      <c r="F96" s="50">
        <v>-50941</v>
      </c>
      <c r="G96" s="50">
        <v>111921</v>
      </c>
      <c r="H96" s="50">
        <v>35601</v>
      </c>
      <c r="I96" s="50">
        <v>0</v>
      </c>
      <c r="J96" s="50">
        <f t="shared" si="8"/>
        <v>19348</v>
      </c>
      <c r="O96" s="50">
        <f t="shared" si="11"/>
        <v>495219</v>
      </c>
      <c r="P96" s="50"/>
      <c r="Q96" s="50"/>
      <c r="R96" s="50" t="b">
        <f t="shared" si="15"/>
        <v>0</v>
      </c>
      <c r="S96" s="5"/>
      <c r="T96" s="50">
        <f t="shared" si="12"/>
        <v>-167821</v>
      </c>
      <c r="U96" s="50">
        <f t="shared" si="13"/>
        <v>-70714</v>
      </c>
      <c r="V96" s="50">
        <f t="shared" si="14"/>
        <v>-235115</v>
      </c>
      <c r="X96" s="51">
        <f t="shared" si="9"/>
        <v>11</v>
      </c>
      <c r="Y96" s="51">
        <f t="shared" si="10"/>
        <v>2014</v>
      </c>
    </row>
    <row r="97" spans="1:25" x14ac:dyDescent="0.25">
      <c r="A97" s="52">
        <v>41974</v>
      </c>
      <c r="B97" s="53">
        <v>-66432</v>
      </c>
      <c r="C97" s="53">
        <v>-3180</v>
      </c>
      <c r="D97" s="53">
        <v>-170365</v>
      </c>
      <c r="E97" s="53">
        <v>-1780</v>
      </c>
      <c r="F97" s="53">
        <v>-145657</v>
      </c>
      <c r="G97" s="53">
        <v>-16541</v>
      </c>
      <c r="H97" s="53">
        <v>-178281</v>
      </c>
      <c r="I97" s="53">
        <v>0</v>
      </c>
      <c r="J97" s="53">
        <f t="shared" si="8"/>
        <v>-582236</v>
      </c>
      <c r="O97" s="53">
        <f t="shared" si="11"/>
        <v>420690</v>
      </c>
      <c r="P97" s="53"/>
      <c r="Q97" s="53"/>
      <c r="R97" s="53" t="b">
        <f t="shared" si="15"/>
        <v>0</v>
      </c>
      <c r="S97" s="5"/>
      <c r="T97" s="53">
        <f t="shared" si="12"/>
        <v>-165825</v>
      </c>
      <c r="U97" s="53">
        <f t="shared" si="13"/>
        <v>-115097</v>
      </c>
      <c r="V97" s="53">
        <f t="shared" si="14"/>
        <v>-278173</v>
      </c>
      <c r="X97" s="51">
        <f t="shared" si="9"/>
        <v>12</v>
      </c>
      <c r="Y97" s="51">
        <f t="shared" si="10"/>
        <v>2014</v>
      </c>
    </row>
    <row r="98" spans="1:25" x14ac:dyDescent="0.25">
      <c r="A98" s="49">
        <v>42005</v>
      </c>
      <c r="B98" s="50">
        <v>10295</v>
      </c>
      <c r="C98" s="50">
        <v>-1792</v>
      </c>
      <c r="D98" s="50">
        <v>29602</v>
      </c>
      <c r="E98" s="50">
        <v>42</v>
      </c>
      <c r="F98" s="50">
        <v>-4212</v>
      </c>
      <c r="G98" s="50">
        <v>-93285</v>
      </c>
      <c r="H98" s="50">
        <v>-2475</v>
      </c>
      <c r="I98" s="50">
        <v>0</v>
      </c>
      <c r="J98" s="50">
        <f t="shared" si="8"/>
        <v>-61825</v>
      </c>
      <c r="O98" s="50">
        <f t="shared" si="11"/>
        <v>295627</v>
      </c>
      <c r="P98" s="50"/>
      <c r="Q98" s="50"/>
      <c r="R98" s="50" t="b">
        <f t="shared" si="15"/>
        <v>0</v>
      </c>
      <c r="S98" s="5"/>
      <c r="T98" s="50">
        <f t="shared" si="12"/>
        <v>-177405</v>
      </c>
      <c r="U98" s="50">
        <f t="shared" si="13"/>
        <v>-167644</v>
      </c>
      <c r="V98" s="50">
        <f t="shared" si="14"/>
        <v>-345734</v>
      </c>
      <c r="X98" s="51">
        <f t="shared" si="9"/>
        <v>1</v>
      </c>
      <c r="Y98" s="51">
        <f t="shared" si="10"/>
        <v>2015</v>
      </c>
    </row>
    <row r="99" spans="1:25" x14ac:dyDescent="0.25">
      <c r="A99" s="52">
        <v>42036</v>
      </c>
      <c r="B99" s="53">
        <v>-8497</v>
      </c>
      <c r="C99" s="53">
        <v>-1672</v>
      </c>
      <c r="D99" s="53">
        <v>1889</v>
      </c>
      <c r="E99" s="53">
        <v>-426</v>
      </c>
      <c r="F99" s="53">
        <v>-28032</v>
      </c>
      <c r="G99" s="53">
        <v>-26393</v>
      </c>
      <c r="H99" s="53">
        <v>76304</v>
      </c>
      <c r="I99" s="53">
        <v>0</v>
      </c>
      <c r="J99" s="53">
        <f t="shared" si="8"/>
        <v>13173</v>
      </c>
      <c r="O99" s="53">
        <f t="shared" si="11"/>
        <v>7406</v>
      </c>
      <c r="P99" s="53"/>
      <c r="Q99" s="53"/>
      <c r="R99" s="53" t="b">
        <f t="shared" si="15"/>
        <v>0</v>
      </c>
      <c r="S99" s="5"/>
      <c r="T99" s="53">
        <f t="shared" si="12"/>
        <v>-227728</v>
      </c>
      <c r="U99" s="53">
        <f t="shared" si="13"/>
        <v>-229853</v>
      </c>
      <c r="V99" s="53">
        <f t="shared" si="14"/>
        <v>-463389</v>
      </c>
      <c r="X99" s="51">
        <f t="shared" si="9"/>
        <v>2</v>
      </c>
      <c r="Y99" s="51">
        <f t="shared" si="10"/>
        <v>2015</v>
      </c>
    </row>
    <row r="100" spans="1:25" x14ac:dyDescent="0.25">
      <c r="A100" s="49">
        <v>42064</v>
      </c>
      <c r="B100" s="50">
        <v>-4615</v>
      </c>
      <c r="C100" s="50">
        <v>-1895</v>
      </c>
      <c r="D100" s="50">
        <v>-13309</v>
      </c>
      <c r="E100" s="50">
        <v>679</v>
      </c>
      <c r="F100" s="50">
        <v>-20431</v>
      </c>
      <c r="G100" s="50">
        <v>7562</v>
      </c>
      <c r="H100" s="50">
        <v>68074</v>
      </c>
      <c r="I100" s="50">
        <v>0</v>
      </c>
      <c r="J100" s="50">
        <f t="shared" si="8"/>
        <v>36065</v>
      </c>
      <c r="O100" s="50">
        <f t="shared" si="11"/>
        <v>8366</v>
      </c>
      <c r="P100" s="50"/>
      <c r="Q100" s="50"/>
      <c r="R100" s="50" t="b">
        <f t="shared" si="15"/>
        <v>1</v>
      </c>
      <c r="S100" s="5"/>
      <c r="T100" s="50">
        <f t="shared" si="12"/>
        <v>-248069</v>
      </c>
      <c r="U100" s="50">
        <f t="shared" si="13"/>
        <v>-250714</v>
      </c>
      <c r="V100" s="50">
        <f t="shared" si="14"/>
        <v>-506316</v>
      </c>
      <c r="X100" s="51">
        <f t="shared" si="9"/>
        <v>3</v>
      </c>
      <c r="Y100" s="51">
        <f t="shared" si="10"/>
        <v>2015</v>
      </c>
    </row>
    <row r="101" spans="1:25" x14ac:dyDescent="0.25">
      <c r="A101" s="52">
        <v>42095</v>
      </c>
      <c r="B101" s="53">
        <v>11123</v>
      </c>
      <c r="C101" s="53">
        <v>-1152</v>
      </c>
      <c r="D101" s="53">
        <v>-52341</v>
      </c>
      <c r="E101" s="53">
        <v>44</v>
      </c>
      <c r="F101" s="53">
        <v>-26241</v>
      </c>
      <c r="G101" s="53">
        <v>-17282</v>
      </c>
      <c r="H101" s="53">
        <v>1068</v>
      </c>
      <c r="I101" s="53">
        <v>0</v>
      </c>
      <c r="J101" s="53">
        <f t="shared" si="8"/>
        <v>-84781</v>
      </c>
      <c r="O101" s="53">
        <f t="shared" si="11"/>
        <v>-209130</v>
      </c>
      <c r="P101" s="53"/>
      <c r="Q101" s="53"/>
      <c r="R101" s="53" t="b">
        <f t="shared" si="15"/>
        <v>0</v>
      </c>
      <c r="S101" s="5"/>
      <c r="T101" s="53">
        <f t="shared" si="12"/>
        <v>-296927</v>
      </c>
      <c r="U101" s="53">
        <f t="shared" si="13"/>
        <v>-285561</v>
      </c>
      <c r="V101" s="53">
        <f t="shared" si="14"/>
        <v>-593099</v>
      </c>
      <c r="X101" s="51">
        <f t="shared" si="9"/>
        <v>4</v>
      </c>
      <c r="Y101" s="51">
        <f t="shared" si="10"/>
        <v>2015</v>
      </c>
    </row>
    <row r="102" spans="1:25" x14ac:dyDescent="0.25">
      <c r="A102" s="49">
        <v>42125</v>
      </c>
      <c r="B102" s="50">
        <v>32769</v>
      </c>
      <c r="C102" s="50">
        <v>-1010</v>
      </c>
      <c r="D102" s="50">
        <v>-60467</v>
      </c>
      <c r="E102" s="50">
        <v>63</v>
      </c>
      <c r="F102" s="50">
        <v>-33440</v>
      </c>
      <c r="G102" s="50">
        <v>-15781</v>
      </c>
      <c r="H102" s="50">
        <v>-31498</v>
      </c>
      <c r="I102" s="50">
        <v>0</v>
      </c>
      <c r="J102" s="50">
        <f t="shared" si="8"/>
        <v>-109364</v>
      </c>
      <c r="O102" s="50">
        <f t="shared" si="11"/>
        <v>-405166</v>
      </c>
      <c r="P102" s="50"/>
      <c r="Q102" s="50"/>
      <c r="R102" s="50" t="b">
        <f t="shared" si="15"/>
        <v>0</v>
      </c>
      <c r="S102" s="5"/>
      <c r="T102" s="50">
        <f t="shared" si="12"/>
        <v>-328896</v>
      </c>
      <c r="U102" s="50">
        <f t="shared" si="13"/>
        <v>-324635</v>
      </c>
      <c r="V102" s="50">
        <f t="shared" si="14"/>
        <v>-665625</v>
      </c>
      <c r="X102" s="51">
        <f t="shared" si="9"/>
        <v>5</v>
      </c>
      <c r="Y102" s="51">
        <f t="shared" si="10"/>
        <v>2015</v>
      </c>
    </row>
    <row r="103" spans="1:25" x14ac:dyDescent="0.25">
      <c r="A103" s="52">
        <v>42156</v>
      </c>
      <c r="B103" s="53">
        <v>47014</v>
      </c>
      <c r="C103" s="53">
        <v>-1262</v>
      </c>
      <c r="D103" s="53">
        <v>-62549</v>
      </c>
      <c r="E103" s="53">
        <v>-1884</v>
      </c>
      <c r="F103" s="53">
        <v>-25431</v>
      </c>
      <c r="G103" s="53">
        <v>-22903</v>
      </c>
      <c r="H103" s="53">
        <v>-31847</v>
      </c>
      <c r="I103" s="53">
        <v>0</v>
      </c>
      <c r="J103" s="53">
        <f t="shared" si="8"/>
        <v>-98862</v>
      </c>
      <c r="O103" s="53">
        <f t="shared" si="11"/>
        <v>-554601</v>
      </c>
      <c r="P103" s="53"/>
      <c r="Q103" s="53"/>
      <c r="R103" s="53" t="b">
        <f t="shared" si="15"/>
        <v>0</v>
      </c>
      <c r="S103" s="5"/>
      <c r="T103" s="53">
        <f t="shared" si="12"/>
        <v>-364891</v>
      </c>
      <c r="U103" s="53">
        <f t="shared" si="13"/>
        <v>-340451</v>
      </c>
      <c r="V103" s="53">
        <f t="shared" si="14"/>
        <v>-720657</v>
      </c>
      <c r="X103" s="51">
        <f t="shared" si="9"/>
        <v>6</v>
      </c>
      <c r="Y103" s="51">
        <f t="shared" si="10"/>
        <v>2015</v>
      </c>
    </row>
    <row r="104" spans="1:25" x14ac:dyDescent="0.25">
      <c r="A104" s="49">
        <v>42186</v>
      </c>
      <c r="B104" s="50">
        <v>26936</v>
      </c>
      <c r="C104" s="50">
        <v>-1002</v>
      </c>
      <c r="D104" s="50">
        <v>-60982</v>
      </c>
      <c r="E104" s="50">
        <v>-1356</v>
      </c>
      <c r="F104" s="50">
        <v>-22816</v>
      </c>
      <c r="G104" s="50">
        <v>-32164</v>
      </c>
      <c r="H104" s="50">
        <v>-57973</v>
      </c>
      <c r="I104" s="50">
        <v>0</v>
      </c>
      <c r="J104" s="50">
        <f t="shared" si="8"/>
        <v>-149357</v>
      </c>
      <c r="O104" s="50">
        <f t="shared" si="11"/>
        <v>-735141</v>
      </c>
      <c r="P104" s="50"/>
      <c r="Q104" s="50"/>
      <c r="R104" s="50" t="b">
        <f t="shared" si="15"/>
        <v>0</v>
      </c>
      <c r="S104" s="5"/>
      <c r="T104" s="50">
        <f t="shared" si="12"/>
        <v>-413401</v>
      </c>
      <c r="U104" s="50">
        <f t="shared" si="13"/>
        <v>-369362</v>
      </c>
      <c r="V104" s="50">
        <f t="shared" si="14"/>
        <v>-801249</v>
      </c>
      <c r="X104" s="51">
        <f t="shared" si="9"/>
        <v>7</v>
      </c>
      <c r="Y104" s="51">
        <f t="shared" si="10"/>
        <v>2015</v>
      </c>
    </row>
    <row r="105" spans="1:25" x14ac:dyDescent="0.25">
      <c r="A105" s="52">
        <v>42217</v>
      </c>
      <c r="B105" s="53">
        <v>-2855</v>
      </c>
      <c r="C105" s="53">
        <v>-1232</v>
      </c>
      <c r="D105" s="53">
        <v>-47081</v>
      </c>
      <c r="E105" s="53">
        <v>-1233</v>
      </c>
      <c r="F105" s="53">
        <v>-26379</v>
      </c>
      <c r="G105" s="53">
        <v>-9511</v>
      </c>
      <c r="H105" s="53">
        <v>10971</v>
      </c>
      <c r="I105" s="53">
        <v>0</v>
      </c>
      <c r="J105" s="53">
        <f t="shared" si="8"/>
        <v>-77320</v>
      </c>
      <c r="O105" s="53">
        <f t="shared" si="11"/>
        <v>-943365</v>
      </c>
      <c r="P105" s="53"/>
      <c r="Q105" s="53"/>
      <c r="R105" s="53" t="b">
        <f t="shared" si="15"/>
        <v>0</v>
      </c>
      <c r="S105" s="5"/>
      <c r="T105" s="53">
        <f t="shared" si="12"/>
        <v>-457824</v>
      </c>
      <c r="U105" s="53">
        <f t="shared" si="13"/>
        <v>-402994</v>
      </c>
      <c r="V105" s="53">
        <f t="shared" si="14"/>
        <v>-882440</v>
      </c>
      <c r="X105" s="51">
        <f t="shared" si="9"/>
        <v>8</v>
      </c>
      <c r="Y105" s="51">
        <f t="shared" si="10"/>
        <v>2015</v>
      </c>
    </row>
    <row r="106" spans="1:25" x14ac:dyDescent="0.25">
      <c r="A106" s="49">
        <v>42248</v>
      </c>
      <c r="B106" s="50">
        <v>-1716</v>
      </c>
      <c r="C106" s="50">
        <v>-892</v>
      </c>
      <c r="D106" s="50">
        <v>-8544</v>
      </c>
      <c r="E106" s="50">
        <v>-1002</v>
      </c>
      <c r="F106" s="50">
        <v>-29461</v>
      </c>
      <c r="G106" s="50">
        <v>-13907</v>
      </c>
      <c r="H106" s="50">
        <v>-32233</v>
      </c>
      <c r="I106" s="50">
        <v>0</v>
      </c>
      <c r="J106" s="50">
        <f t="shared" si="8"/>
        <v>-87755</v>
      </c>
      <c r="O106" s="50">
        <f t="shared" si="11"/>
        <v>-1199946</v>
      </c>
      <c r="P106" s="50"/>
      <c r="Q106" s="50"/>
      <c r="R106" s="50" t="b">
        <f t="shared" si="15"/>
        <v>0</v>
      </c>
      <c r="S106" s="5"/>
      <c r="T106" s="50">
        <f t="shared" si="12"/>
        <v>-495371</v>
      </c>
      <c r="U106" s="50">
        <f t="shared" si="13"/>
        <v>-447709</v>
      </c>
      <c r="V106" s="50">
        <f t="shared" si="14"/>
        <v>-966783</v>
      </c>
      <c r="X106" s="51">
        <f t="shared" si="9"/>
        <v>9</v>
      </c>
      <c r="Y106" s="51">
        <f t="shared" si="10"/>
        <v>2015</v>
      </c>
    </row>
    <row r="107" spans="1:25" x14ac:dyDescent="0.25">
      <c r="A107" s="52">
        <v>42278</v>
      </c>
      <c r="B107" s="53">
        <v>-18089</v>
      </c>
      <c r="C107" s="53">
        <v>-1808</v>
      </c>
      <c r="D107" s="53">
        <v>-46502</v>
      </c>
      <c r="E107" s="53">
        <v>-1364</v>
      </c>
      <c r="F107" s="53">
        <v>-53103</v>
      </c>
      <c r="G107" s="53">
        <v>-2384</v>
      </c>
      <c r="H107" s="53">
        <v>-43418</v>
      </c>
      <c r="I107" s="53">
        <v>0</v>
      </c>
      <c r="J107" s="53">
        <f t="shared" si="8"/>
        <v>-166668</v>
      </c>
      <c r="O107" s="53">
        <f t="shared" si="11"/>
        <v>-1349582</v>
      </c>
      <c r="P107" s="53"/>
      <c r="Q107" s="53"/>
      <c r="R107" s="53" t="b">
        <f t="shared" si="15"/>
        <v>0</v>
      </c>
      <c r="S107" s="5"/>
      <c r="T107" s="53">
        <f t="shared" si="12"/>
        <v>-533558</v>
      </c>
      <c r="U107" s="53">
        <f t="shared" si="13"/>
        <v>-466144</v>
      </c>
      <c r="V107" s="53">
        <f t="shared" si="14"/>
        <v>-1025883</v>
      </c>
      <c r="X107" s="51">
        <f t="shared" si="9"/>
        <v>10</v>
      </c>
      <c r="Y107" s="51">
        <f t="shared" si="10"/>
        <v>2015</v>
      </c>
    </row>
    <row r="108" spans="1:25" x14ac:dyDescent="0.25">
      <c r="A108" s="49">
        <v>42309</v>
      </c>
      <c r="B108" s="50">
        <v>-22759</v>
      </c>
      <c r="C108" s="50">
        <v>-2075</v>
      </c>
      <c r="D108" s="50">
        <v>-78132</v>
      </c>
      <c r="E108" s="50">
        <v>-1513</v>
      </c>
      <c r="F108" s="50">
        <v>-62626</v>
      </c>
      <c r="G108" s="50">
        <v>54964</v>
      </c>
      <c r="H108" s="50">
        <v>-21761</v>
      </c>
      <c r="I108" s="50">
        <v>0</v>
      </c>
      <c r="J108" s="50">
        <f t="shared" si="8"/>
        <v>-133902</v>
      </c>
      <c r="O108" s="50">
        <f t="shared" si="11"/>
        <v>-1502832</v>
      </c>
      <c r="P108" s="50"/>
      <c r="Q108" s="50"/>
      <c r="R108" s="50" t="b">
        <f t="shared" si="15"/>
        <v>0</v>
      </c>
      <c r="S108" s="5"/>
      <c r="T108" s="50">
        <f t="shared" si="12"/>
        <v>-568781</v>
      </c>
      <c r="U108" s="50">
        <f t="shared" si="13"/>
        <v>-477829</v>
      </c>
      <c r="V108" s="50">
        <f t="shared" si="14"/>
        <v>-1075312</v>
      </c>
      <c r="X108" s="51">
        <f t="shared" si="9"/>
        <v>11</v>
      </c>
      <c r="Y108" s="51">
        <f t="shared" si="10"/>
        <v>2015</v>
      </c>
    </row>
    <row r="109" spans="1:25" x14ac:dyDescent="0.25">
      <c r="A109" s="52">
        <v>42339</v>
      </c>
      <c r="B109" s="53">
        <v>-61246</v>
      </c>
      <c r="C109" s="53">
        <v>-2634</v>
      </c>
      <c r="D109" s="53">
        <v>-189180</v>
      </c>
      <c r="E109" s="53">
        <v>-2482</v>
      </c>
      <c r="F109" s="53">
        <v>-113829</v>
      </c>
      <c r="G109" s="53">
        <v>-42622</v>
      </c>
      <c r="H109" s="53">
        <v>-202400</v>
      </c>
      <c r="I109" s="53">
        <v>0</v>
      </c>
      <c r="J109" s="53">
        <f t="shared" si="8"/>
        <v>-614393</v>
      </c>
      <c r="O109" s="53">
        <f t="shared" si="11"/>
        <v>-1534989</v>
      </c>
      <c r="P109" s="53"/>
      <c r="Q109" s="53"/>
      <c r="R109" s="53" t="b">
        <f t="shared" si="15"/>
        <v>0</v>
      </c>
      <c r="S109" s="5"/>
      <c r="T109" s="53">
        <f t="shared" si="12"/>
        <v>-587596</v>
      </c>
      <c r="U109" s="53">
        <f t="shared" si="13"/>
        <v>-446001</v>
      </c>
      <c r="V109" s="53">
        <f t="shared" si="14"/>
        <v>-1062455</v>
      </c>
      <c r="X109" s="51">
        <f t="shared" si="9"/>
        <v>12</v>
      </c>
      <c r="Y109" s="51">
        <f t="shared" si="10"/>
        <v>2015</v>
      </c>
    </row>
    <row r="110" spans="1:25" x14ac:dyDescent="0.25">
      <c r="A110" s="49">
        <v>42370</v>
      </c>
      <c r="B110" s="50">
        <v>8963</v>
      </c>
      <c r="C110" s="50">
        <v>-2163</v>
      </c>
      <c r="D110" s="50">
        <v>-15920</v>
      </c>
      <c r="E110" s="50">
        <v>-815</v>
      </c>
      <c r="F110" s="50">
        <v>1</v>
      </c>
      <c r="G110" s="50">
        <v>-67251</v>
      </c>
      <c r="H110" s="50">
        <v>-15088</v>
      </c>
      <c r="I110" s="50">
        <v>0</v>
      </c>
      <c r="J110" s="50">
        <f t="shared" si="8"/>
        <v>-92273</v>
      </c>
      <c r="O110" s="50">
        <f t="shared" si="11"/>
        <v>-1565437</v>
      </c>
      <c r="P110" s="50"/>
      <c r="Q110" s="50"/>
      <c r="R110" s="50" t="b">
        <f t="shared" si="15"/>
        <v>0</v>
      </c>
      <c r="S110" s="5"/>
      <c r="T110" s="50">
        <f t="shared" si="12"/>
        <v>-633118</v>
      </c>
      <c r="U110" s="50">
        <f t="shared" si="13"/>
        <v>-441788</v>
      </c>
      <c r="V110" s="50">
        <f t="shared" si="14"/>
        <v>-1104992</v>
      </c>
      <c r="X110" s="51">
        <f t="shared" si="9"/>
        <v>1</v>
      </c>
      <c r="Y110" s="51">
        <f t="shared" si="10"/>
        <v>2016</v>
      </c>
    </row>
    <row r="111" spans="1:25" x14ac:dyDescent="0.25">
      <c r="A111" s="52">
        <v>42401</v>
      </c>
      <c r="B111" s="53">
        <v>-2249</v>
      </c>
      <c r="C111" s="53">
        <v>-1261</v>
      </c>
      <c r="D111" s="53">
        <v>-28032</v>
      </c>
      <c r="E111" s="53">
        <v>-781</v>
      </c>
      <c r="F111" s="53">
        <v>-19358</v>
      </c>
      <c r="G111" s="53">
        <v>-55878</v>
      </c>
      <c r="H111" s="53">
        <v>11225</v>
      </c>
      <c r="I111" s="53">
        <v>0</v>
      </c>
      <c r="J111" s="53">
        <f t="shared" si="8"/>
        <v>-96334</v>
      </c>
      <c r="O111" s="53">
        <f t="shared" si="11"/>
        <v>-1674944</v>
      </c>
      <c r="P111" s="53"/>
      <c r="Q111" s="53"/>
      <c r="R111" s="53" t="b">
        <f t="shared" si="15"/>
        <v>0</v>
      </c>
      <c r="S111" s="5"/>
      <c r="T111" s="53">
        <f t="shared" si="12"/>
        <v>-663039</v>
      </c>
      <c r="U111" s="53">
        <f t="shared" si="13"/>
        <v>-433114</v>
      </c>
      <c r="V111" s="53">
        <f t="shared" si="14"/>
        <v>-1126183</v>
      </c>
      <c r="X111" s="51">
        <f t="shared" si="9"/>
        <v>2</v>
      </c>
      <c r="Y111" s="51">
        <f t="shared" si="10"/>
        <v>2016</v>
      </c>
    </row>
    <row r="112" spans="1:25" x14ac:dyDescent="0.25">
      <c r="A112" s="49">
        <v>42430</v>
      </c>
      <c r="B112" s="50">
        <v>-9788</v>
      </c>
      <c r="C112" s="50">
        <v>-1801</v>
      </c>
      <c r="D112" s="50">
        <v>-24062</v>
      </c>
      <c r="E112" s="50">
        <v>-83</v>
      </c>
      <c r="F112" s="50">
        <v>-26021</v>
      </c>
      <c r="G112" s="50">
        <v>-41536</v>
      </c>
      <c r="H112" s="50">
        <v>-11231</v>
      </c>
      <c r="I112" s="50">
        <v>0</v>
      </c>
      <c r="J112" s="50">
        <f t="shared" si="8"/>
        <v>-114522</v>
      </c>
      <c r="O112" s="50">
        <f t="shared" si="11"/>
        <v>-1825531</v>
      </c>
      <c r="P112" s="50"/>
      <c r="Q112" s="50"/>
      <c r="R112" s="50" t="b">
        <f t="shared" si="15"/>
        <v>0</v>
      </c>
      <c r="S112" s="5"/>
      <c r="T112" s="50">
        <f t="shared" si="12"/>
        <v>-673792</v>
      </c>
      <c r="U112" s="50">
        <f t="shared" si="13"/>
        <v>-438704</v>
      </c>
      <c r="V112" s="50">
        <f t="shared" si="14"/>
        <v>-1143194</v>
      </c>
      <c r="X112" s="51">
        <f t="shared" si="9"/>
        <v>3</v>
      </c>
      <c r="Y112" s="51">
        <f t="shared" si="10"/>
        <v>2016</v>
      </c>
    </row>
    <row r="113" spans="1:25" x14ac:dyDescent="0.25">
      <c r="A113" s="52">
        <v>42461</v>
      </c>
      <c r="B113" s="53">
        <v>8594</v>
      </c>
      <c r="C113" s="53">
        <v>-831</v>
      </c>
      <c r="D113" s="53">
        <v>-16592</v>
      </c>
      <c r="E113" s="53">
        <v>-63</v>
      </c>
      <c r="F113" s="53">
        <v>-15562</v>
      </c>
      <c r="G113" s="53">
        <v>-29213</v>
      </c>
      <c r="H113" s="53">
        <v>-2155</v>
      </c>
      <c r="I113" s="53">
        <v>0</v>
      </c>
      <c r="J113" s="53">
        <f t="shared" si="8"/>
        <v>-55822</v>
      </c>
      <c r="O113" s="53">
        <f t="shared" si="11"/>
        <v>-1796572</v>
      </c>
      <c r="P113" s="53"/>
      <c r="Q113" s="53"/>
      <c r="R113" s="53" t="b">
        <f t="shared" si="15"/>
        <v>1</v>
      </c>
      <c r="S113" s="5"/>
      <c r="T113" s="53">
        <f t="shared" si="12"/>
        <v>-638043</v>
      </c>
      <c r="U113" s="53">
        <f t="shared" si="13"/>
        <v>-428025</v>
      </c>
      <c r="V113" s="53">
        <f t="shared" si="14"/>
        <v>-1096552</v>
      </c>
      <c r="X113" s="51">
        <f t="shared" si="9"/>
        <v>4</v>
      </c>
      <c r="Y113" s="51">
        <f t="shared" si="10"/>
        <v>2016</v>
      </c>
    </row>
    <row r="114" spans="1:25" x14ac:dyDescent="0.25">
      <c r="A114" s="49">
        <v>42491</v>
      </c>
      <c r="B114" s="50">
        <v>45992</v>
      </c>
      <c r="C114" s="50">
        <v>-1899</v>
      </c>
      <c r="D114" s="50">
        <v>-20333</v>
      </c>
      <c r="E114" s="50">
        <v>-456</v>
      </c>
      <c r="F114" s="50">
        <v>-30424</v>
      </c>
      <c r="G114" s="50">
        <v>-28247</v>
      </c>
      <c r="H114" s="50">
        <v>-31019</v>
      </c>
      <c r="I114" s="50">
        <v>0</v>
      </c>
      <c r="J114" s="50">
        <f t="shared" si="8"/>
        <v>-66386</v>
      </c>
      <c r="O114" s="50">
        <f t="shared" si="11"/>
        <v>-1753594</v>
      </c>
      <c r="P114" s="50"/>
      <c r="Q114" s="50"/>
      <c r="R114" s="50" t="b">
        <f t="shared" si="15"/>
        <v>1</v>
      </c>
      <c r="S114" s="5"/>
      <c r="T114" s="50">
        <f t="shared" si="12"/>
        <v>-597909</v>
      </c>
      <c r="U114" s="50">
        <f t="shared" si="13"/>
        <v>-425009</v>
      </c>
      <c r="V114" s="50">
        <f t="shared" si="14"/>
        <v>-1054810</v>
      </c>
      <c r="X114" s="51">
        <f t="shared" si="9"/>
        <v>5</v>
      </c>
      <c r="Y114" s="51">
        <f t="shared" si="10"/>
        <v>2016</v>
      </c>
    </row>
    <row r="115" spans="1:25" x14ac:dyDescent="0.25">
      <c r="A115" s="52">
        <v>42522</v>
      </c>
      <c r="B115" s="53">
        <v>40698</v>
      </c>
      <c r="C115" s="53">
        <v>-1421</v>
      </c>
      <c r="D115" s="53">
        <v>-30072</v>
      </c>
      <c r="E115" s="53">
        <v>-1361</v>
      </c>
      <c r="F115" s="53">
        <v>-30351</v>
      </c>
      <c r="G115" s="53">
        <v>-26251</v>
      </c>
      <c r="H115" s="53">
        <v>-38962</v>
      </c>
      <c r="I115" s="53">
        <v>0</v>
      </c>
      <c r="J115" s="53">
        <f t="shared" si="8"/>
        <v>-87720</v>
      </c>
      <c r="O115" s="53">
        <f t="shared" si="11"/>
        <v>-1742452</v>
      </c>
      <c r="P115" s="53"/>
      <c r="Q115" s="53"/>
      <c r="R115" s="53" t="b">
        <f t="shared" si="15"/>
        <v>1</v>
      </c>
      <c r="S115" s="5"/>
      <c r="T115" s="53">
        <f t="shared" si="12"/>
        <v>-565432</v>
      </c>
      <c r="U115" s="53">
        <f t="shared" si="13"/>
        <v>-429929</v>
      </c>
      <c r="V115" s="53">
        <f t="shared" si="14"/>
        <v>-1026889</v>
      </c>
      <c r="X115" s="51">
        <f t="shared" si="9"/>
        <v>6</v>
      </c>
      <c r="Y115" s="51">
        <f t="shared" si="10"/>
        <v>2016</v>
      </c>
    </row>
    <row r="116" spans="1:25" x14ac:dyDescent="0.25">
      <c r="A116" s="49">
        <v>42552</v>
      </c>
      <c r="B116" s="50">
        <v>5135</v>
      </c>
      <c r="C116" s="50">
        <v>-1269</v>
      </c>
      <c r="D116" s="50">
        <v>-13582</v>
      </c>
      <c r="E116" s="50">
        <v>-384</v>
      </c>
      <c r="F116" s="50">
        <v>-29819</v>
      </c>
      <c r="G116" s="50">
        <v>-15170</v>
      </c>
      <c r="H116" s="50">
        <v>-29151</v>
      </c>
      <c r="I116" s="50">
        <v>0</v>
      </c>
      <c r="J116" s="50">
        <f t="shared" si="8"/>
        <v>-84240</v>
      </c>
      <c r="O116" s="50">
        <f t="shared" si="11"/>
        <v>-1677335</v>
      </c>
      <c r="P116" s="50"/>
      <c r="Q116" s="50"/>
      <c r="R116" s="50" t="b">
        <f t="shared" si="15"/>
        <v>1</v>
      </c>
      <c r="S116" s="5"/>
      <c r="T116" s="50">
        <f t="shared" si="12"/>
        <v>-518032</v>
      </c>
      <c r="U116" s="50">
        <f t="shared" si="13"/>
        <v>-436932</v>
      </c>
      <c r="V116" s="50">
        <f t="shared" si="14"/>
        <v>-985787</v>
      </c>
      <c r="X116" s="51">
        <f t="shared" si="9"/>
        <v>7</v>
      </c>
      <c r="Y116" s="51">
        <f t="shared" si="10"/>
        <v>2016</v>
      </c>
    </row>
    <row r="117" spans="1:25" x14ac:dyDescent="0.25">
      <c r="A117" s="52">
        <v>42583</v>
      </c>
      <c r="B117" s="53">
        <v>-14022</v>
      </c>
      <c r="C117" s="53">
        <v>137</v>
      </c>
      <c r="D117" s="53">
        <v>9110</v>
      </c>
      <c r="E117" s="53">
        <v>-830</v>
      </c>
      <c r="F117" s="53">
        <v>-23189</v>
      </c>
      <c r="G117" s="53">
        <v>3991</v>
      </c>
      <c r="H117" s="53">
        <v>2717</v>
      </c>
      <c r="I117" s="53">
        <v>0</v>
      </c>
      <c r="J117" s="53">
        <f t="shared" si="8"/>
        <v>-22086</v>
      </c>
      <c r="O117" s="53">
        <f t="shared" si="11"/>
        <v>-1622101</v>
      </c>
      <c r="P117" s="53"/>
      <c r="Q117" s="53"/>
      <c r="R117" s="53" t="b">
        <f t="shared" si="15"/>
        <v>1</v>
      </c>
      <c r="S117" s="5"/>
      <c r="T117" s="53">
        <f t="shared" si="12"/>
        <v>-461841</v>
      </c>
      <c r="U117" s="53">
        <f t="shared" si="13"/>
        <v>-433742</v>
      </c>
      <c r="V117" s="53">
        <f t="shared" si="14"/>
        <v>-924634</v>
      </c>
      <c r="X117" s="51">
        <f t="shared" si="9"/>
        <v>8</v>
      </c>
      <c r="Y117" s="51">
        <f t="shared" si="10"/>
        <v>2016</v>
      </c>
    </row>
    <row r="118" spans="1:25" x14ac:dyDescent="0.25">
      <c r="A118" s="49">
        <v>42614</v>
      </c>
      <c r="B118" s="50">
        <v>-8611</v>
      </c>
      <c r="C118" s="50">
        <v>-979</v>
      </c>
      <c r="D118" s="50">
        <v>12423</v>
      </c>
      <c r="E118" s="50">
        <v>-500</v>
      </c>
      <c r="F118" s="50">
        <v>-29363</v>
      </c>
      <c r="G118" s="50">
        <v>7261</v>
      </c>
      <c r="H118" s="50">
        <v>-12500</v>
      </c>
      <c r="I118" s="50">
        <v>0</v>
      </c>
      <c r="J118" s="50">
        <f t="shared" si="8"/>
        <v>-32269</v>
      </c>
      <c r="O118" s="50">
        <f t="shared" si="11"/>
        <v>-1566615</v>
      </c>
      <c r="P118" s="50"/>
      <c r="Q118" s="50"/>
      <c r="R118" s="50" t="b">
        <f t="shared" si="15"/>
        <v>1</v>
      </c>
      <c r="S118" s="5"/>
      <c r="T118" s="50">
        <f t="shared" si="12"/>
        <v>-440874</v>
      </c>
      <c r="U118" s="50">
        <f t="shared" si="13"/>
        <v>-433644</v>
      </c>
      <c r="V118" s="50">
        <f t="shared" si="14"/>
        <v>-903154</v>
      </c>
      <c r="X118" s="51">
        <f t="shared" si="9"/>
        <v>9</v>
      </c>
      <c r="Y118" s="51">
        <f t="shared" si="10"/>
        <v>2016</v>
      </c>
    </row>
    <row r="119" spans="1:25" x14ac:dyDescent="0.25">
      <c r="A119" s="52">
        <v>42644</v>
      </c>
      <c r="B119" s="53">
        <v>-12549</v>
      </c>
      <c r="C119" s="53">
        <v>-1328</v>
      </c>
      <c r="D119" s="53">
        <v>-3839</v>
      </c>
      <c r="E119" s="53">
        <v>-1828</v>
      </c>
      <c r="F119" s="53">
        <v>-36786</v>
      </c>
      <c r="G119" s="53">
        <v>14207</v>
      </c>
      <c r="H119" s="53">
        <v>-36642</v>
      </c>
      <c r="I119" s="53">
        <v>0</v>
      </c>
      <c r="J119" s="53">
        <f t="shared" si="8"/>
        <v>-78765</v>
      </c>
      <c r="O119" s="53">
        <f t="shared" si="11"/>
        <v>-1478712</v>
      </c>
      <c r="P119" s="53"/>
      <c r="Q119" s="53"/>
      <c r="R119" s="53" t="b">
        <f t="shared" si="15"/>
        <v>1</v>
      </c>
      <c r="S119" s="5"/>
      <c r="T119" s="53">
        <f t="shared" si="12"/>
        <v>-398211</v>
      </c>
      <c r="U119" s="53">
        <f t="shared" si="13"/>
        <v>-417327</v>
      </c>
      <c r="V119" s="53">
        <f t="shared" si="14"/>
        <v>-844158</v>
      </c>
      <c r="X119" s="51">
        <f t="shared" si="9"/>
        <v>10</v>
      </c>
      <c r="Y119" s="51">
        <f t="shared" si="10"/>
        <v>2016</v>
      </c>
    </row>
    <row r="120" spans="1:25" x14ac:dyDescent="0.25">
      <c r="A120" s="49">
        <v>42675</v>
      </c>
      <c r="B120" s="50">
        <v>-26169</v>
      </c>
      <c r="C120" s="50">
        <v>-2073</v>
      </c>
      <c r="D120" s="50">
        <v>-50683</v>
      </c>
      <c r="E120" s="50">
        <v>-2962</v>
      </c>
      <c r="F120" s="50">
        <v>-54257</v>
      </c>
      <c r="G120" s="50">
        <v>59245</v>
      </c>
      <c r="H120" s="50">
        <v>-41135</v>
      </c>
      <c r="I120" s="50">
        <v>0</v>
      </c>
      <c r="J120" s="50">
        <f t="shared" si="8"/>
        <v>-118034</v>
      </c>
      <c r="O120" s="50">
        <f t="shared" si="11"/>
        <v>-1462844</v>
      </c>
      <c r="P120" s="50"/>
      <c r="Q120" s="50"/>
      <c r="R120" s="50" t="b">
        <f t="shared" si="15"/>
        <v>1</v>
      </c>
      <c r="S120" s="5"/>
      <c r="T120" s="50">
        <f t="shared" si="12"/>
        <v>-370762</v>
      </c>
      <c r="U120" s="50">
        <f t="shared" si="13"/>
        <v>-408958</v>
      </c>
      <c r="V120" s="50">
        <f t="shared" si="14"/>
        <v>-809787</v>
      </c>
      <c r="X120" s="51">
        <f t="shared" si="9"/>
        <v>11</v>
      </c>
      <c r="Y120" s="51">
        <f t="shared" si="10"/>
        <v>2016</v>
      </c>
    </row>
    <row r="121" spans="1:25" x14ac:dyDescent="0.25">
      <c r="A121" s="52">
        <v>42705</v>
      </c>
      <c r="B121" s="53">
        <v>-49672</v>
      </c>
      <c r="C121" s="53">
        <v>-3052</v>
      </c>
      <c r="D121" s="53">
        <v>-127530</v>
      </c>
      <c r="E121" s="53">
        <v>-2544</v>
      </c>
      <c r="F121" s="53">
        <v>-90714</v>
      </c>
      <c r="G121" s="53">
        <v>-20198</v>
      </c>
      <c r="H121" s="53">
        <v>-184397</v>
      </c>
      <c r="I121" s="53">
        <v>0</v>
      </c>
      <c r="J121" s="53">
        <f t="shared" si="8"/>
        <v>-478107</v>
      </c>
      <c r="O121" s="53">
        <f t="shared" si="11"/>
        <v>-1326558</v>
      </c>
      <c r="P121" s="53"/>
      <c r="Q121" s="53"/>
      <c r="R121" s="53" t="b">
        <f t="shared" si="15"/>
        <v>1</v>
      </c>
      <c r="S121" s="5"/>
      <c r="T121" s="53">
        <f t="shared" si="12"/>
        <v>-309112</v>
      </c>
      <c r="U121" s="53">
        <f t="shared" si="13"/>
        <v>-385843</v>
      </c>
      <c r="V121" s="53">
        <f t="shared" si="14"/>
        <v>-725502</v>
      </c>
      <c r="X121" s="51">
        <f t="shared" si="9"/>
        <v>12</v>
      </c>
      <c r="Y121" s="51">
        <f t="shared" si="10"/>
        <v>2016</v>
      </c>
    </row>
    <row r="122" spans="1:25" x14ac:dyDescent="0.25">
      <c r="A122" s="49">
        <v>42736</v>
      </c>
      <c r="B122" s="50">
        <v>11432</v>
      </c>
      <c r="C122" s="50">
        <v>75</v>
      </c>
      <c r="D122" s="50">
        <v>19829</v>
      </c>
      <c r="E122" s="50">
        <v>1089</v>
      </c>
      <c r="F122" s="50">
        <v>855</v>
      </c>
      <c r="G122" s="50">
        <v>-60481</v>
      </c>
      <c r="H122" s="50">
        <v>-3874</v>
      </c>
      <c r="I122" s="50">
        <v>0</v>
      </c>
      <c r="J122" s="50">
        <f t="shared" si="8"/>
        <v>-31075</v>
      </c>
      <c r="O122" s="50">
        <f t="shared" si="11"/>
        <v>-1265360</v>
      </c>
      <c r="P122" s="50"/>
      <c r="Q122" s="50"/>
      <c r="R122" s="50" t="b">
        <f t="shared" si="15"/>
        <v>1</v>
      </c>
      <c r="S122" s="5"/>
      <c r="T122" s="50">
        <f t="shared" si="12"/>
        <v>-273363</v>
      </c>
      <c r="U122" s="50">
        <f t="shared" si="13"/>
        <v>-384989</v>
      </c>
      <c r="V122" s="50">
        <f t="shared" si="14"/>
        <v>-684757</v>
      </c>
      <c r="X122" s="51">
        <f t="shared" si="9"/>
        <v>1</v>
      </c>
      <c r="Y122" s="51">
        <f t="shared" si="10"/>
        <v>2017</v>
      </c>
    </row>
    <row r="123" spans="1:25" x14ac:dyDescent="0.25">
      <c r="A123" s="52">
        <v>42767</v>
      </c>
      <c r="B123" s="53">
        <v>6607</v>
      </c>
      <c r="C123" s="53">
        <v>-601</v>
      </c>
      <c r="D123" s="53">
        <v>3665</v>
      </c>
      <c r="E123" s="53">
        <v>1404</v>
      </c>
      <c r="F123" s="53">
        <v>-12542</v>
      </c>
      <c r="G123" s="53">
        <v>-18288</v>
      </c>
      <c r="H123" s="53">
        <v>69384</v>
      </c>
      <c r="I123" s="53">
        <v>0</v>
      </c>
      <c r="J123" s="53">
        <f t="shared" si="8"/>
        <v>49629</v>
      </c>
      <c r="O123" s="53">
        <f t="shared" si="11"/>
        <v>-1119397</v>
      </c>
      <c r="P123" s="53"/>
      <c r="Q123" s="53"/>
      <c r="R123" s="53" t="b">
        <f t="shared" si="15"/>
        <v>1</v>
      </c>
      <c r="S123" s="5"/>
      <c r="T123" s="53">
        <f t="shared" si="12"/>
        <v>-241666</v>
      </c>
      <c r="U123" s="53">
        <f t="shared" si="13"/>
        <v>-378173</v>
      </c>
      <c r="V123" s="53">
        <f t="shared" si="14"/>
        <v>-643399</v>
      </c>
      <c r="X123" s="51">
        <f t="shared" si="9"/>
        <v>2</v>
      </c>
      <c r="Y123" s="51">
        <f t="shared" si="10"/>
        <v>2017</v>
      </c>
    </row>
    <row r="124" spans="1:25" x14ac:dyDescent="0.25">
      <c r="A124" s="49">
        <v>42795</v>
      </c>
      <c r="B124" s="50">
        <v>-2985</v>
      </c>
      <c r="C124" s="50">
        <v>-597</v>
      </c>
      <c r="D124" s="50">
        <v>-1544</v>
      </c>
      <c r="E124" s="50">
        <v>-289</v>
      </c>
      <c r="F124" s="50">
        <v>-9196</v>
      </c>
      <c r="G124" s="50">
        <v>-33149</v>
      </c>
      <c r="H124" s="50">
        <v>-9834</v>
      </c>
      <c r="I124" s="50">
        <v>0</v>
      </c>
      <c r="J124" s="50">
        <f t="shared" si="8"/>
        <v>-57594</v>
      </c>
      <c r="O124" s="50">
        <f t="shared" si="11"/>
        <v>-1062469</v>
      </c>
      <c r="P124" s="50"/>
      <c r="Q124" s="50"/>
      <c r="R124" s="50" t="b">
        <f t="shared" si="15"/>
        <v>1</v>
      </c>
      <c r="S124" s="5"/>
      <c r="T124" s="50">
        <f t="shared" si="12"/>
        <v>-219148</v>
      </c>
      <c r="U124" s="50">
        <f t="shared" si="13"/>
        <v>-361348</v>
      </c>
      <c r="V124" s="50">
        <f t="shared" si="14"/>
        <v>-603058</v>
      </c>
      <c r="X124" s="51">
        <f t="shared" si="9"/>
        <v>3</v>
      </c>
      <c r="Y124" s="51">
        <f t="shared" si="10"/>
        <v>2017</v>
      </c>
    </row>
    <row r="125" spans="1:25" x14ac:dyDescent="0.25">
      <c r="A125" s="52">
        <v>42826</v>
      </c>
      <c r="B125" s="53">
        <v>16212</v>
      </c>
      <c r="C125" s="53">
        <v>371</v>
      </c>
      <c r="D125" s="53">
        <v>13474</v>
      </c>
      <c r="E125" s="53">
        <v>894</v>
      </c>
      <c r="F125" s="53">
        <v>-425</v>
      </c>
      <c r="G125" s="53">
        <v>8179</v>
      </c>
      <c r="H125" s="53">
        <v>35677</v>
      </c>
      <c r="I125" s="53">
        <v>0</v>
      </c>
      <c r="J125" s="53">
        <f t="shared" si="8"/>
        <v>74382</v>
      </c>
      <c r="O125" s="53">
        <f t="shared" si="11"/>
        <v>-932265</v>
      </c>
      <c r="P125" s="53"/>
      <c r="Q125" s="53"/>
      <c r="R125" s="53" t="b">
        <f t="shared" si="15"/>
        <v>1</v>
      </c>
      <c r="S125" s="5"/>
      <c r="T125" s="53">
        <f t="shared" si="12"/>
        <v>-189082</v>
      </c>
      <c r="U125" s="53">
        <f t="shared" si="13"/>
        <v>-346211</v>
      </c>
      <c r="V125" s="53">
        <f t="shared" si="14"/>
        <v>-555696</v>
      </c>
      <c r="X125" s="51">
        <f t="shared" si="9"/>
        <v>4</v>
      </c>
      <c r="Y125" s="51">
        <f t="shared" si="10"/>
        <v>2017</v>
      </c>
    </row>
    <row r="126" spans="1:25" x14ac:dyDescent="0.25">
      <c r="A126" s="49">
        <v>42856</v>
      </c>
      <c r="B126" s="50">
        <v>48649</v>
      </c>
      <c r="C126" s="50">
        <v>-498</v>
      </c>
      <c r="D126" s="50">
        <v>1379</v>
      </c>
      <c r="E126" s="50">
        <v>-302</v>
      </c>
      <c r="F126" s="50">
        <v>-3747</v>
      </c>
      <c r="G126" s="50">
        <v>-8812</v>
      </c>
      <c r="H126" s="50">
        <v>8175</v>
      </c>
      <c r="I126" s="50">
        <v>0</v>
      </c>
      <c r="J126" s="50">
        <f t="shared" si="8"/>
        <v>44844</v>
      </c>
      <c r="O126" s="50">
        <f t="shared" si="11"/>
        <v>-821035</v>
      </c>
      <c r="P126" s="50"/>
      <c r="Q126" s="50"/>
      <c r="R126" s="50" t="b">
        <f t="shared" si="15"/>
        <v>1</v>
      </c>
      <c r="S126" s="5"/>
      <c r="T126" s="50">
        <f t="shared" si="12"/>
        <v>-167370</v>
      </c>
      <c r="U126" s="50">
        <f t="shared" si="13"/>
        <v>-319534</v>
      </c>
      <c r="V126" s="50">
        <f t="shared" si="14"/>
        <v>-505752</v>
      </c>
      <c r="X126" s="51">
        <f t="shared" si="9"/>
        <v>5</v>
      </c>
      <c r="Y126" s="51">
        <f t="shared" si="10"/>
        <v>2017</v>
      </c>
    </row>
    <row r="127" spans="1:25" x14ac:dyDescent="0.25">
      <c r="A127" s="52">
        <v>42887</v>
      </c>
      <c r="B127" s="53">
        <v>38692</v>
      </c>
      <c r="C127" s="53">
        <v>-233</v>
      </c>
      <c r="D127" s="53">
        <v>-6784</v>
      </c>
      <c r="E127" s="53">
        <v>-558</v>
      </c>
      <c r="F127" s="53">
        <v>-9772</v>
      </c>
      <c r="G127" s="53">
        <v>-1302</v>
      </c>
      <c r="H127" s="53">
        <v>-3192</v>
      </c>
      <c r="I127" s="53">
        <v>0</v>
      </c>
      <c r="J127" s="53">
        <f t="shared" si="8"/>
        <v>16851</v>
      </c>
      <c r="O127" s="53">
        <f t="shared" si="11"/>
        <v>-716464</v>
      </c>
      <c r="P127" s="53"/>
      <c r="Q127" s="53"/>
      <c r="R127" s="53" t="b">
        <f t="shared" si="15"/>
        <v>1</v>
      </c>
      <c r="S127" s="5"/>
      <c r="T127" s="53">
        <f t="shared" si="12"/>
        <v>-144082</v>
      </c>
      <c r="U127" s="53">
        <f t="shared" si="13"/>
        <v>-298955</v>
      </c>
      <c r="V127" s="53">
        <f t="shared" si="14"/>
        <v>-459894</v>
      </c>
      <c r="X127" s="51">
        <f t="shared" si="9"/>
        <v>6</v>
      </c>
      <c r="Y127" s="51">
        <f t="shared" si="10"/>
        <v>2017</v>
      </c>
    </row>
    <row r="128" spans="1:25" x14ac:dyDescent="0.25">
      <c r="A128" s="49">
        <v>42917</v>
      </c>
      <c r="B128" s="50">
        <v>8525</v>
      </c>
      <c r="C128" s="50">
        <v>-131</v>
      </c>
      <c r="D128" s="50">
        <v>14604</v>
      </c>
      <c r="E128" s="50">
        <v>-1170</v>
      </c>
      <c r="F128" s="50">
        <v>2121</v>
      </c>
      <c r="G128" s="50">
        <v>13537</v>
      </c>
      <c r="H128" s="50">
        <v>13295</v>
      </c>
      <c r="I128" s="50">
        <v>0</v>
      </c>
      <c r="J128" s="50">
        <f t="shared" si="8"/>
        <v>50781</v>
      </c>
      <c r="O128" s="50">
        <f t="shared" si="11"/>
        <v>-581443</v>
      </c>
      <c r="P128" s="50"/>
      <c r="Q128" s="50"/>
      <c r="R128" s="50" t="b">
        <f t="shared" si="15"/>
        <v>1</v>
      </c>
      <c r="S128" s="5"/>
      <c r="T128" s="50">
        <f t="shared" si="12"/>
        <v>-115896</v>
      </c>
      <c r="U128" s="50">
        <f t="shared" si="13"/>
        <v>-267015</v>
      </c>
      <c r="V128" s="50">
        <f t="shared" si="14"/>
        <v>-399416</v>
      </c>
      <c r="X128" s="51">
        <f t="shared" si="9"/>
        <v>7</v>
      </c>
      <c r="Y128" s="51">
        <f t="shared" si="10"/>
        <v>2017</v>
      </c>
    </row>
    <row r="129" spans="1:25" x14ac:dyDescent="0.25">
      <c r="A129" s="52">
        <v>42948</v>
      </c>
      <c r="B129" s="53">
        <v>-11580</v>
      </c>
      <c r="C129" s="53">
        <v>132</v>
      </c>
      <c r="D129" s="53">
        <v>14216</v>
      </c>
      <c r="E129" s="53">
        <v>-250</v>
      </c>
      <c r="F129" s="53">
        <v>2418</v>
      </c>
      <c r="G129" s="53">
        <v>14453</v>
      </c>
      <c r="H129" s="53">
        <v>30053</v>
      </c>
      <c r="I129" s="53">
        <v>0</v>
      </c>
      <c r="J129" s="53">
        <f t="shared" si="8"/>
        <v>49442</v>
      </c>
      <c r="O129" s="53">
        <f t="shared" si="11"/>
        <v>-509915</v>
      </c>
      <c r="P129" s="53"/>
      <c r="Q129" s="53"/>
      <c r="R129" s="53" t="b">
        <f t="shared" si="15"/>
        <v>1</v>
      </c>
      <c r="S129" s="5"/>
      <c r="T129" s="53">
        <f t="shared" si="12"/>
        <v>-110790</v>
      </c>
      <c r="U129" s="53">
        <f t="shared" si="13"/>
        <v>-241408</v>
      </c>
      <c r="V129" s="53">
        <f t="shared" si="14"/>
        <v>-368128</v>
      </c>
      <c r="X129" s="51">
        <f t="shared" si="9"/>
        <v>8</v>
      </c>
      <c r="Y129" s="51">
        <f t="shared" si="10"/>
        <v>2017</v>
      </c>
    </row>
    <row r="130" spans="1:25" x14ac:dyDescent="0.25">
      <c r="A130" s="49">
        <v>42979</v>
      </c>
      <c r="B130" s="50">
        <v>-8177</v>
      </c>
      <c r="C130" s="50">
        <v>93</v>
      </c>
      <c r="D130" s="50">
        <v>27474</v>
      </c>
      <c r="E130" s="50">
        <v>-1196</v>
      </c>
      <c r="F130" s="50">
        <v>1064</v>
      </c>
      <c r="G130" s="50">
        <v>19079</v>
      </c>
      <c r="H130" s="50">
        <v>10946</v>
      </c>
      <c r="I130" s="50">
        <v>0</v>
      </c>
      <c r="J130" s="50">
        <f t="shared" si="8"/>
        <v>49283</v>
      </c>
      <c r="O130" s="50">
        <f t="shared" si="11"/>
        <v>-428363</v>
      </c>
      <c r="P130" s="50"/>
      <c r="Q130" s="50"/>
      <c r="R130" s="50" t="b">
        <f t="shared" si="15"/>
        <v>1</v>
      </c>
      <c r="S130" s="5"/>
      <c r="T130" s="50">
        <f t="shared" si="12"/>
        <v>-95739</v>
      </c>
      <c r="U130" s="50">
        <f t="shared" si="13"/>
        <v>-210981</v>
      </c>
      <c r="V130" s="50">
        <f t="shared" si="14"/>
        <v>-322274</v>
      </c>
      <c r="X130" s="51">
        <f t="shared" si="9"/>
        <v>9</v>
      </c>
      <c r="Y130" s="51">
        <f t="shared" si="10"/>
        <v>2017</v>
      </c>
    </row>
    <row r="131" spans="1:25" x14ac:dyDescent="0.25">
      <c r="A131" s="52">
        <v>43009</v>
      </c>
      <c r="B131" s="53">
        <v>-3027</v>
      </c>
      <c r="C131" s="53">
        <v>-349</v>
      </c>
      <c r="D131" s="53">
        <v>34599</v>
      </c>
      <c r="E131" s="53">
        <v>-668</v>
      </c>
      <c r="F131" s="53">
        <v>-4478</v>
      </c>
      <c r="G131" s="53">
        <v>41335</v>
      </c>
      <c r="H131" s="53">
        <v>19513</v>
      </c>
      <c r="I131" s="53">
        <v>0</v>
      </c>
      <c r="J131" s="53">
        <f t="shared" ref="J131:J190" si="16">SUM(B131:I131)</f>
        <v>86925</v>
      </c>
      <c r="O131" s="53">
        <f t="shared" si="11"/>
        <v>-262673</v>
      </c>
      <c r="P131" s="53"/>
      <c r="Q131" s="53"/>
      <c r="R131" s="53" t="b">
        <f t="shared" si="15"/>
        <v>1</v>
      </c>
      <c r="S131" s="5"/>
      <c r="T131" s="53">
        <f t="shared" si="12"/>
        <v>-57301</v>
      </c>
      <c r="U131" s="53">
        <f t="shared" si="13"/>
        <v>-178673</v>
      </c>
      <c r="V131" s="53">
        <f t="shared" si="14"/>
        <v>-249389</v>
      </c>
      <c r="X131" s="51">
        <f t="shared" ref="X131:X193" si="17">IF(A131=0,"",MONTH(A131))</f>
        <v>10</v>
      </c>
      <c r="Y131" s="51">
        <f t="shared" ref="Y131:Y193" si="18">IF(A131=0,"",YEAR(A131))</f>
        <v>2017</v>
      </c>
    </row>
    <row r="132" spans="1:25" x14ac:dyDescent="0.25">
      <c r="A132" s="49">
        <v>43040</v>
      </c>
      <c r="B132" s="50">
        <v>-24113</v>
      </c>
      <c r="C132" s="50">
        <v>-1185</v>
      </c>
      <c r="D132" s="50">
        <v>-27359</v>
      </c>
      <c r="E132" s="50">
        <v>-892</v>
      </c>
      <c r="F132" s="50">
        <v>-24156</v>
      </c>
      <c r="G132" s="50">
        <v>72232</v>
      </c>
      <c r="H132" s="50">
        <v>672</v>
      </c>
      <c r="I132" s="50">
        <v>0</v>
      </c>
      <c r="J132" s="50">
        <f t="shared" si="16"/>
        <v>-4801</v>
      </c>
      <c r="O132" s="50">
        <f t="shared" si="11"/>
        <v>-149440</v>
      </c>
      <c r="P132" s="50"/>
      <c r="Q132" s="50"/>
      <c r="R132" s="50" t="b">
        <f t="shared" si="15"/>
        <v>1</v>
      </c>
      <c r="S132" s="5"/>
      <c r="T132" s="50">
        <f t="shared" si="12"/>
        <v>-33977</v>
      </c>
      <c r="U132" s="50">
        <f t="shared" si="13"/>
        <v>-148572</v>
      </c>
      <c r="V132" s="50">
        <f t="shared" si="14"/>
        <v>-193006</v>
      </c>
      <c r="X132" s="51">
        <f t="shared" si="17"/>
        <v>11</v>
      </c>
      <c r="Y132" s="51">
        <f t="shared" si="18"/>
        <v>2017</v>
      </c>
    </row>
    <row r="133" spans="1:25" x14ac:dyDescent="0.25">
      <c r="A133" s="52">
        <v>43070</v>
      </c>
      <c r="B133" s="53">
        <v>-45970</v>
      </c>
      <c r="C133" s="53">
        <v>-2412</v>
      </c>
      <c r="D133" s="53">
        <v>-108329</v>
      </c>
      <c r="E133" s="53">
        <v>-1773</v>
      </c>
      <c r="F133" s="53">
        <v>-58270</v>
      </c>
      <c r="G133" s="53">
        <v>5526</v>
      </c>
      <c r="H133" s="53">
        <v>-129403</v>
      </c>
      <c r="I133" s="53">
        <v>0</v>
      </c>
      <c r="J133" s="53">
        <f t="shared" si="16"/>
        <v>-340631</v>
      </c>
      <c r="O133" s="53">
        <f t="shared" si="11"/>
        <v>-11964</v>
      </c>
      <c r="P133" s="53"/>
      <c r="Q133" s="53"/>
      <c r="R133" s="53" t="b">
        <f t="shared" si="15"/>
        <v>1</v>
      </c>
      <c r="S133" s="5"/>
      <c r="T133" s="53">
        <f t="shared" si="12"/>
        <v>-14776</v>
      </c>
      <c r="U133" s="53">
        <f t="shared" si="13"/>
        <v>-116128</v>
      </c>
      <c r="V133" s="53">
        <f t="shared" si="14"/>
        <v>-139950</v>
      </c>
      <c r="X133" s="51">
        <f t="shared" si="17"/>
        <v>12</v>
      </c>
      <c r="Y133" s="51">
        <f t="shared" si="18"/>
        <v>2017</v>
      </c>
    </row>
    <row r="134" spans="1:25" x14ac:dyDescent="0.25">
      <c r="A134" s="49">
        <v>43101</v>
      </c>
      <c r="B134" s="50">
        <v>16049</v>
      </c>
      <c r="C134" s="50">
        <v>-432</v>
      </c>
      <c r="D134" s="50">
        <v>49033</v>
      </c>
      <c r="E134" s="50">
        <v>1660</v>
      </c>
      <c r="F134" s="50">
        <v>18331</v>
      </c>
      <c r="G134" s="50">
        <v>-44609</v>
      </c>
      <c r="H134" s="50">
        <v>51035</v>
      </c>
      <c r="I134" s="50">
        <v>0</v>
      </c>
      <c r="J134" s="50">
        <f t="shared" si="16"/>
        <v>91067</v>
      </c>
      <c r="N134" s="11">
        <v>43101</v>
      </c>
      <c r="O134" s="50">
        <f t="shared" si="11"/>
        <v>110178</v>
      </c>
      <c r="P134" s="50">
        <f>O134/1000</f>
        <v>110.178</v>
      </c>
      <c r="Q134" s="50"/>
      <c r="R134" s="50" t="b">
        <f t="shared" si="15"/>
        <v>1</v>
      </c>
      <c r="S134" s="5"/>
      <c r="T134" s="50">
        <f t="shared" si="12"/>
        <v>14428</v>
      </c>
      <c r="U134" s="50">
        <f t="shared" si="13"/>
        <v>-98652</v>
      </c>
      <c r="V134" s="50">
        <f t="shared" si="14"/>
        <v>-93206</v>
      </c>
      <c r="X134" s="51">
        <f t="shared" si="17"/>
        <v>1</v>
      </c>
      <c r="Y134" s="51">
        <f t="shared" si="18"/>
        <v>2018</v>
      </c>
    </row>
    <row r="135" spans="1:25" x14ac:dyDescent="0.25">
      <c r="A135" s="52">
        <v>43132</v>
      </c>
      <c r="B135" s="53">
        <v>-2986</v>
      </c>
      <c r="C135" s="53">
        <v>486</v>
      </c>
      <c r="D135" s="53">
        <v>13940</v>
      </c>
      <c r="E135" s="53">
        <v>1131</v>
      </c>
      <c r="F135" s="53">
        <v>-3226</v>
      </c>
      <c r="G135" s="53">
        <v>-22647</v>
      </c>
      <c r="H135" s="53">
        <v>90333</v>
      </c>
      <c r="I135" s="53">
        <v>0</v>
      </c>
      <c r="J135" s="53">
        <f t="shared" si="16"/>
        <v>77031</v>
      </c>
      <c r="N135" s="11">
        <v>43132</v>
      </c>
      <c r="O135" s="53">
        <f t="shared" si="11"/>
        <v>137580</v>
      </c>
      <c r="P135" s="50">
        <f t="shared" ref="P135:P190" si="19">O135/1000</f>
        <v>137.58000000000001</v>
      </c>
      <c r="Q135" s="53"/>
      <c r="R135" s="53" t="b">
        <f t="shared" si="15"/>
        <v>1</v>
      </c>
      <c r="S135" s="5"/>
      <c r="T135" s="53">
        <f t="shared" si="12"/>
        <v>24703</v>
      </c>
      <c r="U135" s="53">
        <f t="shared" si="13"/>
        <v>-89336</v>
      </c>
      <c r="V135" s="53">
        <f t="shared" si="14"/>
        <v>-72801</v>
      </c>
      <c r="X135" s="51">
        <f t="shared" si="17"/>
        <v>2</v>
      </c>
      <c r="Y135" s="51">
        <f t="shared" si="18"/>
        <v>2018</v>
      </c>
    </row>
    <row r="136" spans="1:25" x14ac:dyDescent="0.25">
      <c r="A136" s="49">
        <v>43160</v>
      </c>
      <c r="B136" s="50">
        <v>-17204</v>
      </c>
      <c r="C136" s="50">
        <v>246</v>
      </c>
      <c r="D136" s="50">
        <v>10002</v>
      </c>
      <c r="E136" s="50">
        <v>595</v>
      </c>
      <c r="F136" s="50">
        <v>8828</v>
      </c>
      <c r="G136" s="50">
        <v>148</v>
      </c>
      <c r="H136" s="50">
        <v>72503</v>
      </c>
      <c r="I136" s="50">
        <v>0</v>
      </c>
      <c r="J136" s="50">
        <f t="shared" si="16"/>
        <v>75118</v>
      </c>
      <c r="N136" s="11">
        <v>43160</v>
      </c>
      <c r="O136" s="50">
        <f t="shared" si="11"/>
        <v>270292</v>
      </c>
      <c r="P136" s="50">
        <f t="shared" si="19"/>
        <v>270.29199999999997</v>
      </c>
      <c r="Q136" s="50"/>
      <c r="R136" s="50" t="b">
        <f t="shared" si="15"/>
        <v>1</v>
      </c>
      <c r="S136" s="5"/>
      <c r="T136" s="50">
        <f t="shared" si="12"/>
        <v>36249</v>
      </c>
      <c r="U136" s="50">
        <f t="shared" si="13"/>
        <v>-71312</v>
      </c>
      <c r="V136" s="50">
        <f t="shared" si="14"/>
        <v>-41504</v>
      </c>
      <c r="X136" s="51">
        <f t="shared" si="17"/>
        <v>3</v>
      </c>
      <c r="Y136" s="51">
        <f t="shared" si="18"/>
        <v>2018</v>
      </c>
    </row>
    <row r="137" spans="1:25" x14ac:dyDescent="0.25">
      <c r="A137" s="52">
        <v>43191</v>
      </c>
      <c r="B137" s="53">
        <v>3802</v>
      </c>
      <c r="C137" s="53">
        <v>667</v>
      </c>
      <c r="D137" s="53">
        <v>22913</v>
      </c>
      <c r="E137" s="53">
        <v>1016</v>
      </c>
      <c r="F137" s="53">
        <v>17521</v>
      </c>
      <c r="G137" s="53">
        <v>13348</v>
      </c>
      <c r="H137" s="53">
        <v>72193</v>
      </c>
      <c r="I137" s="53">
        <v>0</v>
      </c>
      <c r="J137" s="53">
        <f t="shared" si="16"/>
        <v>131460</v>
      </c>
      <c r="N137" s="11">
        <v>43191</v>
      </c>
      <c r="O137" s="53">
        <f t="shared" si="11"/>
        <v>327370</v>
      </c>
      <c r="P137" s="50">
        <f t="shared" si="19"/>
        <v>327.37</v>
      </c>
      <c r="Q137" s="53"/>
      <c r="R137" s="53" t="b">
        <f t="shared" si="15"/>
        <v>1</v>
      </c>
      <c r="S137" s="5"/>
      <c r="T137" s="53">
        <f t="shared" si="12"/>
        <v>45688</v>
      </c>
      <c r="U137" s="53">
        <f t="shared" si="13"/>
        <v>-53366</v>
      </c>
      <c r="V137" s="53">
        <f t="shared" si="14"/>
        <v>-13701</v>
      </c>
      <c r="X137" s="51">
        <f t="shared" si="17"/>
        <v>4</v>
      </c>
      <c r="Y137" s="51">
        <f t="shared" si="18"/>
        <v>2018</v>
      </c>
    </row>
    <row r="138" spans="1:25" x14ac:dyDescent="0.25">
      <c r="A138" s="49">
        <v>43221</v>
      </c>
      <c r="B138" s="50">
        <v>31360</v>
      </c>
      <c r="C138" s="50">
        <v>-4</v>
      </c>
      <c r="D138" s="50">
        <v>-6155</v>
      </c>
      <c r="E138" s="50">
        <v>554</v>
      </c>
      <c r="F138" s="50">
        <v>3659</v>
      </c>
      <c r="G138" s="50">
        <v>-9700</v>
      </c>
      <c r="H138" s="50">
        <v>23348</v>
      </c>
      <c r="I138" s="50">
        <v>0</v>
      </c>
      <c r="J138" s="50">
        <f t="shared" si="16"/>
        <v>43062</v>
      </c>
      <c r="N138" s="11">
        <v>43221</v>
      </c>
      <c r="O138" s="50">
        <f t="shared" si="11"/>
        <v>325588</v>
      </c>
      <c r="P138" s="50">
        <f t="shared" si="19"/>
        <v>325.58800000000002</v>
      </c>
      <c r="Q138" s="50"/>
      <c r="R138" s="50" t="b">
        <f t="shared" si="15"/>
        <v>0</v>
      </c>
      <c r="S138" s="5"/>
      <c r="T138" s="50">
        <f t="shared" si="12"/>
        <v>38154</v>
      </c>
      <c r="U138" s="50">
        <f t="shared" si="13"/>
        <v>-45960</v>
      </c>
      <c r="V138" s="50">
        <f t="shared" si="14"/>
        <v>-12479</v>
      </c>
      <c r="X138" s="51">
        <f t="shared" si="17"/>
        <v>5</v>
      </c>
      <c r="Y138" s="51">
        <f t="shared" si="18"/>
        <v>2018</v>
      </c>
    </row>
    <row r="139" spans="1:25" x14ac:dyDescent="0.25">
      <c r="A139" s="52">
        <v>43252</v>
      </c>
      <c r="B139" s="53">
        <v>43098</v>
      </c>
      <c r="C139" s="53">
        <v>-137</v>
      </c>
      <c r="D139" s="53">
        <v>-19454</v>
      </c>
      <c r="E139" s="53">
        <v>2724</v>
      </c>
      <c r="F139" s="53">
        <v>-1660</v>
      </c>
      <c r="G139" s="53">
        <v>-19930</v>
      </c>
      <c r="H139" s="53">
        <v>3756</v>
      </c>
      <c r="I139" s="53">
        <v>0</v>
      </c>
      <c r="J139" s="53">
        <f t="shared" si="16"/>
        <v>8397</v>
      </c>
      <c r="N139" s="11">
        <v>43252</v>
      </c>
      <c r="O139" s="53">
        <f t="shared" si="11"/>
        <v>317134</v>
      </c>
      <c r="P139" s="50">
        <f t="shared" si="19"/>
        <v>317.13400000000001</v>
      </c>
      <c r="Q139" s="53"/>
      <c r="R139" s="53" t="b">
        <f t="shared" si="15"/>
        <v>0</v>
      </c>
      <c r="S139" s="5"/>
      <c r="T139" s="53">
        <f t="shared" si="12"/>
        <v>25484</v>
      </c>
      <c r="U139" s="53">
        <f t="shared" si="13"/>
        <v>-37848</v>
      </c>
      <c r="V139" s="53">
        <f t="shared" si="14"/>
        <v>-13659</v>
      </c>
      <c r="X139" s="51">
        <f t="shared" si="17"/>
        <v>6</v>
      </c>
      <c r="Y139" s="51">
        <f t="shared" si="18"/>
        <v>2018</v>
      </c>
    </row>
    <row r="140" spans="1:25" x14ac:dyDescent="0.25">
      <c r="A140" s="49">
        <v>43282</v>
      </c>
      <c r="B140" s="50">
        <v>18685</v>
      </c>
      <c r="C140" s="50">
        <v>629</v>
      </c>
      <c r="D140" s="50">
        <v>7591</v>
      </c>
      <c r="E140" s="50">
        <v>1748</v>
      </c>
      <c r="F140" s="50">
        <v>12319</v>
      </c>
      <c r="G140" s="50">
        <v>1504</v>
      </c>
      <c r="H140" s="50">
        <v>15669</v>
      </c>
      <c r="I140" s="50">
        <v>0</v>
      </c>
      <c r="J140" s="50">
        <f t="shared" si="16"/>
        <v>58145</v>
      </c>
      <c r="N140" s="11">
        <v>43282</v>
      </c>
      <c r="O140" s="50">
        <f t="shared" si="11"/>
        <v>324498</v>
      </c>
      <c r="P140" s="50">
        <f t="shared" si="19"/>
        <v>324.49799999999999</v>
      </c>
      <c r="Q140" s="50"/>
      <c r="R140" s="50" t="b">
        <f t="shared" si="15"/>
        <v>1</v>
      </c>
      <c r="S140" s="5"/>
      <c r="T140" s="50">
        <f t="shared" si="12"/>
        <v>18471</v>
      </c>
      <c r="U140" s="50">
        <f t="shared" si="13"/>
        <v>-27650</v>
      </c>
      <c r="V140" s="50">
        <f t="shared" si="14"/>
        <v>-6796</v>
      </c>
      <c r="X140" s="51">
        <f t="shared" si="17"/>
        <v>7</v>
      </c>
      <c r="Y140" s="51">
        <f t="shared" si="18"/>
        <v>2018</v>
      </c>
    </row>
    <row r="141" spans="1:25" x14ac:dyDescent="0.25">
      <c r="A141" s="52">
        <v>43313</v>
      </c>
      <c r="B141" s="53">
        <v>-2112</v>
      </c>
      <c r="C141" s="53">
        <v>521</v>
      </c>
      <c r="D141" s="53">
        <v>16318</v>
      </c>
      <c r="E141" s="53">
        <v>1465</v>
      </c>
      <c r="F141" s="53">
        <v>13631</v>
      </c>
      <c r="G141" s="53">
        <v>20705</v>
      </c>
      <c r="H141" s="53">
        <v>73216</v>
      </c>
      <c r="I141" s="53">
        <v>0</v>
      </c>
      <c r="J141" s="53">
        <f t="shared" si="16"/>
        <v>123744</v>
      </c>
      <c r="N141" s="11">
        <v>43313</v>
      </c>
      <c r="O141" s="53">
        <f t="shared" si="11"/>
        <v>398800</v>
      </c>
      <c r="P141" s="50">
        <f t="shared" si="19"/>
        <v>398.8</v>
      </c>
      <c r="Q141" s="53"/>
      <c r="R141" s="53" t="b">
        <f t="shared" si="15"/>
        <v>1</v>
      </c>
      <c r="S141" s="5"/>
      <c r="T141" s="53">
        <f t="shared" si="12"/>
        <v>20573</v>
      </c>
      <c r="U141" s="53">
        <f t="shared" si="13"/>
        <v>-16437</v>
      </c>
      <c r="V141" s="53">
        <f t="shared" si="14"/>
        <v>8623</v>
      </c>
      <c r="X141" s="51">
        <f t="shared" si="17"/>
        <v>8</v>
      </c>
      <c r="Y141" s="51">
        <f t="shared" si="18"/>
        <v>2018</v>
      </c>
    </row>
    <row r="142" spans="1:25" x14ac:dyDescent="0.25">
      <c r="A142" s="49">
        <v>43344</v>
      </c>
      <c r="B142" s="50">
        <v>-1419</v>
      </c>
      <c r="C142" s="50">
        <v>299</v>
      </c>
      <c r="D142" s="50">
        <v>38090</v>
      </c>
      <c r="E142" s="50">
        <v>1350</v>
      </c>
      <c r="F142" s="50">
        <v>13431</v>
      </c>
      <c r="G142" s="50">
        <v>30792</v>
      </c>
      <c r="H142" s="50">
        <v>68463</v>
      </c>
      <c r="I142" s="50">
        <v>0</v>
      </c>
      <c r="J142" s="50">
        <f t="shared" si="16"/>
        <v>151006</v>
      </c>
      <c r="N142" s="11">
        <v>43344</v>
      </c>
      <c r="O142" s="50">
        <f t="shared" ref="O142:O188" si="20">IF(J142=0,"",SUM(J131:J142))</f>
        <v>500523</v>
      </c>
      <c r="P142" s="50">
        <f t="shared" si="19"/>
        <v>500.52300000000002</v>
      </c>
      <c r="Q142" s="50"/>
      <c r="R142" s="50" t="b">
        <f t="shared" si="15"/>
        <v>1</v>
      </c>
      <c r="S142" s="5"/>
      <c r="T142" s="50">
        <f t="shared" ref="T142:T193" si="21">IF(J142=0,"",SUM(D131:D142))</f>
        <v>31189</v>
      </c>
      <c r="U142" s="50">
        <f t="shared" ref="U142:U193" si="22">IF(J142=0,"",SUM(F131:F142))</f>
        <v>-4070</v>
      </c>
      <c r="V142" s="50">
        <f t="shared" ref="V142:V193" si="23">IF(J142=0,"",SUM(C131:F142))</f>
        <v>34358</v>
      </c>
      <c r="X142" s="51">
        <f t="shared" si="17"/>
        <v>9</v>
      </c>
      <c r="Y142" s="51">
        <f t="shared" si="18"/>
        <v>2018</v>
      </c>
    </row>
    <row r="143" spans="1:25" x14ac:dyDescent="0.25">
      <c r="A143" s="52">
        <v>43374</v>
      </c>
      <c r="B143" s="53">
        <v>-12882</v>
      </c>
      <c r="C143" s="53">
        <v>533</v>
      </c>
      <c r="D143" s="53">
        <v>7394</v>
      </c>
      <c r="E143" s="53">
        <v>161</v>
      </c>
      <c r="F143" s="53">
        <v>525</v>
      </c>
      <c r="G143" s="53">
        <v>35994</v>
      </c>
      <c r="H143" s="53">
        <v>34880</v>
      </c>
      <c r="I143" s="53">
        <v>0</v>
      </c>
      <c r="J143" s="53">
        <f t="shared" si="16"/>
        <v>66605</v>
      </c>
      <c r="N143" s="11">
        <v>43374</v>
      </c>
      <c r="O143" s="53">
        <f t="shared" si="20"/>
        <v>480203</v>
      </c>
      <c r="P143" s="50">
        <f t="shared" si="19"/>
        <v>480.20299999999997</v>
      </c>
      <c r="Q143" s="53"/>
      <c r="R143" s="53" t="b">
        <f t="shared" ref="R143:R193" si="24">IF(J143=0,"",J143&gt;J131)</f>
        <v>0</v>
      </c>
      <c r="S143" s="5"/>
      <c r="T143" s="53">
        <f t="shared" si="21"/>
        <v>3984</v>
      </c>
      <c r="U143" s="53">
        <f t="shared" si="22"/>
        <v>933</v>
      </c>
      <c r="V143" s="53">
        <f t="shared" si="23"/>
        <v>13867</v>
      </c>
      <c r="X143" s="51">
        <f t="shared" si="17"/>
        <v>10</v>
      </c>
      <c r="Y143" s="51">
        <f t="shared" si="18"/>
        <v>2018</v>
      </c>
    </row>
    <row r="144" spans="1:25" x14ac:dyDescent="0.25">
      <c r="A144" s="49">
        <v>43405</v>
      </c>
      <c r="B144" s="50">
        <v>-24443</v>
      </c>
      <c r="C144" s="50">
        <v>-535</v>
      </c>
      <c r="D144" s="50">
        <v>-24884</v>
      </c>
      <c r="E144" s="50">
        <v>-971</v>
      </c>
      <c r="F144" s="50">
        <v>-15274</v>
      </c>
      <c r="G144" s="50">
        <v>92072</v>
      </c>
      <c r="H144" s="50">
        <v>37203</v>
      </c>
      <c r="I144" s="50">
        <v>0</v>
      </c>
      <c r="J144" s="50">
        <f t="shared" si="16"/>
        <v>63168</v>
      </c>
      <c r="N144" s="11">
        <v>43405</v>
      </c>
      <c r="O144" s="50">
        <f t="shared" si="20"/>
        <v>548172</v>
      </c>
      <c r="P144" s="50">
        <f t="shared" si="19"/>
        <v>548.17200000000003</v>
      </c>
      <c r="Q144" s="50"/>
      <c r="R144" s="50" t="b">
        <f t="shared" si="24"/>
        <v>1</v>
      </c>
      <c r="S144" s="5"/>
      <c r="T144" s="50">
        <f t="shared" si="21"/>
        <v>6459</v>
      </c>
      <c r="U144" s="50">
        <f t="shared" si="22"/>
        <v>9815</v>
      </c>
      <c r="V144" s="50">
        <f t="shared" si="23"/>
        <v>25795</v>
      </c>
      <c r="X144" s="51">
        <f t="shared" si="17"/>
        <v>11</v>
      </c>
      <c r="Y144" s="51">
        <f t="shared" si="18"/>
        <v>2018</v>
      </c>
    </row>
    <row r="145" spans="1:25" x14ac:dyDescent="0.25">
      <c r="A145" s="52">
        <v>43435</v>
      </c>
      <c r="B145" s="53">
        <v>-49717</v>
      </c>
      <c r="C145" s="53">
        <v>-1235</v>
      </c>
      <c r="D145" s="53">
        <v>-113547</v>
      </c>
      <c r="E145" s="53">
        <v>-1244</v>
      </c>
      <c r="F145" s="53">
        <v>-56682</v>
      </c>
      <c r="G145" s="53">
        <v>18442</v>
      </c>
      <c r="H145" s="53">
        <v>-138375</v>
      </c>
      <c r="I145" s="53">
        <v>0</v>
      </c>
      <c r="J145" s="53">
        <f t="shared" si="16"/>
        <v>-342358</v>
      </c>
      <c r="N145" s="11">
        <v>43435</v>
      </c>
      <c r="O145" s="53">
        <f t="shared" si="20"/>
        <v>546445</v>
      </c>
      <c r="P145" s="50">
        <f t="shared" si="19"/>
        <v>546.44500000000005</v>
      </c>
      <c r="Q145" s="53"/>
      <c r="R145" s="53" t="b">
        <f t="shared" si="24"/>
        <v>0</v>
      </c>
      <c r="S145" s="5"/>
      <c r="T145" s="53">
        <f t="shared" si="21"/>
        <v>1241</v>
      </c>
      <c r="U145" s="53">
        <f t="shared" si="22"/>
        <v>11403</v>
      </c>
      <c r="V145" s="53">
        <f t="shared" si="23"/>
        <v>23871</v>
      </c>
      <c r="X145" s="51">
        <f t="shared" si="17"/>
        <v>12</v>
      </c>
      <c r="Y145" s="51">
        <f t="shared" si="18"/>
        <v>2018</v>
      </c>
    </row>
    <row r="146" spans="1:25" x14ac:dyDescent="0.25">
      <c r="A146" s="49">
        <v>43466</v>
      </c>
      <c r="B146" s="50">
        <v>8587</v>
      </c>
      <c r="C146" s="50">
        <v>235</v>
      </c>
      <c r="D146" s="50">
        <v>36751</v>
      </c>
      <c r="E146" s="50">
        <v>420</v>
      </c>
      <c r="F146" s="50">
        <v>17620</v>
      </c>
      <c r="G146" s="50">
        <v>-64211</v>
      </c>
      <c r="H146" s="50">
        <v>45264</v>
      </c>
      <c r="I146" s="50">
        <v>0</v>
      </c>
      <c r="J146" s="50">
        <f t="shared" si="16"/>
        <v>44666</v>
      </c>
      <c r="N146" s="11">
        <v>43466</v>
      </c>
      <c r="O146" s="50">
        <f t="shared" si="20"/>
        <v>500044</v>
      </c>
      <c r="P146" s="50">
        <f t="shared" si="19"/>
        <v>500.04399999999998</v>
      </c>
      <c r="Q146" s="50"/>
      <c r="R146" s="50" t="b">
        <f t="shared" si="24"/>
        <v>0</v>
      </c>
      <c r="S146" s="5"/>
      <c r="T146" s="50">
        <f t="shared" si="21"/>
        <v>-11041</v>
      </c>
      <c r="U146" s="50">
        <f t="shared" si="22"/>
        <v>10692</v>
      </c>
      <c r="V146" s="50">
        <f t="shared" si="23"/>
        <v>10305</v>
      </c>
      <c r="X146" s="51">
        <f t="shared" si="17"/>
        <v>1</v>
      </c>
      <c r="Y146" s="51">
        <f t="shared" si="18"/>
        <v>2019</v>
      </c>
    </row>
    <row r="147" spans="1:25" x14ac:dyDescent="0.25">
      <c r="A147" s="52">
        <v>43497</v>
      </c>
      <c r="B147" s="53">
        <v>-1340</v>
      </c>
      <c r="C147" s="53">
        <v>994</v>
      </c>
      <c r="D147" s="53">
        <v>28836</v>
      </c>
      <c r="E147" s="53">
        <v>1464</v>
      </c>
      <c r="F147" s="53">
        <v>12999</v>
      </c>
      <c r="G147" s="53">
        <v>10125</v>
      </c>
      <c r="H147" s="53">
        <v>139425</v>
      </c>
      <c r="I147" s="53">
        <v>0</v>
      </c>
      <c r="J147" s="53">
        <f t="shared" si="16"/>
        <v>192503</v>
      </c>
      <c r="N147" s="11">
        <v>43497</v>
      </c>
      <c r="O147" s="53">
        <f t="shared" si="20"/>
        <v>615516</v>
      </c>
      <c r="P147" s="50">
        <f t="shared" si="19"/>
        <v>615.51599999999996</v>
      </c>
      <c r="Q147" s="53"/>
      <c r="R147" s="53" t="b">
        <f t="shared" si="24"/>
        <v>1</v>
      </c>
      <c r="S147" s="5"/>
      <c r="T147" s="53">
        <f t="shared" si="21"/>
        <v>3855</v>
      </c>
      <c r="U147" s="53">
        <f t="shared" si="22"/>
        <v>26917</v>
      </c>
      <c r="V147" s="53">
        <f t="shared" si="23"/>
        <v>42267</v>
      </c>
      <c r="X147" s="51">
        <f t="shared" si="17"/>
        <v>2</v>
      </c>
      <c r="Y147" s="51">
        <f t="shared" si="18"/>
        <v>2019</v>
      </c>
    </row>
    <row r="148" spans="1:25" x14ac:dyDescent="0.25">
      <c r="A148" s="49">
        <v>43525</v>
      </c>
      <c r="B148" s="50">
        <v>-9699</v>
      </c>
      <c r="C148" s="50">
        <v>411</v>
      </c>
      <c r="D148" s="50">
        <v>-3090</v>
      </c>
      <c r="E148" s="50">
        <v>-707</v>
      </c>
      <c r="F148" s="50">
        <v>-6629</v>
      </c>
      <c r="G148" s="50">
        <v>-28196</v>
      </c>
      <c r="H148" s="50">
        <v>9298</v>
      </c>
      <c r="I148" s="50">
        <v>0</v>
      </c>
      <c r="J148" s="50">
        <f t="shared" si="16"/>
        <v>-38612</v>
      </c>
      <c r="M148" s="5">
        <f t="shared" ref="M148" si="25">SUM(J146:J148)</f>
        <v>198557</v>
      </c>
      <c r="N148" s="11">
        <v>43525</v>
      </c>
      <c r="O148" s="50">
        <f t="shared" si="20"/>
        <v>501786</v>
      </c>
      <c r="P148" s="50">
        <f t="shared" si="19"/>
        <v>501.786</v>
      </c>
      <c r="Q148" s="50"/>
      <c r="R148" s="50" t="b">
        <f t="shared" si="24"/>
        <v>0</v>
      </c>
      <c r="S148" s="5"/>
      <c r="T148" s="50">
        <f t="shared" si="21"/>
        <v>-9237</v>
      </c>
      <c r="U148" s="50">
        <f t="shared" si="22"/>
        <v>11460</v>
      </c>
      <c r="V148" s="50">
        <f t="shared" si="23"/>
        <v>12581</v>
      </c>
      <c r="X148" s="51">
        <f t="shared" si="17"/>
        <v>3</v>
      </c>
      <c r="Y148" s="51">
        <f t="shared" si="18"/>
        <v>2019</v>
      </c>
    </row>
    <row r="149" spans="1:25" x14ac:dyDescent="0.25">
      <c r="A149" s="52">
        <v>43556</v>
      </c>
      <c r="B149" s="53">
        <v>15762</v>
      </c>
      <c r="C149" s="53">
        <v>591</v>
      </c>
      <c r="D149" s="53">
        <v>19356</v>
      </c>
      <c r="E149" s="53">
        <v>696</v>
      </c>
      <c r="F149" s="53">
        <v>16610</v>
      </c>
      <c r="G149" s="53">
        <v>15247</v>
      </c>
      <c r="H149" s="53">
        <v>68122</v>
      </c>
      <c r="I149" s="53">
        <v>0</v>
      </c>
      <c r="J149" s="53">
        <f t="shared" si="16"/>
        <v>136384</v>
      </c>
      <c r="M149" s="5"/>
      <c r="N149" s="11">
        <v>43556</v>
      </c>
      <c r="O149" s="53">
        <f t="shared" si="20"/>
        <v>506710</v>
      </c>
      <c r="P149" s="50">
        <f t="shared" si="19"/>
        <v>506.71</v>
      </c>
      <c r="Q149" s="53"/>
      <c r="R149" s="53" t="b">
        <f t="shared" si="24"/>
        <v>1</v>
      </c>
      <c r="S149" s="5"/>
      <c r="T149" s="53">
        <f t="shared" si="21"/>
        <v>-12794</v>
      </c>
      <c r="U149" s="53">
        <f t="shared" si="22"/>
        <v>10549</v>
      </c>
      <c r="V149" s="53">
        <f t="shared" si="23"/>
        <v>7717</v>
      </c>
      <c r="X149" s="51">
        <f t="shared" si="17"/>
        <v>4</v>
      </c>
      <c r="Y149" s="51">
        <f t="shared" si="18"/>
        <v>2019</v>
      </c>
    </row>
    <row r="150" spans="1:25" x14ac:dyDescent="0.25">
      <c r="A150" s="49">
        <v>43586</v>
      </c>
      <c r="B150" s="50">
        <v>39215</v>
      </c>
      <c r="C150" s="50">
        <v>528</v>
      </c>
      <c r="D150" s="50">
        <v>-7625</v>
      </c>
      <c r="E150" s="50">
        <v>-185</v>
      </c>
      <c r="F150" s="50">
        <v>9665</v>
      </c>
      <c r="G150" s="50">
        <v>-10040</v>
      </c>
      <c r="H150" s="50">
        <v>9116</v>
      </c>
      <c r="I150" s="50">
        <v>0</v>
      </c>
      <c r="J150" s="50">
        <f t="shared" si="16"/>
        <v>40674</v>
      </c>
      <c r="M150" s="5"/>
      <c r="N150" s="11">
        <v>43586</v>
      </c>
      <c r="O150" s="50">
        <f t="shared" si="20"/>
        <v>504322</v>
      </c>
      <c r="P150" s="50">
        <f t="shared" si="19"/>
        <v>504.322</v>
      </c>
      <c r="Q150" s="50"/>
      <c r="R150" s="50" t="b">
        <f t="shared" si="24"/>
        <v>0</v>
      </c>
      <c r="S150" s="5"/>
      <c r="T150" s="50">
        <f t="shared" si="21"/>
        <v>-14264</v>
      </c>
      <c r="U150" s="50">
        <f t="shared" si="22"/>
        <v>16555</v>
      </c>
      <c r="V150" s="50">
        <f t="shared" si="23"/>
        <v>12046</v>
      </c>
      <c r="X150" s="51">
        <f t="shared" si="17"/>
        <v>5</v>
      </c>
      <c r="Y150" s="51">
        <f t="shared" si="18"/>
        <v>2019</v>
      </c>
    </row>
    <row r="151" spans="1:25" x14ac:dyDescent="0.25">
      <c r="A151" s="52">
        <v>43617</v>
      </c>
      <c r="B151" s="53">
        <v>25075</v>
      </c>
      <c r="C151" s="53">
        <v>553</v>
      </c>
      <c r="D151" s="53">
        <v>-10725</v>
      </c>
      <c r="E151" s="53">
        <v>5963</v>
      </c>
      <c r="F151" s="53">
        <v>13681</v>
      </c>
      <c r="G151" s="53">
        <v>-1572</v>
      </c>
      <c r="H151" s="53">
        <v>26555</v>
      </c>
      <c r="I151" s="53">
        <v>0</v>
      </c>
      <c r="J151" s="53">
        <f t="shared" si="16"/>
        <v>59530</v>
      </c>
      <c r="M151" s="5">
        <f t="shared" ref="M151" si="26">SUM(J149:J151)</f>
        <v>236588</v>
      </c>
      <c r="N151" s="11">
        <v>43617</v>
      </c>
      <c r="O151" s="53">
        <f t="shared" si="20"/>
        <v>555455</v>
      </c>
      <c r="P151" s="50">
        <f t="shared" si="19"/>
        <v>555.45500000000004</v>
      </c>
      <c r="Q151" s="53"/>
      <c r="R151" s="53" t="b">
        <f t="shared" si="24"/>
        <v>1</v>
      </c>
      <c r="S151" s="5"/>
      <c r="T151" s="53">
        <f t="shared" si="21"/>
        <v>-5535</v>
      </c>
      <c r="U151" s="53">
        <f t="shared" si="22"/>
        <v>31896</v>
      </c>
      <c r="V151" s="53">
        <f t="shared" si="23"/>
        <v>40045</v>
      </c>
      <c r="X151" s="51">
        <f t="shared" si="17"/>
        <v>6</v>
      </c>
      <c r="Y151" s="51">
        <f t="shared" si="18"/>
        <v>2019</v>
      </c>
    </row>
    <row r="152" spans="1:25" x14ac:dyDescent="0.25">
      <c r="A152" s="49">
        <v>43647</v>
      </c>
      <c r="B152" s="50">
        <v>5494</v>
      </c>
      <c r="C152" s="50">
        <v>1002</v>
      </c>
      <c r="D152" s="50">
        <v>7510</v>
      </c>
      <c r="E152" s="50">
        <v>487</v>
      </c>
      <c r="F152" s="50">
        <v>20897</v>
      </c>
      <c r="G152" s="50">
        <v>5481</v>
      </c>
      <c r="H152" s="50">
        <v>10754</v>
      </c>
      <c r="I152" s="50">
        <v>0</v>
      </c>
      <c r="J152" s="50">
        <f t="shared" si="16"/>
        <v>51625</v>
      </c>
      <c r="M152" s="5"/>
      <c r="N152" s="11">
        <v>43647</v>
      </c>
      <c r="O152" s="50">
        <f t="shared" si="20"/>
        <v>548935</v>
      </c>
      <c r="P152" s="50">
        <f t="shared" si="19"/>
        <v>548.93499999999995</v>
      </c>
      <c r="Q152" s="50"/>
      <c r="R152" s="50" t="b">
        <f t="shared" si="24"/>
        <v>0</v>
      </c>
      <c r="S152" s="5"/>
      <c r="T152" s="50">
        <f t="shared" si="21"/>
        <v>-5616</v>
      </c>
      <c r="U152" s="50">
        <f t="shared" si="22"/>
        <v>40474</v>
      </c>
      <c r="V152" s="50">
        <f t="shared" si="23"/>
        <v>47654</v>
      </c>
      <c r="X152" s="51">
        <f t="shared" si="17"/>
        <v>7</v>
      </c>
      <c r="Y152" s="51">
        <f t="shared" si="18"/>
        <v>2019</v>
      </c>
    </row>
    <row r="153" spans="1:25" x14ac:dyDescent="0.25">
      <c r="A153" s="52">
        <v>43678</v>
      </c>
      <c r="B153" s="53">
        <v>-3115</v>
      </c>
      <c r="C153" s="53">
        <v>1502</v>
      </c>
      <c r="D153" s="53">
        <v>18437</v>
      </c>
      <c r="E153" s="53">
        <v>-34</v>
      </c>
      <c r="F153" s="53">
        <v>18219</v>
      </c>
      <c r="G153" s="53">
        <v>26620</v>
      </c>
      <c r="H153" s="53">
        <v>66202</v>
      </c>
      <c r="I153" s="53">
        <v>0</v>
      </c>
      <c r="J153" s="53">
        <f t="shared" si="16"/>
        <v>127831</v>
      </c>
      <c r="M153" s="5"/>
      <c r="N153" s="11">
        <v>43678</v>
      </c>
      <c r="O153" s="53">
        <f t="shared" si="20"/>
        <v>553022</v>
      </c>
      <c r="P153" s="50">
        <f t="shared" si="19"/>
        <v>553.02200000000005</v>
      </c>
      <c r="Q153" s="53"/>
      <c r="R153" s="53" t="b">
        <f t="shared" si="24"/>
        <v>1</v>
      </c>
      <c r="S153" s="5"/>
      <c r="T153" s="53">
        <f t="shared" si="21"/>
        <v>-3497</v>
      </c>
      <c r="U153" s="53">
        <f t="shared" si="22"/>
        <v>45062</v>
      </c>
      <c r="V153" s="53">
        <f t="shared" si="23"/>
        <v>53843</v>
      </c>
      <c r="X153" s="51">
        <f t="shared" si="17"/>
        <v>8</v>
      </c>
      <c r="Y153" s="51">
        <f t="shared" si="18"/>
        <v>2019</v>
      </c>
    </row>
    <row r="154" spans="1:25" x14ac:dyDescent="0.25">
      <c r="A154" s="49">
        <v>43709</v>
      </c>
      <c r="B154" s="50">
        <v>4315</v>
      </c>
      <c r="C154" s="50">
        <v>1079</v>
      </c>
      <c r="D154" s="50">
        <v>40423</v>
      </c>
      <c r="E154" s="50">
        <v>-276</v>
      </c>
      <c r="F154" s="50">
        <v>18476</v>
      </c>
      <c r="G154" s="50">
        <v>30007</v>
      </c>
      <c r="H154" s="50">
        <v>68010</v>
      </c>
      <c r="I154" s="50">
        <v>0</v>
      </c>
      <c r="J154" s="50">
        <f t="shared" si="16"/>
        <v>162034</v>
      </c>
      <c r="M154" s="5">
        <f t="shared" ref="M154" si="27">SUM(J152:J154)</f>
        <v>341490</v>
      </c>
      <c r="N154" s="11">
        <v>43709</v>
      </c>
      <c r="O154" s="50">
        <f t="shared" si="20"/>
        <v>564050</v>
      </c>
      <c r="P154" s="50">
        <f t="shared" si="19"/>
        <v>564.04999999999995</v>
      </c>
      <c r="Q154" s="50"/>
      <c r="R154" s="50" t="b">
        <f t="shared" si="24"/>
        <v>1</v>
      </c>
      <c r="S154" s="5"/>
      <c r="T154" s="50">
        <f t="shared" si="21"/>
        <v>-1164</v>
      </c>
      <c r="U154" s="50">
        <f t="shared" si="22"/>
        <v>50107</v>
      </c>
      <c r="V154" s="50">
        <f t="shared" si="23"/>
        <v>60375</v>
      </c>
      <c r="X154" s="51">
        <f t="shared" si="17"/>
        <v>9</v>
      </c>
      <c r="Y154" s="51">
        <f t="shared" si="18"/>
        <v>2019</v>
      </c>
    </row>
    <row r="155" spans="1:25" x14ac:dyDescent="0.25">
      <c r="A155" s="52">
        <v>43739</v>
      </c>
      <c r="B155" s="53">
        <v>-8061</v>
      </c>
      <c r="C155" s="53">
        <v>858</v>
      </c>
      <c r="D155" s="53">
        <v>9012</v>
      </c>
      <c r="E155" s="53">
        <v>-872</v>
      </c>
      <c r="F155" s="53">
        <v>6872</v>
      </c>
      <c r="G155" s="53">
        <v>45708</v>
      </c>
      <c r="H155" s="53">
        <v>20641</v>
      </c>
      <c r="I155" s="53">
        <v>0</v>
      </c>
      <c r="J155" s="53">
        <f t="shared" si="16"/>
        <v>74158</v>
      </c>
      <c r="M155" s="5"/>
      <c r="N155" s="11">
        <v>43739</v>
      </c>
      <c r="O155" s="53">
        <f t="shared" si="20"/>
        <v>571603</v>
      </c>
      <c r="P155" s="50">
        <f t="shared" si="19"/>
        <v>571.60299999999995</v>
      </c>
      <c r="Q155" s="53"/>
      <c r="R155" s="53" t="b">
        <f t="shared" si="24"/>
        <v>1</v>
      </c>
      <c r="S155" s="5"/>
      <c r="T155" s="53">
        <f t="shared" si="21"/>
        <v>454</v>
      </c>
      <c r="U155" s="53">
        <f t="shared" si="22"/>
        <v>56454</v>
      </c>
      <c r="V155" s="53">
        <f t="shared" si="23"/>
        <v>67632</v>
      </c>
      <c r="X155" s="51">
        <f t="shared" si="17"/>
        <v>10</v>
      </c>
      <c r="Y155" s="51">
        <f t="shared" si="18"/>
        <v>2019</v>
      </c>
    </row>
    <row r="156" spans="1:25" x14ac:dyDescent="0.25">
      <c r="A156" s="49">
        <v>43770</v>
      </c>
      <c r="B156" s="50">
        <v>-19778</v>
      </c>
      <c r="C156" s="50">
        <v>135</v>
      </c>
      <c r="D156" s="50">
        <v>-25649</v>
      </c>
      <c r="E156" s="50">
        <v>573</v>
      </c>
      <c r="F156" s="50">
        <v>-8238</v>
      </c>
      <c r="G156" s="50">
        <v>109382</v>
      </c>
      <c r="H156" s="50">
        <v>44172</v>
      </c>
      <c r="I156" s="50">
        <v>0</v>
      </c>
      <c r="J156" s="50">
        <f t="shared" si="16"/>
        <v>100597</v>
      </c>
      <c r="M156" s="5"/>
      <c r="N156" s="11">
        <v>43770</v>
      </c>
      <c r="O156" s="50">
        <f t="shared" si="20"/>
        <v>609032</v>
      </c>
      <c r="P156" s="50">
        <f t="shared" si="19"/>
        <v>609.03200000000004</v>
      </c>
      <c r="Q156" s="50"/>
      <c r="R156" s="50" t="b">
        <f t="shared" si="24"/>
        <v>1</v>
      </c>
      <c r="S156" s="5"/>
      <c r="T156" s="50">
        <f t="shared" si="21"/>
        <v>-311</v>
      </c>
      <c r="U156" s="50">
        <f t="shared" si="22"/>
        <v>63490</v>
      </c>
      <c r="V156" s="50">
        <f t="shared" si="23"/>
        <v>76117</v>
      </c>
      <c r="X156" s="51">
        <f t="shared" si="17"/>
        <v>11</v>
      </c>
      <c r="Y156" s="51">
        <f t="shared" si="18"/>
        <v>2019</v>
      </c>
    </row>
    <row r="157" spans="1:25" x14ac:dyDescent="0.25">
      <c r="A157" s="52">
        <v>43800</v>
      </c>
      <c r="B157" s="53">
        <v>-43416</v>
      </c>
      <c r="C157" s="53">
        <v>-1359</v>
      </c>
      <c r="D157" s="53">
        <v>-100033</v>
      </c>
      <c r="E157" s="53">
        <v>-726</v>
      </c>
      <c r="F157" s="53">
        <v>-49462</v>
      </c>
      <c r="G157" s="53">
        <v>17848</v>
      </c>
      <c r="H157" s="53">
        <v>-130163</v>
      </c>
      <c r="I157" s="53">
        <v>0</v>
      </c>
      <c r="J157" s="53">
        <f t="shared" si="16"/>
        <v>-307311</v>
      </c>
      <c r="M157" s="5">
        <f t="shared" ref="M157" si="28">SUM(J155:J157)</f>
        <v>-132556</v>
      </c>
      <c r="N157" s="11">
        <v>43800</v>
      </c>
      <c r="O157" s="53">
        <f t="shared" si="20"/>
        <v>644079</v>
      </c>
      <c r="P157" s="50">
        <f t="shared" si="19"/>
        <v>644.07899999999995</v>
      </c>
      <c r="Q157" s="53"/>
      <c r="R157" s="53" t="b">
        <f t="shared" si="24"/>
        <v>1</v>
      </c>
      <c r="S157" s="5"/>
      <c r="T157" s="53">
        <f t="shared" si="21"/>
        <v>13203</v>
      </c>
      <c r="U157" s="53">
        <f t="shared" si="22"/>
        <v>70710</v>
      </c>
      <c r="V157" s="53">
        <f t="shared" si="23"/>
        <v>97245</v>
      </c>
      <c r="X157" s="51">
        <f t="shared" si="17"/>
        <v>12</v>
      </c>
      <c r="Y157" s="51">
        <f t="shared" si="18"/>
        <v>2019</v>
      </c>
    </row>
    <row r="158" spans="1:25" x14ac:dyDescent="0.25">
      <c r="A158" s="49">
        <v>43831</v>
      </c>
      <c r="B158" s="50">
        <v>16477</v>
      </c>
      <c r="C158" s="50">
        <v>44</v>
      </c>
      <c r="D158" s="50">
        <v>57881</v>
      </c>
      <c r="E158" s="50">
        <v>342</v>
      </c>
      <c r="F158" s="50">
        <v>35849</v>
      </c>
      <c r="G158" s="50">
        <v>-51745</v>
      </c>
      <c r="H158" s="50">
        <v>53190</v>
      </c>
      <c r="I158" s="50">
        <v>0</v>
      </c>
      <c r="J158" s="50">
        <f t="shared" si="16"/>
        <v>112038</v>
      </c>
      <c r="M158" s="5"/>
      <c r="N158" s="11">
        <v>43831</v>
      </c>
      <c r="O158" s="50">
        <f t="shared" si="20"/>
        <v>711451</v>
      </c>
      <c r="P158" s="50">
        <f t="shared" si="19"/>
        <v>711.45100000000002</v>
      </c>
      <c r="Q158" s="50"/>
      <c r="R158" s="50" t="b">
        <f t="shared" si="24"/>
        <v>1</v>
      </c>
      <c r="S158" s="5"/>
      <c r="T158" s="50">
        <f t="shared" si="21"/>
        <v>34333</v>
      </c>
      <c r="U158" s="50">
        <f t="shared" si="22"/>
        <v>88939</v>
      </c>
      <c r="V158" s="50">
        <f t="shared" si="23"/>
        <v>136335</v>
      </c>
      <c r="X158" s="51">
        <f t="shared" si="17"/>
        <v>1</v>
      </c>
      <c r="Y158" s="51">
        <f t="shared" si="18"/>
        <v>2020</v>
      </c>
    </row>
    <row r="159" spans="1:25" x14ac:dyDescent="0.25">
      <c r="A159" s="52">
        <v>43862</v>
      </c>
      <c r="B159" s="53">
        <v>3685</v>
      </c>
      <c r="C159" s="53">
        <v>1298</v>
      </c>
      <c r="D159" s="53">
        <v>36512</v>
      </c>
      <c r="E159" s="53">
        <v>2152</v>
      </c>
      <c r="F159" s="53">
        <v>25965</v>
      </c>
      <c r="G159" s="53">
        <v>9026</v>
      </c>
      <c r="H159" s="53">
        <v>138643</v>
      </c>
      <c r="I159" s="53">
        <v>-1</v>
      </c>
      <c r="J159" s="53">
        <f t="shared" si="16"/>
        <v>217280</v>
      </c>
      <c r="M159" s="5"/>
      <c r="N159" s="11">
        <v>43862</v>
      </c>
      <c r="O159" s="53">
        <f t="shared" si="20"/>
        <v>736228</v>
      </c>
      <c r="P159" s="50">
        <f t="shared" si="19"/>
        <v>736.22799999999995</v>
      </c>
      <c r="Q159" s="53"/>
      <c r="R159" s="53" t="b">
        <f t="shared" si="24"/>
        <v>1</v>
      </c>
      <c r="S159" s="5"/>
      <c r="T159" s="53">
        <f t="shared" si="21"/>
        <v>42009</v>
      </c>
      <c r="U159" s="53">
        <f t="shared" si="22"/>
        <v>101905</v>
      </c>
      <c r="V159" s="53">
        <f t="shared" si="23"/>
        <v>157969</v>
      </c>
      <c r="X159" s="51">
        <f t="shared" si="17"/>
        <v>2</v>
      </c>
      <c r="Y159" s="51">
        <f t="shared" si="18"/>
        <v>2020</v>
      </c>
    </row>
    <row r="160" spans="1:25" x14ac:dyDescent="0.25">
      <c r="A160" s="49">
        <v>43891</v>
      </c>
      <c r="B160" s="50">
        <v>-8574</v>
      </c>
      <c r="C160" s="50">
        <v>-201</v>
      </c>
      <c r="D160" s="50">
        <v>-42973</v>
      </c>
      <c r="E160" s="50">
        <v>375</v>
      </c>
      <c r="F160" s="50">
        <v>-17678</v>
      </c>
      <c r="G160" s="50">
        <v>-89261</v>
      </c>
      <c r="H160" s="50">
        <v>-136718</v>
      </c>
      <c r="I160" s="50">
        <v>0</v>
      </c>
      <c r="J160" s="50">
        <f t="shared" si="16"/>
        <v>-295030</v>
      </c>
      <c r="M160" s="5">
        <f t="shared" ref="M160" si="29">SUM(J158:J160)</f>
        <v>34288</v>
      </c>
      <c r="N160" s="11">
        <v>43891</v>
      </c>
      <c r="O160" s="50">
        <f t="shared" si="20"/>
        <v>479810</v>
      </c>
      <c r="P160" s="50">
        <f t="shared" si="19"/>
        <v>479.81</v>
      </c>
      <c r="Q160" s="50"/>
      <c r="R160" s="50" t="b">
        <f t="shared" si="24"/>
        <v>0</v>
      </c>
      <c r="S160" s="5"/>
      <c r="T160" s="50">
        <f t="shared" si="21"/>
        <v>2126</v>
      </c>
      <c r="U160" s="50">
        <f t="shared" si="22"/>
        <v>90856</v>
      </c>
      <c r="V160" s="50">
        <f t="shared" si="23"/>
        <v>107507</v>
      </c>
      <c r="X160" s="51">
        <f t="shared" si="17"/>
        <v>3</v>
      </c>
      <c r="Y160" s="51">
        <f t="shared" si="18"/>
        <v>2020</v>
      </c>
    </row>
    <row r="161" spans="1:25" x14ac:dyDescent="0.25">
      <c r="A161" s="52">
        <v>43922</v>
      </c>
      <c r="B161" s="53">
        <v>-6822</v>
      </c>
      <c r="C161" s="53">
        <v>-1409</v>
      </c>
      <c r="D161" s="53">
        <v>-213091</v>
      </c>
      <c r="E161" s="53">
        <v>-3239</v>
      </c>
      <c r="F161" s="53">
        <v>-75302</v>
      </c>
      <c r="G161" s="53">
        <v>-265612</v>
      </c>
      <c r="H161" s="53">
        <v>-416219</v>
      </c>
      <c r="I161" s="53">
        <v>0</v>
      </c>
      <c r="J161" s="53">
        <f t="shared" si="16"/>
        <v>-981694</v>
      </c>
      <c r="M161" s="5"/>
      <c r="N161" s="11">
        <v>43922</v>
      </c>
      <c r="O161" s="53">
        <f t="shared" si="20"/>
        <v>-638268</v>
      </c>
      <c r="P161" s="50">
        <f t="shared" si="19"/>
        <v>-638.26800000000003</v>
      </c>
      <c r="Q161" s="53"/>
      <c r="R161" s="53" t="b">
        <f t="shared" si="24"/>
        <v>0</v>
      </c>
      <c r="S161" s="5"/>
      <c r="T161" s="53">
        <f t="shared" si="21"/>
        <v>-230321</v>
      </c>
      <c r="U161" s="53">
        <f t="shared" si="22"/>
        <v>-1056</v>
      </c>
      <c r="V161" s="53">
        <f t="shared" si="23"/>
        <v>-222787</v>
      </c>
      <c r="X161" s="51">
        <f t="shared" si="17"/>
        <v>4</v>
      </c>
      <c r="Y161" s="51">
        <f t="shared" si="18"/>
        <v>2020</v>
      </c>
    </row>
    <row r="162" spans="1:25" x14ac:dyDescent="0.25">
      <c r="A162" s="49">
        <v>43952</v>
      </c>
      <c r="B162" s="50">
        <v>14788</v>
      </c>
      <c r="C162" s="50">
        <v>-601</v>
      </c>
      <c r="D162" s="50">
        <v>-104796</v>
      </c>
      <c r="E162" s="50">
        <v>-2422</v>
      </c>
      <c r="F162" s="50">
        <v>-23970</v>
      </c>
      <c r="G162" s="50">
        <v>-106404</v>
      </c>
      <c r="H162" s="50">
        <v>-175036</v>
      </c>
      <c r="I162" s="50">
        <v>-1</v>
      </c>
      <c r="J162" s="50">
        <f t="shared" si="16"/>
        <v>-398442</v>
      </c>
      <c r="M162" s="5"/>
      <c r="N162" s="11">
        <v>43952</v>
      </c>
      <c r="O162" s="50">
        <f t="shared" si="20"/>
        <v>-1077384</v>
      </c>
      <c r="P162" s="50">
        <f t="shared" si="19"/>
        <v>-1077.384</v>
      </c>
      <c r="Q162" s="50"/>
      <c r="R162" s="50" t="b">
        <f t="shared" si="24"/>
        <v>0</v>
      </c>
      <c r="S162" s="5"/>
      <c r="T162" s="50">
        <f t="shared" si="21"/>
        <v>-327492</v>
      </c>
      <c r="U162" s="50">
        <f t="shared" si="22"/>
        <v>-34691</v>
      </c>
      <c r="V162" s="50">
        <f t="shared" si="23"/>
        <v>-356959</v>
      </c>
      <c r="X162" s="51">
        <f t="shared" si="17"/>
        <v>5</v>
      </c>
      <c r="Y162" s="51">
        <f t="shared" si="18"/>
        <v>2020</v>
      </c>
    </row>
    <row r="163" spans="1:25" x14ac:dyDescent="0.25">
      <c r="A163" s="52">
        <v>43983</v>
      </c>
      <c r="B163" s="53">
        <v>37705</v>
      </c>
      <c r="C163" s="53">
        <v>602</v>
      </c>
      <c r="D163" s="53">
        <v>-7288</v>
      </c>
      <c r="E163" s="53">
        <v>-1847</v>
      </c>
      <c r="F163" s="53">
        <v>15567</v>
      </c>
      <c r="G163" s="53">
        <v>-27565</v>
      </c>
      <c r="H163" s="53">
        <v>-70767</v>
      </c>
      <c r="I163" s="53">
        <v>0</v>
      </c>
      <c r="J163" s="53">
        <f t="shared" si="16"/>
        <v>-53593</v>
      </c>
      <c r="M163" s="5">
        <f t="shared" ref="M163" si="30">SUM(J161:J163)</f>
        <v>-1433729</v>
      </c>
      <c r="N163" s="11">
        <v>43983</v>
      </c>
      <c r="O163" s="53">
        <f t="shared" si="20"/>
        <v>-1190507</v>
      </c>
      <c r="P163" s="50">
        <f t="shared" si="19"/>
        <v>-1190.5070000000001</v>
      </c>
      <c r="Q163" s="53"/>
      <c r="R163" s="53" t="b">
        <f t="shared" si="24"/>
        <v>0</v>
      </c>
      <c r="S163" s="5"/>
      <c r="T163" s="53">
        <f t="shared" si="21"/>
        <v>-324055</v>
      </c>
      <c r="U163" s="53">
        <f t="shared" si="22"/>
        <v>-32805</v>
      </c>
      <c r="V163" s="53">
        <f t="shared" si="23"/>
        <v>-359397</v>
      </c>
      <c r="X163" s="51">
        <f t="shared" si="17"/>
        <v>6</v>
      </c>
      <c r="Y163" s="51">
        <f t="shared" si="18"/>
        <v>2020</v>
      </c>
    </row>
    <row r="164" spans="1:25" x14ac:dyDescent="0.25">
      <c r="A164" s="49">
        <v>44013</v>
      </c>
      <c r="B164" s="50">
        <v>22461</v>
      </c>
      <c r="C164" s="50">
        <v>922</v>
      </c>
      <c r="D164" s="50">
        <v>49127</v>
      </c>
      <c r="E164" s="50">
        <v>-616</v>
      </c>
      <c r="F164" s="50">
        <v>40723</v>
      </c>
      <c r="G164" s="50">
        <v>20774</v>
      </c>
      <c r="H164" s="50">
        <v>-25001</v>
      </c>
      <c r="I164" s="50">
        <v>0</v>
      </c>
      <c r="J164" s="50">
        <f t="shared" si="16"/>
        <v>108390</v>
      </c>
      <c r="M164" s="5"/>
      <c r="N164" s="11">
        <v>44013</v>
      </c>
      <c r="O164" s="50">
        <f t="shared" si="20"/>
        <v>-1133742</v>
      </c>
      <c r="P164" s="50">
        <f t="shared" si="19"/>
        <v>-1133.742</v>
      </c>
      <c r="Q164" s="50"/>
      <c r="R164" s="50" t="b">
        <f t="shared" si="24"/>
        <v>1</v>
      </c>
      <c r="S164" s="5"/>
      <c r="T164" s="50">
        <f t="shared" si="21"/>
        <v>-282438</v>
      </c>
      <c r="U164" s="50">
        <f t="shared" si="22"/>
        <v>-12979</v>
      </c>
      <c r="V164" s="50">
        <f t="shared" si="23"/>
        <v>-299137</v>
      </c>
      <c r="X164" s="51">
        <f t="shared" si="17"/>
        <v>7</v>
      </c>
      <c r="Y164" s="51">
        <f t="shared" si="18"/>
        <v>2020</v>
      </c>
    </row>
    <row r="165" spans="1:25" x14ac:dyDescent="0.25">
      <c r="A165" s="52">
        <v>44044</v>
      </c>
      <c r="B165" s="53">
        <v>8017</v>
      </c>
      <c r="C165" s="53">
        <v>897</v>
      </c>
      <c r="D165" s="53">
        <v>87531</v>
      </c>
      <c r="E165" s="53">
        <v>1724</v>
      </c>
      <c r="F165" s="53">
        <v>50510</v>
      </c>
      <c r="G165" s="53">
        <v>43668</v>
      </c>
      <c r="H165" s="53">
        <v>22044</v>
      </c>
      <c r="I165" s="53">
        <v>0</v>
      </c>
      <c r="J165" s="53">
        <f t="shared" si="16"/>
        <v>214391</v>
      </c>
      <c r="M165" s="5"/>
      <c r="N165" s="11">
        <v>44044</v>
      </c>
      <c r="O165" s="53">
        <f t="shared" si="20"/>
        <v>-1047182</v>
      </c>
      <c r="P165" s="50">
        <f t="shared" si="19"/>
        <v>-1047.182</v>
      </c>
      <c r="Q165" s="53"/>
      <c r="R165" s="53" t="b">
        <f t="shared" si="24"/>
        <v>1</v>
      </c>
      <c r="S165" s="5"/>
      <c r="T165" s="53">
        <f t="shared" si="21"/>
        <v>-213344</v>
      </c>
      <c r="U165" s="53">
        <f t="shared" si="22"/>
        <v>19312</v>
      </c>
      <c r="V165" s="53">
        <f t="shared" si="23"/>
        <v>-196599</v>
      </c>
      <c r="X165" s="51">
        <f t="shared" si="17"/>
        <v>8</v>
      </c>
      <c r="Y165" s="51">
        <f t="shared" si="18"/>
        <v>2020</v>
      </c>
    </row>
    <row r="166" spans="1:25" x14ac:dyDescent="0.25">
      <c r="A166" s="49">
        <v>44075</v>
      </c>
      <c r="B166" s="50">
        <v>5317</v>
      </c>
      <c r="C166" s="50">
        <v>913</v>
      </c>
      <c r="D166" s="50">
        <v>108709</v>
      </c>
      <c r="E166" s="50">
        <v>1660</v>
      </c>
      <c r="F166" s="50">
        <v>47354</v>
      </c>
      <c r="G166" s="50">
        <v>66409</v>
      </c>
      <c r="H166" s="50">
        <v>69098</v>
      </c>
      <c r="I166" s="50">
        <v>0</v>
      </c>
      <c r="J166" s="50">
        <f t="shared" si="16"/>
        <v>299460</v>
      </c>
      <c r="M166" s="5">
        <f t="shared" ref="M166" si="31">SUM(J164:J166)</f>
        <v>622241</v>
      </c>
      <c r="N166" s="11">
        <v>44075</v>
      </c>
      <c r="O166" s="50">
        <f t="shared" si="20"/>
        <v>-909756</v>
      </c>
      <c r="P166" s="50">
        <f t="shared" si="19"/>
        <v>-909.75599999999997</v>
      </c>
      <c r="Q166" s="50"/>
      <c r="R166" s="50" t="b">
        <f t="shared" si="24"/>
        <v>1</v>
      </c>
      <c r="S166" s="5"/>
      <c r="T166" s="50">
        <f t="shared" si="21"/>
        <v>-145058</v>
      </c>
      <c r="U166" s="50">
        <f t="shared" si="22"/>
        <v>48190</v>
      </c>
      <c r="V166" s="50">
        <f t="shared" si="23"/>
        <v>-97665</v>
      </c>
      <c r="X166" s="51">
        <f t="shared" si="17"/>
        <v>9</v>
      </c>
      <c r="Y166" s="51">
        <f t="shared" si="18"/>
        <v>2020</v>
      </c>
    </row>
    <row r="167" spans="1:25" x14ac:dyDescent="0.25">
      <c r="A167" s="52">
        <v>44105</v>
      </c>
      <c r="B167" s="53">
        <v>-4502</v>
      </c>
      <c r="C167" s="53">
        <v>1228</v>
      </c>
      <c r="D167" s="53">
        <v>80279</v>
      </c>
      <c r="E167" s="53">
        <v>2617</v>
      </c>
      <c r="F167" s="53">
        <v>35023</v>
      </c>
      <c r="G167" s="53">
        <v>110614</v>
      </c>
      <c r="H167" s="53">
        <v>140644</v>
      </c>
      <c r="I167" s="53">
        <v>0</v>
      </c>
      <c r="J167" s="53">
        <f t="shared" si="16"/>
        <v>365903</v>
      </c>
      <c r="M167" s="5"/>
      <c r="N167" s="11">
        <v>44105</v>
      </c>
      <c r="O167" s="53">
        <f t="shared" si="20"/>
        <v>-618011</v>
      </c>
      <c r="P167" s="50">
        <f t="shared" si="19"/>
        <v>-618.01099999999997</v>
      </c>
      <c r="Q167" s="53"/>
      <c r="R167" s="53" t="b">
        <f t="shared" si="24"/>
        <v>1</v>
      </c>
      <c r="S167" s="5"/>
      <c r="T167" s="53">
        <f t="shared" si="21"/>
        <v>-73791</v>
      </c>
      <c r="U167" s="53">
        <f t="shared" si="22"/>
        <v>76341</v>
      </c>
      <c r="V167" s="53">
        <f t="shared" si="23"/>
        <v>5612</v>
      </c>
      <c r="X167" s="51">
        <f t="shared" si="17"/>
        <v>10</v>
      </c>
      <c r="Y167" s="51">
        <f t="shared" si="18"/>
        <v>2020</v>
      </c>
    </row>
    <row r="168" spans="1:25" x14ac:dyDescent="0.25">
      <c r="A168" s="49">
        <v>44136</v>
      </c>
      <c r="B168" s="50">
        <v>-21812</v>
      </c>
      <c r="C168" s="50">
        <v>1097</v>
      </c>
      <c r="D168" s="50">
        <v>44152</v>
      </c>
      <c r="E168" s="50">
        <v>959</v>
      </c>
      <c r="F168" s="50">
        <v>16049</v>
      </c>
      <c r="G168" s="50">
        <v>176897</v>
      </c>
      <c r="H168" s="50">
        <v>158830</v>
      </c>
      <c r="I168" s="50">
        <v>0</v>
      </c>
      <c r="J168" s="50">
        <f t="shared" si="16"/>
        <v>376172</v>
      </c>
      <c r="M168" s="5"/>
      <c r="N168" s="11">
        <v>44136</v>
      </c>
      <c r="O168" s="50">
        <f t="shared" si="20"/>
        <v>-342436</v>
      </c>
      <c r="P168" s="50">
        <f t="shared" si="19"/>
        <v>-342.43599999999998</v>
      </c>
      <c r="Q168" s="50"/>
      <c r="R168" s="50" t="b">
        <f t="shared" si="24"/>
        <v>1</v>
      </c>
      <c r="S168" s="5"/>
      <c r="T168" s="50">
        <f t="shared" si="21"/>
        <v>-3990</v>
      </c>
      <c r="U168" s="50">
        <f t="shared" si="22"/>
        <v>100628</v>
      </c>
      <c r="V168" s="50">
        <f t="shared" si="23"/>
        <v>101048</v>
      </c>
      <c r="X168" s="51">
        <f t="shared" si="17"/>
        <v>11</v>
      </c>
      <c r="Y168" s="51">
        <f t="shared" si="18"/>
        <v>2020</v>
      </c>
    </row>
    <row r="169" spans="1:25" x14ac:dyDescent="0.25">
      <c r="A169" s="52">
        <v>44166</v>
      </c>
      <c r="B169" s="53">
        <v>-30174</v>
      </c>
      <c r="C169" s="53">
        <v>-652</v>
      </c>
      <c r="D169" s="53">
        <v>-48103</v>
      </c>
      <c r="E169" s="53">
        <v>-2378</v>
      </c>
      <c r="F169" s="53">
        <v>-52774</v>
      </c>
      <c r="G169" s="53">
        <v>46815</v>
      </c>
      <c r="H169" s="53">
        <v>-70189</v>
      </c>
      <c r="I169" s="53">
        <v>0</v>
      </c>
      <c r="J169" s="53">
        <f t="shared" si="16"/>
        <v>-157455</v>
      </c>
      <c r="M169" s="5">
        <f t="shared" ref="M169" si="32">SUM(J167:J169)</f>
        <v>584620</v>
      </c>
      <c r="N169" s="11">
        <v>44166</v>
      </c>
      <c r="O169" s="53">
        <f t="shared" si="20"/>
        <v>-192580</v>
      </c>
      <c r="P169" s="50">
        <f t="shared" si="19"/>
        <v>-192.58</v>
      </c>
      <c r="Q169" s="53"/>
      <c r="R169" s="53" t="b">
        <f t="shared" si="24"/>
        <v>1</v>
      </c>
      <c r="S169" s="5"/>
      <c r="T169" s="53">
        <f t="shared" si="21"/>
        <v>47940</v>
      </c>
      <c r="U169" s="53">
        <f t="shared" si="22"/>
        <v>97316</v>
      </c>
      <c r="V169" s="53">
        <f t="shared" si="23"/>
        <v>148721</v>
      </c>
      <c r="X169" s="51">
        <f t="shared" si="17"/>
        <v>12</v>
      </c>
      <c r="Y169" s="51">
        <f t="shared" si="18"/>
        <v>2020</v>
      </c>
    </row>
    <row r="170" spans="1:25" x14ac:dyDescent="0.25">
      <c r="A170" s="49">
        <v>44197</v>
      </c>
      <c r="B170" s="50">
        <v>36490</v>
      </c>
      <c r="C170" s="50">
        <v>1526</v>
      </c>
      <c r="D170" s="50">
        <v>87793</v>
      </c>
      <c r="E170" s="50">
        <v>1686</v>
      </c>
      <c r="F170" s="50">
        <v>44280</v>
      </c>
      <c r="G170" s="50">
        <v>10089</v>
      </c>
      <c r="H170" s="50">
        <v>72395</v>
      </c>
      <c r="I170" s="50">
        <v>0</v>
      </c>
      <c r="J170" s="50">
        <f t="shared" si="16"/>
        <v>254259</v>
      </c>
      <c r="M170" s="5"/>
      <c r="N170" s="11">
        <v>44197</v>
      </c>
      <c r="O170" s="50">
        <f t="shared" si="20"/>
        <v>-50359</v>
      </c>
      <c r="P170" s="50">
        <f t="shared" si="19"/>
        <v>-50.359000000000002</v>
      </c>
      <c r="Q170" s="50"/>
      <c r="R170" s="50" t="b">
        <f t="shared" si="24"/>
        <v>1</v>
      </c>
      <c r="S170" s="5"/>
      <c r="T170" s="50">
        <f t="shared" si="21"/>
        <v>77852</v>
      </c>
      <c r="U170" s="50">
        <f t="shared" si="22"/>
        <v>105747</v>
      </c>
      <c r="V170" s="50">
        <f t="shared" si="23"/>
        <v>189890</v>
      </c>
      <c r="X170" s="51">
        <f t="shared" si="17"/>
        <v>1</v>
      </c>
      <c r="Y170" s="51">
        <f t="shared" si="18"/>
        <v>2021</v>
      </c>
    </row>
    <row r="171" spans="1:25" x14ac:dyDescent="0.25">
      <c r="A171" s="52">
        <v>44228</v>
      </c>
      <c r="B171" s="53">
        <v>24860</v>
      </c>
      <c r="C171" s="53">
        <v>2380</v>
      </c>
      <c r="D171" s="53">
        <v>87985</v>
      </c>
      <c r="E171" s="53">
        <v>3296</v>
      </c>
      <c r="F171" s="53">
        <v>45157</v>
      </c>
      <c r="G171" s="53">
        <v>67711</v>
      </c>
      <c r="H171" s="53">
        <v>166275</v>
      </c>
      <c r="I171" s="53">
        <v>0</v>
      </c>
      <c r="J171" s="53">
        <f t="shared" si="16"/>
        <v>397664</v>
      </c>
      <c r="M171" s="5"/>
      <c r="N171" s="11">
        <v>44228</v>
      </c>
      <c r="O171" s="53">
        <f t="shared" si="20"/>
        <v>130025</v>
      </c>
      <c r="P171" s="50">
        <f t="shared" si="19"/>
        <v>130.02500000000001</v>
      </c>
      <c r="Q171" s="53"/>
      <c r="R171" s="53" t="b">
        <f t="shared" si="24"/>
        <v>1</v>
      </c>
      <c r="S171" s="5"/>
      <c r="T171" s="53">
        <f t="shared" si="21"/>
        <v>129325</v>
      </c>
      <c r="U171" s="53">
        <f t="shared" si="22"/>
        <v>124939</v>
      </c>
      <c r="V171" s="53">
        <f t="shared" si="23"/>
        <v>262781</v>
      </c>
      <c r="X171" s="51">
        <f t="shared" si="17"/>
        <v>2</v>
      </c>
      <c r="Y171" s="51">
        <f t="shared" si="18"/>
        <v>2021</v>
      </c>
    </row>
    <row r="172" spans="1:25" x14ac:dyDescent="0.25">
      <c r="A172" s="49">
        <v>44256</v>
      </c>
      <c r="B172" s="50">
        <v>3372</v>
      </c>
      <c r="C172" s="50">
        <v>1442</v>
      </c>
      <c r="D172" s="50">
        <v>35004</v>
      </c>
      <c r="E172" s="50">
        <v>1051</v>
      </c>
      <c r="F172" s="50">
        <v>24380</v>
      </c>
      <c r="G172" s="50">
        <v>6664</v>
      </c>
      <c r="H172" s="50">
        <v>81567</v>
      </c>
      <c r="I172" s="50">
        <v>0</v>
      </c>
      <c r="J172" s="50">
        <f t="shared" si="16"/>
        <v>153480</v>
      </c>
      <c r="M172" s="5">
        <f t="shared" ref="M172" si="33">SUM(J170:J172)</f>
        <v>805403</v>
      </c>
      <c r="N172" s="11">
        <v>44256</v>
      </c>
      <c r="O172" s="50">
        <f t="shared" si="20"/>
        <v>578535</v>
      </c>
      <c r="P172" s="50">
        <f t="shared" si="19"/>
        <v>578.53499999999997</v>
      </c>
      <c r="Q172" s="50"/>
      <c r="R172" s="50" t="b">
        <f t="shared" si="24"/>
        <v>1</v>
      </c>
      <c r="S172" s="5"/>
      <c r="T172" s="50">
        <f t="shared" si="21"/>
        <v>207302</v>
      </c>
      <c r="U172" s="50">
        <f t="shared" si="22"/>
        <v>166997</v>
      </c>
      <c r="V172" s="50">
        <f t="shared" si="23"/>
        <v>385135</v>
      </c>
      <c r="X172" s="51">
        <f t="shared" si="17"/>
        <v>3</v>
      </c>
      <c r="Y172" s="51">
        <f t="shared" si="18"/>
        <v>2021</v>
      </c>
    </row>
    <row r="173" spans="1:25" x14ac:dyDescent="0.25">
      <c r="A173" s="52">
        <v>44287</v>
      </c>
      <c r="B173" s="53">
        <v>10488</v>
      </c>
      <c r="C173" s="53">
        <v>2334</v>
      </c>
      <c r="D173" s="53">
        <v>12529</v>
      </c>
      <c r="E173" s="53">
        <v>1</v>
      </c>
      <c r="F173" s="53">
        <v>22402</v>
      </c>
      <c r="G173" s="53">
        <v>2050</v>
      </c>
      <c r="H173" s="53">
        <v>39775</v>
      </c>
      <c r="I173" s="53">
        <v>0</v>
      </c>
      <c r="J173" s="53">
        <f t="shared" si="16"/>
        <v>89579</v>
      </c>
      <c r="M173" s="5"/>
      <c r="N173" s="11">
        <v>44287</v>
      </c>
      <c r="O173" s="53">
        <f t="shared" si="20"/>
        <v>1649808</v>
      </c>
      <c r="P173" s="50">
        <f t="shared" si="19"/>
        <v>1649.808</v>
      </c>
      <c r="Q173" s="53"/>
      <c r="R173" s="53" t="b">
        <f t="shared" si="24"/>
        <v>1</v>
      </c>
      <c r="S173" s="5"/>
      <c r="T173" s="53">
        <f t="shared" si="21"/>
        <v>432922</v>
      </c>
      <c r="U173" s="53">
        <f t="shared" si="22"/>
        <v>264701</v>
      </c>
      <c r="V173" s="53">
        <f t="shared" si="23"/>
        <v>715442</v>
      </c>
      <c r="X173" s="51">
        <f t="shared" si="17"/>
        <v>4</v>
      </c>
      <c r="Y173" s="51">
        <f t="shared" si="18"/>
        <v>2021</v>
      </c>
    </row>
    <row r="174" spans="1:25" x14ac:dyDescent="0.25">
      <c r="A174" s="49">
        <v>44317</v>
      </c>
      <c r="B174" s="50">
        <v>38128</v>
      </c>
      <c r="C174" s="50">
        <v>2487</v>
      </c>
      <c r="D174" s="50">
        <v>37535</v>
      </c>
      <c r="E174" s="50">
        <v>2512</v>
      </c>
      <c r="F174" s="50">
        <v>21976</v>
      </c>
      <c r="G174" s="50">
        <v>59490</v>
      </c>
      <c r="H174" s="50">
        <v>104239</v>
      </c>
      <c r="I174" s="50">
        <v>-1</v>
      </c>
      <c r="J174" s="50">
        <f t="shared" si="16"/>
        <v>266366</v>
      </c>
      <c r="M174" s="5"/>
      <c r="N174" s="11">
        <v>44317</v>
      </c>
      <c r="O174" s="50">
        <f t="shared" si="20"/>
        <v>2314616</v>
      </c>
      <c r="P174" s="50">
        <f t="shared" si="19"/>
        <v>2314.616</v>
      </c>
      <c r="Q174" s="50"/>
      <c r="R174" s="50" t="b">
        <f t="shared" si="24"/>
        <v>1</v>
      </c>
      <c r="S174" s="5"/>
      <c r="T174" s="50">
        <f t="shared" si="21"/>
        <v>575253</v>
      </c>
      <c r="U174" s="50">
        <f t="shared" si="22"/>
        <v>310647</v>
      </c>
      <c r="V174" s="50">
        <f t="shared" si="23"/>
        <v>911741</v>
      </c>
      <c r="X174" s="51">
        <f t="shared" si="17"/>
        <v>5</v>
      </c>
      <c r="Y174" s="51">
        <f t="shared" si="18"/>
        <v>2021</v>
      </c>
    </row>
    <row r="175" spans="1:25" x14ac:dyDescent="0.25">
      <c r="A175" s="52">
        <v>44348</v>
      </c>
      <c r="B175" s="53">
        <v>39313</v>
      </c>
      <c r="C175" s="53">
        <v>2296</v>
      </c>
      <c r="D175" s="53">
        <v>45754</v>
      </c>
      <c r="E175" s="53">
        <v>2989</v>
      </c>
      <c r="F175" s="53">
        <v>24263</v>
      </c>
      <c r="G175" s="53">
        <v>76828</v>
      </c>
      <c r="H175" s="53">
        <v>126419</v>
      </c>
      <c r="I175" s="53">
        <v>0</v>
      </c>
      <c r="J175" s="53">
        <f t="shared" si="16"/>
        <v>317862</v>
      </c>
      <c r="M175" s="5">
        <f t="shared" ref="M175" si="34">SUM(J173:J175)</f>
        <v>673807</v>
      </c>
      <c r="N175" s="11">
        <v>44348</v>
      </c>
      <c r="O175" s="53">
        <f t="shared" si="20"/>
        <v>2686071</v>
      </c>
      <c r="P175" s="50">
        <f t="shared" si="19"/>
        <v>2686.0709999999999</v>
      </c>
      <c r="Q175" s="53"/>
      <c r="R175" s="53" t="b">
        <f t="shared" si="24"/>
        <v>1</v>
      </c>
      <c r="S175" s="5"/>
      <c r="T175" s="53">
        <f t="shared" si="21"/>
        <v>628295</v>
      </c>
      <c r="U175" s="53">
        <f t="shared" si="22"/>
        <v>319343</v>
      </c>
      <c r="V175" s="53">
        <f t="shared" si="23"/>
        <v>980009</v>
      </c>
      <c r="X175" s="51">
        <f t="shared" si="17"/>
        <v>6</v>
      </c>
      <c r="Y175" s="51">
        <f t="shared" si="18"/>
        <v>2021</v>
      </c>
    </row>
    <row r="176" spans="1:25" x14ac:dyDescent="0.25">
      <c r="A176" s="49">
        <v>44378</v>
      </c>
      <c r="B176" s="50">
        <v>25685</v>
      </c>
      <c r="C176" s="50">
        <v>2440</v>
      </c>
      <c r="D176" s="50">
        <v>53344</v>
      </c>
      <c r="E176" s="50">
        <v>2290</v>
      </c>
      <c r="F176" s="50">
        <v>30274</v>
      </c>
      <c r="G176" s="50">
        <v>75582</v>
      </c>
      <c r="H176" s="50">
        <v>116827</v>
      </c>
      <c r="I176" s="50">
        <v>-1</v>
      </c>
      <c r="J176" s="50">
        <f t="shared" si="16"/>
        <v>306441</v>
      </c>
      <c r="M176" s="5"/>
      <c r="N176" s="11">
        <v>44378</v>
      </c>
      <c r="O176" s="50">
        <f t="shared" si="20"/>
        <v>2884122</v>
      </c>
      <c r="P176" s="50">
        <f t="shared" si="19"/>
        <v>2884.1219999999998</v>
      </c>
      <c r="Q176" s="50"/>
      <c r="R176" s="50" t="b">
        <f t="shared" si="24"/>
        <v>1</v>
      </c>
      <c r="S176" s="5"/>
      <c r="T176" s="50">
        <f t="shared" si="21"/>
        <v>632512</v>
      </c>
      <c r="U176" s="50">
        <f t="shared" si="22"/>
        <v>308894</v>
      </c>
      <c r="V176" s="50">
        <f t="shared" si="23"/>
        <v>978201</v>
      </c>
      <c r="X176" s="51">
        <f t="shared" si="17"/>
        <v>7</v>
      </c>
      <c r="Y176" s="51">
        <f t="shared" si="18"/>
        <v>2021</v>
      </c>
    </row>
    <row r="177" spans="1:25" x14ac:dyDescent="0.25">
      <c r="A177" s="52">
        <v>44409</v>
      </c>
      <c r="B177" s="53">
        <v>10581</v>
      </c>
      <c r="C177" s="53">
        <v>1714</v>
      </c>
      <c r="D177" s="53">
        <v>70088</v>
      </c>
      <c r="E177" s="53">
        <v>1939</v>
      </c>
      <c r="F177" s="53">
        <v>35514</v>
      </c>
      <c r="G177" s="53">
        <v>81879</v>
      </c>
      <c r="H177" s="53">
        <v>186546</v>
      </c>
      <c r="I177" s="53">
        <v>-1</v>
      </c>
      <c r="J177" s="53">
        <f t="shared" si="16"/>
        <v>388260</v>
      </c>
      <c r="M177" s="5"/>
      <c r="N177" s="11">
        <v>44409</v>
      </c>
      <c r="O177" s="53">
        <f t="shared" si="20"/>
        <v>3057991</v>
      </c>
      <c r="P177" s="50">
        <f t="shared" si="19"/>
        <v>3057.991</v>
      </c>
      <c r="Q177" s="53"/>
      <c r="R177" s="53" t="b">
        <f t="shared" si="24"/>
        <v>1</v>
      </c>
      <c r="S177" s="5"/>
      <c r="T177" s="53">
        <f t="shared" si="21"/>
        <v>615069</v>
      </c>
      <c r="U177" s="53">
        <f t="shared" si="22"/>
        <v>293898</v>
      </c>
      <c r="V177" s="53">
        <f t="shared" si="23"/>
        <v>946794</v>
      </c>
      <c r="X177" s="51">
        <f t="shared" si="17"/>
        <v>8</v>
      </c>
      <c r="Y177" s="51">
        <f t="shared" si="18"/>
        <v>2021</v>
      </c>
    </row>
    <row r="178" spans="1:25" x14ac:dyDescent="0.25">
      <c r="A178" s="49">
        <v>44440</v>
      </c>
      <c r="B178" s="50">
        <v>11059</v>
      </c>
      <c r="C178" s="50">
        <v>1491</v>
      </c>
      <c r="D178" s="50">
        <v>73197</v>
      </c>
      <c r="E178" s="50">
        <v>1930</v>
      </c>
      <c r="F178" s="50">
        <v>26896</v>
      </c>
      <c r="G178" s="50">
        <v>65112</v>
      </c>
      <c r="H178" s="50">
        <v>150492</v>
      </c>
      <c r="I178" s="50">
        <v>0</v>
      </c>
      <c r="J178" s="50">
        <f t="shared" si="16"/>
        <v>330177</v>
      </c>
      <c r="M178" s="5">
        <f t="shared" ref="M178" si="35">SUM(J176:J178)</f>
        <v>1024878</v>
      </c>
      <c r="N178" s="11">
        <v>44440</v>
      </c>
      <c r="O178" s="50">
        <f t="shared" si="20"/>
        <v>3088708</v>
      </c>
      <c r="P178" s="50">
        <f t="shared" si="19"/>
        <v>3088.7080000000001</v>
      </c>
      <c r="Q178" s="50"/>
      <c r="R178" s="50" t="b">
        <f t="shared" si="24"/>
        <v>1</v>
      </c>
      <c r="S178" s="5"/>
      <c r="T178" s="50">
        <f t="shared" si="21"/>
        <v>579557</v>
      </c>
      <c r="U178" s="50">
        <f t="shared" si="22"/>
        <v>273440</v>
      </c>
      <c r="V178" s="50">
        <f t="shared" si="23"/>
        <v>891672</v>
      </c>
      <c r="X178" s="51">
        <f t="shared" si="17"/>
        <v>9</v>
      </c>
      <c r="Y178" s="51">
        <f t="shared" si="18"/>
        <v>2021</v>
      </c>
    </row>
    <row r="179" spans="1:25" x14ac:dyDescent="0.25">
      <c r="A179" s="52">
        <v>44470</v>
      </c>
      <c r="B179" s="53">
        <v>-6299</v>
      </c>
      <c r="C179" s="53">
        <v>1066</v>
      </c>
      <c r="D179" s="53">
        <v>23104</v>
      </c>
      <c r="E179" s="53">
        <v>1579</v>
      </c>
      <c r="F179" s="53">
        <v>15969</v>
      </c>
      <c r="G179" s="53">
        <v>69865</v>
      </c>
      <c r="H179" s="53">
        <v>146599</v>
      </c>
      <c r="I179" s="53">
        <v>-2</v>
      </c>
      <c r="J179" s="53">
        <f t="shared" si="16"/>
        <v>251881</v>
      </c>
      <c r="M179" s="5"/>
      <c r="N179" s="11">
        <v>44470</v>
      </c>
      <c r="O179" s="53">
        <f t="shared" si="20"/>
        <v>2974686</v>
      </c>
      <c r="P179" s="50">
        <f t="shared" si="19"/>
        <v>2974.6860000000001</v>
      </c>
      <c r="Q179" s="53"/>
      <c r="R179" s="53" t="b">
        <f t="shared" si="24"/>
        <v>0</v>
      </c>
      <c r="S179" s="5"/>
      <c r="T179" s="53">
        <f t="shared" si="21"/>
        <v>522382</v>
      </c>
      <c r="U179" s="53">
        <f t="shared" si="22"/>
        <v>254386</v>
      </c>
      <c r="V179" s="53">
        <f t="shared" si="23"/>
        <v>814243</v>
      </c>
      <c r="X179" s="51">
        <f t="shared" si="17"/>
        <v>10</v>
      </c>
      <c r="Y179" s="51">
        <f t="shared" si="18"/>
        <v>2021</v>
      </c>
    </row>
    <row r="180" spans="1:25" x14ac:dyDescent="0.25">
      <c r="A180" s="49">
        <v>44501</v>
      </c>
      <c r="B180" s="50">
        <v>-19550</v>
      </c>
      <c r="C180" s="50">
        <v>377</v>
      </c>
      <c r="D180" s="50">
        <v>3764</v>
      </c>
      <c r="E180" s="50">
        <v>1597</v>
      </c>
      <c r="F180" s="50">
        <v>9267</v>
      </c>
      <c r="G180" s="50">
        <v>140932</v>
      </c>
      <c r="H180" s="50">
        <v>175955</v>
      </c>
      <c r="I180" s="50">
        <v>0</v>
      </c>
      <c r="J180" s="50">
        <f t="shared" si="16"/>
        <v>312342</v>
      </c>
      <c r="M180" s="5"/>
      <c r="N180" s="11">
        <v>44501</v>
      </c>
      <c r="O180" s="50">
        <f t="shared" si="20"/>
        <v>2910856</v>
      </c>
      <c r="P180" s="50">
        <f t="shared" si="19"/>
        <v>2910.8560000000002</v>
      </c>
      <c r="Q180" s="50"/>
      <c r="R180" s="50" t="b">
        <f t="shared" si="24"/>
        <v>0</v>
      </c>
      <c r="S180" s="5"/>
      <c r="T180" s="50">
        <f t="shared" si="21"/>
        <v>481994</v>
      </c>
      <c r="U180" s="50">
        <f t="shared" si="22"/>
        <v>247604</v>
      </c>
      <c r="V180" s="50">
        <f t="shared" si="23"/>
        <v>766991</v>
      </c>
      <c r="X180" s="51">
        <f t="shared" si="17"/>
        <v>11</v>
      </c>
      <c r="Y180" s="51">
        <f t="shared" si="18"/>
        <v>2021</v>
      </c>
    </row>
    <row r="181" spans="1:25" x14ac:dyDescent="0.25">
      <c r="A181" s="52">
        <v>44531</v>
      </c>
      <c r="B181" s="53">
        <v>-27946</v>
      </c>
      <c r="C181" s="53">
        <v>-1152</v>
      </c>
      <c r="D181" s="53">
        <v>-90175</v>
      </c>
      <c r="E181" s="53">
        <v>-2712</v>
      </c>
      <c r="F181" s="53">
        <v>-55386</v>
      </c>
      <c r="G181" s="53">
        <v>5950</v>
      </c>
      <c r="H181" s="53">
        <v>-119485</v>
      </c>
      <c r="I181" s="53">
        <v>-1</v>
      </c>
      <c r="J181" s="53">
        <f t="shared" si="16"/>
        <v>-290907</v>
      </c>
      <c r="M181" s="5">
        <f t="shared" ref="M181" si="36">SUM(J179:J181)</f>
        <v>273316</v>
      </c>
      <c r="N181" s="11">
        <v>44531</v>
      </c>
      <c r="O181" s="53">
        <f t="shared" si="20"/>
        <v>2777404</v>
      </c>
      <c r="P181" s="50">
        <f t="shared" si="19"/>
        <v>2777.404</v>
      </c>
      <c r="Q181" s="53"/>
      <c r="R181" s="53" t="b">
        <f t="shared" si="24"/>
        <v>0</v>
      </c>
      <c r="S181" s="5"/>
      <c r="T181" s="53">
        <f t="shared" si="21"/>
        <v>439922</v>
      </c>
      <c r="U181" s="53">
        <f t="shared" si="22"/>
        <v>244992</v>
      </c>
      <c r="V181" s="53">
        <f t="shared" si="23"/>
        <v>721473</v>
      </c>
      <c r="X181" s="51">
        <f t="shared" si="17"/>
        <v>12</v>
      </c>
      <c r="Y181" s="51">
        <f t="shared" si="18"/>
        <v>2021</v>
      </c>
    </row>
    <row r="182" spans="1:25" x14ac:dyDescent="0.25">
      <c r="A182" s="49">
        <v>44562</v>
      </c>
      <c r="B182" s="50">
        <v>25120</v>
      </c>
      <c r="C182" s="50">
        <v>474</v>
      </c>
      <c r="D182" s="50">
        <v>49840</v>
      </c>
      <c r="E182" s="50">
        <v>2101</v>
      </c>
      <c r="F182" s="50">
        <v>36621</v>
      </c>
      <c r="G182" s="50">
        <v>-65337</v>
      </c>
      <c r="H182" s="50">
        <v>110431</v>
      </c>
      <c r="I182" s="50">
        <v>-2</v>
      </c>
      <c r="J182" s="50">
        <f t="shared" si="16"/>
        <v>159248</v>
      </c>
      <c r="M182" s="5"/>
      <c r="N182" s="11">
        <v>44562</v>
      </c>
      <c r="O182" s="50">
        <f t="shared" si="20"/>
        <v>2682393</v>
      </c>
      <c r="P182" s="50">
        <f t="shared" si="19"/>
        <v>2682.393</v>
      </c>
      <c r="Q182" s="50"/>
      <c r="R182" s="50" t="b">
        <f t="shared" si="24"/>
        <v>0</v>
      </c>
      <c r="S182" s="5"/>
      <c r="T182" s="50">
        <f t="shared" si="21"/>
        <v>401969</v>
      </c>
      <c r="U182" s="50">
        <f t="shared" si="22"/>
        <v>237333</v>
      </c>
      <c r="V182" s="50">
        <f t="shared" si="23"/>
        <v>675224</v>
      </c>
      <c r="X182" s="51">
        <f t="shared" si="17"/>
        <v>1</v>
      </c>
      <c r="Y182" s="51">
        <f t="shared" si="18"/>
        <v>2022</v>
      </c>
    </row>
    <row r="183" spans="1:25" x14ac:dyDescent="0.25">
      <c r="A183" s="52">
        <v>44593</v>
      </c>
      <c r="B183" s="53">
        <v>17716</v>
      </c>
      <c r="C183" s="53">
        <v>1876</v>
      </c>
      <c r="D183" s="53">
        <v>37847</v>
      </c>
      <c r="E183" s="53">
        <v>3608</v>
      </c>
      <c r="F183" s="53">
        <v>39200</v>
      </c>
      <c r="G183" s="53">
        <v>13208</v>
      </c>
      <c r="H183" s="53">
        <v>231141</v>
      </c>
      <c r="I183" s="53">
        <v>-2</v>
      </c>
      <c r="J183" s="53">
        <f t="shared" si="16"/>
        <v>344594</v>
      </c>
      <c r="K183" s="59">
        <f t="shared" ref="K183:K189" si="37">J183/J171-1</f>
        <v>-0.13345437354148226</v>
      </c>
      <c r="M183" s="5"/>
      <c r="N183" s="11">
        <v>44593</v>
      </c>
      <c r="O183" s="53">
        <f t="shared" si="20"/>
        <v>2629323</v>
      </c>
      <c r="P183" s="50">
        <f t="shared" si="19"/>
        <v>2629.3229999999999</v>
      </c>
      <c r="Q183" s="53"/>
      <c r="R183" s="53" t="b">
        <f t="shared" si="24"/>
        <v>0</v>
      </c>
      <c r="S183" s="5"/>
      <c r="T183" s="53">
        <f t="shared" si="21"/>
        <v>351831</v>
      </c>
      <c r="U183" s="53">
        <f t="shared" si="22"/>
        <v>231376</v>
      </c>
      <c r="V183" s="53">
        <f t="shared" si="23"/>
        <v>618937</v>
      </c>
      <c r="X183" s="51">
        <f t="shared" si="17"/>
        <v>2</v>
      </c>
      <c r="Y183" s="51">
        <f t="shared" si="18"/>
        <v>2022</v>
      </c>
    </row>
    <row r="184" spans="1:25" x14ac:dyDescent="0.25">
      <c r="A184" s="49">
        <v>44621</v>
      </c>
      <c r="B184" s="50">
        <v>-18875</v>
      </c>
      <c r="C184" s="50">
        <v>791</v>
      </c>
      <c r="D184" s="50">
        <v>2851</v>
      </c>
      <c r="E184" s="50">
        <v>2151</v>
      </c>
      <c r="F184" s="50">
        <v>18849</v>
      </c>
      <c r="G184" s="50">
        <v>-9254</v>
      </c>
      <c r="H184" s="50">
        <v>98915</v>
      </c>
      <c r="I184" s="50">
        <v>0</v>
      </c>
      <c r="J184" s="50">
        <f t="shared" si="16"/>
        <v>95428</v>
      </c>
      <c r="K184" s="59">
        <f t="shared" si="37"/>
        <v>-0.37823820693249932</v>
      </c>
      <c r="M184" s="5">
        <f t="shared" ref="M184" si="38">SUM(J182:J184)</f>
        <v>599270</v>
      </c>
      <c r="N184" s="11">
        <v>44621</v>
      </c>
      <c r="O184" s="50">
        <f t="shared" si="20"/>
        <v>2571271</v>
      </c>
      <c r="P184" s="50">
        <f t="shared" si="19"/>
        <v>2571.2710000000002</v>
      </c>
      <c r="Q184" s="50"/>
      <c r="R184" s="50" t="b">
        <f t="shared" si="24"/>
        <v>0</v>
      </c>
      <c r="S184" s="5"/>
      <c r="T184" s="50">
        <f t="shared" si="21"/>
        <v>319678</v>
      </c>
      <c r="U184" s="50">
        <f t="shared" si="22"/>
        <v>225845</v>
      </c>
      <c r="V184" s="50">
        <f t="shared" si="23"/>
        <v>581702</v>
      </c>
      <c r="X184" s="51">
        <f t="shared" si="17"/>
        <v>3</v>
      </c>
      <c r="Y184" s="51">
        <f t="shared" si="18"/>
        <v>2022</v>
      </c>
    </row>
    <row r="185" spans="1:25" x14ac:dyDescent="0.25">
      <c r="A185" s="52">
        <v>44652</v>
      </c>
      <c r="B185" s="53">
        <v>-696</v>
      </c>
      <c r="C185" s="53">
        <v>1504</v>
      </c>
      <c r="D185" s="53">
        <v>22517</v>
      </c>
      <c r="E185" s="53">
        <v>2341</v>
      </c>
      <c r="F185" s="53">
        <v>25191</v>
      </c>
      <c r="G185" s="53">
        <v>30371</v>
      </c>
      <c r="H185" s="53">
        <v>119975</v>
      </c>
      <c r="I185" s="53">
        <v>0</v>
      </c>
      <c r="J185" s="53">
        <f t="shared" si="16"/>
        <v>201203</v>
      </c>
      <c r="K185" s="59">
        <f t="shared" si="37"/>
        <v>1.2460956250907023</v>
      </c>
      <c r="M185" s="5"/>
      <c r="N185" s="11">
        <v>44652</v>
      </c>
      <c r="O185" s="53">
        <f t="shared" si="20"/>
        <v>2682895</v>
      </c>
      <c r="P185" s="50">
        <f t="shared" si="19"/>
        <v>2682.895</v>
      </c>
      <c r="Q185" s="53"/>
      <c r="R185" s="53" t="b">
        <f t="shared" si="24"/>
        <v>1</v>
      </c>
      <c r="S185" s="5"/>
      <c r="T185" s="53">
        <f t="shared" si="21"/>
        <v>329666</v>
      </c>
      <c r="U185" s="53">
        <f t="shared" si="22"/>
        <v>228634</v>
      </c>
      <c r="V185" s="53">
        <f t="shared" si="23"/>
        <v>595989</v>
      </c>
      <c r="X185" s="51">
        <f t="shared" si="17"/>
        <v>4</v>
      </c>
      <c r="Y185" s="51">
        <f t="shared" si="18"/>
        <v>2022</v>
      </c>
    </row>
    <row r="186" spans="1:25" x14ac:dyDescent="0.25">
      <c r="A186" s="49">
        <v>44682</v>
      </c>
      <c r="B186" s="50">
        <v>27710</v>
      </c>
      <c r="C186" s="50">
        <v>1504</v>
      </c>
      <c r="D186" s="50">
        <v>41528</v>
      </c>
      <c r="E186" s="50">
        <v>3363</v>
      </c>
      <c r="F186" s="50">
        <v>34402</v>
      </c>
      <c r="G186" s="50">
        <v>47726</v>
      </c>
      <c r="H186" s="50">
        <v>121616</v>
      </c>
      <c r="I186" s="50">
        <v>0</v>
      </c>
      <c r="J186" s="50">
        <f t="shared" si="16"/>
        <v>277849</v>
      </c>
      <c r="K186" s="59">
        <f t="shared" si="37"/>
        <v>4.3109856363049426E-2</v>
      </c>
      <c r="M186" s="5"/>
      <c r="N186" s="11">
        <v>44682</v>
      </c>
      <c r="O186" s="50">
        <f t="shared" si="20"/>
        <v>2694378</v>
      </c>
      <c r="P186" s="50">
        <f t="shared" si="19"/>
        <v>2694.3780000000002</v>
      </c>
      <c r="Q186" s="50"/>
      <c r="R186" s="50" t="b">
        <f t="shared" si="24"/>
        <v>1</v>
      </c>
      <c r="S186" s="5"/>
      <c r="T186" s="50">
        <f t="shared" si="21"/>
        <v>333659</v>
      </c>
      <c r="U186" s="50">
        <f t="shared" si="22"/>
        <v>241060</v>
      </c>
      <c r="V186" s="50">
        <f t="shared" si="23"/>
        <v>612276</v>
      </c>
      <c r="X186" s="51">
        <f t="shared" si="17"/>
        <v>5</v>
      </c>
      <c r="Y186" s="51">
        <f t="shared" si="18"/>
        <v>2022</v>
      </c>
    </row>
    <row r="187" spans="1:25" x14ac:dyDescent="0.25">
      <c r="A187" s="52">
        <v>44713</v>
      </c>
      <c r="B187" s="53">
        <v>35752</v>
      </c>
      <c r="C187" s="53">
        <v>1354</v>
      </c>
      <c r="D187" s="53">
        <v>38151</v>
      </c>
      <c r="E187" s="53">
        <v>2400</v>
      </c>
      <c r="F187" s="53">
        <v>30293</v>
      </c>
      <c r="G187" s="53">
        <v>48060</v>
      </c>
      <c r="H187" s="53">
        <v>126503</v>
      </c>
      <c r="I187" s="53">
        <v>0</v>
      </c>
      <c r="J187" s="53">
        <f t="shared" si="16"/>
        <v>282513</v>
      </c>
      <c r="K187" s="59">
        <f t="shared" si="37"/>
        <v>-0.11120863771070466</v>
      </c>
      <c r="M187" s="5">
        <f t="shared" ref="M187" si="39">SUM(J185:J187)</f>
        <v>761565</v>
      </c>
      <c r="N187" s="11">
        <v>44713</v>
      </c>
      <c r="O187" s="53">
        <f t="shared" si="20"/>
        <v>2659029</v>
      </c>
      <c r="P187" s="50">
        <f t="shared" si="19"/>
        <v>2659.029</v>
      </c>
      <c r="Q187" s="53"/>
      <c r="R187" s="53" t="b">
        <f t="shared" si="24"/>
        <v>0</v>
      </c>
      <c r="S187" s="5"/>
      <c r="T187" s="53">
        <f t="shared" si="21"/>
        <v>326056</v>
      </c>
      <c r="U187" s="53">
        <f t="shared" si="22"/>
        <v>247090</v>
      </c>
      <c r="V187" s="53">
        <f t="shared" si="23"/>
        <v>609172</v>
      </c>
      <c r="X187" s="51">
        <f t="shared" si="17"/>
        <v>6</v>
      </c>
      <c r="Y187" s="51">
        <f t="shared" si="18"/>
        <v>2022</v>
      </c>
    </row>
    <row r="188" spans="1:25" x14ac:dyDescent="0.25">
      <c r="A188" s="49">
        <v>44743</v>
      </c>
      <c r="B188" s="50">
        <v>16173</v>
      </c>
      <c r="C188" s="50">
        <v>1568</v>
      </c>
      <c r="D188" s="50">
        <v>46469</v>
      </c>
      <c r="E188" s="50">
        <v>2738</v>
      </c>
      <c r="F188" s="50">
        <v>31981</v>
      </c>
      <c r="G188" s="50">
        <v>39633</v>
      </c>
      <c r="H188" s="50">
        <v>84804</v>
      </c>
      <c r="I188" s="50">
        <v>0</v>
      </c>
      <c r="J188" s="50">
        <f t="shared" si="16"/>
        <v>223366</v>
      </c>
      <c r="K188" s="59">
        <f t="shared" si="37"/>
        <v>-0.27109623059577537</v>
      </c>
      <c r="M188" s="5"/>
      <c r="N188" s="11">
        <v>44743</v>
      </c>
      <c r="O188" s="50">
        <f t="shared" si="20"/>
        <v>2575954</v>
      </c>
      <c r="P188" s="50">
        <f t="shared" si="19"/>
        <v>2575.9540000000002</v>
      </c>
      <c r="Q188" s="50"/>
      <c r="R188" s="50" t="b">
        <f t="shared" si="24"/>
        <v>0</v>
      </c>
      <c r="S188" s="5"/>
      <c r="T188" s="50">
        <f t="shared" si="21"/>
        <v>319181</v>
      </c>
      <c r="U188" s="50">
        <f t="shared" si="22"/>
        <v>248797</v>
      </c>
      <c r="V188" s="50">
        <f t="shared" si="23"/>
        <v>603580</v>
      </c>
      <c r="X188" s="51">
        <f t="shared" si="17"/>
        <v>7</v>
      </c>
      <c r="Y188" s="51">
        <f t="shared" si="18"/>
        <v>2022</v>
      </c>
    </row>
    <row r="189" spans="1:25" x14ac:dyDescent="0.25">
      <c r="A189" s="52">
        <v>44774</v>
      </c>
      <c r="B189" s="53">
        <v>8289</v>
      </c>
      <c r="C189" s="53">
        <v>1235</v>
      </c>
      <c r="D189" s="53">
        <v>49382</v>
      </c>
      <c r="E189" s="53">
        <v>2584</v>
      </c>
      <c r="F189" s="53">
        <v>35863</v>
      </c>
      <c r="G189" s="53">
        <v>43206</v>
      </c>
      <c r="H189" s="53">
        <v>144755</v>
      </c>
      <c r="I189" s="53">
        <v>0</v>
      </c>
      <c r="J189" s="53">
        <f t="shared" si="16"/>
        <v>285314</v>
      </c>
      <c r="K189" s="59">
        <f t="shared" si="37"/>
        <v>-0.26514706639880492</v>
      </c>
      <c r="M189" s="5"/>
      <c r="N189" s="11">
        <v>44774</v>
      </c>
      <c r="O189" s="53">
        <f>IF(J189=0,"",SUM(J178:J189))</f>
        <v>2473008</v>
      </c>
      <c r="P189" s="50">
        <f t="shared" si="19"/>
        <v>2473.0079999999998</v>
      </c>
      <c r="Q189" s="53"/>
      <c r="R189" s="53" t="b">
        <f t="shared" si="24"/>
        <v>0</v>
      </c>
      <c r="S189" s="5"/>
      <c r="T189" s="53">
        <f t="shared" si="21"/>
        <v>298475</v>
      </c>
      <c r="U189" s="53">
        <f t="shared" si="22"/>
        <v>249146</v>
      </c>
      <c r="V189" s="53">
        <f t="shared" si="23"/>
        <v>583389</v>
      </c>
      <c r="X189" s="51">
        <f t="shared" si="17"/>
        <v>8</v>
      </c>
      <c r="Y189" s="51">
        <f t="shared" si="18"/>
        <v>2022</v>
      </c>
    </row>
    <row r="190" spans="1:25" x14ac:dyDescent="0.25">
      <c r="A190" s="49">
        <v>44805</v>
      </c>
      <c r="B190" s="50">
        <v>9474</v>
      </c>
      <c r="C190" s="50">
        <v>1119</v>
      </c>
      <c r="D190" s="50">
        <v>54123</v>
      </c>
      <c r="E190" s="50">
        <v>1667</v>
      </c>
      <c r="F190" s="50">
        <v>31166</v>
      </c>
      <c r="G190" s="50">
        <v>57974</v>
      </c>
      <c r="H190" s="50">
        <v>122562</v>
      </c>
      <c r="I190" s="50">
        <v>0</v>
      </c>
      <c r="J190" s="50">
        <f t="shared" si="16"/>
        <v>278085</v>
      </c>
      <c r="K190" s="59">
        <f>J190/J178-1</f>
        <v>-0.15776992340471929</v>
      </c>
      <c r="M190" s="5">
        <f>SUM(J188:J190)</f>
        <v>786765</v>
      </c>
      <c r="N190" s="11">
        <v>44805</v>
      </c>
      <c r="O190" s="50">
        <f>IF(J190=0,"",SUM(J179:J190))</f>
        <v>2420916</v>
      </c>
      <c r="P190" s="50">
        <f t="shared" si="19"/>
        <v>2420.9160000000002</v>
      </c>
      <c r="Q190" s="50">
        <f>P190</f>
        <v>2420.9160000000002</v>
      </c>
      <c r="R190" s="50" t="b">
        <f t="shared" si="24"/>
        <v>0</v>
      </c>
      <c r="S190" s="5"/>
      <c r="T190" s="50">
        <f t="shared" si="21"/>
        <v>279401</v>
      </c>
      <c r="U190" s="50">
        <f t="shared" si="22"/>
        <v>253416</v>
      </c>
      <c r="V190" s="50">
        <f t="shared" si="23"/>
        <v>567950</v>
      </c>
      <c r="X190" s="51">
        <f t="shared" si="17"/>
        <v>9</v>
      </c>
      <c r="Y190" s="51">
        <f t="shared" si="18"/>
        <v>2022</v>
      </c>
    </row>
    <row r="191" spans="1:25" x14ac:dyDescent="0.25">
      <c r="A191" s="52">
        <v>44835</v>
      </c>
      <c r="B191" s="53"/>
      <c r="C191" s="53"/>
      <c r="D191" s="53"/>
      <c r="E191" s="53"/>
      <c r="F191" s="53"/>
      <c r="G191" s="53"/>
      <c r="H191" s="53"/>
      <c r="I191" s="53"/>
      <c r="J191" s="53">
        <f>J179*(1+L191)</f>
        <v>188910.75</v>
      </c>
      <c r="L191" s="141">
        <v>-0.25</v>
      </c>
      <c r="N191" s="11">
        <v>44835</v>
      </c>
      <c r="O191" s="53">
        <f>IF(J191=0,"",SUM(J180:J191))</f>
        <v>2357945.75</v>
      </c>
      <c r="P191" s="53"/>
      <c r="Q191" s="53">
        <f>O191/1000</f>
        <v>2357.9457499999999</v>
      </c>
      <c r="R191" s="53" t="b">
        <f t="shared" si="24"/>
        <v>0</v>
      </c>
      <c r="S191" s="5"/>
      <c r="T191" s="53">
        <f t="shared" si="21"/>
        <v>256297</v>
      </c>
      <c r="U191" s="53">
        <f t="shared" si="22"/>
        <v>237447</v>
      </c>
      <c r="V191" s="53">
        <f t="shared" si="23"/>
        <v>526232</v>
      </c>
      <c r="X191" s="51">
        <f t="shared" si="17"/>
        <v>10</v>
      </c>
      <c r="Y191" s="51">
        <f t="shared" si="18"/>
        <v>2022</v>
      </c>
    </row>
    <row r="192" spans="1:25" x14ac:dyDescent="0.25">
      <c r="A192" s="49">
        <v>44866</v>
      </c>
      <c r="B192" s="50"/>
      <c r="C192" s="50"/>
      <c r="D192" s="50"/>
      <c r="E192" s="50"/>
      <c r="F192" s="50"/>
      <c r="G192" s="50"/>
      <c r="H192" s="50"/>
      <c r="I192" s="50"/>
      <c r="J192" s="53">
        <f>J180*(1+L192)</f>
        <v>234256.5</v>
      </c>
      <c r="L192" s="141">
        <v>-0.25</v>
      </c>
      <c r="N192" s="11">
        <v>44866</v>
      </c>
      <c r="O192" s="50">
        <f>IF(J192=0,"",SUM(J181:J192))</f>
        <v>2279860.25</v>
      </c>
      <c r="P192" s="50"/>
      <c r="Q192" s="53">
        <f t="shared" ref="Q192:Q193" si="40">O192/1000</f>
        <v>2279.8602500000002</v>
      </c>
      <c r="R192" s="50" t="b">
        <f t="shared" si="24"/>
        <v>0</v>
      </c>
      <c r="S192" s="5"/>
      <c r="T192" s="50">
        <f t="shared" si="21"/>
        <v>252533</v>
      </c>
      <c r="U192" s="50">
        <f t="shared" si="22"/>
        <v>228180</v>
      </c>
      <c r="V192" s="50">
        <f t="shared" si="23"/>
        <v>511227</v>
      </c>
      <c r="X192" s="51">
        <f t="shared" si="17"/>
        <v>11</v>
      </c>
      <c r="Y192" s="51">
        <f t="shared" si="18"/>
        <v>2022</v>
      </c>
    </row>
    <row r="193" spans="1:31" x14ac:dyDescent="0.25">
      <c r="A193" s="52">
        <v>44896</v>
      </c>
      <c r="B193" s="53"/>
      <c r="C193" s="53"/>
      <c r="D193" s="53"/>
      <c r="E193" s="53"/>
      <c r="F193" s="53"/>
      <c r="G193" s="53"/>
      <c r="H193" s="53"/>
      <c r="I193" s="53"/>
      <c r="J193" s="53">
        <f t="shared" ref="J193" si="41">J181*(1+L193)</f>
        <v>-363633.75</v>
      </c>
      <c r="L193" s="141">
        <v>0.25</v>
      </c>
      <c r="N193" s="11">
        <v>44896</v>
      </c>
      <c r="O193" s="53">
        <f>IF(J193=0,"",SUM(J182:J193))</f>
        <v>2207133.5</v>
      </c>
      <c r="P193" s="53"/>
      <c r="Q193" s="53">
        <f t="shared" si="40"/>
        <v>2207.1334999999999</v>
      </c>
      <c r="R193" s="53" t="b">
        <f t="shared" si="24"/>
        <v>0</v>
      </c>
      <c r="S193" s="5"/>
      <c r="T193" s="53">
        <f t="shared" si="21"/>
        <v>342708</v>
      </c>
      <c r="U193" s="53">
        <f t="shared" si="22"/>
        <v>283566</v>
      </c>
      <c r="V193" s="53">
        <f t="shared" si="23"/>
        <v>660652</v>
      </c>
      <c r="X193" s="51">
        <f t="shared" si="17"/>
        <v>12</v>
      </c>
      <c r="Y193" s="51">
        <f t="shared" si="18"/>
        <v>2022</v>
      </c>
    </row>
    <row r="196" spans="1:31" x14ac:dyDescent="0.25">
      <c r="A196" s="4">
        <v>2018</v>
      </c>
      <c r="B196" s="5">
        <f>SUM(B134:B145)</f>
        <v>2231</v>
      </c>
      <c r="C196" s="5">
        <f t="shared" ref="C196:J196" si="42">SUM(C134:C145)</f>
        <v>1038</v>
      </c>
      <c r="D196" s="5">
        <f t="shared" si="42"/>
        <v>1241</v>
      </c>
      <c r="E196" s="5">
        <f t="shared" si="42"/>
        <v>10189</v>
      </c>
      <c r="F196" s="5">
        <f t="shared" si="42"/>
        <v>11403</v>
      </c>
      <c r="G196" s="5">
        <f t="shared" si="42"/>
        <v>116119</v>
      </c>
      <c r="H196" s="5">
        <f t="shared" si="42"/>
        <v>404224</v>
      </c>
      <c r="I196" s="5">
        <f t="shared" si="42"/>
        <v>0</v>
      </c>
      <c r="J196" s="5">
        <f t="shared" si="42"/>
        <v>546445</v>
      </c>
    </row>
    <row r="197" spans="1:31" x14ac:dyDescent="0.25">
      <c r="A197" s="4">
        <v>2019</v>
      </c>
      <c r="B197" s="5">
        <f>SUM(B146:B157)</f>
        <v>13039</v>
      </c>
      <c r="C197" s="5">
        <f t="shared" ref="C197:J197" si="43">SUM(C146:C157)</f>
        <v>6529</v>
      </c>
      <c r="D197" s="5">
        <f t="shared" si="43"/>
        <v>13203</v>
      </c>
      <c r="E197" s="5">
        <f t="shared" si="43"/>
        <v>6803</v>
      </c>
      <c r="F197" s="5">
        <f t="shared" si="43"/>
        <v>70710</v>
      </c>
      <c r="G197" s="5">
        <f t="shared" si="43"/>
        <v>156399</v>
      </c>
      <c r="H197" s="5">
        <f t="shared" si="43"/>
        <v>377396</v>
      </c>
      <c r="I197" s="5">
        <f t="shared" si="43"/>
        <v>0</v>
      </c>
      <c r="J197" s="5">
        <f t="shared" si="43"/>
        <v>644079</v>
      </c>
      <c r="L197" s="142"/>
      <c r="M197" s="54" t="s">
        <v>105</v>
      </c>
      <c r="O197" s="54" t="s">
        <v>106</v>
      </c>
      <c r="P197" s="54"/>
      <c r="Q197" s="54"/>
    </row>
    <row r="198" spans="1:31" x14ac:dyDescent="0.25">
      <c r="A198" s="4">
        <v>2020</v>
      </c>
      <c r="B198" s="5">
        <f>SUM(B158:B169)</f>
        <v>36566</v>
      </c>
      <c r="C198" s="5">
        <f t="shared" ref="C198:J198" si="44">SUM(C158:C169)</f>
        <v>4138</v>
      </c>
      <c r="D198" s="5">
        <f t="shared" si="44"/>
        <v>47940</v>
      </c>
      <c r="E198" s="5">
        <f t="shared" si="44"/>
        <v>-673</v>
      </c>
      <c r="F198" s="5">
        <f t="shared" si="44"/>
        <v>97316</v>
      </c>
      <c r="G198" s="5">
        <f t="shared" si="44"/>
        <v>-66384</v>
      </c>
      <c r="H198" s="5">
        <f t="shared" si="44"/>
        <v>-311481</v>
      </c>
      <c r="I198" s="5">
        <f t="shared" si="44"/>
        <v>-2</v>
      </c>
      <c r="J198" s="5">
        <f t="shared" si="44"/>
        <v>-192580</v>
      </c>
      <c r="L198" s="142" t="s">
        <v>107</v>
      </c>
      <c r="M198" s="54" t="s">
        <v>108</v>
      </c>
      <c r="O198" s="54" t="s">
        <v>108</v>
      </c>
      <c r="P198" s="54"/>
      <c r="Q198" s="54"/>
    </row>
    <row r="199" spans="1:31" x14ac:dyDescent="0.25">
      <c r="A199" s="4">
        <v>2021</v>
      </c>
      <c r="B199" s="5">
        <f>SUM(B170:B181)</f>
        <v>146181</v>
      </c>
      <c r="C199" s="5">
        <f t="shared" ref="C199:J199" si="45">SUM(C170:C181)</f>
        <v>18401</v>
      </c>
      <c r="D199" s="5">
        <f t="shared" si="45"/>
        <v>439922</v>
      </c>
      <c r="E199" s="5">
        <f t="shared" si="45"/>
        <v>18158</v>
      </c>
      <c r="F199" s="5">
        <f t="shared" si="45"/>
        <v>244992</v>
      </c>
      <c r="G199" s="5">
        <f t="shared" si="45"/>
        <v>662152</v>
      </c>
      <c r="H199" s="5">
        <f t="shared" si="45"/>
        <v>1247604</v>
      </c>
      <c r="I199" s="5">
        <f t="shared" si="45"/>
        <v>-6</v>
      </c>
      <c r="J199" s="5">
        <f t="shared" si="45"/>
        <v>2777404</v>
      </c>
      <c r="L199" s="4" t="s">
        <v>89</v>
      </c>
      <c r="M199" s="10">
        <f>SUM(B179:B190)/1000</f>
        <v>66.867999999999995</v>
      </c>
      <c r="N199" s="59">
        <f t="shared" ref="N199:N205" si="46">M199/$M$205</f>
        <v>2.7620870221812095E-2</v>
      </c>
      <c r="O199" s="10">
        <f>N199*$O$193/1000</f>
        <v>60.962947965713909</v>
      </c>
      <c r="P199" s="10"/>
      <c r="Q199" s="10"/>
    </row>
    <row r="200" spans="1:31" x14ac:dyDescent="0.25">
      <c r="A200" s="11" t="s">
        <v>109</v>
      </c>
      <c r="B200" s="5">
        <f>SUM(B179:B190)</f>
        <v>66868</v>
      </c>
      <c r="C200" s="5">
        <f t="shared" ref="C200:J200" si="47">SUM(C179:C190)</f>
        <v>11716</v>
      </c>
      <c r="D200" s="5">
        <f t="shared" si="47"/>
        <v>279401</v>
      </c>
      <c r="E200" s="5">
        <f t="shared" si="47"/>
        <v>23417</v>
      </c>
      <c r="F200" s="5">
        <f t="shared" si="47"/>
        <v>253416</v>
      </c>
      <c r="G200" s="5">
        <f t="shared" si="47"/>
        <v>422334</v>
      </c>
      <c r="H200" s="5">
        <f t="shared" si="47"/>
        <v>1363771</v>
      </c>
      <c r="I200" s="5">
        <f t="shared" si="47"/>
        <v>-7</v>
      </c>
      <c r="J200" s="5">
        <f t="shared" si="47"/>
        <v>2420916</v>
      </c>
      <c r="L200" s="4" t="s">
        <v>110</v>
      </c>
      <c r="M200" s="10">
        <f>SUM(M201:M203)</f>
        <v>567.95000000000005</v>
      </c>
      <c r="N200" s="59">
        <f t="shared" si="46"/>
        <v>0.23460060481064457</v>
      </c>
      <c r="O200" s="10">
        <f t="shared" ref="O200:O205" si="48">N200*$O$193/1000</f>
        <v>517.79485399783482</v>
      </c>
      <c r="P200" s="10"/>
      <c r="Q200" s="10"/>
    </row>
    <row r="201" spans="1:31" x14ac:dyDescent="0.25">
      <c r="L201" s="143" t="s">
        <v>91</v>
      </c>
      <c r="M201" s="10">
        <f>SUM(D179:D190)/1000</f>
        <v>279.40100000000001</v>
      </c>
      <c r="N201" s="59">
        <f t="shared" si="46"/>
        <v>0.11541094037274215</v>
      </c>
      <c r="O201" s="10">
        <f t="shared" si="48"/>
        <v>254.72735276318167</v>
      </c>
      <c r="P201" s="10"/>
      <c r="Q201" s="10"/>
    </row>
    <row r="202" spans="1:31" x14ac:dyDescent="0.25">
      <c r="A202" s="17" t="s">
        <v>111</v>
      </c>
      <c r="L202" s="143" t="s">
        <v>93</v>
      </c>
      <c r="M202" s="10">
        <f>SUM(F179:F190)/1000</f>
        <v>253.416</v>
      </c>
      <c r="N202" s="59">
        <f t="shared" si="46"/>
        <v>0.10467743088070129</v>
      </c>
      <c r="O202" s="10">
        <f t="shared" si="48"/>
        <v>231.03706439073031</v>
      </c>
      <c r="P202" s="10"/>
      <c r="Q202" s="10"/>
    </row>
    <row r="203" spans="1:31" x14ac:dyDescent="0.25">
      <c r="A203" s="4">
        <v>2018</v>
      </c>
      <c r="B203" s="5">
        <f>B196/1000</f>
        <v>2.2309999999999999</v>
      </c>
      <c r="C203" s="5">
        <f t="shared" ref="C203:J203" si="49">C196/1000</f>
        <v>1.038</v>
      </c>
      <c r="D203" s="5">
        <f t="shared" si="49"/>
        <v>1.2410000000000001</v>
      </c>
      <c r="E203" s="5">
        <f t="shared" si="49"/>
        <v>10.189</v>
      </c>
      <c r="F203" s="5">
        <f t="shared" si="49"/>
        <v>11.403</v>
      </c>
      <c r="G203" s="5">
        <f t="shared" si="49"/>
        <v>116.119</v>
      </c>
      <c r="H203" s="5">
        <f t="shared" si="49"/>
        <v>404.22399999999999</v>
      </c>
      <c r="I203" s="5">
        <f t="shared" si="49"/>
        <v>0</v>
      </c>
      <c r="J203" s="5">
        <f t="shared" si="49"/>
        <v>546.44500000000005</v>
      </c>
      <c r="L203" s="143" t="s">
        <v>112</v>
      </c>
      <c r="M203" s="10">
        <f>SUM(C179:C190,E179:E190)/1000</f>
        <v>35.133000000000003</v>
      </c>
      <c r="N203" s="59">
        <f t="shared" si="46"/>
        <v>1.451223355720112E-2</v>
      </c>
      <c r="O203" s="10">
        <f t="shared" si="48"/>
        <v>32.030436843922757</v>
      </c>
      <c r="P203" s="10"/>
      <c r="Q203" s="10"/>
      <c r="X203" s="144"/>
    </row>
    <row r="204" spans="1:31" x14ac:dyDescent="0.25">
      <c r="A204" s="4">
        <v>2019</v>
      </c>
      <c r="B204" s="5">
        <f t="shared" ref="B204:J207" si="50">B197/1000</f>
        <v>13.039</v>
      </c>
      <c r="C204" s="5">
        <f t="shared" si="50"/>
        <v>6.5289999999999999</v>
      </c>
      <c r="D204" s="5">
        <f t="shared" si="50"/>
        <v>13.202999999999999</v>
      </c>
      <c r="E204" s="5">
        <f t="shared" si="50"/>
        <v>6.8029999999999999</v>
      </c>
      <c r="F204" s="5">
        <f t="shared" si="50"/>
        <v>70.709999999999994</v>
      </c>
      <c r="G204" s="5">
        <f t="shared" si="50"/>
        <v>156.399</v>
      </c>
      <c r="H204" s="5">
        <f t="shared" si="50"/>
        <v>377.39600000000002</v>
      </c>
      <c r="I204" s="5">
        <f t="shared" si="50"/>
        <v>0</v>
      </c>
      <c r="J204" s="5">
        <f t="shared" si="50"/>
        <v>644.07899999999995</v>
      </c>
      <c r="L204" s="4" t="s">
        <v>95</v>
      </c>
      <c r="M204" s="10">
        <f>SUM(G179:H190)/1000</f>
        <v>1786.105</v>
      </c>
      <c r="N204" s="59">
        <f t="shared" si="46"/>
        <v>0.73777852496754348</v>
      </c>
      <c r="O204" s="10">
        <f t="shared" si="48"/>
        <v>1628.3756980364517</v>
      </c>
      <c r="P204" s="10"/>
      <c r="Q204" s="10"/>
    </row>
    <row r="205" spans="1:31" x14ac:dyDescent="0.25">
      <c r="A205" s="4">
        <v>2020</v>
      </c>
      <c r="B205" s="5">
        <f t="shared" si="50"/>
        <v>36.566000000000003</v>
      </c>
      <c r="C205" s="5">
        <f t="shared" si="50"/>
        <v>4.1379999999999999</v>
      </c>
      <c r="D205" s="5">
        <f t="shared" si="50"/>
        <v>47.94</v>
      </c>
      <c r="E205" s="5">
        <f t="shared" si="50"/>
        <v>-0.67300000000000004</v>
      </c>
      <c r="F205" s="5">
        <f t="shared" si="50"/>
        <v>97.316000000000003</v>
      </c>
      <c r="G205" s="5">
        <f t="shared" si="50"/>
        <v>-66.384</v>
      </c>
      <c r="H205" s="5">
        <f t="shared" si="50"/>
        <v>-311.48099999999999</v>
      </c>
      <c r="I205" s="5">
        <f t="shared" si="50"/>
        <v>-2E-3</v>
      </c>
      <c r="J205" s="5">
        <f t="shared" si="50"/>
        <v>-192.58</v>
      </c>
      <c r="L205" s="142" t="s">
        <v>97</v>
      </c>
      <c r="M205" s="145">
        <f>SUM(M199,M200,M204)</f>
        <v>2420.9229999999998</v>
      </c>
      <c r="N205" s="59">
        <f t="shared" si="46"/>
        <v>1</v>
      </c>
      <c r="O205" s="145">
        <f t="shared" si="48"/>
        <v>2207.1334999999999</v>
      </c>
      <c r="P205" s="145"/>
      <c r="Q205" s="145"/>
    </row>
    <row r="206" spans="1:31" x14ac:dyDescent="0.25">
      <c r="A206" s="4">
        <v>2021</v>
      </c>
      <c r="B206" s="5">
        <f t="shared" si="50"/>
        <v>146.18100000000001</v>
      </c>
      <c r="C206" s="5">
        <f t="shared" si="50"/>
        <v>18.401</v>
      </c>
      <c r="D206" s="5">
        <f t="shared" si="50"/>
        <v>439.92200000000003</v>
      </c>
      <c r="E206" s="5">
        <f t="shared" si="50"/>
        <v>18.158000000000001</v>
      </c>
      <c r="F206" s="5">
        <f t="shared" si="50"/>
        <v>244.99199999999999</v>
      </c>
      <c r="G206" s="5">
        <f t="shared" si="50"/>
        <v>662.15200000000004</v>
      </c>
      <c r="H206" s="5">
        <f t="shared" si="50"/>
        <v>1247.604</v>
      </c>
      <c r="I206" s="5">
        <f t="shared" si="50"/>
        <v>-6.0000000000000001E-3</v>
      </c>
      <c r="J206" s="5">
        <f t="shared" si="50"/>
        <v>2777.404</v>
      </c>
    </row>
    <row r="207" spans="1:31" x14ac:dyDescent="0.25">
      <c r="A207" s="11" t="s">
        <v>109</v>
      </c>
      <c r="B207" s="5">
        <f t="shared" si="50"/>
        <v>66.867999999999995</v>
      </c>
      <c r="C207" s="5">
        <f t="shared" si="50"/>
        <v>11.715999999999999</v>
      </c>
      <c r="D207" s="5">
        <f t="shared" si="50"/>
        <v>279.40100000000001</v>
      </c>
      <c r="E207" s="5">
        <f t="shared" si="50"/>
        <v>23.417000000000002</v>
      </c>
      <c r="F207" s="5">
        <f t="shared" si="50"/>
        <v>253.416</v>
      </c>
      <c r="G207" s="5">
        <f t="shared" si="50"/>
        <v>422.334</v>
      </c>
      <c r="H207" s="5">
        <f t="shared" si="50"/>
        <v>1363.771</v>
      </c>
      <c r="I207" s="5">
        <f t="shared" si="50"/>
        <v>-7.0000000000000001E-3</v>
      </c>
      <c r="J207" s="5">
        <f t="shared" si="50"/>
        <v>2420.9160000000002</v>
      </c>
    </row>
    <row r="208" spans="1:31" ht="45" customHeight="1" x14ac:dyDescent="0.25">
      <c r="AA208" s="55"/>
      <c r="AB208" s="56">
        <v>2021</v>
      </c>
      <c r="AC208" s="56" t="s">
        <v>113</v>
      </c>
      <c r="AD208" s="56" t="s">
        <v>114</v>
      </c>
      <c r="AE208" s="56" t="s">
        <v>115</v>
      </c>
    </row>
    <row r="209" spans="5:35" ht="15" customHeight="1" x14ac:dyDescent="0.25">
      <c r="E209" s="5">
        <f>SUM(C203,E203)</f>
        <v>11.227</v>
      </c>
      <c r="G209" s="5">
        <f>SUM(G203:H203)</f>
        <v>520.34299999999996</v>
      </c>
      <c r="AA209" s="57" t="s">
        <v>89</v>
      </c>
      <c r="AB209" s="3">
        <v>146.18100000000001</v>
      </c>
      <c r="AC209" s="3">
        <v>66.867999999999995</v>
      </c>
      <c r="AD209" s="58">
        <v>60.962947965713909</v>
      </c>
      <c r="AE209" s="58">
        <v>15.191478621996692</v>
      </c>
      <c r="AG209" s="186">
        <f>AE209/$AE$215</f>
        <v>2.7620870221812168E-2</v>
      </c>
      <c r="AH209" s="15">
        <f>$AI$215*AG209</f>
        <v>15.191478621996692</v>
      </c>
    </row>
    <row r="210" spans="5:35" ht="15" customHeight="1" x14ac:dyDescent="0.25">
      <c r="E210" s="5">
        <f t="shared" ref="E210:E213" si="51">SUM(C204,E204)</f>
        <v>13.332000000000001</v>
      </c>
      <c r="G210" s="5">
        <f>SUM(G204:H204)</f>
        <v>533.79500000000007</v>
      </c>
      <c r="AA210" s="60" t="s">
        <v>110</v>
      </c>
      <c r="AB210" s="1">
        <v>721.47299999999996</v>
      </c>
      <c r="AC210" s="1">
        <v>567.95000000000005</v>
      </c>
      <c r="AD210" s="61">
        <v>517.79485399783482</v>
      </c>
      <c r="AE210" s="61">
        <v>129.03033264585437</v>
      </c>
      <c r="AG210" s="186">
        <f t="shared" ref="AG210:AG215" si="52">AE210/$AE$215</f>
        <v>0.23460060481064432</v>
      </c>
      <c r="AH210" s="15">
        <f t="shared" ref="AH210:AH215" si="53">$AI$215*AG210</f>
        <v>129.03033264585437</v>
      </c>
    </row>
    <row r="211" spans="5:35" ht="15" customHeight="1" x14ac:dyDescent="0.25">
      <c r="E211" s="5">
        <f t="shared" si="51"/>
        <v>3.4649999999999999</v>
      </c>
      <c r="G211" s="5">
        <f>SUM(G205:H205)</f>
        <v>-377.86500000000001</v>
      </c>
      <c r="AA211" s="183" t="s">
        <v>116</v>
      </c>
      <c r="AB211" s="2">
        <v>439.92200000000003</v>
      </c>
      <c r="AC211" s="2">
        <v>279.40100000000001</v>
      </c>
      <c r="AD211" s="184">
        <v>254.72735276318167</v>
      </c>
      <c r="AE211" s="61">
        <v>63.476017205008205</v>
      </c>
      <c r="AG211" s="186">
        <f t="shared" si="52"/>
        <v>0.11541094037274219</v>
      </c>
      <c r="AH211" s="15">
        <f t="shared" si="53"/>
        <v>63.476017205008205</v>
      </c>
    </row>
    <row r="212" spans="5:35" ht="15" customHeight="1" x14ac:dyDescent="0.25">
      <c r="E212" s="5">
        <f t="shared" si="51"/>
        <v>36.558999999999997</v>
      </c>
      <c r="G212" s="5">
        <f>SUM(G206:H206)</f>
        <v>1909.7560000000001</v>
      </c>
      <c r="AA212" s="183" t="s">
        <v>93</v>
      </c>
      <c r="AB212" s="2">
        <v>244.99199999999999</v>
      </c>
      <c r="AC212" s="2">
        <v>253.416</v>
      </c>
      <c r="AD212" s="184">
        <v>231.03706439073031</v>
      </c>
      <c r="AE212" s="184">
        <v>57.572586984385687</v>
      </c>
      <c r="AG212" s="186">
        <f t="shared" si="52"/>
        <v>0.10467743088070125</v>
      </c>
      <c r="AH212" s="15">
        <f t="shared" si="53"/>
        <v>57.572586984385687</v>
      </c>
    </row>
    <row r="213" spans="5:35" ht="15" customHeight="1" x14ac:dyDescent="0.25">
      <c r="E213" s="5">
        <f t="shared" si="51"/>
        <v>35.133000000000003</v>
      </c>
      <c r="G213" s="5">
        <f>SUM(G207:H207)</f>
        <v>1786.105</v>
      </c>
      <c r="AA213" s="183" t="s">
        <v>117</v>
      </c>
      <c r="AB213" s="2">
        <v>36.558999999999997</v>
      </c>
      <c r="AC213" s="2">
        <v>35.133000000000003</v>
      </c>
      <c r="AD213" s="184">
        <v>32.030436843922757</v>
      </c>
      <c r="AE213" s="184">
        <v>7.981728456460619</v>
      </c>
      <c r="AG213" s="186">
        <f t="shared" si="52"/>
        <v>1.4512233557201125E-2</v>
      </c>
      <c r="AH213" s="15">
        <f t="shared" si="53"/>
        <v>7.981728456460619</v>
      </c>
    </row>
    <row r="214" spans="5:35" ht="15" customHeight="1" x14ac:dyDescent="0.25">
      <c r="AA214" s="57" t="s">
        <v>95</v>
      </c>
      <c r="AB214" s="3">
        <v>1909.7560000000001</v>
      </c>
      <c r="AC214" s="3">
        <v>1786.105</v>
      </c>
      <c r="AD214" s="58">
        <v>1628.3756980364517</v>
      </c>
      <c r="AE214" s="58">
        <v>405.77818873214954</v>
      </c>
      <c r="AG214" s="186">
        <f t="shared" si="52"/>
        <v>0.73777852496754459</v>
      </c>
      <c r="AH214" s="15">
        <f t="shared" si="53"/>
        <v>405.77818873214954</v>
      </c>
    </row>
    <row r="215" spans="5:35" ht="15" customHeight="1" x14ac:dyDescent="0.25">
      <c r="AA215" s="62" t="s">
        <v>118</v>
      </c>
      <c r="AB215" s="63">
        <v>2777.4100000000003</v>
      </c>
      <c r="AC215" s="63">
        <v>2420.9230000000002</v>
      </c>
      <c r="AD215" s="64">
        <v>2207.1334999999999</v>
      </c>
      <c r="AE215" s="64">
        <v>550</v>
      </c>
      <c r="AG215" s="186">
        <f t="shared" si="52"/>
        <v>1</v>
      </c>
      <c r="AH215" s="15">
        <f t="shared" si="53"/>
        <v>550</v>
      </c>
      <c r="AI215" s="4">
        <v>550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8E07-A6C5-4AD4-ABC7-6EB50692A95D}">
  <sheetPr codeName="Planilha13"/>
  <dimension ref="A1:AL214"/>
  <sheetViews>
    <sheetView zoomScaleNormal="100" workbookViewId="0">
      <pane xSplit="1" ySplit="1" topLeftCell="B194" activePane="bottomRight" state="frozen"/>
      <selection pane="topRight" activeCell="B1" sqref="B1"/>
      <selection pane="bottomLeft" activeCell="A2" sqref="A2"/>
      <selection pane="bottomRight" activeCell="AD205" sqref="AD205"/>
    </sheetView>
  </sheetViews>
  <sheetFormatPr defaultColWidth="8.7109375" defaultRowHeight="15" x14ac:dyDescent="0.25"/>
  <cols>
    <col min="1" max="1" width="10.7109375" style="11" bestFit="1" customWidth="1"/>
    <col min="2" max="2" width="12.85546875" style="4" bestFit="1" customWidth="1"/>
    <col min="3" max="3" width="17.42578125" style="4" bestFit="1" customWidth="1"/>
    <col min="4" max="4" width="25.7109375" style="4" bestFit="1" customWidth="1"/>
    <col min="5" max="5" width="6.28515625" style="4" bestFit="1" customWidth="1"/>
    <col min="6" max="6" width="11" style="4" bestFit="1" customWidth="1"/>
    <col min="7" max="7" width="9.5703125" style="4" bestFit="1" customWidth="1"/>
    <col min="8" max="8" width="8.42578125" style="4" bestFit="1" customWidth="1"/>
    <col min="9" max="9" width="23.5703125" style="4" bestFit="1" customWidth="1"/>
    <col min="10" max="10" width="13.85546875" style="4" bestFit="1" customWidth="1"/>
    <col min="11" max="15" width="13.85546875" style="4" customWidth="1"/>
    <col min="16" max="16" width="11.42578125" style="4" bestFit="1" customWidth="1"/>
    <col min="17" max="18" width="11.42578125" style="4" customWidth="1"/>
    <col min="19" max="19" width="24.28515625" style="4" bestFit="1" customWidth="1"/>
    <col min="20" max="20" width="8.7109375" style="4"/>
    <col min="21" max="23" width="11.7109375" style="4" bestFit="1" customWidth="1"/>
    <col min="24" max="24" width="8.7109375" style="4"/>
    <col min="25" max="25" width="32.42578125" style="4" bestFit="1" customWidth="1"/>
    <col min="26" max="26" width="32.140625" style="4" bestFit="1" customWidth="1"/>
    <col min="27" max="29" width="8.7109375" style="4"/>
    <col min="30" max="30" width="18.42578125" style="4" customWidth="1"/>
    <col min="31" max="31" width="8.85546875" style="4" bestFit="1" customWidth="1"/>
    <col min="32" max="32" width="11.28515625" style="4" customWidth="1"/>
    <col min="33" max="34" width="6.28515625" style="4" customWidth="1"/>
    <col min="35" max="16384" width="8.7109375" style="4"/>
  </cols>
  <sheetData>
    <row r="1" spans="1:26" ht="32.25" customHeight="1" x14ac:dyDescent="0.25">
      <c r="A1" s="139" t="s">
        <v>88</v>
      </c>
      <c r="B1" s="139" t="s">
        <v>89</v>
      </c>
      <c r="C1" s="139" t="s">
        <v>90</v>
      </c>
      <c r="D1" s="139" t="s">
        <v>91</v>
      </c>
      <c r="E1" s="139" t="s">
        <v>92</v>
      </c>
      <c r="F1" s="139" t="s">
        <v>93</v>
      </c>
      <c r="G1" s="139" t="s">
        <v>94</v>
      </c>
      <c r="H1" s="139" t="s">
        <v>95</v>
      </c>
      <c r="I1" s="139" t="s">
        <v>96</v>
      </c>
      <c r="J1" s="139" t="s">
        <v>97</v>
      </c>
      <c r="P1" s="140" t="s">
        <v>98</v>
      </c>
      <c r="Q1" s="140"/>
      <c r="R1" s="140"/>
      <c r="S1" s="140" t="s">
        <v>99</v>
      </c>
      <c r="U1" s="140" t="s">
        <v>100</v>
      </c>
      <c r="V1" s="140" t="s">
        <v>101</v>
      </c>
      <c r="W1" s="140" t="s">
        <v>102</v>
      </c>
      <c r="Y1" s="140" t="s">
        <v>103</v>
      </c>
      <c r="Z1" s="140" t="s">
        <v>104</v>
      </c>
    </row>
    <row r="2" spans="1:26" x14ac:dyDescent="0.25">
      <c r="A2" s="49">
        <v>39083</v>
      </c>
      <c r="B2" s="50">
        <v>3389</v>
      </c>
      <c r="C2" s="50">
        <v>-83</v>
      </c>
      <c r="D2" s="50">
        <v>5876</v>
      </c>
      <c r="E2" s="50">
        <v>156</v>
      </c>
      <c r="F2" s="50">
        <v>1239</v>
      </c>
      <c r="G2" s="50">
        <v>1107</v>
      </c>
      <c r="H2" s="50">
        <v>5097</v>
      </c>
      <c r="I2" s="50">
        <v>5</v>
      </c>
      <c r="J2" s="50">
        <f>SUM(B2:I2)</f>
        <v>16786</v>
      </c>
      <c r="P2" s="50"/>
      <c r="Q2" s="50"/>
      <c r="R2" s="50"/>
      <c r="S2" s="50"/>
      <c r="T2" s="5"/>
      <c r="U2" s="50"/>
      <c r="V2" s="50"/>
      <c r="W2" s="50"/>
      <c r="Y2" s="51">
        <f>IF(A2=0,"",MONTH(A2))</f>
        <v>1</v>
      </c>
      <c r="Z2" s="51">
        <f>IF(A2=0,"",YEAR(A2))</f>
        <v>2007</v>
      </c>
    </row>
    <row r="3" spans="1:26" x14ac:dyDescent="0.25">
      <c r="A3" s="52">
        <v>39114</v>
      </c>
      <c r="B3" s="53">
        <v>5983</v>
      </c>
      <c r="C3" s="53">
        <v>-20</v>
      </c>
      <c r="D3" s="53">
        <v>8973</v>
      </c>
      <c r="E3" s="53">
        <v>188</v>
      </c>
      <c r="F3" s="53">
        <v>-556</v>
      </c>
      <c r="G3" s="53">
        <v>-906</v>
      </c>
      <c r="H3" s="53">
        <v>594</v>
      </c>
      <c r="I3" s="53">
        <v>1</v>
      </c>
      <c r="J3" s="53">
        <f t="shared" ref="J3:J66" si="0">SUM(B3:I3)</f>
        <v>14257</v>
      </c>
      <c r="P3" s="53"/>
      <c r="Q3" s="53"/>
      <c r="R3" s="53"/>
      <c r="S3" s="53"/>
      <c r="T3" s="5"/>
      <c r="U3" s="53"/>
      <c r="V3" s="53"/>
      <c r="W3" s="53"/>
      <c r="Y3" s="51">
        <f t="shared" ref="Y3:Y66" si="1">IF(A3=0,"",MONTH(A3))</f>
        <v>2</v>
      </c>
      <c r="Z3" s="51">
        <f t="shared" ref="Z3:Z66" si="2">IF(A3=0,"",YEAR(A3))</f>
        <v>2007</v>
      </c>
    </row>
    <row r="4" spans="1:26" x14ac:dyDescent="0.25">
      <c r="A4" s="49">
        <v>39142</v>
      </c>
      <c r="B4" s="50">
        <v>-4524</v>
      </c>
      <c r="C4" s="50">
        <v>-2</v>
      </c>
      <c r="D4" s="50">
        <v>10013</v>
      </c>
      <c r="E4" s="50">
        <v>-92</v>
      </c>
      <c r="F4" s="50">
        <v>341</v>
      </c>
      <c r="G4" s="50">
        <v>1486</v>
      </c>
      <c r="H4" s="50">
        <v>3155</v>
      </c>
      <c r="I4" s="50">
        <v>35</v>
      </c>
      <c r="J4" s="50">
        <f t="shared" si="0"/>
        <v>10412</v>
      </c>
      <c r="P4" s="50"/>
      <c r="Q4" s="50"/>
      <c r="R4" s="50"/>
      <c r="S4" s="50"/>
      <c r="T4" s="5"/>
      <c r="U4" s="50"/>
      <c r="V4" s="50"/>
      <c r="W4" s="50"/>
      <c r="Y4" s="51">
        <f t="shared" si="1"/>
        <v>3</v>
      </c>
      <c r="Z4" s="51">
        <f t="shared" si="2"/>
        <v>2007</v>
      </c>
    </row>
    <row r="5" spans="1:26" x14ac:dyDescent="0.25">
      <c r="A5" s="52">
        <v>39173</v>
      </c>
      <c r="B5" s="53">
        <v>-457</v>
      </c>
      <c r="C5" s="53">
        <v>103</v>
      </c>
      <c r="D5" s="53">
        <v>6839</v>
      </c>
      <c r="E5" s="53">
        <v>286</v>
      </c>
      <c r="F5" s="53">
        <v>994</v>
      </c>
      <c r="G5" s="53">
        <v>4293</v>
      </c>
      <c r="H5" s="53">
        <v>3862</v>
      </c>
      <c r="I5" s="53">
        <v>43</v>
      </c>
      <c r="J5" s="53">
        <f t="shared" si="0"/>
        <v>15963</v>
      </c>
      <c r="P5" s="53"/>
      <c r="Q5" s="53"/>
      <c r="R5" s="53"/>
      <c r="S5" s="53"/>
      <c r="T5" s="5"/>
      <c r="U5" s="53"/>
      <c r="V5" s="53"/>
      <c r="W5" s="53"/>
      <c r="Y5" s="51">
        <f t="shared" si="1"/>
        <v>4</v>
      </c>
      <c r="Z5" s="51">
        <f t="shared" si="2"/>
        <v>2007</v>
      </c>
    </row>
    <row r="6" spans="1:26" x14ac:dyDescent="0.25">
      <c r="A6" s="49">
        <v>39203</v>
      </c>
      <c r="B6" s="50">
        <v>-3976</v>
      </c>
      <c r="C6" s="50">
        <v>82</v>
      </c>
      <c r="D6" s="50">
        <v>312</v>
      </c>
      <c r="E6" s="50">
        <v>49</v>
      </c>
      <c r="F6" s="50">
        <v>485</v>
      </c>
      <c r="G6" s="50">
        <v>-490</v>
      </c>
      <c r="H6" s="50">
        <v>1029</v>
      </c>
      <c r="I6" s="50">
        <v>37</v>
      </c>
      <c r="J6" s="50">
        <f t="shared" si="0"/>
        <v>-2472</v>
      </c>
      <c r="P6" s="50"/>
      <c r="Q6" s="50"/>
      <c r="R6" s="50"/>
      <c r="S6" s="50"/>
      <c r="T6" s="5"/>
      <c r="U6" s="50"/>
      <c r="V6" s="50"/>
      <c r="W6" s="50"/>
      <c r="Y6" s="51">
        <f t="shared" si="1"/>
        <v>5</v>
      </c>
      <c r="Z6" s="51">
        <f t="shared" si="2"/>
        <v>2007</v>
      </c>
    </row>
    <row r="7" spans="1:26" x14ac:dyDescent="0.25">
      <c r="A7" s="52">
        <v>39234</v>
      </c>
      <c r="B7" s="53">
        <v>-1167</v>
      </c>
      <c r="C7" s="53">
        <v>50</v>
      </c>
      <c r="D7" s="53">
        <v>-3274</v>
      </c>
      <c r="E7" s="53">
        <v>-131</v>
      </c>
      <c r="F7" s="53">
        <v>1082</v>
      </c>
      <c r="G7" s="53">
        <v>785</v>
      </c>
      <c r="H7" s="53">
        <v>1930</v>
      </c>
      <c r="I7" s="53">
        <v>15</v>
      </c>
      <c r="J7" s="53">
        <f t="shared" si="0"/>
        <v>-710</v>
      </c>
      <c r="P7" s="53"/>
      <c r="Q7" s="53"/>
      <c r="R7" s="53"/>
      <c r="S7" s="53"/>
      <c r="T7" s="5"/>
      <c r="U7" s="53"/>
      <c r="V7" s="53"/>
      <c r="W7" s="53"/>
      <c r="Y7" s="51">
        <f t="shared" si="1"/>
        <v>6</v>
      </c>
      <c r="Z7" s="51">
        <f t="shared" si="2"/>
        <v>2007</v>
      </c>
    </row>
    <row r="8" spans="1:26" x14ac:dyDescent="0.25">
      <c r="A8" s="49">
        <v>39264</v>
      </c>
      <c r="B8" s="50">
        <v>-130</v>
      </c>
      <c r="C8" s="50">
        <v>18</v>
      </c>
      <c r="D8" s="50">
        <v>-3862</v>
      </c>
      <c r="E8" s="50">
        <v>181</v>
      </c>
      <c r="F8" s="50">
        <v>1039</v>
      </c>
      <c r="G8" s="50">
        <v>243</v>
      </c>
      <c r="H8" s="50">
        <v>1176</v>
      </c>
      <c r="I8" s="50">
        <v>-76</v>
      </c>
      <c r="J8" s="50">
        <f t="shared" si="0"/>
        <v>-1411</v>
      </c>
      <c r="P8" s="50"/>
      <c r="Q8" s="50"/>
      <c r="R8" s="50"/>
      <c r="S8" s="50"/>
      <c r="T8" s="5"/>
      <c r="U8" s="50"/>
      <c r="V8" s="50"/>
      <c r="W8" s="50"/>
      <c r="Y8" s="51">
        <f t="shared" si="1"/>
        <v>7</v>
      </c>
      <c r="Z8" s="51">
        <f t="shared" si="2"/>
        <v>2007</v>
      </c>
    </row>
    <row r="9" spans="1:26" x14ac:dyDescent="0.25">
      <c r="A9" s="52">
        <v>39295</v>
      </c>
      <c r="B9" s="53">
        <v>474</v>
      </c>
      <c r="C9" s="53">
        <v>-11</v>
      </c>
      <c r="D9" s="53">
        <v>-5554</v>
      </c>
      <c r="E9" s="53">
        <v>-20</v>
      </c>
      <c r="F9" s="53">
        <v>1872</v>
      </c>
      <c r="G9" s="53">
        <v>1692</v>
      </c>
      <c r="H9" s="53">
        <v>3044</v>
      </c>
      <c r="I9" s="53">
        <v>38</v>
      </c>
      <c r="J9" s="53">
        <f t="shared" si="0"/>
        <v>1535</v>
      </c>
      <c r="P9" s="53"/>
      <c r="Q9" s="53"/>
      <c r="R9" s="53"/>
      <c r="S9" s="53"/>
      <c r="T9" s="5"/>
      <c r="U9" s="53"/>
      <c r="V9" s="53"/>
      <c r="W9" s="53"/>
      <c r="Y9" s="51">
        <f t="shared" si="1"/>
        <v>8</v>
      </c>
      <c r="Z9" s="51">
        <f t="shared" si="2"/>
        <v>2007</v>
      </c>
    </row>
    <row r="10" spans="1:26" x14ac:dyDescent="0.25">
      <c r="A10" s="49">
        <v>39326</v>
      </c>
      <c r="B10" s="50">
        <v>969</v>
      </c>
      <c r="C10" s="50">
        <v>-37</v>
      </c>
      <c r="D10" s="50">
        <v>4947</v>
      </c>
      <c r="E10" s="50">
        <v>55</v>
      </c>
      <c r="F10" s="50">
        <v>1404</v>
      </c>
      <c r="G10" s="50">
        <v>4895</v>
      </c>
      <c r="H10" s="50">
        <v>3844</v>
      </c>
      <c r="I10" s="50">
        <v>46</v>
      </c>
      <c r="J10" s="50">
        <f t="shared" si="0"/>
        <v>16123</v>
      </c>
      <c r="P10" s="50"/>
      <c r="Q10" s="50"/>
      <c r="R10" s="50"/>
      <c r="S10" s="50"/>
      <c r="T10" s="5"/>
      <c r="U10" s="50"/>
      <c r="V10" s="50"/>
      <c r="W10" s="50"/>
      <c r="Y10" s="51">
        <f t="shared" si="1"/>
        <v>9</v>
      </c>
      <c r="Z10" s="51">
        <f t="shared" si="2"/>
        <v>2007</v>
      </c>
    </row>
    <row r="11" spans="1:26" x14ac:dyDescent="0.25">
      <c r="A11" s="52">
        <v>39356</v>
      </c>
      <c r="B11" s="53">
        <v>2775</v>
      </c>
      <c r="C11" s="53">
        <v>26</v>
      </c>
      <c r="D11" s="53">
        <v>7007</v>
      </c>
      <c r="E11" s="53">
        <v>-80</v>
      </c>
      <c r="F11" s="53">
        <v>1215</v>
      </c>
      <c r="G11" s="53">
        <v>6529</v>
      </c>
      <c r="H11" s="53">
        <v>3458</v>
      </c>
      <c r="I11" s="53">
        <v>-10</v>
      </c>
      <c r="J11" s="53">
        <f t="shared" si="0"/>
        <v>20920</v>
      </c>
      <c r="P11" s="53"/>
      <c r="Q11" s="53"/>
      <c r="R11" s="53"/>
      <c r="S11" s="53"/>
      <c r="T11" s="5"/>
      <c r="U11" s="53"/>
      <c r="V11" s="53"/>
      <c r="W11" s="53"/>
      <c r="Y11" s="51">
        <f t="shared" si="1"/>
        <v>10</v>
      </c>
      <c r="Z11" s="51">
        <f t="shared" si="2"/>
        <v>2007</v>
      </c>
    </row>
    <row r="12" spans="1:26" x14ac:dyDescent="0.25">
      <c r="A12" s="49">
        <v>39387</v>
      </c>
      <c r="B12" s="50">
        <v>2221</v>
      </c>
      <c r="C12" s="50">
        <v>-83</v>
      </c>
      <c r="D12" s="50">
        <v>6708</v>
      </c>
      <c r="E12" s="50">
        <v>83</v>
      </c>
      <c r="F12" s="50">
        <v>1087</v>
      </c>
      <c r="G12" s="50">
        <v>8175</v>
      </c>
      <c r="H12" s="50">
        <v>3748</v>
      </c>
      <c r="I12" s="50">
        <v>-15</v>
      </c>
      <c r="J12" s="50">
        <f t="shared" si="0"/>
        <v>21924</v>
      </c>
      <c r="P12" s="50"/>
      <c r="Q12" s="50"/>
      <c r="R12" s="50"/>
      <c r="S12" s="50"/>
      <c r="T12" s="5"/>
      <c r="U12" s="50"/>
      <c r="V12" s="50"/>
      <c r="W12" s="50"/>
      <c r="Y12" s="51">
        <f t="shared" si="1"/>
        <v>11</v>
      </c>
      <c r="Z12" s="51">
        <f t="shared" si="2"/>
        <v>2007</v>
      </c>
    </row>
    <row r="13" spans="1:26" x14ac:dyDescent="0.25">
      <c r="A13" s="52">
        <v>39417</v>
      </c>
      <c r="B13" s="53">
        <v>-1692</v>
      </c>
      <c r="C13" s="53">
        <v>-15</v>
      </c>
      <c r="D13" s="53">
        <v>-7449</v>
      </c>
      <c r="E13" s="53">
        <v>-202</v>
      </c>
      <c r="F13" s="53">
        <v>-884</v>
      </c>
      <c r="G13" s="53">
        <v>4159</v>
      </c>
      <c r="H13" s="53">
        <v>-1814</v>
      </c>
      <c r="I13" s="53">
        <v>-165</v>
      </c>
      <c r="J13" s="53">
        <f t="shared" si="0"/>
        <v>-8062</v>
      </c>
      <c r="P13" s="53">
        <f>IF(J13=0,"",SUM(J2:J13))</f>
        <v>105265</v>
      </c>
      <c r="Q13" s="53"/>
      <c r="R13" s="53"/>
      <c r="S13" s="53"/>
      <c r="T13" s="5"/>
      <c r="U13" s="53">
        <f>IF(J13=0,"",SUM(D2:D13))</f>
        <v>30536</v>
      </c>
      <c r="V13" s="53">
        <f>IF(J13=0,"",SUM(F2:F13))</f>
        <v>9318</v>
      </c>
      <c r="W13" s="53">
        <f>IF(J13=0,"",SUM(C2:F13))</f>
        <v>40355</v>
      </c>
      <c r="Y13" s="51">
        <f t="shared" si="1"/>
        <v>12</v>
      </c>
      <c r="Z13" s="51">
        <f t="shared" si="2"/>
        <v>2007</v>
      </c>
    </row>
    <row r="14" spans="1:26" x14ac:dyDescent="0.25">
      <c r="A14" s="49">
        <v>39448</v>
      </c>
      <c r="B14" s="50">
        <v>3473</v>
      </c>
      <c r="C14" s="50">
        <v>18</v>
      </c>
      <c r="D14" s="50">
        <v>7978</v>
      </c>
      <c r="E14" s="50">
        <v>166</v>
      </c>
      <c r="F14" s="50">
        <v>2430</v>
      </c>
      <c r="G14" s="50">
        <v>1122</v>
      </c>
      <c r="H14" s="50">
        <v>5552</v>
      </c>
      <c r="I14" s="50">
        <v>0</v>
      </c>
      <c r="J14" s="50">
        <f t="shared" si="0"/>
        <v>20739</v>
      </c>
      <c r="P14" s="50">
        <f t="shared" ref="P14:P77" si="3">IF(J14=0,"",SUM(J3:J14))</f>
        <v>109218</v>
      </c>
      <c r="Q14" s="50"/>
      <c r="R14" s="50"/>
      <c r="S14" s="50" t="b">
        <f>IF(J14=0,"",J14&gt;J2)</f>
        <v>1</v>
      </c>
      <c r="T14" s="5"/>
      <c r="U14" s="50">
        <f t="shared" ref="U14:U77" si="4">IF(J14=0,"",SUM(D3:D14))</f>
        <v>32638</v>
      </c>
      <c r="V14" s="50">
        <f t="shared" ref="V14:V77" si="5">IF(J14=0,"",SUM(F3:F14))</f>
        <v>10509</v>
      </c>
      <c r="W14" s="50">
        <f t="shared" ref="W14:W77" si="6">IF(J14=0,"",SUM(C3:F14))</f>
        <v>43759</v>
      </c>
      <c r="Y14" s="51">
        <f t="shared" si="1"/>
        <v>1</v>
      </c>
      <c r="Z14" s="51">
        <f t="shared" si="2"/>
        <v>2008</v>
      </c>
    </row>
    <row r="15" spans="1:26" x14ac:dyDescent="0.25">
      <c r="A15" s="52">
        <v>39479</v>
      </c>
      <c r="B15" s="53">
        <v>2326</v>
      </c>
      <c r="C15" s="53">
        <v>13</v>
      </c>
      <c r="D15" s="53">
        <v>14760</v>
      </c>
      <c r="E15" s="53">
        <v>-36</v>
      </c>
      <c r="F15" s="53">
        <v>885</v>
      </c>
      <c r="G15" s="53">
        <v>-28</v>
      </c>
      <c r="H15" s="53">
        <v>2654</v>
      </c>
      <c r="I15" s="53">
        <v>0</v>
      </c>
      <c r="J15" s="53">
        <f t="shared" si="0"/>
        <v>20574</v>
      </c>
      <c r="P15" s="53">
        <f t="shared" si="3"/>
        <v>115535</v>
      </c>
      <c r="Q15" s="53"/>
      <c r="R15" s="53"/>
      <c r="S15" s="53" t="b">
        <f t="shared" ref="S15:S78" si="7">IF(J15=0,"",J15&gt;J3)</f>
        <v>1</v>
      </c>
      <c r="T15" s="5"/>
      <c r="U15" s="53">
        <f t="shared" si="4"/>
        <v>38425</v>
      </c>
      <c r="V15" s="53">
        <f t="shared" si="5"/>
        <v>11950</v>
      </c>
      <c r="W15" s="53">
        <f t="shared" si="6"/>
        <v>50796</v>
      </c>
      <c r="Y15" s="51">
        <f t="shared" si="1"/>
        <v>2</v>
      </c>
      <c r="Z15" s="51">
        <f t="shared" si="2"/>
        <v>2008</v>
      </c>
    </row>
    <row r="16" spans="1:26" x14ac:dyDescent="0.25">
      <c r="A16" s="49">
        <v>39508</v>
      </c>
      <c r="B16" s="50">
        <v>-616</v>
      </c>
      <c r="C16" s="50">
        <v>178</v>
      </c>
      <c r="D16" s="50">
        <v>10980</v>
      </c>
      <c r="E16" s="50">
        <v>186</v>
      </c>
      <c r="F16" s="50">
        <v>1715</v>
      </c>
      <c r="G16" s="50">
        <v>2516</v>
      </c>
      <c r="H16" s="50">
        <v>4838</v>
      </c>
      <c r="I16" s="50">
        <v>0</v>
      </c>
      <c r="J16" s="50">
        <f t="shared" si="0"/>
        <v>19797</v>
      </c>
      <c r="P16" s="50">
        <f t="shared" si="3"/>
        <v>124920</v>
      </c>
      <c r="Q16" s="50"/>
      <c r="R16" s="50"/>
      <c r="S16" s="50" t="b">
        <f t="shared" si="7"/>
        <v>1</v>
      </c>
      <c r="T16" s="5"/>
      <c r="U16" s="50">
        <f t="shared" si="4"/>
        <v>39392</v>
      </c>
      <c r="V16" s="50">
        <f t="shared" si="5"/>
        <v>13324</v>
      </c>
      <c r="W16" s="50">
        <f t="shared" si="6"/>
        <v>53595</v>
      </c>
      <c r="Y16" s="51">
        <f t="shared" si="1"/>
        <v>3</v>
      </c>
      <c r="Z16" s="51">
        <f t="shared" si="2"/>
        <v>2008</v>
      </c>
    </row>
    <row r="17" spans="1:26" x14ac:dyDescent="0.25">
      <c r="A17" s="52">
        <v>39539</v>
      </c>
      <c r="B17" s="53">
        <v>-2912</v>
      </c>
      <c r="C17" s="53">
        <v>112</v>
      </c>
      <c r="D17" s="53">
        <v>7151</v>
      </c>
      <c r="E17" s="53">
        <v>235</v>
      </c>
      <c r="F17" s="53">
        <v>1550</v>
      </c>
      <c r="G17" s="53">
        <v>3905</v>
      </c>
      <c r="H17" s="53">
        <v>4586</v>
      </c>
      <c r="I17" s="53">
        <v>0</v>
      </c>
      <c r="J17" s="53">
        <f t="shared" si="0"/>
        <v>14627</v>
      </c>
      <c r="P17" s="53">
        <f t="shared" si="3"/>
        <v>123584</v>
      </c>
      <c r="Q17" s="53"/>
      <c r="R17" s="53"/>
      <c r="S17" s="53" t="b">
        <f t="shared" si="7"/>
        <v>0</v>
      </c>
      <c r="T17" s="5"/>
      <c r="U17" s="53">
        <f t="shared" si="4"/>
        <v>39704</v>
      </c>
      <c r="V17" s="53">
        <f t="shared" si="5"/>
        <v>13880</v>
      </c>
      <c r="W17" s="53">
        <f t="shared" si="6"/>
        <v>54421</v>
      </c>
      <c r="Y17" s="51">
        <f t="shared" si="1"/>
        <v>4</v>
      </c>
      <c r="Z17" s="51">
        <f t="shared" si="2"/>
        <v>2008</v>
      </c>
    </row>
    <row r="18" spans="1:26" x14ac:dyDescent="0.25">
      <c r="A18" s="49">
        <v>39569</v>
      </c>
      <c r="B18" s="50">
        <v>-3178</v>
      </c>
      <c r="C18" s="50">
        <v>96</v>
      </c>
      <c r="D18" s="50">
        <v>1062</v>
      </c>
      <c r="E18" s="50">
        <v>-162</v>
      </c>
      <c r="F18" s="50">
        <v>625</v>
      </c>
      <c r="G18" s="50">
        <v>2042</v>
      </c>
      <c r="H18" s="50">
        <v>2650</v>
      </c>
      <c r="I18" s="50">
        <v>0</v>
      </c>
      <c r="J18" s="50">
        <f t="shared" si="0"/>
        <v>3135</v>
      </c>
      <c r="P18" s="50">
        <f t="shared" si="3"/>
        <v>129191</v>
      </c>
      <c r="Q18" s="50"/>
      <c r="R18" s="50"/>
      <c r="S18" s="50" t="b">
        <f t="shared" si="7"/>
        <v>1</v>
      </c>
      <c r="T18" s="5"/>
      <c r="U18" s="50">
        <f t="shared" si="4"/>
        <v>40454</v>
      </c>
      <c r="V18" s="50">
        <f t="shared" si="5"/>
        <v>14020</v>
      </c>
      <c r="W18" s="50">
        <f t="shared" si="6"/>
        <v>55114</v>
      </c>
      <c r="Y18" s="51">
        <f t="shared" si="1"/>
        <v>5</v>
      </c>
      <c r="Z18" s="51">
        <f t="shared" si="2"/>
        <v>2008</v>
      </c>
    </row>
    <row r="19" spans="1:26" x14ac:dyDescent="0.25">
      <c r="A19" s="52">
        <v>39600</v>
      </c>
      <c r="B19" s="53">
        <v>-577</v>
      </c>
      <c r="C19" s="53">
        <v>130</v>
      </c>
      <c r="D19" s="53">
        <v>1188</v>
      </c>
      <c r="E19" s="53">
        <v>72</v>
      </c>
      <c r="F19" s="53">
        <v>1159</v>
      </c>
      <c r="G19" s="53">
        <v>2827</v>
      </c>
      <c r="H19" s="53">
        <v>3976</v>
      </c>
      <c r="I19" s="53">
        <v>0</v>
      </c>
      <c r="J19" s="53">
        <f t="shared" si="0"/>
        <v>8775</v>
      </c>
      <c r="P19" s="53">
        <f t="shared" si="3"/>
        <v>138676</v>
      </c>
      <c r="Q19" s="53"/>
      <c r="R19" s="53"/>
      <c r="S19" s="53" t="b">
        <f t="shared" si="7"/>
        <v>1</v>
      </c>
      <c r="T19" s="5"/>
      <c r="U19" s="53">
        <f t="shared" si="4"/>
        <v>44916</v>
      </c>
      <c r="V19" s="53">
        <f t="shared" si="5"/>
        <v>14097</v>
      </c>
      <c r="W19" s="53">
        <f t="shared" si="6"/>
        <v>59936</v>
      </c>
      <c r="Y19" s="51">
        <f t="shared" si="1"/>
        <v>6</v>
      </c>
      <c r="Z19" s="51">
        <f t="shared" si="2"/>
        <v>2008</v>
      </c>
    </row>
    <row r="20" spans="1:26" x14ac:dyDescent="0.25">
      <c r="A20" s="49">
        <v>39630</v>
      </c>
      <c r="B20" s="50">
        <v>17</v>
      </c>
      <c r="C20" s="50">
        <v>167</v>
      </c>
      <c r="D20" s="50">
        <v>410</v>
      </c>
      <c r="E20" s="50">
        <v>-55</v>
      </c>
      <c r="F20" s="50">
        <v>2034</v>
      </c>
      <c r="G20" s="50">
        <v>770</v>
      </c>
      <c r="H20" s="50">
        <v>2517</v>
      </c>
      <c r="I20" s="50">
        <v>0</v>
      </c>
      <c r="J20" s="50">
        <f t="shared" si="0"/>
        <v>5860</v>
      </c>
      <c r="P20" s="50">
        <f t="shared" si="3"/>
        <v>145947</v>
      </c>
      <c r="Q20" s="50"/>
      <c r="R20" s="50"/>
      <c r="S20" s="50" t="b">
        <f t="shared" si="7"/>
        <v>1</v>
      </c>
      <c r="T20" s="5"/>
      <c r="U20" s="50">
        <f t="shared" si="4"/>
        <v>49188</v>
      </c>
      <c r="V20" s="50">
        <f t="shared" si="5"/>
        <v>15092</v>
      </c>
      <c r="W20" s="50">
        <f t="shared" si="6"/>
        <v>65116</v>
      </c>
      <c r="Y20" s="51">
        <f t="shared" si="1"/>
        <v>7</v>
      </c>
      <c r="Z20" s="51">
        <f t="shared" si="2"/>
        <v>2008</v>
      </c>
    </row>
    <row r="21" spans="1:26" x14ac:dyDescent="0.25">
      <c r="A21" s="52">
        <v>39661</v>
      </c>
      <c r="B21" s="53">
        <v>762</v>
      </c>
      <c r="C21" s="53">
        <v>231</v>
      </c>
      <c r="D21" s="53">
        <v>-3969</v>
      </c>
      <c r="E21" s="53">
        <v>183</v>
      </c>
      <c r="F21" s="53">
        <v>1564</v>
      </c>
      <c r="G21" s="53">
        <v>2850</v>
      </c>
      <c r="H21" s="53">
        <v>4858</v>
      </c>
      <c r="I21" s="53">
        <v>0</v>
      </c>
      <c r="J21" s="53">
        <f t="shared" si="0"/>
        <v>6479</v>
      </c>
      <c r="P21" s="53">
        <f t="shared" si="3"/>
        <v>150891</v>
      </c>
      <c r="Q21" s="53"/>
      <c r="R21" s="53"/>
      <c r="S21" s="53" t="b">
        <f t="shared" si="7"/>
        <v>1</v>
      </c>
      <c r="T21" s="5"/>
      <c r="U21" s="53">
        <f t="shared" si="4"/>
        <v>50773</v>
      </c>
      <c r="V21" s="53">
        <f t="shared" si="5"/>
        <v>14784</v>
      </c>
      <c r="W21" s="53">
        <f t="shared" si="6"/>
        <v>66838</v>
      </c>
      <c r="Y21" s="51">
        <f t="shared" si="1"/>
        <v>8</v>
      </c>
      <c r="Z21" s="51">
        <f t="shared" si="2"/>
        <v>2008</v>
      </c>
    </row>
    <row r="22" spans="1:26" x14ac:dyDescent="0.25">
      <c r="A22" s="49">
        <v>39692</v>
      </c>
      <c r="B22" s="50">
        <v>874</v>
      </c>
      <c r="C22" s="50">
        <v>288</v>
      </c>
      <c r="D22" s="50">
        <v>-518</v>
      </c>
      <c r="E22" s="50">
        <v>54</v>
      </c>
      <c r="F22" s="50">
        <v>1210</v>
      </c>
      <c r="G22" s="50">
        <v>4752</v>
      </c>
      <c r="H22" s="50">
        <v>4816</v>
      </c>
      <c r="I22" s="50">
        <v>0</v>
      </c>
      <c r="J22" s="50">
        <f t="shared" si="0"/>
        <v>11476</v>
      </c>
      <c r="P22" s="50">
        <f t="shared" si="3"/>
        <v>146244</v>
      </c>
      <c r="Q22" s="50"/>
      <c r="R22" s="50"/>
      <c r="S22" s="50" t="b">
        <f t="shared" si="7"/>
        <v>0</v>
      </c>
      <c r="T22" s="5"/>
      <c r="U22" s="50">
        <f t="shared" si="4"/>
        <v>45308</v>
      </c>
      <c r="V22" s="50">
        <f t="shared" si="5"/>
        <v>14590</v>
      </c>
      <c r="W22" s="50">
        <f t="shared" si="6"/>
        <v>61503</v>
      </c>
      <c r="Y22" s="51">
        <f t="shared" si="1"/>
        <v>9</v>
      </c>
      <c r="Z22" s="51">
        <f t="shared" si="2"/>
        <v>2008</v>
      </c>
    </row>
    <row r="23" spans="1:26" x14ac:dyDescent="0.25">
      <c r="A23" s="52">
        <v>39722</v>
      </c>
      <c r="B23" s="53">
        <v>2544</v>
      </c>
      <c r="C23" s="53">
        <v>108</v>
      </c>
      <c r="D23" s="53">
        <v>-1345</v>
      </c>
      <c r="E23" s="53">
        <v>102</v>
      </c>
      <c r="F23" s="53">
        <v>83</v>
      </c>
      <c r="G23" s="53">
        <v>5351</v>
      </c>
      <c r="H23" s="53">
        <v>2680</v>
      </c>
      <c r="I23" s="53">
        <v>0</v>
      </c>
      <c r="J23" s="53">
        <f t="shared" si="0"/>
        <v>9523</v>
      </c>
      <c r="P23" s="53">
        <f t="shared" si="3"/>
        <v>134847</v>
      </c>
      <c r="Q23" s="53"/>
      <c r="R23" s="53"/>
      <c r="S23" s="53" t="b">
        <f t="shared" si="7"/>
        <v>0</v>
      </c>
      <c r="T23" s="5"/>
      <c r="U23" s="53">
        <f t="shared" si="4"/>
        <v>36956</v>
      </c>
      <c r="V23" s="53">
        <f t="shared" si="5"/>
        <v>13458</v>
      </c>
      <c r="W23" s="53">
        <f t="shared" si="6"/>
        <v>52283</v>
      </c>
      <c r="Y23" s="51">
        <f t="shared" si="1"/>
        <v>10</v>
      </c>
      <c r="Z23" s="51">
        <f t="shared" si="2"/>
        <v>2008</v>
      </c>
    </row>
    <row r="24" spans="1:26" x14ac:dyDescent="0.25">
      <c r="A24" s="49">
        <v>39753</v>
      </c>
      <c r="B24" s="50">
        <v>1703</v>
      </c>
      <c r="C24" s="50">
        <v>77</v>
      </c>
      <c r="D24" s="50">
        <v>-5099</v>
      </c>
      <c r="E24" s="50">
        <v>-28</v>
      </c>
      <c r="F24" s="50">
        <v>-255</v>
      </c>
      <c r="G24" s="50">
        <v>7214</v>
      </c>
      <c r="H24" s="50">
        <v>5669</v>
      </c>
      <c r="I24" s="50">
        <v>0</v>
      </c>
      <c r="J24" s="50">
        <f t="shared" si="0"/>
        <v>9281</v>
      </c>
      <c r="P24" s="50">
        <f t="shared" si="3"/>
        <v>122204</v>
      </c>
      <c r="Q24" s="50"/>
      <c r="R24" s="50"/>
      <c r="S24" s="50" t="b">
        <f t="shared" si="7"/>
        <v>0</v>
      </c>
      <c r="T24" s="5"/>
      <c r="U24" s="50">
        <f t="shared" si="4"/>
        <v>25149</v>
      </c>
      <c r="V24" s="50">
        <f t="shared" si="5"/>
        <v>12116</v>
      </c>
      <c r="W24" s="50">
        <f t="shared" si="6"/>
        <v>39183</v>
      </c>
      <c r="Y24" s="51">
        <f t="shared" si="1"/>
        <v>11</v>
      </c>
      <c r="Z24" s="51">
        <f t="shared" si="2"/>
        <v>2008</v>
      </c>
    </row>
    <row r="25" spans="1:26" x14ac:dyDescent="0.25">
      <c r="A25" s="52">
        <v>39783</v>
      </c>
      <c r="B25" s="53">
        <v>-3498</v>
      </c>
      <c r="C25" s="53">
        <v>-91</v>
      </c>
      <c r="D25" s="53">
        <v>-18065</v>
      </c>
      <c r="E25" s="53">
        <v>-136</v>
      </c>
      <c r="F25" s="53">
        <v>-2536</v>
      </c>
      <c r="G25" s="53">
        <v>906</v>
      </c>
      <c r="H25" s="53">
        <v>-5035</v>
      </c>
      <c r="I25" s="53">
        <v>0</v>
      </c>
      <c r="J25" s="53">
        <f t="shared" si="0"/>
        <v>-28455</v>
      </c>
      <c r="P25" s="53">
        <f t="shared" si="3"/>
        <v>101811</v>
      </c>
      <c r="Q25" s="53"/>
      <c r="R25" s="53"/>
      <c r="S25" s="53" t="b">
        <f t="shared" si="7"/>
        <v>0</v>
      </c>
      <c r="T25" s="5"/>
      <c r="U25" s="53">
        <f t="shared" si="4"/>
        <v>14533</v>
      </c>
      <c r="V25" s="53">
        <f t="shared" si="5"/>
        <v>10464</v>
      </c>
      <c r="W25" s="53">
        <f t="shared" si="6"/>
        <v>26905</v>
      </c>
      <c r="Y25" s="51">
        <f t="shared" si="1"/>
        <v>12</v>
      </c>
      <c r="Z25" s="51">
        <f t="shared" si="2"/>
        <v>2008</v>
      </c>
    </row>
    <row r="26" spans="1:26" x14ac:dyDescent="0.25">
      <c r="A26" s="49">
        <v>39814</v>
      </c>
      <c r="B26" s="50">
        <v>3399</v>
      </c>
      <c r="C26" s="50">
        <v>132</v>
      </c>
      <c r="D26" s="50">
        <v>-3592</v>
      </c>
      <c r="E26" s="50">
        <v>137</v>
      </c>
      <c r="F26" s="50">
        <v>1062</v>
      </c>
      <c r="G26" s="50">
        <v>-544</v>
      </c>
      <c r="H26" s="50">
        <v>3670</v>
      </c>
      <c r="I26" s="50">
        <v>0</v>
      </c>
      <c r="J26" s="50">
        <f t="shared" si="0"/>
        <v>4264</v>
      </c>
      <c r="P26" s="50">
        <f t="shared" si="3"/>
        <v>85336</v>
      </c>
      <c r="Q26" s="50"/>
      <c r="R26" s="50"/>
      <c r="S26" s="50" t="b">
        <f t="shared" si="7"/>
        <v>0</v>
      </c>
      <c r="T26" s="5"/>
      <c r="U26" s="50">
        <f t="shared" si="4"/>
        <v>2963</v>
      </c>
      <c r="V26" s="50">
        <f t="shared" si="5"/>
        <v>9096</v>
      </c>
      <c r="W26" s="50">
        <f t="shared" si="6"/>
        <v>14052</v>
      </c>
      <c r="Y26" s="51">
        <f t="shared" si="1"/>
        <v>1</v>
      </c>
      <c r="Z26" s="51">
        <f t="shared" si="2"/>
        <v>2009</v>
      </c>
    </row>
    <row r="27" spans="1:26" x14ac:dyDescent="0.25">
      <c r="A27" s="52">
        <v>39845</v>
      </c>
      <c r="B27" s="53">
        <v>3501</v>
      </c>
      <c r="C27" s="53">
        <v>-99</v>
      </c>
      <c r="D27" s="53">
        <v>-25</v>
      </c>
      <c r="E27" s="53">
        <v>-13</v>
      </c>
      <c r="F27" s="53">
        <v>-201</v>
      </c>
      <c r="G27" s="53">
        <v>-1795</v>
      </c>
      <c r="H27" s="53">
        <v>855</v>
      </c>
      <c r="I27" s="53">
        <v>0</v>
      </c>
      <c r="J27" s="53">
        <f t="shared" si="0"/>
        <v>2223</v>
      </c>
      <c r="P27" s="53">
        <f t="shared" si="3"/>
        <v>66985</v>
      </c>
      <c r="Q27" s="53"/>
      <c r="R27" s="53"/>
      <c r="S27" s="53" t="b">
        <f t="shared" si="7"/>
        <v>0</v>
      </c>
      <c r="T27" s="5"/>
      <c r="U27" s="53">
        <f t="shared" si="4"/>
        <v>-11822</v>
      </c>
      <c r="V27" s="53">
        <f t="shared" si="5"/>
        <v>8010</v>
      </c>
      <c r="W27" s="53">
        <f t="shared" si="6"/>
        <v>-1908</v>
      </c>
      <c r="Y27" s="51">
        <f t="shared" si="1"/>
        <v>2</v>
      </c>
      <c r="Z27" s="51">
        <f t="shared" si="2"/>
        <v>2009</v>
      </c>
    </row>
    <row r="28" spans="1:26" x14ac:dyDescent="0.25">
      <c r="A28" s="49">
        <v>39873</v>
      </c>
      <c r="B28" s="50">
        <v>-3686</v>
      </c>
      <c r="C28" s="50">
        <v>18</v>
      </c>
      <c r="D28" s="50">
        <v>1725</v>
      </c>
      <c r="E28" s="50">
        <v>45</v>
      </c>
      <c r="F28" s="50">
        <v>11</v>
      </c>
      <c r="G28" s="50">
        <v>2035</v>
      </c>
      <c r="H28" s="50">
        <v>5531</v>
      </c>
      <c r="I28" s="50">
        <v>0</v>
      </c>
      <c r="J28" s="50">
        <f t="shared" si="0"/>
        <v>5679</v>
      </c>
      <c r="P28" s="50">
        <f t="shared" si="3"/>
        <v>52867</v>
      </c>
      <c r="Q28" s="50"/>
      <c r="R28" s="50"/>
      <c r="S28" s="50" t="b">
        <f t="shared" si="7"/>
        <v>0</v>
      </c>
      <c r="T28" s="5"/>
      <c r="U28" s="50">
        <f t="shared" si="4"/>
        <v>-21077</v>
      </c>
      <c r="V28" s="50">
        <f t="shared" si="5"/>
        <v>6306</v>
      </c>
      <c r="W28" s="50">
        <f t="shared" si="6"/>
        <v>-13168</v>
      </c>
      <c r="Y28" s="51">
        <f t="shared" si="1"/>
        <v>3</v>
      </c>
      <c r="Z28" s="51">
        <f t="shared" si="2"/>
        <v>2009</v>
      </c>
    </row>
    <row r="29" spans="1:26" x14ac:dyDescent="0.25">
      <c r="A29" s="52">
        <v>39904</v>
      </c>
      <c r="B29" s="53">
        <v>-862</v>
      </c>
      <c r="C29" s="53">
        <v>-794</v>
      </c>
      <c r="D29" s="53">
        <v>446</v>
      </c>
      <c r="E29" s="53">
        <v>213</v>
      </c>
      <c r="F29" s="53">
        <v>336</v>
      </c>
      <c r="G29" s="53">
        <v>1571</v>
      </c>
      <c r="H29" s="53">
        <v>3215</v>
      </c>
      <c r="I29" s="53">
        <v>0</v>
      </c>
      <c r="J29" s="53">
        <f t="shared" si="0"/>
        <v>4125</v>
      </c>
      <c r="P29" s="53">
        <f t="shared" si="3"/>
        <v>42365</v>
      </c>
      <c r="Q29" s="53"/>
      <c r="R29" s="53"/>
      <c r="S29" s="53" t="b">
        <f t="shared" si="7"/>
        <v>0</v>
      </c>
      <c r="T29" s="5"/>
      <c r="U29" s="53">
        <f t="shared" si="4"/>
        <v>-27782</v>
      </c>
      <c r="V29" s="53">
        <f t="shared" si="5"/>
        <v>5092</v>
      </c>
      <c r="W29" s="53">
        <f t="shared" si="6"/>
        <v>-22015</v>
      </c>
      <c r="Y29" s="51">
        <f t="shared" si="1"/>
        <v>4</v>
      </c>
      <c r="Z29" s="51">
        <f t="shared" si="2"/>
        <v>2009</v>
      </c>
    </row>
    <row r="30" spans="1:26" x14ac:dyDescent="0.25">
      <c r="A30" s="49">
        <v>39934</v>
      </c>
      <c r="B30" s="50">
        <v>-4364</v>
      </c>
      <c r="C30" s="50">
        <v>-38</v>
      </c>
      <c r="D30" s="50">
        <v>-4792</v>
      </c>
      <c r="E30" s="50">
        <v>125</v>
      </c>
      <c r="F30" s="50">
        <v>1485</v>
      </c>
      <c r="G30" s="50">
        <v>417</v>
      </c>
      <c r="H30" s="50">
        <v>4393</v>
      </c>
      <c r="I30" s="50">
        <v>0</v>
      </c>
      <c r="J30" s="50">
        <f t="shared" si="0"/>
        <v>-2774</v>
      </c>
      <c r="P30" s="50">
        <f t="shared" si="3"/>
        <v>36456</v>
      </c>
      <c r="Q30" s="50"/>
      <c r="R30" s="50"/>
      <c r="S30" s="50" t="b">
        <f t="shared" si="7"/>
        <v>0</v>
      </c>
      <c r="T30" s="5"/>
      <c r="U30" s="50">
        <f t="shared" si="4"/>
        <v>-33636</v>
      </c>
      <c r="V30" s="50">
        <f t="shared" si="5"/>
        <v>5952</v>
      </c>
      <c r="W30" s="50">
        <f t="shared" si="6"/>
        <v>-26856</v>
      </c>
      <c r="Y30" s="51">
        <f t="shared" si="1"/>
        <v>5</v>
      </c>
      <c r="Z30" s="51">
        <f t="shared" si="2"/>
        <v>2009</v>
      </c>
    </row>
    <row r="31" spans="1:26" x14ac:dyDescent="0.25">
      <c r="A31" s="52">
        <v>39965</v>
      </c>
      <c r="B31" s="53">
        <v>-1823</v>
      </c>
      <c r="C31" s="53">
        <v>43</v>
      </c>
      <c r="D31" s="53">
        <v>-2580</v>
      </c>
      <c r="E31" s="53">
        <v>-5</v>
      </c>
      <c r="F31" s="53">
        <v>1210</v>
      </c>
      <c r="G31" s="53">
        <v>710</v>
      </c>
      <c r="H31" s="53">
        <v>1835</v>
      </c>
      <c r="I31" s="53">
        <v>0</v>
      </c>
      <c r="J31" s="53">
        <f t="shared" si="0"/>
        <v>-610</v>
      </c>
      <c r="P31" s="53">
        <f t="shared" si="3"/>
        <v>27071</v>
      </c>
      <c r="Q31" s="53"/>
      <c r="R31" s="53"/>
      <c r="S31" s="53" t="b">
        <f t="shared" si="7"/>
        <v>0</v>
      </c>
      <c r="T31" s="5"/>
      <c r="U31" s="53">
        <f t="shared" si="4"/>
        <v>-37404</v>
      </c>
      <c r="V31" s="53">
        <f t="shared" si="5"/>
        <v>6003</v>
      </c>
      <c r="W31" s="53">
        <f t="shared" si="6"/>
        <v>-30737</v>
      </c>
      <c r="Y31" s="51">
        <f t="shared" si="1"/>
        <v>6</v>
      </c>
      <c r="Z31" s="51">
        <f t="shared" si="2"/>
        <v>2009</v>
      </c>
    </row>
    <row r="32" spans="1:26" x14ac:dyDescent="0.25">
      <c r="A32" s="49">
        <v>39995</v>
      </c>
      <c r="B32" s="50">
        <v>-378</v>
      </c>
      <c r="C32" s="50">
        <v>34</v>
      </c>
      <c r="D32" s="50">
        <v>-1954</v>
      </c>
      <c r="E32" s="50">
        <v>66</v>
      </c>
      <c r="F32" s="50">
        <v>928</v>
      </c>
      <c r="G32" s="50">
        <v>1079</v>
      </c>
      <c r="H32" s="50">
        <v>834</v>
      </c>
      <c r="I32" s="50">
        <v>0</v>
      </c>
      <c r="J32" s="50">
        <f t="shared" si="0"/>
        <v>609</v>
      </c>
      <c r="P32" s="50">
        <f t="shared" si="3"/>
        <v>21820</v>
      </c>
      <c r="Q32" s="50"/>
      <c r="R32" s="50"/>
      <c r="S32" s="50" t="b">
        <f t="shared" si="7"/>
        <v>0</v>
      </c>
      <c r="T32" s="5"/>
      <c r="U32" s="50">
        <f t="shared" si="4"/>
        <v>-39768</v>
      </c>
      <c r="V32" s="50">
        <f t="shared" si="5"/>
        <v>4897</v>
      </c>
      <c r="W32" s="50">
        <f t="shared" si="6"/>
        <v>-34219</v>
      </c>
      <c r="Y32" s="51">
        <f t="shared" si="1"/>
        <v>7</v>
      </c>
      <c r="Z32" s="51">
        <f t="shared" si="2"/>
        <v>2009</v>
      </c>
    </row>
    <row r="33" spans="1:26" x14ac:dyDescent="0.25">
      <c r="A33" s="52">
        <v>40026</v>
      </c>
      <c r="B33" s="53">
        <v>491</v>
      </c>
      <c r="C33" s="53">
        <v>58</v>
      </c>
      <c r="D33" s="53">
        <v>388</v>
      </c>
      <c r="E33" s="53">
        <v>-74</v>
      </c>
      <c r="F33" s="53">
        <v>2224</v>
      </c>
      <c r="G33" s="53">
        <v>3463</v>
      </c>
      <c r="H33" s="53">
        <v>5823</v>
      </c>
      <c r="I33" s="53">
        <v>0</v>
      </c>
      <c r="J33" s="53">
        <f t="shared" si="0"/>
        <v>12373</v>
      </c>
      <c r="P33" s="53">
        <f t="shared" si="3"/>
        <v>27714</v>
      </c>
      <c r="Q33" s="53"/>
      <c r="R33" s="53"/>
      <c r="S33" s="53" t="b">
        <f t="shared" si="7"/>
        <v>1</v>
      </c>
      <c r="T33" s="5"/>
      <c r="U33" s="53">
        <f t="shared" si="4"/>
        <v>-35411</v>
      </c>
      <c r="V33" s="53">
        <f t="shared" si="5"/>
        <v>5557</v>
      </c>
      <c r="W33" s="53">
        <f t="shared" si="6"/>
        <v>-29632</v>
      </c>
      <c r="Y33" s="51">
        <f t="shared" si="1"/>
        <v>8</v>
      </c>
      <c r="Z33" s="51">
        <f t="shared" si="2"/>
        <v>2009</v>
      </c>
    </row>
    <row r="34" spans="1:26" x14ac:dyDescent="0.25">
      <c r="A34" s="49">
        <v>40057</v>
      </c>
      <c r="B34" s="50">
        <v>1173</v>
      </c>
      <c r="C34" s="50">
        <v>45</v>
      </c>
      <c r="D34" s="50">
        <v>4958</v>
      </c>
      <c r="E34" s="50">
        <v>271</v>
      </c>
      <c r="F34" s="50">
        <v>1619</v>
      </c>
      <c r="G34" s="50">
        <v>4133</v>
      </c>
      <c r="H34" s="50">
        <v>4225</v>
      </c>
      <c r="I34" s="50">
        <v>0</v>
      </c>
      <c r="J34" s="50">
        <f t="shared" si="0"/>
        <v>16424</v>
      </c>
      <c r="P34" s="50">
        <f t="shared" si="3"/>
        <v>32662</v>
      </c>
      <c r="Q34" s="50"/>
      <c r="R34" s="50"/>
      <c r="S34" s="50" t="b">
        <f t="shared" si="7"/>
        <v>1</v>
      </c>
      <c r="T34" s="5"/>
      <c r="U34" s="50">
        <f t="shared" si="4"/>
        <v>-29935</v>
      </c>
      <c r="V34" s="50">
        <f t="shared" si="5"/>
        <v>5966</v>
      </c>
      <c r="W34" s="50">
        <f t="shared" si="6"/>
        <v>-23773</v>
      </c>
      <c r="Y34" s="51">
        <f t="shared" si="1"/>
        <v>9</v>
      </c>
      <c r="Z34" s="51">
        <f t="shared" si="2"/>
        <v>2009</v>
      </c>
    </row>
    <row r="35" spans="1:26" x14ac:dyDescent="0.25">
      <c r="A35" s="52">
        <v>40087</v>
      </c>
      <c r="B35" s="53">
        <v>2847</v>
      </c>
      <c r="C35" s="53">
        <v>53</v>
      </c>
      <c r="D35" s="53">
        <v>5180</v>
      </c>
      <c r="E35" s="53">
        <v>3</v>
      </c>
      <c r="F35" s="53">
        <v>2077</v>
      </c>
      <c r="G35" s="53">
        <v>6492</v>
      </c>
      <c r="H35" s="53">
        <v>4582</v>
      </c>
      <c r="I35" s="53">
        <v>0</v>
      </c>
      <c r="J35" s="53">
        <f t="shared" si="0"/>
        <v>21234</v>
      </c>
      <c r="P35" s="53">
        <f t="shared" si="3"/>
        <v>44373</v>
      </c>
      <c r="Q35" s="53"/>
      <c r="R35" s="53"/>
      <c r="S35" s="53" t="b">
        <f t="shared" si="7"/>
        <v>1</v>
      </c>
      <c r="T35" s="5"/>
      <c r="U35" s="53">
        <f t="shared" si="4"/>
        <v>-23410</v>
      </c>
      <c r="V35" s="53">
        <f t="shared" si="5"/>
        <v>7960</v>
      </c>
      <c r="W35" s="53">
        <f t="shared" si="6"/>
        <v>-15408</v>
      </c>
      <c r="Y35" s="51">
        <f t="shared" si="1"/>
        <v>10</v>
      </c>
      <c r="Z35" s="51">
        <f t="shared" si="2"/>
        <v>2009</v>
      </c>
    </row>
    <row r="36" spans="1:26" x14ac:dyDescent="0.25">
      <c r="A36" s="49">
        <v>40118</v>
      </c>
      <c r="B36" s="50">
        <v>2921</v>
      </c>
      <c r="C36" s="50">
        <v>4</v>
      </c>
      <c r="D36" s="50">
        <v>7585</v>
      </c>
      <c r="E36" s="50">
        <v>141</v>
      </c>
      <c r="F36" s="50">
        <v>1945</v>
      </c>
      <c r="G36" s="50">
        <v>8721</v>
      </c>
      <c r="H36" s="50">
        <v>6114</v>
      </c>
      <c r="I36" s="50">
        <v>0</v>
      </c>
      <c r="J36" s="50">
        <f t="shared" si="0"/>
        <v>27431</v>
      </c>
      <c r="P36" s="50">
        <f t="shared" si="3"/>
        <v>62523</v>
      </c>
      <c r="Q36" s="50"/>
      <c r="R36" s="50"/>
      <c r="S36" s="50" t="b">
        <f t="shared" si="7"/>
        <v>1</v>
      </c>
      <c r="T36" s="5"/>
      <c r="U36" s="50">
        <f t="shared" si="4"/>
        <v>-10726</v>
      </c>
      <c r="V36" s="50">
        <f t="shared" si="5"/>
        <v>10160</v>
      </c>
      <c r="W36" s="50">
        <f t="shared" si="6"/>
        <v>-428</v>
      </c>
      <c r="Y36" s="51">
        <f t="shared" si="1"/>
        <v>11</v>
      </c>
      <c r="Z36" s="51">
        <f t="shared" si="2"/>
        <v>2009</v>
      </c>
    </row>
    <row r="37" spans="1:26" x14ac:dyDescent="0.25">
      <c r="A37" s="52">
        <v>40148</v>
      </c>
      <c r="B37" s="53">
        <v>-2732</v>
      </c>
      <c r="C37" s="53">
        <v>-72</v>
      </c>
      <c r="D37" s="53">
        <v>-8721</v>
      </c>
      <c r="E37" s="53">
        <v>-28</v>
      </c>
      <c r="F37" s="53">
        <v>-1260</v>
      </c>
      <c r="G37" s="53">
        <v>2277</v>
      </c>
      <c r="H37" s="53">
        <v>-545</v>
      </c>
      <c r="I37" s="53">
        <v>0</v>
      </c>
      <c r="J37" s="53">
        <f t="shared" si="0"/>
        <v>-11081</v>
      </c>
      <c r="P37" s="53">
        <f t="shared" si="3"/>
        <v>79897</v>
      </c>
      <c r="Q37" s="53"/>
      <c r="R37" s="53"/>
      <c r="S37" s="53" t="b">
        <f t="shared" si="7"/>
        <v>1</v>
      </c>
      <c r="T37" s="5"/>
      <c r="U37" s="53">
        <f t="shared" si="4"/>
        <v>-1382</v>
      </c>
      <c r="V37" s="53">
        <f t="shared" si="5"/>
        <v>11436</v>
      </c>
      <c r="W37" s="53">
        <f t="shared" si="6"/>
        <v>10319</v>
      </c>
      <c r="Y37" s="51">
        <f t="shared" si="1"/>
        <v>12</v>
      </c>
      <c r="Z37" s="51">
        <f t="shared" si="2"/>
        <v>2009</v>
      </c>
    </row>
    <row r="38" spans="1:26" x14ac:dyDescent="0.25">
      <c r="A38" s="49">
        <v>40179</v>
      </c>
      <c r="B38" s="50">
        <v>4033</v>
      </c>
      <c r="C38" s="50">
        <v>-6</v>
      </c>
      <c r="D38" s="50">
        <v>8139</v>
      </c>
      <c r="E38" s="50">
        <v>59</v>
      </c>
      <c r="F38" s="50">
        <v>3555</v>
      </c>
      <c r="G38" s="50">
        <v>782</v>
      </c>
      <c r="H38" s="50">
        <v>5598</v>
      </c>
      <c r="I38" s="50">
        <v>0</v>
      </c>
      <c r="J38" s="50">
        <f t="shared" si="0"/>
        <v>22160</v>
      </c>
      <c r="P38" s="50">
        <f t="shared" si="3"/>
        <v>97793</v>
      </c>
      <c r="Q38" s="50"/>
      <c r="R38" s="50"/>
      <c r="S38" s="50" t="b">
        <f t="shared" si="7"/>
        <v>1</v>
      </c>
      <c r="T38" s="5"/>
      <c r="U38" s="50">
        <f t="shared" si="4"/>
        <v>10349</v>
      </c>
      <c r="V38" s="50">
        <f t="shared" si="5"/>
        <v>13929</v>
      </c>
      <c r="W38" s="50">
        <f t="shared" si="6"/>
        <v>24327</v>
      </c>
      <c r="Y38" s="51">
        <f t="shared" si="1"/>
        <v>1</v>
      </c>
      <c r="Z38" s="51">
        <f t="shared" si="2"/>
        <v>2010</v>
      </c>
    </row>
    <row r="39" spans="1:26" x14ac:dyDescent="0.25">
      <c r="A39" s="52">
        <v>40210</v>
      </c>
      <c r="B39" s="53">
        <v>2996</v>
      </c>
      <c r="C39" s="53">
        <v>69</v>
      </c>
      <c r="D39" s="53">
        <v>12219</v>
      </c>
      <c r="E39" s="53">
        <v>444</v>
      </c>
      <c r="F39" s="53">
        <v>1883</v>
      </c>
      <c r="G39" s="53">
        <v>-493</v>
      </c>
      <c r="H39" s="53">
        <v>4066</v>
      </c>
      <c r="I39" s="53">
        <v>0</v>
      </c>
      <c r="J39" s="53">
        <f t="shared" si="0"/>
        <v>21184</v>
      </c>
      <c r="P39" s="53">
        <f t="shared" si="3"/>
        <v>116754</v>
      </c>
      <c r="Q39" s="53"/>
      <c r="R39" s="53"/>
      <c r="S39" s="53" t="b">
        <f t="shared" si="7"/>
        <v>1</v>
      </c>
      <c r="T39" s="5"/>
      <c r="U39" s="53">
        <f t="shared" si="4"/>
        <v>22593</v>
      </c>
      <c r="V39" s="53">
        <f t="shared" si="5"/>
        <v>16013</v>
      </c>
      <c r="W39" s="53">
        <f t="shared" si="6"/>
        <v>39280</v>
      </c>
      <c r="Y39" s="51">
        <f t="shared" si="1"/>
        <v>2</v>
      </c>
      <c r="Z39" s="51">
        <f t="shared" si="2"/>
        <v>2010</v>
      </c>
    </row>
    <row r="40" spans="1:26" x14ac:dyDescent="0.25">
      <c r="A40" s="49">
        <v>40238</v>
      </c>
      <c r="B40" s="50">
        <v>-2814</v>
      </c>
      <c r="C40" s="50">
        <v>47</v>
      </c>
      <c r="D40" s="50">
        <v>17028</v>
      </c>
      <c r="E40" s="50">
        <v>502</v>
      </c>
      <c r="F40" s="50">
        <v>681</v>
      </c>
      <c r="G40" s="50">
        <v>6666</v>
      </c>
      <c r="H40" s="50">
        <v>8945</v>
      </c>
      <c r="I40" s="50">
        <v>0</v>
      </c>
      <c r="J40" s="50">
        <f t="shared" si="0"/>
        <v>31055</v>
      </c>
      <c r="P40" s="50">
        <f t="shared" si="3"/>
        <v>142130</v>
      </c>
      <c r="Q40" s="50"/>
      <c r="R40" s="50"/>
      <c r="S40" s="50" t="b">
        <f t="shared" si="7"/>
        <v>1</v>
      </c>
      <c r="T40" s="5"/>
      <c r="U40" s="50">
        <f t="shared" si="4"/>
        <v>37896</v>
      </c>
      <c r="V40" s="50">
        <f t="shared" si="5"/>
        <v>16683</v>
      </c>
      <c r="W40" s="50">
        <f t="shared" si="6"/>
        <v>55739</v>
      </c>
      <c r="Y40" s="51">
        <f t="shared" si="1"/>
        <v>3</v>
      </c>
      <c r="Z40" s="51">
        <f t="shared" si="2"/>
        <v>2010</v>
      </c>
    </row>
    <row r="41" spans="1:26" x14ac:dyDescent="0.25">
      <c r="A41" s="52">
        <v>40269</v>
      </c>
      <c r="B41" s="53">
        <v>-211</v>
      </c>
      <c r="C41" s="53">
        <v>88</v>
      </c>
      <c r="D41" s="53">
        <v>8242</v>
      </c>
      <c r="E41" s="53">
        <v>183</v>
      </c>
      <c r="F41" s="53">
        <v>4976</v>
      </c>
      <c r="G41" s="53">
        <v>3855</v>
      </c>
      <c r="H41" s="53">
        <v>4827</v>
      </c>
      <c r="I41" s="53">
        <v>0</v>
      </c>
      <c r="J41" s="53">
        <f t="shared" si="0"/>
        <v>21960</v>
      </c>
      <c r="P41" s="53">
        <f t="shared" si="3"/>
        <v>159965</v>
      </c>
      <c r="Q41" s="53"/>
      <c r="R41" s="53"/>
      <c r="S41" s="53" t="b">
        <f t="shared" si="7"/>
        <v>1</v>
      </c>
      <c r="T41" s="5"/>
      <c r="U41" s="53">
        <f t="shared" si="4"/>
        <v>45692</v>
      </c>
      <c r="V41" s="53">
        <f t="shared" si="5"/>
        <v>21323</v>
      </c>
      <c r="W41" s="53">
        <f t="shared" si="6"/>
        <v>69027</v>
      </c>
      <c r="Y41" s="51">
        <f t="shared" si="1"/>
        <v>4</v>
      </c>
      <c r="Z41" s="51">
        <f t="shared" si="2"/>
        <v>2010</v>
      </c>
    </row>
    <row r="42" spans="1:26" x14ac:dyDescent="0.25">
      <c r="A42" s="49">
        <v>40299</v>
      </c>
      <c r="B42" s="50">
        <v>-4443</v>
      </c>
      <c r="C42" s="50">
        <v>39</v>
      </c>
      <c r="D42" s="50">
        <v>5148</v>
      </c>
      <c r="E42" s="50">
        <v>235</v>
      </c>
      <c r="F42" s="50">
        <v>3024</v>
      </c>
      <c r="G42" s="50">
        <v>3096</v>
      </c>
      <c r="H42" s="50">
        <v>4814</v>
      </c>
      <c r="I42" s="50">
        <v>0</v>
      </c>
      <c r="J42" s="50">
        <f t="shared" si="0"/>
        <v>11913</v>
      </c>
      <c r="P42" s="50">
        <f t="shared" si="3"/>
        <v>174652</v>
      </c>
      <c r="Q42" s="50"/>
      <c r="R42" s="50"/>
      <c r="S42" s="50" t="b">
        <f t="shared" si="7"/>
        <v>1</v>
      </c>
      <c r="T42" s="5"/>
      <c r="U42" s="50">
        <f t="shared" si="4"/>
        <v>55632</v>
      </c>
      <c r="V42" s="50">
        <f t="shared" si="5"/>
        <v>22862</v>
      </c>
      <c r="W42" s="50">
        <f t="shared" si="6"/>
        <v>80693</v>
      </c>
      <c r="Y42" s="51">
        <f t="shared" si="1"/>
        <v>5</v>
      </c>
      <c r="Z42" s="51">
        <f t="shared" si="2"/>
        <v>2010</v>
      </c>
    </row>
    <row r="43" spans="1:26" x14ac:dyDescent="0.25">
      <c r="A43" s="52">
        <v>40330</v>
      </c>
      <c r="B43" s="53">
        <v>-1575</v>
      </c>
      <c r="C43" s="53">
        <v>77</v>
      </c>
      <c r="D43" s="53">
        <v>2977</v>
      </c>
      <c r="E43" s="53">
        <v>116</v>
      </c>
      <c r="F43" s="53">
        <v>2934</v>
      </c>
      <c r="G43" s="53">
        <v>1739</v>
      </c>
      <c r="H43" s="53">
        <v>3316</v>
      </c>
      <c r="I43" s="53">
        <v>0</v>
      </c>
      <c r="J43" s="53">
        <f t="shared" si="0"/>
        <v>9584</v>
      </c>
      <c r="P43" s="53">
        <f t="shared" si="3"/>
        <v>184846</v>
      </c>
      <c r="Q43" s="53"/>
      <c r="R43" s="53"/>
      <c r="S43" s="53" t="b">
        <f t="shared" si="7"/>
        <v>1</v>
      </c>
      <c r="T43" s="5"/>
      <c r="U43" s="53">
        <f t="shared" si="4"/>
        <v>61189</v>
      </c>
      <c r="V43" s="53">
        <f t="shared" si="5"/>
        <v>24586</v>
      </c>
      <c r="W43" s="53">
        <f t="shared" si="6"/>
        <v>88129</v>
      </c>
      <c r="Y43" s="51">
        <f t="shared" si="1"/>
        <v>6</v>
      </c>
      <c r="Z43" s="51">
        <f t="shared" si="2"/>
        <v>2010</v>
      </c>
    </row>
    <row r="44" spans="1:26" x14ac:dyDescent="0.25">
      <c r="A44" s="49">
        <v>40360</v>
      </c>
      <c r="B44" s="50">
        <v>-219</v>
      </c>
      <c r="C44" s="50">
        <v>70</v>
      </c>
      <c r="D44" s="50">
        <v>2565</v>
      </c>
      <c r="E44" s="50">
        <v>120</v>
      </c>
      <c r="F44" s="50">
        <v>2437</v>
      </c>
      <c r="G44" s="50">
        <v>1881</v>
      </c>
      <c r="H44" s="50">
        <v>4440</v>
      </c>
      <c r="I44" s="50">
        <v>0</v>
      </c>
      <c r="J44" s="50">
        <f t="shared" si="0"/>
        <v>11294</v>
      </c>
      <c r="P44" s="50">
        <f t="shared" si="3"/>
        <v>195531</v>
      </c>
      <c r="Q44" s="50"/>
      <c r="R44" s="50"/>
      <c r="S44" s="50" t="b">
        <f t="shared" si="7"/>
        <v>1</v>
      </c>
      <c r="T44" s="5"/>
      <c r="U44" s="50">
        <f t="shared" si="4"/>
        <v>65708</v>
      </c>
      <c r="V44" s="50">
        <f t="shared" si="5"/>
        <v>26095</v>
      </c>
      <c r="W44" s="50">
        <f t="shared" si="6"/>
        <v>94247</v>
      </c>
      <c r="Y44" s="51">
        <f t="shared" si="1"/>
        <v>7</v>
      </c>
      <c r="Z44" s="51">
        <f t="shared" si="2"/>
        <v>2010</v>
      </c>
    </row>
    <row r="45" spans="1:26" x14ac:dyDescent="0.25">
      <c r="A45" s="52">
        <v>40391</v>
      </c>
      <c r="B45" s="53">
        <v>939</v>
      </c>
      <c r="C45" s="53">
        <v>86</v>
      </c>
      <c r="D45" s="53">
        <v>2139</v>
      </c>
      <c r="E45" s="53">
        <v>256</v>
      </c>
      <c r="F45" s="53">
        <v>1774</v>
      </c>
      <c r="G45" s="53">
        <v>4905</v>
      </c>
      <c r="H45" s="53">
        <v>7567</v>
      </c>
      <c r="I45" s="53">
        <v>0</v>
      </c>
      <c r="J45" s="53">
        <f t="shared" si="0"/>
        <v>17666</v>
      </c>
      <c r="P45" s="53">
        <f t="shared" si="3"/>
        <v>200824</v>
      </c>
      <c r="Q45" s="53"/>
      <c r="R45" s="53"/>
      <c r="S45" s="53" t="b">
        <f t="shared" si="7"/>
        <v>1</v>
      </c>
      <c r="T45" s="5"/>
      <c r="U45" s="53">
        <f t="shared" si="4"/>
        <v>67459</v>
      </c>
      <c r="V45" s="53">
        <f t="shared" si="5"/>
        <v>25645</v>
      </c>
      <c r="W45" s="53">
        <f t="shared" si="6"/>
        <v>95906</v>
      </c>
      <c r="Y45" s="51">
        <f t="shared" si="1"/>
        <v>8</v>
      </c>
      <c r="Z45" s="51">
        <f t="shared" si="2"/>
        <v>2010</v>
      </c>
    </row>
    <row r="46" spans="1:26" x14ac:dyDescent="0.25">
      <c r="A46" s="49">
        <v>40422</v>
      </c>
      <c r="B46" s="50">
        <v>205</v>
      </c>
      <c r="C46" s="50">
        <v>52</v>
      </c>
      <c r="D46" s="50">
        <v>2626</v>
      </c>
      <c r="E46" s="50">
        <v>171</v>
      </c>
      <c r="F46" s="50">
        <v>396</v>
      </c>
      <c r="G46" s="50">
        <v>4864</v>
      </c>
      <c r="H46" s="50">
        <v>3826</v>
      </c>
      <c r="I46" s="50">
        <v>0</v>
      </c>
      <c r="J46" s="50">
        <f t="shared" si="0"/>
        <v>12140</v>
      </c>
      <c r="P46" s="50">
        <f t="shared" si="3"/>
        <v>196540</v>
      </c>
      <c r="Q46" s="50"/>
      <c r="R46" s="50"/>
      <c r="S46" s="50" t="b">
        <f t="shared" si="7"/>
        <v>0</v>
      </c>
      <c r="T46" s="5"/>
      <c r="U46" s="50">
        <f t="shared" si="4"/>
        <v>65127</v>
      </c>
      <c r="V46" s="50">
        <f t="shared" si="5"/>
        <v>24422</v>
      </c>
      <c r="W46" s="50">
        <f t="shared" si="6"/>
        <v>92258</v>
      </c>
      <c r="Y46" s="51">
        <f t="shared" si="1"/>
        <v>9</v>
      </c>
      <c r="Z46" s="51">
        <f t="shared" si="2"/>
        <v>2010</v>
      </c>
    </row>
    <row r="47" spans="1:26" x14ac:dyDescent="0.25">
      <c r="A47" s="52">
        <v>40452</v>
      </c>
      <c r="B47" s="53">
        <v>2299</v>
      </c>
      <c r="C47" s="53">
        <v>58</v>
      </c>
      <c r="D47" s="53">
        <v>2940</v>
      </c>
      <c r="E47" s="53">
        <v>8</v>
      </c>
      <c r="F47" s="53">
        <v>924</v>
      </c>
      <c r="G47" s="53">
        <v>8091</v>
      </c>
      <c r="H47" s="53">
        <v>5544</v>
      </c>
      <c r="I47" s="53">
        <v>0</v>
      </c>
      <c r="J47" s="53">
        <f t="shared" si="0"/>
        <v>19864</v>
      </c>
      <c r="P47" s="53">
        <f t="shared" si="3"/>
        <v>195170</v>
      </c>
      <c r="Q47" s="53"/>
      <c r="R47" s="53"/>
      <c r="S47" s="53" t="b">
        <f t="shared" si="7"/>
        <v>0</v>
      </c>
      <c r="T47" s="5"/>
      <c r="U47" s="53">
        <f t="shared" si="4"/>
        <v>62887</v>
      </c>
      <c r="V47" s="53">
        <f t="shared" si="5"/>
        <v>23269</v>
      </c>
      <c r="W47" s="53">
        <f t="shared" si="6"/>
        <v>88875</v>
      </c>
      <c r="Y47" s="51">
        <f t="shared" si="1"/>
        <v>10</v>
      </c>
      <c r="Z47" s="51">
        <f t="shared" si="2"/>
        <v>2010</v>
      </c>
    </row>
    <row r="48" spans="1:26" x14ac:dyDescent="0.25">
      <c r="A48" s="49">
        <v>40483</v>
      </c>
      <c r="B48" s="50">
        <v>3219</v>
      </c>
      <c r="C48" s="50">
        <v>47</v>
      </c>
      <c r="D48" s="50">
        <v>1986</v>
      </c>
      <c r="E48" s="50">
        <v>-2</v>
      </c>
      <c r="F48" s="50">
        <v>346</v>
      </c>
      <c r="G48" s="50">
        <v>10748</v>
      </c>
      <c r="H48" s="50">
        <v>6658</v>
      </c>
      <c r="I48" s="50">
        <v>0</v>
      </c>
      <c r="J48" s="50">
        <f t="shared" si="0"/>
        <v>23002</v>
      </c>
      <c r="P48" s="50">
        <f t="shared" si="3"/>
        <v>190741</v>
      </c>
      <c r="Q48" s="50"/>
      <c r="R48" s="50"/>
      <c r="S48" s="50" t="b">
        <f t="shared" si="7"/>
        <v>0</v>
      </c>
      <c r="T48" s="5"/>
      <c r="U48" s="50">
        <f t="shared" si="4"/>
        <v>57288</v>
      </c>
      <c r="V48" s="50">
        <f t="shared" si="5"/>
        <v>21670</v>
      </c>
      <c r="W48" s="50">
        <f t="shared" si="6"/>
        <v>81577</v>
      </c>
      <c r="Y48" s="51">
        <f t="shared" si="1"/>
        <v>11</v>
      </c>
      <c r="Z48" s="51">
        <f t="shared" si="2"/>
        <v>2010</v>
      </c>
    </row>
    <row r="49" spans="1:26" x14ac:dyDescent="0.25">
      <c r="A49" s="52">
        <v>40513</v>
      </c>
      <c r="B49" s="53">
        <v>-2536</v>
      </c>
      <c r="C49" s="53">
        <v>-11</v>
      </c>
      <c r="D49" s="53">
        <v>-11680</v>
      </c>
      <c r="E49" s="53">
        <v>88</v>
      </c>
      <c r="F49" s="53">
        <v>-3136</v>
      </c>
      <c r="G49" s="53">
        <v>2386</v>
      </c>
      <c r="H49" s="53">
        <v>-2615</v>
      </c>
      <c r="I49" s="53">
        <v>0</v>
      </c>
      <c r="J49" s="53">
        <f t="shared" si="0"/>
        <v>-17504</v>
      </c>
      <c r="P49" s="53">
        <f t="shared" si="3"/>
        <v>184318</v>
      </c>
      <c r="Q49" s="53"/>
      <c r="R49" s="53"/>
      <c r="S49" s="53" t="b">
        <f t="shared" si="7"/>
        <v>0</v>
      </c>
      <c r="T49" s="5"/>
      <c r="U49" s="53">
        <f t="shared" si="4"/>
        <v>54329</v>
      </c>
      <c r="V49" s="53">
        <f t="shared" si="5"/>
        <v>19794</v>
      </c>
      <c r="W49" s="53">
        <f t="shared" si="6"/>
        <v>76919</v>
      </c>
      <c r="Y49" s="51">
        <f t="shared" si="1"/>
        <v>12</v>
      </c>
      <c r="Z49" s="51">
        <f t="shared" si="2"/>
        <v>2010</v>
      </c>
    </row>
    <row r="50" spans="1:26" x14ac:dyDescent="0.25">
      <c r="A50" s="49">
        <v>40544</v>
      </c>
      <c r="B50" s="50">
        <v>4589</v>
      </c>
      <c r="C50" s="50">
        <v>21</v>
      </c>
      <c r="D50" s="50">
        <v>6859</v>
      </c>
      <c r="E50" s="50">
        <v>193</v>
      </c>
      <c r="F50" s="50">
        <v>2362</v>
      </c>
      <c r="G50" s="50">
        <v>373</v>
      </c>
      <c r="H50" s="50">
        <v>4491</v>
      </c>
      <c r="I50" s="50">
        <v>0</v>
      </c>
      <c r="J50" s="50">
        <f t="shared" si="0"/>
        <v>18888</v>
      </c>
      <c r="P50" s="50">
        <f t="shared" si="3"/>
        <v>181046</v>
      </c>
      <c r="Q50" s="50"/>
      <c r="R50" s="50"/>
      <c r="S50" s="50" t="b">
        <f t="shared" si="7"/>
        <v>0</v>
      </c>
      <c r="T50" s="5"/>
      <c r="U50" s="50">
        <f t="shared" si="4"/>
        <v>53049</v>
      </c>
      <c r="V50" s="50">
        <f t="shared" si="5"/>
        <v>18601</v>
      </c>
      <c r="W50" s="50">
        <f t="shared" si="6"/>
        <v>74607</v>
      </c>
      <c r="Y50" s="51">
        <f t="shared" si="1"/>
        <v>1</v>
      </c>
      <c r="Z50" s="51">
        <f t="shared" si="2"/>
        <v>2011</v>
      </c>
    </row>
    <row r="51" spans="1:26" x14ac:dyDescent="0.25">
      <c r="A51" s="52">
        <v>40575</v>
      </c>
      <c r="B51" s="53">
        <v>1504</v>
      </c>
      <c r="C51" s="53">
        <v>-19</v>
      </c>
      <c r="D51" s="53">
        <v>11173</v>
      </c>
      <c r="E51" s="53">
        <v>132</v>
      </c>
      <c r="F51" s="53">
        <v>1383</v>
      </c>
      <c r="G51" s="53">
        <v>1215</v>
      </c>
      <c r="H51" s="53">
        <v>6795</v>
      </c>
      <c r="I51" s="53">
        <v>0</v>
      </c>
      <c r="J51" s="53">
        <f t="shared" si="0"/>
        <v>22183</v>
      </c>
      <c r="P51" s="53">
        <f t="shared" si="3"/>
        <v>182045</v>
      </c>
      <c r="Q51" s="53"/>
      <c r="R51" s="53"/>
      <c r="S51" s="53" t="b">
        <f t="shared" si="7"/>
        <v>1</v>
      </c>
      <c r="T51" s="5"/>
      <c r="U51" s="53">
        <f t="shared" si="4"/>
        <v>52003</v>
      </c>
      <c r="V51" s="53">
        <f t="shared" si="5"/>
        <v>18101</v>
      </c>
      <c r="W51" s="53">
        <f t="shared" si="6"/>
        <v>72661</v>
      </c>
      <c r="Y51" s="51">
        <f t="shared" si="1"/>
        <v>2</v>
      </c>
      <c r="Z51" s="51">
        <f t="shared" si="2"/>
        <v>2011</v>
      </c>
    </row>
    <row r="52" spans="1:26" x14ac:dyDescent="0.25">
      <c r="A52" s="49">
        <v>40603</v>
      </c>
      <c r="B52" s="50">
        <v>-1648</v>
      </c>
      <c r="C52" s="50">
        <v>42</v>
      </c>
      <c r="D52" s="50">
        <v>12131</v>
      </c>
      <c r="E52" s="50">
        <v>16</v>
      </c>
      <c r="F52" s="50">
        <v>941</v>
      </c>
      <c r="G52" s="50">
        <v>3458</v>
      </c>
      <c r="H52" s="50">
        <v>6640</v>
      </c>
      <c r="I52" s="50">
        <v>0</v>
      </c>
      <c r="J52" s="50">
        <f t="shared" si="0"/>
        <v>21580</v>
      </c>
      <c r="P52" s="50">
        <f t="shared" si="3"/>
        <v>172570</v>
      </c>
      <c r="Q52" s="50"/>
      <c r="R52" s="50"/>
      <c r="S52" s="50" t="b">
        <f t="shared" si="7"/>
        <v>0</v>
      </c>
      <c r="T52" s="5"/>
      <c r="U52" s="50">
        <f t="shared" si="4"/>
        <v>47106</v>
      </c>
      <c r="V52" s="50">
        <f t="shared" si="5"/>
        <v>18361</v>
      </c>
      <c r="W52" s="50">
        <f t="shared" si="6"/>
        <v>67533</v>
      </c>
      <c r="Y52" s="51">
        <f t="shared" si="1"/>
        <v>3</v>
      </c>
      <c r="Z52" s="51">
        <f t="shared" si="2"/>
        <v>2011</v>
      </c>
    </row>
    <row r="53" spans="1:26" x14ac:dyDescent="0.25">
      <c r="A53" s="52">
        <v>40634</v>
      </c>
      <c r="B53" s="53">
        <v>-1299</v>
      </c>
      <c r="C53" s="53">
        <v>79</v>
      </c>
      <c r="D53" s="53">
        <v>5658</v>
      </c>
      <c r="E53" s="53">
        <v>172</v>
      </c>
      <c r="F53" s="53">
        <v>1949</v>
      </c>
      <c r="G53" s="53">
        <v>4348</v>
      </c>
      <c r="H53" s="53">
        <v>7342</v>
      </c>
      <c r="I53" s="53">
        <v>0</v>
      </c>
      <c r="J53" s="53">
        <f t="shared" si="0"/>
        <v>18249</v>
      </c>
      <c r="P53" s="53">
        <f t="shared" si="3"/>
        <v>168859</v>
      </c>
      <c r="Q53" s="53"/>
      <c r="R53" s="53"/>
      <c r="S53" s="53" t="b">
        <f t="shared" si="7"/>
        <v>0</v>
      </c>
      <c r="T53" s="5"/>
      <c r="U53" s="53">
        <f t="shared" si="4"/>
        <v>44522</v>
      </c>
      <c r="V53" s="53">
        <f t="shared" si="5"/>
        <v>15334</v>
      </c>
      <c r="W53" s="53">
        <f t="shared" si="6"/>
        <v>61902</v>
      </c>
      <c r="Y53" s="51">
        <f t="shared" si="1"/>
        <v>4</v>
      </c>
      <c r="Z53" s="51">
        <f t="shared" si="2"/>
        <v>2011</v>
      </c>
    </row>
    <row r="54" spans="1:26" x14ac:dyDescent="0.25">
      <c r="A54" s="49">
        <v>40664</v>
      </c>
      <c r="B54" s="50">
        <v>-3358</v>
      </c>
      <c r="C54" s="50">
        <v>30</v>
      </c>
      <c r="D54" s="50">
        <v>796</v>
      </c>
      <c r="E54" s="50">
        <v>-23</v>
      </c>
      <c r="F54" s="50">
        <v>1812</v>
      </c>
      <c r="G54" s="50">
        <v>1923</v>
      </c>
      <c r="H54" s="50">
        <v>4410</v>
      </c>
      <c r="I54" s="50">
        <v>0</v>
      </c>
      <c r="J54" s="50">
        <f t="shared" si="0"/>
        <v>5590</v>
      </c>
      <c r="P54" s="50">
        <f t="shared" si="3"/>
        <v>162536</v>
      </c>
      <c r="Q54" s="50"/>
      <c r="R54" s="50"/>
      <c r="S54" s="50" t="b">
        <f t="shared" si="7"/>
        <v>0</v>
      </c>
      <c r="T54" s="5"/>
      <c r="U54" s="50">
        <f t="shared" si="4"/>
        <v>40170</v>
      </c>
      <c r="V54" s="50">
        <f t="shared" si="5"/>
        <v>14122</v>
      </c>
      <c r="W54" s="50">
        <f t="shared" si="6"/>
        <v>56071</v>
      </c>
      <c r="Y54" s="51">
        <f t="shared" si="1"/>
        <v>5</v>
      </c>
      <c r="Z54" s="51">
        <f t="shared" si="2"/>
        <v>2011</v>
      </c>
    </row>
    <row r="55" spans="1:26" x14ac:dyDescent="0.25">
      <c r="A55" s="52">
        <v>40695</v>
      </c>
      <c r="B55" s="53">
        <v>-758</v>
      </c>
      <c r="C55" s="53">
        <v>66</v>
      </c>
      <c r="D55" s="53">
        <v>953</v>
      </c>
      <c r="E55" s="53">
        <v>163</v>
      </c>
      <c r="F55" s="53">
        <v>1260</v>
      </c>
      <c r="G55" s="53">
        <v>1934</v>
      </c>
      <c r="H55" s="53">
        <v>4213</v>
      </c>
      <c r="I55" s="53">
        <v>0</v>
      </c>
      <c r="J55" s="53">
        <f t="shared" si="0"/>
        <v>7831</v>
      </c>
      <c r="P55" s="53">
        <f t="shared" si="3"/>
        <v>160783</v>
      </c>
      <c r="Q55" s="53"/>
      <c r="R55" s="53"/>
      <c r="S55" s="53" t="b">
        <f t="shared" si="7"/>
        <v>0</v>
      </c>
      <c r="T55" s="5"/>
      <c r="U55" s="53">
        <f t="shared" si="4"/>
        <v>38146</v>
      </c>
      <c r="V55" s="53">
        <f t="shared" si="5"/>
        <v>12448</v>
      </c>
      <c r="W55" s="53">
        <f t="shared" si="6"/>
        <v>52409</v>
      </c>
      <c r="Y55" s="51">
        <f t="shared" si="1"/>
        <v>6</v>
      </c>
      <c r="Z55" s="51">
        <f t="shared" si="2"/>
        <v>2011</v>
      </c>
    </row>
    <row r="56" spans="1:26" x14ac:dyDescent="0.25">
      <c r="A56" s="49">
        <v>40725</v>
      </c>
      <c r="B56" s="50">
        <v>-486</v>
      </c>
      <c r="C56" s="50">
        <v>36</v>
      </c>
      <c r="D56" s="50">
        <v>891</v>
      </c>
      <c r="E56" s="50">
        <v>-22</v>
      </c>
      <c r="F56" s="50">
        <v>1255</v>
      </c>
      <c r="G56" s="50">
        <v>1839</v>
      </c>
      <c r="H56" s="50">
        <v>2981</v>
      </c>
      <c r="I56" s="50">
        <v>0</v>
      </c>
      <c r="J56" s="50">
        <f t="shared" si="0"/>
        <v>6494</v>
      </c>
      <c r="P56" s="50">
        <f t="shared" si="3"/>
        <v>155983</v>
      </c>
      <c r="Q56" s="50"/>
      <c r="R56" s="50"/>
      <c r="S56" s="50" t="b">
        <f t="shared" si="7"/>
        <v>0</v>
      </c>
      <c r="T56" s="5"/>
      <c r="U56" s="50">
        <f t="shared" si="4"/>
        <v>36472</v>
      </c>
      <c r="V56" s="50">
        <f t="shared" si="5"/>
        <v>11266</v>
      </c>
      <c r="W56" s="50">
        <f t="shared" si="6"/>
        <v>49377</v>
      </c>
      <c r="Y56" s="51">
        <f t="shared" si="1"/>
        <v>7</v>
      </c>
      <c r="Z56" s="51">
        <f t="shared" si="2"/>
        <v>2011</v>
      </c>
    </row>
    <row r="57" spans="1:26" x14ac:dyDescent="0.25">
      <c r="A57" s="52">
        <v>40756</v>
      </c>
      <c r="B57" s="53">
        <v>1200</v>
      </c>
      <c r="C57" s="53">
        <v>2</v>
      </c>
      <c r="D57" s="53">
        <v>-3569</v>
      </c>
      <c r="E57" s="53">
        <v>53</v>
      </c>
      <c r="F57" s="53">
        <v>1648</v>
      </c>
      <c r="G57" s="53">
        <v>2555</v>
      </c>
      <c r="H57" s="53">
        <v>5079</v>
      </c>
      <c r="I57" s="53">
        <v>0</v>
      </c>
      <c r="J57" s="53">
        <f t="shared" si="0"/>
        <v>6968</v>
      </c>
      <c r="P57" s="53">
        <f t="shared" si="3"/>
        <v>145285</v>
      </c>
      <c r="Q57" s="53"/>
      <c r="R57" s="53"/>
      <c r="S57" s="53" t="b">
        <f t="shared" si="7"/>
        <v>0</v>
      </c>
      <c r="T57" s="5"/>
      <c r="U57" s="53">
        <f t="shared" si="4"/>
        <v>30764</v>
      </c>
      <c r="V57" s="53">
        <f t="shared" si="5"/>
        <v>11140</v>
      </c>
      <c r="W57" s="53">
        <f t="shared" si="6"/>
        <v>43256</v>
      </c>
      <c r="Y57" s="51">
        <f t="shared" si="1"/>
        <v>8</v>
      </c>
      <c r="Z57" s="51">
        <f t="shared" si="2"/>
        <v>2011</v>
      </c>
    </row>
    <row r="58" spans="1:26" x14ac:dyDescent="0.25">
      <c r="A58" s="49">
        <v>40787</v>
      </c>
      <c r="B58" s="50">
        <v>685</v>
      </c>
      <c r="C58" s="50">
        <v>40</v>
      </c>
      <c r="D58" s="50">
        <v>-675</v>
      </c>
      <c r="E58" s="50">
        <v>-43</v>
      </c>
      <c r="F58" s="50">
        <v>1500</v>
      </c>
      <c r="G58" s="50">
        <v>2799</v>
      </c>
      <c r="H58" s="50">
        <v>3438</v>
      </c>
      <c r="I58" s="50">
        <v>0</v>
      </c>
      <c r="J58" s="50">
        <f t="shared" si="0"/>
        <v>7744</v>
      </c>
      <c r="P58" s="50">
        <f t="shared" si="3"/>
        <v>140889</v>
      </c>
      <c r="Q58" s="50"/>
      <c r="R58" s="50"/>
      <c r="S58" s="50" t="b">
        <f t="shared" si="7"/>
        <v>0</v>
      </c>
      <c r="T58" s="5"/>
      <c r="U58" s="50">
        <f t="shared" si="4"/>
        <v>27463</v>
      </c>
      <c r="V58" s="50">
        <f t="shared" si="5"/>
        <v>12244</v>
      </c>
      <c r="W58" s="50">
        <f t="shared" si="6"/>
        <v>40833</v>
      </c>
      <c r="Y58" s="51">
        <f t="shared" si="1"/>
        <v>9</v>
      </c>
      <c r="Z58" s="51">
        <f t="shared" si="2"/>
        <v>2011</v>
      </c>
    </row>
    <row r="59" spans="1:26" x14ac:dyDescent="0.25">
      <c r="A59" s="52">
        <v>40817</v>
      </c>
      <c r="B59" s="53">
        <v>862</v>
      </c>
      <c r="C59" s="53">
        <v>40</v>
      </c>
      <c r="D59" s="53">
        <v>1996</v>
      </c>
      <c r="E59" s="53">
        <v>6</v>
      </c>
      <c r="F59" s="53">
        <v>1907</v>
      </c>
      <c r="G59" s="53">
        <v>6506</v>
      </c>
      <c r="H59" s="53">
        <v>6626</v>
      </c>
      <c r="I59" s="53">
        <v>0</v>
      </c>
      <c r="J59" s="53">
        <f t="shared" si="0"/>
        <v>17943</v>
      </c>
      <c r="P59" s="53">
        <f t="shared" si="3"/>
        <v>138968</v>
      </c>
      <c r="Q59" s="53"/>
      <c r="R59" s="53"/>
      <c r="S59" s="53" t="b">
        <f t="shared" si="7"/>
        <v>0</v>
      </c>
      <c r="T59" s="5"/>
      <c r="U59" s="53">
        <f t="shared" si="4"/>
        <v>26519</v>
      </c>
      <c r="V59" s="53">
        <f t="shared" si="5"/>
        <v>13227</v>
      </c>
      <c r="W59" s="53">
        <f t="shared" si="6"/>
        <v>40852</v>
      </c>
      <c r="Y59" s="51">
        <f t="shared" si="1"/>
        <v>10</v>
      </c>
      <c r="Z59" s="51">
        <f t="shared" si="2"/>
        <v>2011</v>
      </c>
    </row>
    <row r="60" spans="1:26" x14ac:dyDescent="0.25">
      <c r="A60" s="49">
        <v>40848</v>
      </c>
      <c r="B60" s="50">
        <v>3785</v>
      </c>
      <c r="C60" s="50">
        <v>77</v>
      </c>
      <c r="D60" s="50">
        <v>-1901</v>
      </c>
      <c r="E60" s="50">
        <v>-30</v>
      </c>
      <c r="F60" s="50">
        <v>136</v>
      </c>
      <c r="G60" s="50">
        <v>8128</v>
      </c>
      <c r="H60" s="50">
        <v>4067</v>
      </c>
      <c r="I60" s="50">
        <v>0</v>
      </c>
      <c r="J60" s="50">
        <f t="shared" si="0"/>
        <v>14262</v>
      </c>
      <c r="P60" s="50">
        <f t="shared" si="3"/>
        <v>130228</v>
      </c>
      <c r="Q60" s="50"/>
      <c r="R60" s="50"/>
      <c r="S60" s="50" t="b">
        <f t="shared" si="7"/>
        <v>0</v>
      </c>
      <c r="T60" s="5"/>
      <c r="U60" s="50">
        <f t="shared" si="4"/>
        <v>22632</v>
      </c>
      <c r="V60" s="50">
        <f t="shared" si="5"/>
        <v>13017</v>
      </c>
      <c r="W60" s="50">
        <f t="shared" si="6"/>
        <v>36757</v>
      </c>
      <c r="Y60" s="51">
        <f t="shared" si="1"/>
        <v>11</v>
      </c>
      <c r="Z60" s="51">
        <f t="shared" si="2"/>
        <v>2011</v>
      </c>
    </row>
    <row r="61" spans="1:26" x14ac:dyDescent="0.25">
      <c r="A61" s="52">
        <v>40878</v>
      </c>
      <c r="B61" s="53">
        <v>-3530</v>
      </c>
      <c r="C61" s="53">
        <v>17</v>
      </c>
      <c r="D61" s="53">
        <v>-13922</v>
      </c>
      <c r="E61" s="53">
        <v>-158</v>
      </c>
      <c r="F61" s="53">
        <v>-2993</v>
      </c>
      <c r="G61" s="53">
        <v>260</v>
      </c>
      <c r="H61" s="53">
        <v>-1673</v>
      </c>
      <c r="I61" s="53">
        <v>0</v>
      </c>
      <c r="J61" s="53">
        <f t="shared" si="0"/>
        <v>-21999</v>
      </c>
      <c r="P61" s="53">
        <f t="shared" si="3"/>
        <v>125733</v>
      </c>
      <c r="Q61" s="53"/>
      <c r="R61" s="53"/>
      <c r="S61" s="53" t="b">
        <f t="shared" si="7"/>
        <v>0</v>
      </c>
      <c r="T61" s="5"/>
      <c r="U61" s="53">
        <f t="shared" si="4"/>
        <v>20390</v>
      </c>
      <c r="V61" s="53">
        <f t="shared" si="5"/>
        <v>13160</v>
      </c>
      <c r="W61" s="53">
        <f t="shared" si="6"/>
        <v>34440</v>
      </c>
      <c r="Y61" s="51">
        <f t="shared" si="1"/>
        <v>12</v>
      </c>
      <c r="Z61" s="51">
        <f t="shared" si="2"/>
        <v>2011</v>
      </c>
    </row>
    <row r="62" spans="1:26" x14ac:dyDescent="0.25">
      <c r="A62" s="49">
        <v>40909</v>
      </c>
      <c r="B62" s="50">
        <v>5760</v>
      </c>
      <c r="C62" s="50">
        <v>-3</v>
      </c>
      <c r="D62" s="50">
        <v>3419</v>
      </c>
      <c r="E62" s="50">
        <v>-194</v>
      </c>
      <c r="F62" s="50">
        <v>2902</v>
      </c>
      <c r="G62" s="50">
        <v>-1896</v>
      </c>
      <c r="H62" s="50">
        <v>5338</v>
      </c>
      <c r="I62" s="50">
        <v>0</v>
      </c>
      <c r="J62" s="50">
        <f t="shared" si="0"/>
        <v>15326</v>
      </c>
      <c r="P62" s="50">
        <f t="shared" si="3"/>
        <v>122171</v>
      </c>
      <c r="Q62" s="50"/>
      <c r="R62" s="50"/>
      <c r="S62" s="50" t="b">
        <f t="shared" si="7"/>
        <v>0</v>
      </c>
      <c r="T62" s="5"/>
      <c r="U62" s="50">
        <f t="shared" si="4"/>
        <v>16950</v>
      </c>
      <c r="V62" s="50">
        <f t="shared" si="5"/>
        <v>13700</v>
      </c>
      <c r="W62" s="50">
        <f t="shared" si="6"/>
        <v>31129</v>
      </c>
      <c r="Y62" s="51">
        <f t="shared" si="1"/>
        <v>1</v>
      </c>
      <c r="Z62" s="51">
        <f t="shared" si="2"/>
        <v>2012</v>
      </c>
    </row>
    <row r="63" spans="1:26" x14ac:dyDescent="0.25">
      <c r="A63" s="52">
        <v>40940</v>
      </c>
      <c r="B63" s="53">
        <v>627</v>
      </c>
      <c r="C63" s="53">
        <v>3</v>
      </c>
      <c r="D63" s="53">
        <v>6383</v>
      </c>
      <c r="E63" s="53">
        <v>59</v>
      </c>
      <c r="F63" s="53">
        <v>930</v>
      </c>
      <c r="G63" s="53">
        <v>-1396</v>
      </c>
      <c r="H63" s="53">
        <v>3714</v>
      </c>
      <c r="I63" s="53">
        <v>0</v>
      </c>
      <c r="J63" s="53">
        <f t="shared" si="0"/>
        <v>10320</v>
      </c>
      <c r="P63" s="53">
        <f t="shared" si="3"/>
        <v>110308</v>
      </c>
      <c r="Q63" s="53"/>
      <c r="R63" s="53"/>
      <c r="S63" s="53" t="b">
        <f t="shared" si="7"/>
        <v>0</v>
      </c>
      <c r="T63" s="5"/>
      <c r="U63" s="53">
        <f t="shared" si="4"/>
        <v>12160</v>
      </c>
      <c r="V63" s="53">
        <f t="shared" si="5"/>
        <v>13247</v>
      </c>
      <c r="W63" s="53">
        <f t="shared" si="6"/>
        <v>25835</v>
      </c>
      <c r="Y63" s="51">
        <f t="shared" si="1"/>
        <v>2</v>
      </c>
      <c r="Z63" s="51">
        <f t="shared" si="2"/>
        <v>2012</v>
      </c>
    </row>
    <row r="64" spans="1:26" x14ac:dyDescent="0.25">
      <c r="A64" s="49">
        <v>40969</v>
      </c>
      <c r="B64" s="50">
        <v>-1769</v>
      </c>
      <c r="C64" s="50">
        <v>61</v>
      </c>
      <c r="D64" s="50">
        <v>6704</v>
      </c>
      <c r="E64" s="50">
        <v>93</v>
      </c>
      <c r="F64" s="50">
        <v>1339</v>
      </c>
      <c r="G64" s="50">
        <v>3988</v>
      </c>
      <c r="H64" s="50">
        <v>9156</v>
      </c>
      <c r="I64" s="50">
        <v>0</v>
      </c>
      <c r="J64" s="50">
        <f t="shared" si="0"/>
        <v>19572</v>
      </c>
      <c r="P64" s="50">
        <f t="shared" si="3"/>
        <v>108300</v>
      </c>
      <c r="Q64" s="50"/>
      <c r="R64" s="50"/>
      <c r="S64" s="50" t="b">
        <f t="shared" si="7"/>
        <v>0</v>
      </c>
      <c r="T64" s="5"/>
      <c r="U64" s="50">
        <f t="shared" si="4"/>
        <v>6733</v>
      </c>
      <c r="V64" s="50">
        <f t="shared" si="5"/>
        <v>13645</v>
      </c>
      <c r="W64" s="50">
        <f t="shared" si="6"/>
        <v>20902</v>
      </c>
      <c r="Y64" s="51">
        <f t="shared" si="1"/>
        <v>3</v>
      </c>
      <c r="Z64" s="51">
        <f t="shared" si="2"/>
        <v>2012</v>
      </c>
    </row>
    <row r="65" spans="1:26" x14ac:dyDescent="0.25">
      <c r="A65" s="52">
        <v>41000</v>
      </c>
      <c r="B65" s="53">
        <v>-1298</v>
      </c>
      <c r="C65" s="53">
        <v>56</v>
      </c>
      <c r="D65" s="53">
        <v>4179</v>
      </c>
      <c r="E65" s="53">
        <v>94</v>
      </c>
      <c r="F65" s="53">
        <v>2436</v>
      </c>
      <c r="G65" s="53">
        <v>3798</v>
      </c>
      <c r="H65" s="53">
        <v>6650</v>
      </c>
      <c r="I65" s="53">
        <v>0</v>
      </c>
      <c r="J65" s="53">
        <f t="shared" si="0"/>
        <v>15915</v>
      </c>
      <c r="P65" s="53">
        <f t="shared" si="3"/>
        <v>105966</v>
      </c>
      <c r="Q65" s="53"/>
      <c r="R65" s="53"/>
      <c r="S65" s="53" t="b">
        <f t="shared" si="7"/>
        <v>0</v>
      </c>
      <c r="T65" s="5"/>
      <c r="U65" s="53">
        <f t="shared" si="4"/>
        <v>5254</v>
      </c>
      <c r="V65" s="53">
        <f t="shared" si="5"/>
        <v>14132</v>
      </c>
      <c r="W65" s="53">
        <f t="shared" si="6"/>
        <v>19809</v>
      </c>
      <c r="Y65" s="51">
        <f t="shared" si="1"/>
        <v>4</v>
      </c>
      <c r="Z65" s="51">
        <f t="shared" si="2"/>
        <v>2012</v>
      </c>
    </row>
    <row r="66" spans="1:26" x14ac:dyDescent="0.25">
      <c r="A66" s="49">
        <v>41030</v>
      </c>
      <c r="B66" s="50">
        <v>-3707</v>
      </c>
      <c r="C66" s="50">
        <v>-6</v>
      </c>
      <c r="D66" s="50">
        <v>-1744</v>
      </c>
      <c r="E66" s="50">
        <v>-273</v>
      </c>
      <c r="F66" s="50">
        <v>1165</v>
      </c>
      <c r="G66" s="50">
        <v>394</v>
      </c>
      <c r="H66" s="50">
        <v>2162</v>
      </c>
      <c r="I66" s="50">
        <v>0</v>
      </c>
      <c r="J66" s="50">
        <f t="shared" si="0"/>
        <v>-2009</v>
      </c>
      <c r="P66" s="50">
        <f t="shared" si="3"/>
        <v>98367</v>
      </c>
      <c r="Q66" s="50"/>
      <c r="R66" s="50"/>
      <c r="S66" s="50" t="b">
        <f t="shared" si="7"/>
        <v>0</v>
      </c>
      <c r="T66" s="5"/>
      <c r="U66" s="50">
        <f t="shared" si="4"/>
        <v>2714</v>
      </c>
      <c r="V66" s="50">
        <f t="shared" si="5"/>
        <v>13485</v>
      </c>
      <c r="W66" s="50">
        <f t="shared" si="6"/>
        <v>16336</v>
      </c>
      <c r="Y66" s="51">
        <f t="shared" si="1"/>
        <v>5</v>
      </c>
      <c r="Z66" s="51">
        <f t="shared" si="2"/>
        <v>2012</v>
      </c>
    </row>
    <row r="67" spans="1:26" x14ac:dyDescent="0.25">
      <c r="A67" s="52">
        <v>41061</v>
      </c>
      <c r="B67" s="53">
        <v>-744</v>
      </c>
      <c r="C67" s="53">
        <v>-9</v>
      </c>
      <c r="D67" s="53">
        <v>-1903</v>
      </c>
      <c r="E67" s="53">
        <v>159</v>
      </c>
      <c r="F67" s="53">
        <v>492</v>
      </c>
      <c r="G67" s="53">
        <v>805</v>
      </c>
      <c r="H67" s="53">
        <v>1557</v>
      </c>
      <c r="I67" s="53">
        <v>0</v>
      </c>
      <c r="J67" s="53">
        <f t="shared" ref="J67:J130" si="8">SUM(B67:I67)</f>
        <v>357</v>
      </c>
      <c r="P67" s="53">
        <f t="shared" si="3"/>
        <v>90893</v>
      </c>
      <c r="Q67" s="53"/>
      <c r="R67" s="53"/>
      <c r="S67" s="53" t="b">
        <f t="shared" si="7"/>
        <v>0</v>
      </c>
      <c r="T67" s="5"/>
      <c r="U67" s="53">
        <f t="shared" si="4"/>
        <v>-142</v>
      </c>
      <c r="V67" s="53">
        <f t="shared" si="5"/>
        <v>12717</v>
      </c>
      <c r="W67" s="53">
        <f t="shared" si="6"/>
        <v>12633</v>
      </c>
      <c r="Y67" s="51">
        <f t="shared" ref="Y67:Y130" si="9">IF(A67=0,"",MONTH(A67))</f>
        <v>6</v>
      </c>
      <c r="Z67" s="51">
        <f t="shared" ref="Z67:Z130" si="10">IF(A67=0,"",YEAR(A67))</f>
        <v>2012</v>
      </c>
    </row>
    <row r="68" spans="1:26" x14ac:dyDescent="0.25">
      <c r="A68" s="49">
        <v>41091</v>
      </c>
      <c r="B68" s="50">
        <v>-226</v>
      </c>
      <c r="C68" s="50">
        <v>148</v>
      </c>
      <c r="D68" s="50">
        <v>1182</v>
      </c>
      <c r="E68" s="50">
        <v>-4</v>
      </c>
      <c r="F68" s="50">
        <v>1403</v>
      </c>
      <c r="G68" s="50">
        <v>679</v>
      </c>
      <c r="H68" s="50">
        <v>1876</v>
      </c>
      <c r="I68" s="50">
        <v>0</v>
      </c>
      <c r="J68" s="50">
        <f t="shared" si="8"/>
        <v>5058</v>
      </c>
      <c r="P68" s="50">
        <f t="shared" si="3"/>
        <v>89457</v>
      </c>
      <c r="Q68" s="50"/>
      <c r="R68" s="50"/>
      <c r="S68" s="50" t="b">
        <f t="shared" si="7"/>
        <v>0</v>
      </c>
      <c r="T68" s="5"/>
      <c r="U68" s="50">
        <f t="shared" si="4"/>
        <v>149</v>
      </c>
      <c r="V68" s="50">
        <f t="shared" si="5"/>
        <v>12865</v>
      </c>
      <c r="W68" s="50">
        <f t="shared" si="6"/>
        <v>13202</v>
      </c>
      <c r="Y68" s="51">
        <f t="shared" si="9"/>
        <v>7</v>
      </c>
      <c r="Z68" s="51">
        <f t="shared" si="10"/>
        <v>2012</v>
      </c>
    </row>
    <row r="69" spans="1:26" x14ac:dyDescent="0.25">
      <c r="A69" s="52">
        <v>41122</v>
      </c>
      <c r="B69" s="53">
        <v>507</v>
      </c>
      <c r="C69" s="53">
        <v>167</v>
      </c>
      <c r="D69" s="53">
        <v>-1457</v>
      </c>
      <c r="E69" s="53">
        <v>186</v>
      </c>
      <c r="F69" s="53">
        <v>1357</v>
      </c>
      <c r="G69" s="53">
        <v>1510</v>
      </c>
      <c r="H69" s="53">
        <v>6374</v>
      </c>
      <c r="I69" s="53">
        <v>0</v>
      </c>
      <c r="J69" s="53">
        <f t="shared" si="8"/>
        <v>8644</v>
      </c>
      <c r="P69" s="53">
        <f t="shared" si="3"/>
        <v>91133</v>
      </c>
      <c r="Q69" s="53"/>
      <c r="R69" s="53"/>
      <c r="S69" s="53" t="b">
        <f t="shared" si="7"/>
        <v>1</v>
      </c>
      <c r="T69" s="5"/>
      <c r="U69" s="53">
        <f t="shared" si="4"/>
        <v>2261</v>
      </c>
      <c r="V69" s="53">
        <f t="shared" si="5"/>
        <v>12574</v>
      </c>
      <c r="W69" s="53">
        <f t="shared" si="6"/>
        <v>15321</v>
      </c>
      <c r="Y69" s="51">
        <f t="shared" si="9"/>
        <v>8</v>
      </c>
      <c r="Z69" s="51">
        <f t="shared" si="10"/>
        <v>2012</v>
      </c>
    </row>
    <row r="70" spans="1:26" x14ac:dyDescent="0.25">
      <c r="A70" s="49">
        <v>41153</v>
      </c>
      <c r="B70" s="50">
        <v>-41</v>
      </c>
      <c r="C70" s="50">
        <v>74</v>
      </c>
      <c r="D70" s="50">
        <v>463</v>
      </c>
      <c r="E70" s="50">
        <v>-53</v>
      </c>
      <c r="F70" s="50">
        <v>721</v>
      </c>
      <c r="G70" s="50">
        <v>3754</v>
      </c>
      <c r="H70" s="50">
        <v>4400</v>
      </c>
      <c r="I70" s="50">
        <v>0</v>
      </c>
      <c r="J70" s="50">
        <f t="shared" si="8"/>
        <v>9318</v>
      </c>
      <c r="P70" s="50">
        <f t="shared" si="3"/>
        <v>92707</v>
      </c>
      <c r="Q70" s="50"/>
      <c r="R70" s="50"/>
      <c r="S70" s="50" t="b">
        <f t="shared" si="7"/>
        <v>1</v>
      </c>
      <c r="T70" s="5"/>
      <c r="U70" s="50">
        <f t="shared" si="4"/>
        <v>3399</v>
      </c>
      <c r="V70" s="50">
        <f t="shared" si="5"/>
        <v>11795</v>
      </c>
      <c r="W70" s="50">
        <f t="shared" si="6"/>
        <v>15704</v>
      </c>
      <c r="Y70" s="51">
        <f t="shared" si="9"/>
        <v>9</v>
      </c>
      <c r="Z70" s="51">
        <f t="shared" si="10"/>
        <v>2012</v>
      </c>
    </row>
    <row r="71" spans="1:26" x14ac:dyDescent="0.25">
      <c r="A71" s="52">
        <v>41183</v>
      </c>
      <c r="B71" s="53">
        <v>2412</v>
      </c>
      <c r="C71" s="53">
        <v>47</v>
      </c>
      <c r="D71" s="53">
        <v>1389</v>
      </c>
      <c r="E71" s="53">
        <v>-119</v>
      </c>
      <c r="F71" s="53">
        <v>342</v>
      </c>
      <c r="G71" s="53">
        <v>4762</v>
      </c>
      <c r="H71" s="53">
        <v>3998</v>
      </c>
      <c r="I71" s="53">
        <v>0</v>
      </c>
      <c r="J71" s="53">
        <f t="shared" si="8"/>
        <v>12831</v>
      </c>
      <c r="P71" s="53">
        <f t="shared" si="3"/>
        <v>87595</v>
      </c>
      <c r="Q71" s="53"/>
      <c r="R71" s="53"/>
      <c r="S71" s="53" t="b">
        <f t="shared" si="7"/>
        <v>0</v>
      </c>
      <c r="T71" s="5"/>
      <c r="U71" s="53">
        <f t="shared" si="4"/>
        <v>2792</v>
      </c>
      <c r="V71" s="53">
        <f t="shared" si="5"/>
        <v>10230</v>
      </c>
      <c r="W71" s="53">
        <f t="shared" si="6"/>
        <v>13414</v>
      </c>
      <c r="Y71" s="51">
        <f t="shared" si="9"/>
        <v>10</v>
      </c>
      <c r="Z71" s="51">
        <f t="shared" si="10"/>
        <v>2012</v>
      </c>
    </row>
    <row r="72" spans="1:26" x14ac:dyDescent="0.25">
      <c r="A72" s="49">
        <v>41214</v>
      </c>
      <c r="B72" s="50">
        <v>2645</v>
      </c>
      <c r="C72" s="50">
        <v>110</v>
      </c>
      <c r="D72" s="50">
        <v>1940</v>
      </c>
      <c r="E72" s="50">
        <v>-205</v>
      </c>
      <c r="F72" s="50">
        <v>-151</v>
      </c>
      <c r="G72" s="50">
        <v>7743</v>
      </c>
      <c r="H72" s="50">
        <v>4912</v>
      </c>
      <c r="I72" s="50">
        <v>0</v>
      </c>
      <c r="J72" s="50">
        <f t="shared" si="8"/>
        <v>16994</v>
      </c>
      <c r="P72" s="50">
        <f t="shared" si="3"/>
        <v>90327</v>
      </c>
      <c r="Q72" s="50"/>
      <c r="R72" s="50"/>
      <c r="S72" s="50" t="b">
        <f t="shared" si="7"/>
        <v>1</v>
      </c>
      <c r="T72" s="5"/>
      <c r="U72" s="50">
        <f t="shared" si="4"/>
        <v>6633</v>
      </c>
      <c r="V72" s="50">
        <f t="shared" si="5"/>
        <v>9943</v>
      </c>
      <c r="W72" s="50">
        <f t="shared" si="6"/>
        <v>16826</v>
      </c>
      <c r="Y72" s="51">
        <f t="shared" si="9"/>
        <v>11</v>
      </c>
      <c r="Z72" s="51">
        <f t="shared" si="10"/>
        <v>2012</v>
      </c>
    </row>
    <row r="73" spans="1:26" x14ac:dyDescent="0.25">
      <c r="A73" s="52">
        <v>41244</v>
      </c>
      <c r="B73" s="53">
        <v>-3303</v>
      </c>
      <c r="C73" s="53">
        <v>14</v>
      </c>
      <c r="D73" s="53">
        <v>-15804</v>
      </c>
      <c r="E73" s="53">
        <v>32</v>
      </c>
      <c r="F73" s="53">
        <v>-4067</v>
      </c>
      <c r="G73" s="53">
        <v>-187</v>
      </c>
      <c r="H73" s="53">
        <v>-3770</v>
      </c>
      <c r="I73" s="53">
        <v>0</v>
      </c>
      <c r="J73" s="53">
        <f t="shared" si="8"/>
        <v>-27085</v>
      </c>
      <c r="P73" s="53">
        <f t="shared" si="3"/>
        <v>85241</v>
      </c>
      <c r="Q73" s="53"/>
      <c r="R73" s="53"/>
      <c r="S73" s="53" t="b">
        <f t="shared" si="7"/>
        <v>0</v>
      </c>
      <c r="T73" s="5"/>
      <c r="U73" s="53">
        <f t="shared" si="4"/>
        <v>4751</v>
      </c>
      <c r="V73" s="53">
        <f t="shared" si="5"/>
        <v>8869</v>
      </c>
      <c r="W73" s="53">
        <f t="shared" si="6"/>
        <v>14057</v>
      </c>
      <c r="Y73" s="51">
        <f t="shared" si="9"/>
        <v>12</v>
      </c>
      <c r="Z73" s="51">
        <f t="shared" si="10"/>
        <v>2012</v>
      </c>
    </row>
    <row r="74" spans="1:26" x14ac:dyDescent="0.25">
      <c r="A74" s="49">
        <v>41275</v>
      </c>
      <c r="B74" s="50">
        <v>6500</v>
      </c>
      <c r="C74" s="50">
        <v>270</v>
      </c>
      <c r="D74" s="50">
        <v>8874</v>
      </c>
      <c r="E74" s="50">
        <v>134</v>
      </c>
      <c r="F74" s="50">
        <v>1781</v>
      </c>
      <c r="G74" s="50">
        <v>-2671</v>
      </c>
      <c r="H74" s="50">
        <v>5198</v>
      </c>
      <c r="I74" s="50">
        <v>0</v>
      </c>
      <c r="J74" s="50">
        <f t="shared" si="8"/>
        <v>20086</v>
      </c>
      <c r="P74" s="50">
        <f t="shared" si="3"/>
        <v>90001</v>
      </c>
      <c r="Q74" s="50"/>
      <c r="R74" s="50"/>
      <c r="S74" s="50" t="b">
        <f t="shared" si="7"/>
        <v>1</v>
      </c>
      <c r="T74" s="5"/>
      <c r="U74" s="50">
        <f t="shared" si="4"/>
        <v>10206</v>
      </c>
      <c r="V74" s="50">
        <f t="shared" si="5"/>
        <v>7748</v>
      </c>
      <c r="W74" s="50">
        <f t="shared" si="6"/>
        <v>18992</v>
      </c>
      <c r="Y74" s="51">
        <f t="shared" si="9"/>
        <v>1</v>
      </c>
      <c r="Z74" s="51">
        <f t="shared" si="10"/>
        <v>2013</v>
      </c>
    </row>
    <row r="75" spans="1:26" x14ac:dyDescent="0.25">
      <c r="A75" s="52">
        <v>41306</v>
      </c>
      <c r="B75" s="53">
        <v>-1229</v>
      </c>
      <c r="C75" s="53">
        <v>271</v>
      </c>
      <c r="D75" s="53">
        <v>11668</v>
      </c>
      <c r="E75" s="53">
        <v>124</v>
      </c>
      <c r="F75" s="53">
        <v>2759</v>
      </c>
      <c r="G75" s="53">
        <v>105</v>
      </c>
      <c r="H75" s="53">
        <v>5027</v>
      </c>
      <c r="I75" s="53">
        <v>0</v>
      </c>
      <c r="J75" s="53">
        <f t="shared" si="8"/>
        <v>18725</v>
      </c>
      <c r="P75" s="53">
        <f t="shared" si="3"/>
        <v>98406</v>
      </c>
      <c r="Q75" s="53"/>
      <c r="R75" s="53"/>
      <c r="S75" s="53" t="b">
        <f t="shared" si="7"/>
        <v>1</v>
      </c>
      <c r="T75" s="5"/>
      <c r="U75" s="53">
        <f t="shared" si="4"/>
        <v>15491</v>
      </c>
      <c r="V75" s="53">
        <f t="shared" si="5"/>
        <v>9577</v>
      </c>
      <c r="W75" s="53">
        <f t="shared" si="6"/>
        <v>26439</v>
      </c>
      <c r="Y75" s="51">
        <f t="shared" si="9"/>
        <v>2</v>
      </c>
      <c r="Z75" s="51">
        <f t="shared" si="10"/>
        <v>2013</v>
      </c>
    </row>
    <row r="76" spans="1:26" x14ac:dyDescent="0.25">
      <c r="A76" s="49">
        <v>41334</v>
      </c>
      <c r="B76" s="50">
        <v>-666</v>
      </c>
      <c r="C76" s="50">
        <v>205</v>
      </c>
      <c r="D76" s="50">
        <v>13644</v>
      </c>
      <c r="E76" s="50">
        <v>136</v>
      </c>
      <c r="F76" s="50">
        <v>1991</v>
      </c>
      <c r="G76" s="50">
        <v>5448</v>
      </c>
      <c r="H76" s="50">
        <v>9610</v>
      </c>
      <c r="I76" s="50">
        <v>0</v>
      </c>
      <c r="J76" s="50">
        <f t="shared" si="8"/>
        <v>30368</v>
      </c>
      <c r="P76" s="50">
        <f t="shared" si="3"/>
        <v>109202</v>
      </c>
      <c r="Q76" s="50"/>
      <c r="R76" s="50"/>
      <c r="S76" s="50" t="b">
        <f t="shared" si="7"/>
        <v>1</v>
      </c>
      <c r="T76" s="5"/>
      <c r="U76" s="50">
        <f t="shared" si="4"/>
        <v>22431</v>
      </c>
      <c r="V76" s="50">
        <f t="shared" si="5"/>
        <v>10229</v>
      </c>
      <c r="W76" s="50">
        <f t="shared" si="6"/>
        <v>34218</v>
      </c>
      <c r="Y76" s="51">
        <f t="shared" si="9"/>
        <v>3</v>
      </c>
      <c r="Z76" s="51">
        <f t="shared" si="10"/>
        <v>2013</v>
      </c>
    </row>
    <row r="77" spans="1:26" x14ac:dyDescent="0.25">
      <c r="A77" s="52">
        <v>41365</v>
      </c>
      <c r="B77" s="53">
        <v>-2269</v>
      </c>
      <c r="C77" s="53">
        <v>174</v>
      </c>
      <c r="D77" s="53">
        <v>4474</v>
      </c>
      <c r="E77" s="53">
        <v>-13</v>
      </c>
      <c r="F77" s="53">
        <v>2388</v>
      </c>
      <c r="G77" s="53">
        <v>2558</v>
      </c>
      <c r="H77" s="53">
        <v>4028</v>
      </c>
      <c r="I77" s="53">
        <v>0</v>
      </c>
      <c r="J77" s="53">
        <f t="shared" si="8"/>
        <v>11340</v>
      </c>
      <c r="P77" s="53">
        <f t="shared" si="3"/>
        <v>104627</v>
      </c>
      <c r="Q77" s="53"/>
      <c r="R77" s="53"/>
      <c r="S77" s="53" t="b">
        <f t="shared" si="7"/>
        <v>0</v>
      </c>
      <c r="T77" s="5"/>
      <c r="U77" s="53">
        <f t="shared" si="4"/>
        <v>22726</v>
      </c>
      <c r="V77" s="53">
        <f t="shared" si="5"/>
        <v>10181</v>
      </c>
      <c r="W77" s="53">
        <f t="shared" si="6"/>
        <v>34476</v>
      </c>
      <c r="Y77" s="51">
        <f t="shared" si="9"/>
        <v>4</v>
      </c>
      <c r="Z77" s="51">
        <f t="shared" si="10"/>
        <v>2013</v>
      </c>
    </row>
    <row r="78" spans="1:26" x14ac:dyDescent="0.25">
      <c r="A78" s="49">
        <v>41395</v>
      </c>
      <c r="B78" s="50">
        <v>-3093</v>
      </c>
      <c r="C78" s="50">
        <v>-148</v>
      </c>
      <c r="D78" s="50">
        <v>-289</v>
      </c>
      <c r="E78" s="50">
        <v>21</v>
      </c>
      <c r="F78" s="50">
        <v>-78</v>
      </c>
      <c r="G78" s="50">
        <v>-1205</v>
      </c>
      <c r="H78" s="50">
        <v>3170</v>
      </c>
      <c r="I78" s="50">
        <v>0</v>
      </c>
      <c r="J78" s="50">
        <f t="shared" si="8"/>
        <v>-1622</v>
      </c>
      <c r="P78" s="50">
        <f t="shared" ref="P78:P141" si="11">IF(J78=0,"",SUM(J67:J78))</f>
        <v>105014</v>
      </c>
      <c r="Q78" s="50"/>
      <c r="R78" s="50"/>
      <c r="S78" s="50" t="b">
        <f t="shared" si="7"/>
        <v>1</v>
      </c>
      <c r="T78" s="5"/>
      <c r="U78" s="50">
        <f t="shared" ref="U78:U141" si="12">IF(J78=0,"",SUM(D67:D78))</f>
        <v>24181</v>
      </c>
      <c r="V78" s="50">
        <f t="shared" ref="V78:V141" si="13">IF(J78=0,"",SUM(F67:F78))</f>
        <v>8938</v>
      </c>
      <c r="W78" s="50">
        <f t="shared" ref="W78:W141" si="14">IF(J78=0,"",SUM(C67:F78))</f>
        <v>34840</v>
      </c>
      <c r="Y78" s="51">
        <f t="shared" si="9"/>
        <v>5</v>
      </c>
      <c r="Z78" s="51">
        <f t="shared" si="10"/>
        <v>2013</v>
      </c>
    </row>
    <row r="79" spans="1:26" x14ac:dyDescent="0.25">
      <c r="A79" s="52">
        <v>41426</v>
      </c>
      <c r="B79" s="53">
        <v>-669</v>
      </c>
      <c r="C79" s="53">
        <v>-178</v>
      </c>
      <c r="D79" s="53">
        <v>-13</v>
      </c>
      <c r="E79" s="53">
        <v>97</v>
      </c>
      <c r="F79" s="53">
        <v>1017</v>
      </c>
      <c r="G79" s="53">
        <v>723</v>
      </c>
      <c r="H79" s="53">
        <v>2819</v>
      </c>
      <c r="I79" s="53">
        <v>0</v>
      </c>
      <c r="J79" s="53">
        <f t="shared" si="8"/>
        <v>3796</v>
      </c>
      <c r="P79" s="53">
        <f t="shared" si="11"/>
        <v>108453</v>
      </c>
      <c r="Q79" s="53"/>
      <c r="R79" s="53"/>
      <c r="S79" s="53" t="b">
        <f t="shared" ref="S79:S142" si="15">IF(J79=0,"",J79&gt;J67)</f>
        <v>1</v>
      </c>
      <c r="T79" s="5"/>
      <c r="U79" s="53">
        <f t="shared" si="12"/>
        <v>26071</v>
      </c>
      <c r="V79" s="53">
        <f t="shared" si="13"/>
        <v>9463</v>
      </c>
      <c r="W79" s="53">
        <f t="shared" si="14"/>
        <v>37024</v>
      </c>
      <c r="Y79" s="51">
        <f t="shared" si="9"/>
        <v>6</v>
      </c>
      <c r="Z79" s="51">
        <f t="shared" si="10"/>
        <v>2013</v>
      </c>
    </row>
    <row r="80" spans="1:26" x14ac:dyDescent="0.25">
      <c r="A80" s="49">
        <v>41456</v>
      </c>
      <c r="B80" s="50">
        <v>-704</v>
      </c>
      <c r="C80" s="50">
        <v>-161</v>
      </c>
      <c r="D80" s="50">
        <v>-1981</v>
      </c>
      <c r="E80" s="50">
        <v>-17</v>
      </c>
      <c r="F80" s="50">
        <v>139</v>
      </c>
      <c r="G80" s="50">
        <v>-1096</v>
      </c>
      <c r="H80" s="50">
        <v>396</v>
      </c>
      <c r="I80" s="50">
        <v>0</v>
      </c>
      <c r="J80" s="50">
        <f t="shared" si="8"/>
        <v>-3424</v>
      </c>
      <c r="P80" s="50">
        <f t="shared" si="11"/>
        <v>99971</v>
      </c>
      <c r="Q80" s="50"/>
      <c r="R80" s="50"/>
      <c r="S80" s="50" t="b">
        <f t="shared" si="15"/>
        <v>0</v>
      </c>
      <c r="T80" s="5"/>
      <c r="U80" s="50">
        <f t="shared" si="12"/>
        <v>22908</v>
      </c>
      <c r="V80" s="50">
        <f t="shared" si="13"/>
        <v>8199</v>
      </c>
      <c r="W80" s="50">
        <f t="shared" si="14"/>
        <v>32275</v>
      </c>
      <c r="Y80" s="51">
        <f t="shared" si="9"/>
        <v>7</v>
      </c>
      <c r="Z80" s="51">
        <f t="shared" si="10"/>
        <v>2013</v>
      </c>
    </row>
    <row r="81" spans="1:26" x14ac:dyDescent="0.25">
      <c r="A81" s="52">
        <v>41487</v>
      </c>
      <c r="B81" s="53">
        <v>732</v>
      </c>
      <c r="C81" s="53">
        <v>-277</v>
      </c>
      <c r="D81" s="53">
        <v>-2279</v>
      </c>
      <c r="E81" s="53">
        <v>96</v>
      </c>
      <c r="F81" s="53">
        <v>406</v>
      </c>
      <c r="G81" s="53">
        <v>3868</v>
      </c>
      <c r="H81" s="53">
        <v>5206</v>
      </c>
      <c r="I81" s="53">
        <v>0</v>
      </c>
      <c r="J81" s="53">
        <f t="shared" si="8"/>
        <v>7752</v>
      </c>
      <c r="P81" s="53">
        <f t="shared" si="11"/>
        <v>99079</v>
      </c>
      <c r="Q81" s="53"/>
      <c r="R81" s="53"/>
      <c r="S81" s="53" t="b">
        <f t="shared" si="15"/>
        <v>0</v>
      </c>
      <c r="T81" s="5"/>
      <c r="U81" s="53">
        <f t="shared" si="12"/>
        <v>22086</v>
      </c>
      <c r="V81" s="53">
        <f t="shared" si="13"/>
        <v>7248</v>
      </c>
      <c r="W81" s="53">
        <f t="shared" si="14"/>
        <v>29968</v>
      </c>
      <c r="Y81" s="51">
        <f t="shared" si="9"/>
        <v>8</v>
      </c>
      <c r="Z81" s="51">
        <f t="shared" si="10"/>
        <v>2013</v>
      </c>
    </row>
    <row r="82" spans="1:26" x14ac:dyDescent="0.25">
      <c r="A82" s="49">
        <v>41518</v>
      </c>
      <c r="B82" s="50">
        <v>361</v>
      </c>
      <c r="C82" s="50">
        <v>-89</v>
      </c>
      <c r="D82" s="50">
        <v>-325</v>
      </c>
      <c r="E82" s="50">
        <v>18</v>
      </c>
      <c r="F82" s="50">
        <v>1578</v>
      </c>
      <c r="G82" s="50">
        <v>5298</v>
      </c>
      <c r="H82" s="50">
        <v>5246</v>
      </c>
      <c r="I82" s="50">
        <v>0</v>
      </c>
      <c r="J82" s="50">
        <f t="shared" si="8"/>
        <v>12087</v>
      </c>
      <c r="P82" s="50">
        <f t="shared" si="11"/>
        <v>101848</v>
      </c>
      <c r="Q82" s="50"/>
      <c r="R82" s="50"/>
      <c r="S82" s="50" t="b">
        <f t="shared" si="15"/>
        <v>1</v>
      </c>
      <c r="T82" s="5"/>
      <c r="U82" s="50">
        <f t="shared" si="12"/>
        <v>21298</v>
      </c>
      <c r="V82" s="50">
        <f t="shared" si="13"/>
        <v>8105</v>
      </c>
      <c r="W82" s="50">
        <f t="shared" si="14"/>
        <v>29945</v>
      </c>
      <c r="Y82" s="51">
        <f t="shared" si="9"/>
        <v>9</v>
      </c>
      <c r="Z82" s="51">
        <f t="shared" si="10"/>
        <v>2013</v>
      </c>
    </row>
    <row r="83" spans="1:26" x14ac:dyDescent="0.25">
      <c r="A83" s="52">
        <v>41548</v>
      </c>
      <c r="B83" s="53">
        <v>1285</v>
      </c>
      <c r="C83" s="53">
        <v>-161</v>
      </c>
      <c r="D83" s="53">
        <v>-797</v>
      </c>
      <c r="E83" s="53">
        <v>-110</v>
      </c>
      <c r="F83" s="53">
        <v>672</v>
      </c>
      <c r="G83" s="53">
        <v>6474</v>
      </c>
      <c r="H83" s="53">
        <v>2550</v>
      </c>
      <c r="I83" s="53">
        <v>0</v>
      </c>
      <c r="J83" s="53">
        <f t="shared" si="8"/>
        <v>9913</v>
      </c>
      <c r="P83" s="53">
        <f t="shared" si="11"/>
        <v>98930</v>
      </c>
      <c r="Q83" s="53"/>
      <c r="R83" s="53"/>
      <c r="S83" s="53" t="b">
        <f t="shared" si="15"/>
        <v>0</v>
      </c>
      <c r="T83" s="5"/>
      <c r="U83" s="53">
        <f t="shared" si="12"/>
        <v>19112</v>
      </c>
      <c r="V83" s="53">
        <f t="shared" si="13"/>
        <v>8435</v>
      </c>
      <c r="W83" s="53">
        <f t="shared" si="14"/>
        <v>27890</v>
      </c>
      <c r="Y83" s="51">
        <f t="shared" si="9"/>
        <v>10</v>
      </c>
      <c r="Z83" s="51">
        <f t="shared" si="10"/>
        <v>2013</v>
      </c>
    </row>
    <row r="84" spans="1:26" x14ac:dyDescent="0.25">
      <c r="A84" s="49">
        <v>41579</v>
      </c>
      <c r="B84" s="50">
        <v>4057</v>
      </c>
      <c r="C84" s="50">
        <v>-329</v>
      </c>
      <c r="D84" s="50">
        <v>-1955</v>
      </c>
      <c r="E84" s="50">
        <v>-121</v>
      </c>
      <c r="F84" s="50">
        <v>-1154</v>
      </c>
      <c r="G84" s="50">
        <v>7266</v>
      </c>
      <c r="H84" s="50">
        <v>3201</v>
      </c>
      <c r="I84" s="50">
        <v>0</v>
      </c>
      <c r="J84" s="50">
        <f t="shared" si="8"/>
        <v>10965</v>
      </c>
      <c r="P84" s="50">
        <f t="shared" si="11"/>
        <v>92901</v>
      </c>
      <c r="Q84" s="50"/>
      <c r="R84" s="50"/>
      <c r="S84" s="50" t="b">
        <f t="shared" si="15"/>
        <v>0</v>
      </c>
      <c r="T84" s="5"/>
      <c r="U84" s="50">
        <f t="shared" si="12"/>
        <v>15217</v>
      </c>
      <c r="V84" s="50">
        <f t="shared" si="13"/>
        <v>7432</v>
      </c>
      <c r="W84" s="50">
        <f t="shared" si="14"/>
        <v>22637</v>
      </c>
      <c r="Y84" s="51">
        <f t="shared" si="9"/>
        <v>11</v>
      </c>
      <c r="Z84" s="51">
        <f t="shared" si="10"/>
        <v>2013</v>
      </c>
    </row>
    <row r="85" spans="1:26" x14ac:dyDescent="0.25">
      <c r="A85" s="52">
        <v>41609</v>
      </c>
      <c r="B85" s="53">
        <v>-2564</v>
      </c>
      <c r="C85" s="53">
        <v>-36</v>
      </c>
      <c r="D85" s="53">
        <v>-17571</v>
      </c>
      <c r="E85" s="53">
        <v>-483</v>
      </c>
      <c r="F85" s="53">
        <v>-3520</v>
      </c>
      <c r="G85" s="53">
        <v>-901</v>
      </c>
      <c r="H85" s="53">
        <v>-4625</v>
      </c>
      <c r="I85" s="53">
        <v>0</v>
      </c>
      <c r="J85" s="53">
        <f t="shared" si="8"/>
        <v>-29700</v>
      </c>
      <c r="P85" s="53">
        <f t="shared" si="11"/>
        <v>90286</v>
      </c>
      <c r="Q85" s="53"/>
      <c r="R85" s="53"/>
      <c r="S85" s="53" t="b">
        <f t="shared" si="15"/>
        <v>0</v>
      </c>
      <c r="T85" s="5"/>
      <c r="U85" s="53">
        <f t="shared" si="12"/>
        <v>13450</v>
      </c>
      <c r="V85" s="53">
        <f t="shared" si="13"/>
        <v>7979</v>
      </c>
      <c r="W85" s="53">
        <f t="shared" si="14"/>
        <v>20852</v>
      </c>
      <c r="Y85" s="51">
        <f t="shared" si="9"/>
        <v>12</v>
      </c>
      <c r="Z85" s="51">
        <f t="shared" si="10"/>
        <v>2013</v>
      </c>
    </row>
    <row r="86" spans="1:26" x14ac:dyDescent="0.25">
      <c r="A86" s="49">
        <v>41640</v>
      </c>
      <c r="B86" s="50">
        <v>4464</v>
      </c>
      <c r="C86" s="50">
        <v>211</v>
      </c>
      <c r="D86" s="50">
        <v>5163</v>
      </c>
      <c r="E86" s="50">
        <v>6</v>
      </c>
      <c r="F86" s="50">
        <v>3129</v>
      </c>
      <c r="G86" s="50">
        <v>-4095</v>
      </c>
      <c r="H86" s="50">
        <v>1632</v>
      </c>
      <c r="I86" s="50">
        <v>0</v>
      </c>
      <c r="J86" s="50">
        <f t="shared" si="8"/>
        <v>10510</v>
      </c>
      <c r="P86" s="50">
        <f t="shared" si="11"/>
        <v>80710</v>
      </c>
      <c r="Q86" s="50"/>
      <c r="R86" s="50"/>
      <c r="S86" s="50" t="b">
        <f t="shared" si="15"/>
        <v>0</v>
      </c>
      <c r="T86" s="5"/>
      <c r="U86" s="50">
        <f t="shared" si="12"/>
        <v>9739</v>
      </c>
      <c r="V86" s="50">
        <f t="shared" si="13"/>
        <v>9327</v>
      </c>
      <c r="W86" s="50">
        <f t="shared" si="14"/>
        <v>18302</v>
      </c>
      <c r="Y86" s="51">
        <f t="shared" si="9"/>
        <v>1</v>
      </c>
      <c r="Z86" s="51">
        <f t="shared" si="10"/>
        <v>2014</v>
      </c>
    </row>
    <row r="87" spans="1:26" x14ac:dyDescent="0.25">
      <c r="A87" s="52">
        <v>41671</v>
      </c>
      <c r="B87" s="53">
        <v>1964</v>
      </c>
      <c r="C87" s="53">
        <v>243</v>
      </c>
      <c r="D87" s="53">
        <v>11630</v>
      </c>
      <c r="E87" s="53">
        <v>445</v>
      </c>
      <c r="F87" s="53">
        <v>2705</v>
      </c>
      <c r="G87" s="53">
        <v>3108</v>
      </c>
      <c r="H87" s="53">
        <v>7496</v>
      </c>
      <c r="I87" s="53">
        <v>0</v>
      </c>
      <c r="J87" s="53">
        <f t="shared" si="8"/>
        <v>27591</v>
      </c>
      <c r="P87" s="53">
        <f t="shared" si="11"/>
        <v>89576</v>
      </c>
      <c r="Q87" s="53"/>
      <c r="R87" s="53"/>
      <c r="S87" s="53" t="b">
        <f t="shared" si="15"/>
        <v>1</v>
      </c>
      <c r="T87" s="5"/>
      <c r="U87" s="53">
        <f t="shared" si="12"/>
        <v>9701</v>
      </c>
      <c r="V87" s="53">
        <f t="shared" si="13"/>
        <v>9273</v>
      </c>
      <c r="W87" s="53">
        <f t="shared" si="14"/>
        <v>18503</v>
      </c>
      <c r="Y87" s="51">
        <f t="shared" si="9"/>
        <v>2</v>
      </c>
      <c r="Z87" s="51">
        <f t="shared" si="10"/>
        <v>2014</v>
      </c>
    </row>
    <row r="88" spans="1:26" x14ac:dyDescent="0.25">
      <c r="A88" s="49">
        <v>41699</v>
      </c>
      <c r="B88" s="50">
        <v>-2560</v>
      </c>
      <c r="C88" s="50">
        <v>-50</v>
      </c>
      <c r="D88" s="50">
        <v>8454</v>
      </c>
      <c r="E88" s="50">
        <v>115</v>
      </c>
      <c r="F88" s="50">
        <v>1400</v>
      </c>
      <c r="G88" s="50">
        <v>2497</v>
      </c>
      <c r="H88" s="50">
        <v>3221</v>
      </c>
      <c r="I88" s="50">
        <v>0</v>
      </c>
      <c r="J88" s="50">
        <f t="shared" si="8"/>
        <v>13077</v>
      </c>
      <c r="P88" s="50">
        <f t="shared" si="11"/>
        <v>72285</v>
      </c>
      <c r="Q88" s="50"/>
      <c r="R88" s="50"/>
      <c r="S88" s="50" t="b">
        <f t="shared" si="15"/>
        <v>0</v>
      </c>
      <c r="T88" s="5"/>
      <c r="U88" s="50">
        <f t="shared" si="12"/>
        <v>4511</v>
      </c>
      <c r="V88" s="50">
        <f t="shared" si="13"/>
        <v>8682</v>
      </c>
      <c r="W88" s="50">
        <f t="shared" si="14"/>
        <v>12446</v>
      </c>
      <c r="Y88" s="51">
        <f t="shared" si="9"/>
        <v>3</v>
      </c>
      <c r="Z88" s="51">
        <f t="shared" si="10"/>
        <v>2014</v>
      </c>
    </row>
    <row r="89" spans="1:26" x14ac:dyDescent="0.25">
      <c r="A89" s="52">
        <v>41730</v>
      </c>
      <c r="B89" s="53">
        <v>-2166</v>
      </c>
      <c r="C89" s="53">
        <v>145</v>
      </c>
      <c r="D89" s="53">
        <v>1998</v>
      </c>
      <c r="E89" s="53">
        <v>48</v>
      </c>
      <c r="F89" s="53">
        <v>1598</v>
      </c>
      <c r="G89" s="53">
        <v>1496</v>
      </c>
      <c r="H89" s="53">
        <v>3885</v>
      </c>
      <c r="I89" s="53">
        <v>0</v>
      </c>
      <c r="J89" s="53">
        <f t="shared" si="8"/>
        <v>7004</v>
      </c>
      <c r="P89" s="53">
        <f t="shared" si="11"/>
        <v>67949</v>
      </c>
      <c r="Q89" s="53"/>
      <c r="R89" s="53"/>
      <c r="S89" s="53" t="b">
        <f t="shared" si="15"/>
        <v>0</v>
      </c>
      <c r="T89" s="5"/>
      <c r="U89" s="53">
        <f t="shared" si="12"/>
        <v>2035</v>
      </c>
      <c r="V89" s="53">
        <f t="shared" si="13"/>
        <v>7892</v>
      </c>
      <c r="W89" s="53">
        <f t="shared" si="14"/>
        <v>9212</v>
      </c>
      <c r="Y89" s="51">
        <f t="shared" si="9"/>
        <v>4</v>
      </c>
      <c r="Z89" s="51">
        <f t="shared" si="10"/>
        <v>2014</v>
      </c>
    </row>
    <row r="90" spans="1:26" x14ac:dyDescent="0.25">
      <c r="A90" s="49">
        <v>41760</v>
      </c>
      <c r="B90" s="50">
        <v>-2572</v>
      </c>
      <c r="C90" s="50">
        <v>39</v>
      </c>
      <c r="D90" s="50">
        <v>-3281</v>
      </c>
      <c r="E90" s="50">
        <v>20</v>
      </c>
      <c r="F90" s="50">
        <v>-656</v>
      </c>
      <c r="G90" s="50">
        <v>-620</v>
      </c>
      <c r="H90" s="50">
        <v>3994</v>
      </c>
      <c r="I90" s="50">
        <v>0</v>
      </c>
      <c r="J90" s="50">
        <f t="shared" si="8"/>
        <v>-3076</v>
      </c>
      <c r="P90" s="50">
        <f t="shared" si="11"/>
        <v>66495</v>
      </c>
      <c r="Q90" s="50"/>
      <c r="R90" s="50"/>
      <c r="S90" s="50" t="b">
        <f t="shared" si="15"/>
        <v>0</v>
      </c>
      <c r="T90" s="5"/>
      <c r="U90" s="50">
        <f t="shared" si="12"/>
        <v>-957</v>
      </c>
      <c r="V90" s="50">
        <f t="shared" si="13"/>
        <v>7314</v>
      </c>
      <c r="W90" s="50">
        <f t="shared" si="14"/>
        <v>5828</v>
      </c>
      <c r="Y90" s="51">
        <f t="shared" si="9"/>
        <v>5</v>
      </c>
      <c r="Z90" s="51">
        <f t="shared" si="10"/>
        <v>2014</v>
      </c>
    </row>
    <row r="91" spans="1:26" x14ac:dyDescent="0.25">
      <c r="A91" s="52">
        <v>41791</v>
      </c>
      <c r="B91" s="53">
        <v>-598</v>
      </c>
      <c r="C91" s="53">
        <v>54</v>
      </c>
      <c r="D91" s="53">
        <v>-3369</v>
      </c>
      <c r="E91" s="53">
        <v>99</v>
      </c>
      <c r="F91" s="53">
        <v>-1387</v>
      </c>
      <c r="G91" s="53">
        <v>-1162</v>
      </c>
      <c r="H91" s="53">
        <v>2167</v>
      </c>
      <c r="I91" s="53">
        <v>0</v>
      </c>
      <c r="J91" s="53">
        <f t="shared" si="8"/>
        <v>-4196</v>
      </c>
      <c r="P91" s="53">
        <f t="shared" si="11"/>
        <v>58503</v>
      </c>
      <c r="Q91" s="53"/>
      <c r="R91" s="53"/>
      <c r="S91" s="53" t="b">
        <f t="shared" si="15"/>
        <v>0</v>
      </c>
      <c r="T91" s="5"/>
      <c r="U91" s="53">
        <f t="shared" si="12"/>
        <v>-4313</v>
      </c>
      <c r="V91" s="53">
        <f t="shared" si="13"/>
        <v>4910</v>
      </c>
      <c r="W91" s="53">
        <f t="shared" si="14"/>
        <v>302</v>
      </c>
      <c r="Y91" s="51">
        <f t="shared" si="9"/>
        <v>6</v>
      </c>
      <c r="Z91" s="51">
        <f t="shared" si="10"/>
        <v>2014</v>
      </c>
    </row>
    <row r="92" spans="1:26" x14ac:dyDescent="0.25">
      <c r="A92" s="49">
        <v>41821</v>
      </c>
      <c r="B92" s="50">
        <v>-388</v>
      </c>
      <c r="C92" s="50">
        <v>-83</v>
      </c>
      <c r="D92" s="50">
        <v>-2306</v>
      </c>
      <c r="E92" s="50">
        <v>-44</v>
      </c>
      <c r="F92" s="50">
        <v>-678</v>
      </c>
      <c r="G92" s="50">
        <v>-1518</v>
      </c>
      <c r="H92" s="50">
        <v>-317</v>
      </c>
      <c r="I92" s="50">
        <v>0</v>
      </c>
      <c r="J92" s="50">
        <f t="shared" si="8"/>
        <v>-5334</v>
      </c>
      <c r="P92" s="50">
        <f t="shared" si="11"/>
        <v>56593</v>
      </c>
      <c r="Q92" s="50"/>
      <c r="R92" s="50"/>
      <c r="S92" s="50" t="b">
        <f t="shared" si="15"/>
        <v>0</v>
      </c>
      <c r="T92" s="5"/>
      <c r="U92" s="50">
        <f t="shared" si="12"/>
        <v>-4638</v>
      </c>
      <c r="V92" s="50">
        <f t="shared" si="13"/>
        <v>4093</v>
      </c>
      <c r="W92" s="50">
        <f t="shared" si="14"/>
        <v>-789</v>
      </c>
      <c r="Y92" s="51">
        <f t="shared" si="9"/>
        <v>7</v>
      </c>
      <c r="Z92" s="51">
        <f t="shared" si="10"/>
        <v>2014</v>
      </c>
    </row>
    <row r="93" spans="1:26" x14ac:dyDescent="0.25">
      <c r="A93" s="52">
        <v>41852</v>
      </c>
      <c r="B93" s="53">
        <v>1019</v>
      </c>
      <c r="C93" s="53">
        <v>-19</v>
      </c>
      <c r="D93" s="53">
        <v>-5993</v>
      </c>
      <c r="E93" s="53">
        <v>-90</v>
      </c>
      <c r="F93" s="53">
        <v>-815</v>
      </c>
      <c r="G93" s="53">
        <v>595</v>
      </c>
      <c r="H93" s="53">
        <v>4635</v>
      </c>
      <c r="I93" s="53">
        <v>0</v>
      </c>
      <c r="J93" s="53">
        <f t="shared" si="8"/>
        <v>-668</v>
      </c>
      <c r="P93" s="53">
        <f t="shared" si="11"/>
        <v>48173</v>
      </c>
      <c r="Q93" s="53"/>
      <c r="R93" s="53"/>
      <c r="S93" s="53" t="b">
        <f t="shared" si="15"/>
        <v>0</v>
      </c>
      <c r="T93" s="5"/>
      <c r="U93" s="53">
        <f t="shared" si="12"/>
        <v>-8352</v>
      </c>
      <c r="V93" s="53">
        <f t="shared" si="13"/>
        <v>2872</v>
      </c>
      <c r="W93" s="53">
        <f t="shared" si="14"/>
        <v>-5652</v>
      </c>
      <c r="Y93" s="51">
        <f t="shared" si="9"/>
        <v>8</v>
      </c>
      <c r="Z93" s="51">
        <f t="shared" si="10"/>
        <v>2014</v>
      </c>
    </row>
    <row r="94" spans="1:26" x14ac:dyDescent="0.25">
      <c r="A94" s="49">
        <v>41883</v>
      </c>
      <c r="B94" s="50">
        <v>17</v>
      </c>
      <c r="C94" s="50">
        <v>45</v>
      </c>
      <c r="D94" s="50">
        <v>-4552</v>
      </c>
      <c r="E94" s="50">
        <v>-13</v>
      </c>
      <c r="F94" s="50">
        <v>956</v>
      </c>
      <c r="G94" s="50">
        <v>3823</v>
      </c>
      <c r="H94" s="50">
        <v>3956</v>
      </c>
      <c r="I94" s="50">
        <v>0</v>
      </c>
      <c r="J94" s="50">
        <f t="shared" si="8"/>
        <v>4232</v>
      </c>
      <c r="P94" s="50">
        <f t="shared" si="11"/>
        <v>40318</v>
      </c>
      <c r="Q94" s="50"/>
      <c r="R94" s="50"/>
      <c r="S94" s="50" t="b">
        <f t="shared" si="15"/>
        <v>0</v>
      </c>
      <c r="T94" s="5"/>
      <c r="U94" s="50">
        <f t="shared" si="12"/>
        <v>-12579</v>
      </c>
      <c r="V94" s="50">
        <f t="shared" si="13"/>
        <v>2250</v>
      </c>
      <c r="W94" s="50">
        <f t="shared" si="14"/>
        <v>-10398</v>
      </c>
      <c r="Y94" s="51">
        <f t="shared" si="9"/>
        <v>9</v>
      </c>
      <c r="Z94" s="51">
        <f t="shared" si="10"/>
        <v>2014</v>
      </c>
    </row>
    <row r="95" spans="1:26" x14ac:dyDescent="0.25">
      <c r="A95" s="52">
        <v>41913</v>
      </c>
      <c r="B95" s="53">
        <v>1418</v>
      </c>
      <c r="C95" s="53">
        <v>45</v>
      </c>
      <c r="D95" s="53">
        <v>-3029</v>
      </c>
      <c r="E95" s="53">
        <v>-54</v>
      </c>
      <c r="F95" s="53">
        <v>-767</v>
      </c>
      <c r="G95" s="53">
        <v>3739</v>
      </c>
      <c r="H95" s="53">
        <v>501</v>
      </c>
      <c r="I95" s="53">
        <v>0</v>
      </c>
      <c r="J95" s="53">
        <f t="shared" si="8"/>
        <v>1853</v>
      </c>
      <c r="P95" s="53">
        <f t="shared" si="11"/>
        <v>32258</v>
      </c>
      <c r="Q95" s="53"/>
      <c r="R95" s="53"/>
      <c r="S95" s="53" t="b">
        <f t="shared" si="15"/>
        <v>0</v>
      </c>
      <c r="T95" s="5"/>
      <c r="U95" s="53">
        <f t="shared" si="12"/>
        <v>-14811</v>
      </c>
      <c r="V95" s="53">
        <f t="shared" si="13"/>
        <v>811</v>
      </c>
      <c r="W95" s="53">
        <f t="shared" si="14"/>
        <v>-13807</v>
      </c>
      <c r="Y95" s="51">
        <f t="shared" si="9"/>
        <v>10</v>
      </c>
      <c r="Z95" s="51">
        <f t="shared" si="10"/>
        <v>2014</v>
      </c>
    </row>
    <row r="96" spans="1:26" x14ac:dyDescent="0.25">
      <c r="A96" s="49">
        <v>41944</v>
      </c>
      <c r="B96" s="50">
        <v>3614</v>
      </c>
      <c r="C96" s="50">
        <v>-31</v>
      </c>
      <c r="D96" s="50">
        <v>-3222</v>
      </c>
      <c r="E96" s="50">
        <v>47</v>
      </c>
      <c r="F96" s="50">
        <v>-600</v>
      </c>
      <c r="G96" s="50">
        <v>7661</v>
      </c>
      <c r="H96" s="50">
        <v>3973</v>
      </c>
      <c r="I96" s="50">
        <v>0</v>
      </c>
      <c r="J96" s="50">
        <f t="shared" si="8"/>
        <v>11442</v>
      </c>
      <c r="P96" s="50">
        <f t="shared" si="11"/>
        <v>32735</v>
      </c>
      <c r="Q96" s="50"/>
      <c r="R96" s="50"/>
      <c r="S96" s="50" t="b">
        <f t="shared" si="15"/>
        <v>1</v>
      </c>
      <c r="T96" s="5"/>
      <c r="U96" s="50">
        <f t="shared" si="12"/>
        <v>-16078</v>
      </c>
      <c r="V96" s="50">
        <f t="shared" si="13"/>
        <v>1365</v>
      </c>
      <c r="W96" s="50">
        <f t="shared" si="14"/>
        <v>-14054</v>
      </c>
      <c r="Y96" s="51">
        <f t="shared" si="9"/>
        <v>11</v>
      </c>
      <c r="Z96" s="51">
        <f t="shared" si="10"/>
        <v>2014</v>
      </c>
    </row>
    <row r="97" spans="1:26" x14ac:dyDescent="0.25">
      <c r="A97" s="52">
        <v>41974</v>
      </c>
      <c r="B97" s="53">
        <v>-4418</v>
      </c>
      <c r="C97" s="53">
        <v>-177</v>
      </c>
      <c r="D97" s="53">
        <v>-19882</v>
      </c>
      <c r="E97" s="53">
        <v>-27</v>
      </c>
      <c r="F97" s="53">
        <v>-5867</v>
      </c>
      <c r="G97" s="53">
        <v>-1069</v>
      </c>
      <c r="H97" s="53">
        <v>-7394</v>
      </c>
      <c r="I97" s="53">
        <v>0</v>
      </c>
      <c r="J97" s="53">
        <f t="shared" si="8"/>
        <v>-38834</v>
      </c>
      <c r="P97" s="53">
        <f t="shared" si="11"/>
        <v>23601</v>
      </c>
      <c r="Q97" s="53"/>
      <c r="R97" s="53"/>
      <c r="S97" s="53" t="b">
        <f t="shared" si="15"/>
        <v>0</v>
      </c>
      <c r="T97" s="5"/>
      <c r="U97" s="53">
        <f t="shared" si="12"/>
        <v>-18389</v>
      </c>
      <c r="V97" s="53">
        <f t="shared" si="13"/>
        <v>-982</v>
      </c>
      <c r="W97" s="53">
        <f t="shared" si="14"/>
        <v>-18397</v>
      </c>
      <c r="Y97" s="51">
        <f t="shared" si="9"/>
        <v>12</v>
      </c>
      <c r="Z97" s="51">
        <f t="shared" si="10"/>
        <v>2014</v>
      </c>
    </row>
    <row r="98" spans="1:26" x14ac:dyDescent="0.25">
      <c r="A98" s="49">
        <v>42005</v>
      </c>
      <c r="B98" s="50">
        <v>7050</v>
      </c>
      <c r="C98" s="50">
        <v>-76</v>
      </c>
      <c r="D98" s="50">
        <v>4988</v>
      </c>
      <c r="E98" s="50">
        <v>-454</v>
      </c>
      <c r="F98" s="50">
        <v>468</v>
      </c>
      <c r="G98" s="50">
        <v>-4221</v>
      </c>
      <c r="H98" s="50">
        <v>649</v>
      </c>
      <c r="I98" s="50">
        <v>0</v>
      </c>
      <c r="J98" s="50">
        <f t="shared" si="8"/>
        <v>8404</v>
      </c>
      <c r="P98" s="50">
        <f t="shared" si="11"/>
        <v>21495</v>
      </c>
      <c r="Q98" s="50"/>
      <c r="R98" s="50"/>
      <c r="S98" s="50" t="b">
        <f t="shared" si="15"/>
        <v>0</v>
      </c>
      <c r="T98" s="5"/>
      <c r="U98" s="50">
        <f t="shared" si="12"/>
        <v>-18564</v>
      </c>
      <c r="V98" s="50">
        <f t="shared" si="13"/>
        <v>-3643</v>
      </c>
      <c r="W98" s="50">
        <f t="shared" si="14"/>
        <v>-21980</v>
      </c>
      <c r="Y98" s="51">
        <f t="shared" si="9"/>
        <v>1</v>
      </c>
      <c r="Z98" s="51">
        <f t="shared" si="10"/>
        <v>2015</v>
      </c>
    </row>
    <row r="99" spans="1:26" x14ac:dyDescent="0.25">
      <c r="A99" s="52">
        <v>42036</v>
      </c>
      <c r="B99" s="53">
        <v>-262</v>
      </c>
      <c r="C99" s="53">
        <v>-17</v>
      </c>
      <c r="D99" s="53">
        <v>4790</v>
      </c>
      <c r="E99" s="53">
        <v>204</v>
      </c>
      <c r="F99" s="53">
        <v>-1095</v>
      </c>
      <c r="G99" s="53">
        <v>-2481</v>
      </c>
      <c r="H99" s="53">
        <v>3060</v>
      </c>
      <c r="I99" s="53">
        <v>0</v>
      </c>
      <c r="J99" s="53">
        <f t="shared" si="8"/>
        <v>4199</v>
      </c>
      <c r="P99" s="53">
        <f t="shared" si="11"/>
        <v>-1897</v>
      </c>
      <c r="Q99" s="53"/>
      <c r="R99" s="53"/>
      <c r="S99" s="53" t="b">
        <f t="shared" si="15"/>
        <v>0</v>
      </c>
      <c r="T99" s="5"/>
      <c r="U99" s="53">
        <f t="shared" si="12"/>
        <v>-25404</v>
      </c>
      <c r="V99" s="53">
        <f t="shared" si="13"/>
        <v>-7443</v>
      </c>
      <c r="W99" s="53">
        <f t="shared" si="14"/>
        <v>-33121</v>
      </c>
      <c r="Y99" s="51">
        <f t="shared" si="9"/>
        <v>2</v>
      </c>
      <c r="Z99" s="51">
        <f t="shared" si="10"/>
        <v>2015</v>
      </c>
    </row>
    <row r="100" spans="1:26" x14ac:dyDescent="0.25">
      <c r="A100" s="49">
        <v>42064</v>
      </c>
      <c r="B100" s="50">
        <v>-2217</v>
      </c>
      <c r="C100" s="50">
        <v>27</v>
      </c>
      <c r="D100" s="50">
        <v>6132</v>
      </c>
      <c r="E100" s="50">
        <v>84</v>
      </c>
      <c r="F100" s="50">
        <v>-433</v>
      </c>
      <c r="G100" s="50">
        <v>5057</v>
      </c>
      <c r="H100" s="50">
        <v>4348</v>
      </c>
      <c r="I100" s="50">
        <v>0</v>
      </c>
      <c r="J100" s="50">
        <f t="shared" si="8"/>
        <v>12998</v>
      </c>
      <c r="P100" s="50">
        <f t="shared" si="11"/>
        <v>-1976</v>
      </c>
      <c r="Q100" s="50"/>
      <c r="R100" s="50"/>
      <c r="S100" s="50" t="b">
        <f t="shared" si="15"/>
        <v>0</v>
      </c>
      <c r="T100" s="5"/>
      <c r="U100" s="50">
        <f t="shared" si="12"/>
        <v>-27726</v>
      </c>
      <c r="V100" s="50">
        <f t="shared" si="13"/>
        <v>-9276</v>
      </c>
      <c r="W100" s="50">
        <f t="shared" si="14"/>
        <v>-37230</v>
      </c>
      <c r="Y100" s="51">
        <f t="shared" si="9"/>
        <v>3</v>
      </c>
      <c r="Z100" s="51">
        <f t="shared" si="10"/>
        <v>2015</v>
      </c>
    </row>
    <row r="101" spans="1:26" x14ac:dyDescent="0.25">
      <c r="A101" s="52">
        <v>42095</v>
      </c>
      <c r="B101" s="53">
        <v>-1765</v>
      </c>
      <c r="C101" s="53">
        <v>-41</v>
      </c>
      <c r="D101" s="53">
        <v>-2286</v>
      </c>
      <c r="E101" s="53">
        <v>79</v>
      </c>
      <c r="F101" s="53">
        <v>427</v>
      </c>
      <c r="G101" s="53">
        <v>-3039</v>
      </c>
      <c r="H101" s="53">
        <v>-638</v>
      </c>
      <c r="I101" s="53">
        <v>0</v>
      </c>
      <c r="J101" s="53">
        <f t="shared" si="8"/>
        <v>-7263</v>
      </c>
      <c r="P101" s="53">
        <f t="shared" si="11"/>
        <v>-16243</v>
      </c>
      <c r="Q101" s="53"/>
      <c r="R101" s="53"/>
      <c r="S101" s="53" t="b">
        <f t="shared" si="15"/>
        <v>0</v>
      </c>
      <c r="T101" s="5"/>
      <c r="U101" s="53">
        <f t="shared" si="12"/>
        <v>-32010</v>
      </c>
      <c r="V101" s="53">
        <f t="shared" si="13"/>
        <v>-10447</v>
      </c>
      <c r="W101" s="53">
        <f t="shared" si="14"/>
        <v>-42840</v>
      </c>
      <c r="Y101" s="51">
        <f t="shared" si="9"/>
        <v>4</v>
      </c>
      <c r="Z101" s="51">
        <f t="shared" si="10"/>
        <v>2015</v>
      </c>
    </row>
    <row r="102" spans="1:26" x14ac:dyDescent="0.25">
      <c r="A102" s="49">
        <v>42125</v>
      </c>
      <c r="B102" s="50">
        <v>-3118</v>
      </c>
      <c r="C102" s="50">
        <v>-5</v>
      </c>
      <c r="D102" s="50">
        <v>-5802</v>
      </c>
      <c r="E102" s="50">
        <v>-224</v>
      </c>
      <c r="F102" s="50">
        <v>-2517</v>
      </c>
      <c r="G102" s="50">
        <v>-2347</v>
      </c>
      <c r="H102" s="50">
        <v>-1521</v>
      </c>
      <c r="I102" s="50">
        <v>0</v>
      </c>
      <c r="J102" s="50">
        <f t="shared" si="8"/>
        <v>-15534</v>
      </c>
      <c r="P102" s="50">
        <f t="shared" si="11"/>
        <v>-28701</v>
      </c>
      <c r="Q102" s="50"/>
      <c r="R102" s="50"/>
      <c r="S102" s="50" t="b">
        <f t="shared" si="15"/>
        <v>0</v>
      </c>
      <c r="T102" s="5"/>
      <c r="U102" s="50">
        <f t="shared" si="12"/>
        <v>-34531</v>
      </c>
      <c r="V102" s="50">
        <f t="shared" si="13"/>
        <v>-12308</v>
      </c>
      <c r="W102" s="50">
        <f t="shared" si="14"/>
        <v>-47510</v>
      </c>
      <c r="Y102" s="51">
        <f t="shared" si="9"/>
        <v>5</v>
      </c>
      <c r="Z102" s="51">
        <f t="shared" si="10"/>
        <v>2015</v>
      </c>
    </row>
    <row r="103" spans="1:26" x14ac:dyDescent="0.25">
      <c r="A103" s="52">
        <v>42156</v>
      </c>
      <c r="B103" s="53">
        <v>384</v>
      </c>
      <c r="C103" s="53">
        <v>-34</v>
      </c>
      <c r="D103" s="53">
        <v>-6842</v>
      </c>
      <c r="E103" s="53">
        <v>1</v>
      </c>
      <c r="F103" s="53">
        <v>-2164</v>
      </c>
      <c r="G103" s="53">
        <v>-2827</v>
      </c>
      <c r="H103" s="53">
        <v>-2265</v>
      </c>
      <c r="I103" s="53">
        <v>0</v>
      </c>
      <c r="J103" s="53">
        <f t="shared" si="8"/>
        <v>-13747</v>
      </c>
      <c r="P103" s="53">
        <f t="shared" si="11"/>
        <v>-38252</v>
      </c>
      <c r="Q103" s="53"/>
      <c r="R103" s="53"/>
      <c r="S103" s="53" t="b">
        <f t="shared" si="15"/>
        <v>0</v>
      </c>
      <c r="T103" s="5"/>
      <c r="U103" s="53">
        <f t="shared" si="12"/>
        <v>-38004</v>
      </c>
      <c r="V103" s="53">
        <f t="shared" si="13"/>
        <v>-13085</v>
      </c>
      <c r="W103" s="53">
        <f t="shared" si="14"/>
        <v>-51946</v>
      </c>
      <c r="Y103" s="51">
        <f t="shared" si="9"/>
        <v>6</v>
      </c>
      <c r="Z103" s="51">
        <f t="shared" si="10"/>
        <v>2015</v>
      </c>
    </row>
    <row r="104" spans="1:26" x14ac:dyDescent="0.25">
      <c r="A104" s="49">
        <v>42186</v>
      </c>
      <c r="B104" s="50">
        <v>-373</v>
      </c>
      <c r="C104" s="50">
        <v>-79</v>
      </c>
      <c r="D104" s="50">
        <v>-6789</v>
      </c>
      <c r="E104" s="50">
        <v>-88</v>
      </c>
      <c r="F104" s="50">
        <v>-1522</v>
      </c>
      <c r="G104" s="50">
        <v>-4536</v>
      </c>
      <c r="H104" s="50">
        <v>-4841</v>
      </c>
      <c r="I104" s="50">
        <v>0</v>
      </c>
      <c r="J104" s="50">
        <f t="shared" si="8"/>
        <v>-18228</v>
      </c>
      <c r="P104" s="50">
        <f t="shared" si="11"/>
        <v>-51146</v>
      </c>
      <c r="Q104" s="50"/>
      <c r="R104" s="50"/>
      <c r="S104" s="50" t="b">
        <f t="shared" si="15"/>
        <v>0</v>
      </c>
      <c r="T104" s="5"/>
      <c r="U104" s="50">
        <f t="shared" si="12"/>
        <v>-42487</v>
      </c>
      <c r="V104" s="50">
        <f t="shared" si="13"/>
        <v>-13929</v>
      </c>
      <c r="W104" s="50">
        <f t="shared" si="14"/>
        <v>-57313</v>
      </c>
      <c r="Y104" s="51">
        <f t="shared" si="9"/>
        <v>7</v>
      </c>
      <c r="Z104" s="51">
        <f t="shared" si="10"/>
        <v>2015</v>
      </c>
    </row>
    <row r="105" spans="1:26" x14ac:dyDescent="0.25">
      <c r="A105" s="52">
        <v>42217</v>
      </c>
      <c r="B105" s="53">
        <v>444</v>
      </c>
      <c r="C105" s="53">
        <v>-41</v>
      </c>
      <c r="D105" s="53">
        <v>-9907</v>
      </c>
      <c r="E105" s="53">
        <v>-139</v>
      </c>
      <c r="F105" s="53">
        <v>-1205</v>
      </c>
      <c r="G105" s="53">
        <v>-1978</v>
      </c>
      <c r="H105" s="53">
        <v>969</v>
      </c>
      <c r="I105" s="53">
        <v>0</v>
      </c>
      <c r="J105" s="53">
        <f t="shared" si="8"/>
        <v>-11857</v>
      </c>
      <c r="P105" s="53">
        <f t="shared" si="11"/>
        <v>-62335</v>
      </c>
      <c r="Q105" s="53"/>
      <c r="R105" s="53"/>
      <c r="S105" s="53" t="b">
        <f t="shared" si="15"/>
        <v>0</v>
      </c>
      <c r="T105" s="5"/>
      <c r="U105" s="53">
        <f t="shared" si="12"/>
        <v>-46401</v>
      </c>
      <c r="V105" s="53">
        <f t="shared" si="13"/>
        <v>-14319</v>
      </c>
      <c r="W105" s="53">
        <f t="shared" si="14"/>
        <v>-61688</v>
      </c>
      <c r="Y105" s="51">
        <f t="shared" si="9"/>
        <v>8</v>
      </c>
      <c r="Z105" s="51">
        <f t="shared" si="10"/>
        <v>2015</v>
      </c>
    </row>
    <row r="106" spans="1:26" x14ac:dyDescent="0.25">
      <c r="A106" s="49">
        <v>42248</v>
      </c>
      <c r="B106" s="50">
        <v>276</v>
      </c>
      <c r="C106" s="50">
        <v>-52</v>
      </c>
      <c r="D106" s="50">
        <v>-6145</v>
      </c>
      <c r="E106" s="50">
        <v>237</v>
      </c>
      <c r="F106" s="50">
        <v>-839</v>
      </c>
      <c r="G106" s="50">
        <v>286</v>
      </c>
      <c r="H106" s="50">
        <v>-1890</v>
      </c>
      <c r="I106" s="50">
        <v>0</v>
      </c>
      <c r="J106" s="50">
        <f t="shared" si="8"/>
        <v>-8127</v>
      </c>
      <c r="P106" s="50">
        <f t="shared" si="11"/>
        <v>-74694</v>
      </c>
      <c r="Q106" s="50"/>
      <c r="R106" s="50"/>
      <c r="S106" s="50" t="b">
        <f t="shared" si="15"/>
        <v>0</v>
      </c>
      <c r="T106" s="5"/>
      <c r="U106" s="50">
        <f t="shared" si="12"/>
        <v>-47994</v>
      </c>
      <c r="V106" s="50">
        <f t="shared" si="13"/>
        <v>-16114</v>
      </c>
      <c r="W106" s="50">
        <f t="shared" si="14"/>
        <v>-64923</v>
      </c>
      <c r="Y106" s="51">
        <f t="shared" si="9"/>
        <v>9</v>
      </c>
      <c r="Z106" s="51">
        <f t="shared" si="10"/>
        <v>2015</v>
      </c>
    </row>
    <row r="107" spans="1:26" x14ac:dyDescent="0.25">
      <c r="A107" s="52">
        <v>42278</v>
      </c>
      <c r="B107" s="53">
        <v>649</v>
      </c>
      <c r="C107" s="53">
        <v>-104</v>
      </c>
      <c r="D107" s="53">
        <v>-6229</v>
      </c>
      <c r="E107" s="53">
        <v>-54</v>
      </c>
      <c r="F107" s="53">
        <v>-355</v>
      </c>
      <c r="G107" s="53">
        <v>288</v>
      </c>
      <c r="H107" s="53">
        <v>-2344</v>
      </c>
      <c r="I107" s="53">
        <v>0</v>
      </c>
      <c r="J107" s="53">
        <f t="shared" si="8"/>
        <v>-8149</v>
      </c>
      <c r="P107" s="53">
        <f t="shared" si="11"/>
        <v>-84696</v>
      </c>
      <c r="Q107" s="53"/>
      <c r="R107" s="53"/>
      <c r="S107" s="53" t="b">
        <f t="shared" si="15"/>
        <v>0</v>
      </c>
      <c r="T107" s="5"/>
      <c r="U107" s="53">
        <f t="shared" si="12"/>
        <v>-51194</v>
      </c>
      <c r="V107" s="53">
        <f t="shared" si="13"/>
        <v>-15702</v>
      </c>
      <c r="W107" s="53">
        <f t="shared" si="14"/>
        <v>-67860</v>
      </c>
      <c r="Y107" s="51">
        <f t="shared" si="9"/>
        <v>10</v>
      </c>
      <c r="Z107" s="51">
        <f t="shared" si="10"/>
        <v>2015</v>
      </c>
    </row>
    <row r="108" spans="1:26" x14ac:dyDescent="0.25">
      <c r="A108" s="49">
        <v>42309</v>
      </c>
      <c r="B108" s="50">
        <v>3014</v>
      </c>
      <c r="C108" s="50">
        <v>-80</v>
      </c>
      <c r="D108" s="50">
        <v>-5410</v>
      </c>
      <c r="E108" s="50">
        <v>-236</v>
      </c>
      <c r="F108" s="50">
        <v>-2497</v>
      </c>
      <c r="G108" s="50">
        <v>3578</v>
      </c>
      <c r="H108" s="50">
        <v>-732</v>
      </c>
      <c r="I108" s="50">
        <v>0</v>
      </c>
      <c r="J108" s="50">
        <f t="shared" si="8"/>
        <v>-2363</v>
      </c>
      <c r="P108" s="50">
        <f t="shared" si="11"/>
        <v>-98501</v>
      </c>
      <c r="Q108" s="50"/>
      <c r="R108" s="50"/>
      <c r="S108" s="50" t="b">
        <f t="shared" si="15"/>
        <v>0</v>
      </c>
      <c r="T108" s="5"/>
      <c r="U108" s="50">
        <f t="shared" si="12"/>
        <v>-53382</v>
      </c>
      <c r="V108" s="50">
        <f t="shared" si="13"/>
        <v>-17599</v>
      </c>
      <c r="W108" s="50">
        <f t="shared" si="14"/>
        <v>-72277</v>
      </c>
      <c r="Y108" s="51">
        <f t="shared" si="9"/>
        <v>11</v>
      </c>
      <c r="Z108" s="51">
        <f t="shared" si="10"/>
        <v>2015</v>
      </c>
    </row>
    <row r="109" spans="1:26" x14ac:dyDescent="0.25">
      <c r="A109" s="52">
        <v>42339</v>
      </c>
      <c r="B109" s="53">
        <v>-2939</v>
      </c>
      <c r="C109" s="53">
        <v>-112</v>
      </c>
      <c r="D109" s="53">
        <v>-17438</v>
      </c>
      <c r="E109" s="53">
        <v>25</v>
      </c>
      <c r="F109" s="53">
        <v>-4140</v>
      </c>
      <c r="G109" s="53">
        <v>-1354</v>
      </c>
      <c r="H109" s="53">
        <v>-8616</v>
      </c>
      <c r="I109" s="53">
        <v>0</v>
      </c>
      <c r="J109" s="53">
        <f t="shared" si="8"/>
        <v>-34574</v>
      </c>
      <c r="P109" s="53">
        <f t="shared" si="11"/>
        <v>-94241</v>
      </c>
      <c r="Q109" s="53"/>
      <c r="R109" s="53"/>
      <c r="S109" s="53" t="b">
        <f t="shared" si="15"/>
        <v>1</v>
      </c>
      <c r="T109" s="5"/>
      <c r="U109" s="53">
        <f t="shared" si="12"/>
        <v>-50938</v>
      </c>
      <c r="V109" s="53">
        <f t="shared" si="13"/>
        <v>-15872</v>
      </c>
      <c r="W109" s="53">
        <f t="shared" si="14"/>
        <v>-67989</v>
      </c>
      <c r="Y109" s="51">
        <f t="shared" si="9"/>
        <v>12</v>
      </c>
      <c r="Z109" s="51">
        <f t="shared" si="10"/>
        <v>2015</v>
      </c>
    </row>
    <row r="110" spans="1:26" x14ac:dyDescent="0.25">
      <c r="A110" s="49">
        <v>42370</v>
      </c>
      <c r="B110" s="50">
        <v>6711</v>
      </c>
      <c r="C110" s="50">
        <v>-70</v>
      </c>
      <c r="D110" s="50">
        <v>2754</v>
      </c>
      <c r="E110" s="50">
        <v>38</v>
      </c>
      <c r="F110" s="50">
        <v>583</v>
      </c>
      <c r="G110" s="50">
        <v>-2217</v>
      </c>
      <c r="H110" s="50">
        <v>-140</v>
      </c>
      <c r="I110" s="50">
        <v>0</v>
      </c>
      <c r="J110" s="50">
        <f t="shared" si="8"/>
        <v>7659</v>
      </c>
      <c r="P110" s="50">
        <f t="shared" si="11"/>
        <v>-94986</v>
      </c>
      <c r="Q110" s="50"/>
      <c r="R110" s="50"/>
      <c r="S110" s="50" t="b">
        <f t="shared" si="15"/>
        <v>0</v>
      </c>
      <c r="T110" s="5"/>
      <c r="U110" s="50">
        <f t="shared" si="12"/>
        <v>-53172</v>
      </c>
      <c r="V110" s="50">
        <f t="shared" si="13"/>
        <v>-15757</v>
      </c>
      <c r="W110" s="50">
        <f t="shared" si="14"/>
        <v>-69610</v>
      </c>
      <c r="Y110" s="51">
        <f t="shared" si="9"/>
        <v>1</v>
      </c>
      <c r="Z110" s="51">
        <f t="shared" si="10"/>
        <v>2016</v>
      </c>
    </row>
    <row r="111" spans="1:26" x14ac:dyDescent="0.25">
      <c r="A111" s="52">
        <v>42401</v>
      </c>
      <c r="B111" s="53">
        <v>1484</v>
      </c>
      <c r="C111" s="53">
        <v>-29</v>
      </c>
      <c r="D111" s="53">
        <v>5652</v>
      </c>
      <c r="E111" s="53">
        <v>84</v>
      </c>
      <c r="F111" s="53">
        <v>-282</v>
      </c>
      <c r="G111" s="53">
        <v>-1383</v>
      </c>
      <c r="H111" s="53">
        <v>1204</v>
      </c>
      <c r="I111" s="53">
        <v>0</v>
      </c>
      <c r="J111" s="53">
        <f t="shared" si="8"/>
        <v>6730</v>
      </c>
      <c r="P111" s="53">
        <f t="shared" si="11"/>
        <v>-92455</v>
      </c>
      <c r="Q111" s="53"/>
      <c r="R111" s="53"/>
      <c r="S111" s="53" t="b">
        <f t="shared" si="15"/>
        <v>1</v>
      </c>
      <c r="T111" s="5"/>
      <c r="U111" s="53">
        <f t="shared" si="12"/>
        <v>-52310</v>
      </c>
      <c r="V111" s="53">
        <f t="shared" si="13"/>
        <v>-14944</v>
      </c>
      <c r="W111" s="53">
        <f t="shared" si="14"/>
        <v>-68067</v>
      </c>
      <c r="Y111" s="51">
        <f t="shared" si="9"/>
        <v>2</v>
      </c>
      <c r="Z111" s="51">
        <f t="shared" si="10"/>
        <v>2016</v>
      </c>
    </row>
    <row r="112" spans="1:26" x14ac:dyDescent="0.25">
      <c r="A112" s="49">
        <v>42430</v>
      </c>
      <c r="B112" s="50">
        <v>-2064</v>
      </c>
      <c r="C112" s="50">
        <v>-9</v>
      </c>
      <c r="D112" s="50">
        <v>5735</v>
      </c>
      <c r="E112" s="50">
        <v>128</v>
      </c>
      <c r="F112" s="50">
        <v>-864</v>
      </c>
      <c r="G112" s="50">
        <v>1559</v>
      </c>
      <c r="H112" s="50">
        <v>698</v>
      </c>
      <c r="I112" s="50">
        <v>0</v>
      </c>
      <c r="J112" s="50">
        <f t="shared" si="8"/>
        <v>5183</v>
      </c>
      <c r="P112" s="50">
        <f t="shared" si="11"/>
        <v>-100270</v>
      </c>
      <c r="Q112" s="50"/>
      <c r="R112" s="50"/>
      <c r="S112" s="50" t="b">
        <f t="shared" si="15"/>
        <v>0</v>
      </c>
      <c r="T112" s="5"/>
      <c r="U112" s="50">
        <f t="shared" si="12"/>
        <v>-52707</v>
      </c>
      <c r="V112" s="50">
        <f t="shared" si="13"/>
        <v>-15375</v>
      </c>
      <c r="W112" s="50">
        <f t="shared" si="14"/>
        <v>-68887</v>
      </c>
      <c r="Y112" s="51">
        <f t="shared" si="9"/>
        <v>3</v>
      </c>
      <c r="Z112" s="51">
        <f t="shared" si="10"/>
        <v>2016</v>
      </c>
    </row>
    <row r="113" spans="1:26" x14ac:dyDescent="0.25">
      <c r="A113" s="52">
        <v>42461</v>
      </c>
      <c r="B113" s="53">
        <v>-2152</v>
      </c>
      <c r="C113" s="53">
        <v>-12</v>
      </c>
      <c r="D113" s="53">
        <v>-2743</v>
      </c>
      <c r="E113" s="53">
        <v>-52</v>
      </c>
      <c r="F113" s="53">
        <v>117</v>
      </c>
      <c r="G113" s="53">
        <v>-1723</v>
      </c>
      <c r="H113" s="53">
        <v>-228</v>
      </c>
      <c r="I113" s="53">
        <v>0</v>
      </c>
      <c r="J113" s="53">
        <f t="shared" si="8"/>
        <v>-6793</v>
      </c>
      <c r="P113" s="53">
        <f t="shared" si="11"/>
        <v>-99800</v>
      </c>
      <c r="Q113" s="53"/>
      <c r="R113" s="53"/>
      <c r="S113" s="53" t="b">
        <f t="shared" si="15"/>
        <v>1</v>
      </c>
      <c r="T113" s="5"/>
      <c r="U113" s="53">
        <f t="shared" si="12"/>
        <v>-53164</v>
      </c>
      <c r="V113" s="53">
        <f t="shared" si="13"/>
        <v>-15685</v>
      </c>
      <c r="W113" s="53">
        <f t="shared" si="14"/>
        <v>-69756</v>
      </c>
      <c r="Y113" s="51">
        <f t="shared" si="9"/>
        <v>4</v>
      </c>
      <c r="Z113" s="51">
        <f t="shared" si="10"/>
        <v>2016</v>
      </c>
    </row>
    <row r="114" spans="1:26" x14ac:dyDescent="0.25">
      <c r="A114" s="49">
        <v>42491</v>
      </c>
      <c r="B114" s="50">
        <v>-3800</v>
      </c>
      <c r="C114" s="50">
        <v>-52</v>
      </c>
      <c r="D114" s="50">
        <v>-5502</v>
      </c>
      <c r="E114" s="50">
        <v>-83</v>
      </c>
      <c r="F114" s="50">
        <v>-775</v>
      </c>
      <c r="G114" s="50">
        <v>-3552</v>
      </c>
      <c r="H114" s="50">
        <v>-1671</v>
      </c>
      <c r="I114" s="50">
        <v>0</v>
      </c>
      <c r="J114" s="50">
        <f t="shared" si="8"/>
        <v>-15435</v>
      </c>
      <c r="P114" s="50">
        <f t="shared" si="11"/>
        <v>-99701</v>
      </c>
      <c r="Q114" s="50"/>
      <c r="R114" s="50"/>
      <c r="S114" s="50" t="b">
        <f t="shared" si="15"/>
        <v>1</v>
      </c>
      <c r="T114" s="5"/>
      <c r="U114" s="50">
        <f t="shared" si="12"/>
        <v>-52864</v>
      </c>
      <c r="V114" s="50">
        <f t="shared" si="13"/>
        <v>-13943</v>
      </c>
      <c r="W114" s="50">
        <f t="shared" si="14"/>
        <v>-67620</v>
      </c>
      <c r="Y114" s="51">
        <f t="shared" si="9"/>
        <v>5</v>
      </c>
      <c r="Z114" s="51">
        <f t="shared" si="10"/>
        <v>2016</v>
      </c>
    </row>
    <row r="115" spans="1:26" x14ac:dyDescent="0.25">
      <c r="A115" s="52">
        <v>42522</v>
      </c>
      <c r="B115" s="53">
        <v>-771</v>
      </c>
      <c r="C115" s="53">
        <v>-20</v>
      </c>
      <c r="D115" s="53">
        <v>-3439</v>
      </c>
      <c r="E115" s="53">
        <v>-166</v>
      </c>
      <c r="F115" s="53">
        <v>-437</v>
      </c>
      <c r="G115" s="53">
        <v>-3112</v>
      </c>
      <c r="H115" s="53">
        <v>-2166</v>
      </c>
      <c r="I115" s="53">
        <v>0</v>
      </c>
      <c r="J115" s="53">
        <f t="shared" si="8"/>
        <v>-10111</v>
      </c>
      <c r="P115" s="53">
        <f t="shared" si="11"/>
        <v>-96065</v>
      </c>
      <c r="Q115" s="53"/>
      <c r="R115" s="53"/>
      <c r="S115" s="53" t="b">
        <f t="shared" si="15"/>
        <v>1</v>
      </c>
      <c r="T115" s="5"/>
      <c r="U115" s="53">
        <f t="shared" si="12"/>
        <v>-49461</v>
      </c>
      <c r="V115" s="53">
        <f t="shared" si="13"/>
        <v>-12216</v>
      </c>
      <c r="W115" s="53">
        <f t="shared" si="14"/>
        <v>-62643</v>
      </c>
      <c r="Y115" s="51">
        <f t="shared" si="9"/>
        <v>6</v>
      </c>
      <c r="Z115" s="51">
        <f t="shared" si="10"/>
        <v>2016</v>
      </c>
    </row>
    <row r="116" spans="1:26" x14ac:dyDescent="0.25">
      <c r="A116" s="49">
        <v>42552</v>
      </c>
      <c r="B116" s="50">
        <v>-184</v>
      </c>
      <c r="C116" s="50">
        <v>-9</v>
      </c>
      <c r="D116" s="50">
        <v>-3746</v>
      </c>
      <c r="E116" s="50">
        <v>-436</v>
      </c>
      <c r="F116" s="50">
        <v>-1691</v>
      </c>
      <c r="G116" s="50">
        <v>-1763</v>
      </c>
      <c r="H116" s="50">
        <v>-3761</v>
      </c>
      <c r="I116" s="50">
        <v>0</v>
      </c>
      <c r="J116" s="50">
        <f t="shared" si="8"/>
        <v>-11590</v>
      </c>
      <c r="P116" s="50">
        <f t="shared" si="11"/>
        <v>-89427</v>
      </c>
      <c r="Q116" s="50"/>
      <c r="R116" s="50"/>
      <c r="S116" s="50" t="b">
        <f t="shared" si="15"/>
        <v>1</v>
      </c>
      <c r="T116" s="5"/>
      <c r="U116" s="50">
        <f t="shared" si="12"/>
        <v>-46418</v>
      </c>
      <c r="V116" s="50">
        <f t="shared" si="13"/>
        <v>-12385</v>
      </c>
      <c r="W116" s="50">
        <f t="shared" si="14"/>
        <v>-60047</v>
      </c>
      <c r="Y116" s="51">
        <f t="shared" si="9"/>
        <v>7</v>
      </c>
      <c r="Z116" s="51">
        <f t="shared" si="10"/>
        <v>2016</v>
      </c>
    </row>
    <row r="117" spans="1:26" x14ac:dyDescent="0.25">
      <c r="A117" s="52">
        <v>42583</v>
      </c>
      <c r="B117" s="53">
        <v>814</v>
      </c>
      <c r="C117" s="53">
        <v>-51</v>
      </c>
      <c r="D117" s="53">
        <v>-3245</v>
      </c>
      <c r="E117" s="53">
        <v>92</v>
      </c>
      <c r="F117" s="53">
        <v>-766</v>
      </c>
      <c r="G117" s="53">
        <v>-776</v>
      </c>
      <c r="H117" s="53">
        <v>2304</v>
      </c>
      <c r="I117" s="53">
        <v>0</v>
      </c>
      <c r="J117" s="53">
        <f t="shared" si="8"/>
        <v>-1628</v>
      </c>
      <c r="P117" s="53">
        <f t="shared" si="11"/>
        <v>-79198</v>
      </c>
      <c r="Q117" s="53"/>
      <c r="R117" s="53"/>
      <c r="S117" s="53" t="b">
        <f t="shared" si="15"/>
        <v>1</v>
      </c>
      <c r="T117" s="5"/>
      <c r="U117" s="53">
        <f t="shared" si="12"/>
        <v>-39756</v>
      </c>
      <c r="V117" s="53">
        <f t="shared" si="13"/>
        <v>-11946</v>
      </c>
      <c r="W117" s="53">
        <f t="shared" si="14"/>
        <v>-52725</v>
      </c>
      <c r="Y117" s="51">
        <f t="shared" si="9"/>
        <v>8</v>
      </c>
      <c r="Z117" s="51">
        <f t="shared" si="10"/>
        <v>2016</v>
      </c>
    </row>
    <row r="118" spans="1:26" x14ac:dyDescent="0.25">
      <c r="A118" s="49">
        <v>42614</v>
      </c>
      <c r="B118" s="50">
        <v>211</v>
      </c>
      <c r="C118" s="50">
        <v>-33</v>
      </c>
      <c r="D118" s="50">
        <v>-2566</v>
      </c>
      <c r="E118" s="50">
        <v>242</v>
      </c>
      <c r="F118" s="50">
        <v>-921</v>
      </c>
      <c r="G118" s="50">
        <v>1747</v>
      </c>
      <c r="H118" s="50">
        <v>-1133</v>
      </c>
      <c r="I118" s="50">
        <v>0</v>
      </c>
      <c r="J118" s="50">
        <f t="shared" si="8"/>
        <v>-2453</v>
      </c>
      <c r="P118" s="50">
        <f t="shared" si="11"/>
        <v>-73524</v>
      </c>
      <c r="Q118" s="50"/>
      <c r="R118" s="50"/>
      <c r="S118" s="50" t="b">
        <f t="shared" si="15"/>
        <v>1</v>
      </c>
      <c r="T118" s="5"/>
      <c r="U118" s="50">
        <f t="shared" si="12"/>
        <v>-36177</v>
      </c>
      <c r="V118" s="50">
        <f t="shared" si="13"/>
        <v>-12028</v>
      </c>
      <c r="W118" s="50">
        <f t="shared" si="14"/>
        <v>-49204</v>
      </c>
      <c r="Y118" s="51">
        <f t="shared" si="9"/>
        <v>9</v>
      </c>
      <c r="Z118" s="51">
        <f t="shared" si="10"/>
        <v>2016</v>
      </c>
    </row>
    <row r="119" spans="1:26" x14ac:dyDescent="0.25">
      <c r="A119" s="52">
        <v>42644</v>
      </c>
      <c r="B119" s="53">
        <v>993</v>
      </c>
      <c r="C119" s="53">
        <v>-40</v>
      </c>
      <c r="D119" s="53">
        <v>199</v>
      </c>
      <c r="E119" s="53">
        <v>-35</v>
      </c>
      <c r="F119" s="53">
        <v>-1080</v>
      </c>
      <c r="G119" s="53">
        <v>2742</v>
      </c>
      <c r="H119" s="53">
        <v>-337</v>
      </c>
      <c r="I119" s="53">
        <v>0</v>
      </c>
      <c r="J119" s="53">
        <f t="shared" si="8"/>
        <v>2442</v>
      </c>
      <c r="P119" s="53">
        <f t="shared" si="11"/>
        <v>-62933</v>
      </c>
      <c r="Q119" s="53"/>
      <c r="R119" s="53"/>
      <c r="S119" s="53" t="b">
        <f t="shared" si="15"/>
        <v>1</v>
      </c>
      <c r="T119" s="5"/>
      <c r="U119" s="53">
        <f t="shared" si="12"/>
        <v>-29749</v>
      </c>
      <c r="V119" s="53">
        <f t="shared" si="13"/>
        <v>-12753</v>
      </c>
      <c r="W119" s="53">
        <f t="shared" si="14"/>
        <v>-43418</v>
      </c>
      <c r="Y119" s="51">
        <f t="shared" si="9"/>
        <v>10</v>
      </c>
      <c r="Z119" s="51">
        <f t="shared" si="10"/>
        <v>2016</v>
      </c>
    </row>
    <row r="120" spans="1:26" x14ac:dyDescent="0.25">
      <c r="A120" s="49">
        <v>42675</v>
      </c>
      <c r="B120" s="50">
        <v>2927</v>
      </c>
      <c r="C120" s="50">
        <v>-161</v>
      </c>
      <c r="D120" s="50">
        <v>-1701</v>
      </c>
      <c r="E120" s="50">
        <v>-196</v>
      </c>
      <c r="F120" s="50">
        <v>-2276</v>
      </c>
      <c r="G120" s="50">
        <v>3581</v>
      </c>
      <c r="H120" s="50">
        <v>-1065</v>
      </c>
      <c r="I120" s="50">
        <v>0</v>
      </c>
      <c r="J120" s="50">
        <f t="shared" si="8"/>
        <v>1109</v>
      </c>
      <c r="P120" s="50">
        <f t="shared" si="11"/>
        <v>-59461</v>
      </c>
      <c r="Q120" s="50"/>
      <c r="R120" s="50"/>
      <c r="S120" s="50" t="b">
        <f t="shared" si="15"/>
        <v>1</v>
      </c>
      <c r="T120" s="5"/>
      <c r="U120" s="50">
        <f t="shared" si="12"/>
        <v>-26040</v>
      </c>
      <c r="V120" s="50">
        <f t="shared" si="13"/>
        <v>-12532</v>
      </c>
      <c r="W120" s="50">
        <f t="shared" si="14"/>
        <v>-39529</v>
      </c>
      <c r="Y120" s="51">
        <f t="shared" si="9"/>
        <v>11</v>
      </c>
      <c r="Z120" s="51">
        <f t="shared" si="10"/>
        <v>2016</v>
      </c>
    </row>
    <row r="121" spans="1:26" x14ac:dyDescent="0.25">
      <c r="A121" s="52">
        <v>42705</v>
      </c>
      <c r="B121" s="53">
        <v>-2726</v>
      </c>
      <c r="C121" s="53">
        <v>-47</v>
      </c>
      <c r="D121" s="53">
        <v>-16205</v>
      </c>
      <c r="E121" s="53">
        <v>-79</v>
      </c>
      <c r="F121" s="53">
        <v>-3187</v>
      </c>
      <c r="G121" s="53">
        <v>-308</v>
      </c>
      <c r="H121" s="53">
        <v>-6062</v>
      </c>
      <c r="I121" s="53">
        <v>0</v>
      </c>
      <c r="J121" s="53">
        <f t="shared" si="8"/>
        <v>-28614</v>
      </c>
      <c r="P121" s="53">
        <f t="shared" si="11"/>
        <v>-53501</v>
      </c>
      <c r="Q121" s="53"/>
      <c r="R121" s="53"/>
      <c r="S121" s="53" t="b">
        <f t="shared" si="15"/>
        <v>1</v>
      </c>
      <c r="T121" s="5"/>
      <c r="U121" s="53">
        <f t="shared" si="12"/>
        <v>-24807</v>
      </c>
      <c r="V121" s="53">
        <f t="shared" si="13"/>
        <v>-11579</v>
      </c>
      <c r="W121" s="53">
        <f t="shared" si="14"/>
        <v>-37382</v>
      </c>
      <c r="Y121" s="51">
        <f t="shared" si="9"/>
        <v>12</v>
      </c>
      <c r="Z121" s="51">
        <f t="shared" si="10"/>
        <v>2016</v>
      </c>
    </row>
    <row r="122" spans="1:26" x14ac:dyDescent="0.25">
      <c r="A122" s="49">
        <v>42736</v>
      </c>
      <c r="B122" s="50">
        <v>5274</v>
      </c>
      <c r="C122" s="50">
        <v>-43</v>
      </c>
      <c r="D122" s="50">
        <v>4424</v>
      </c>
      <c r="E122" s="50">
        <v>131</v>
      </c>
      <c r="F122" s="50">
        <v>846</v>
      </c>
      <c r="G122" s="50">
        <v>-1874</v>
      </c>
      <c r="H122" s="50">
        <v>-284</v>
      </c>
      <c r="I122" s="50">
        <v>0</v>
      </c>
      <c r="J122" s="50">
        <f t="shared" si="8"/>
        <v>8474</v>
      </c>
      <c r="P122" s="50">
        <f t="shared" si="11"/>
        <v>-52686</v>
      </c>
      <c r="Q122" s="50"/>
      <c r="R122" s="50"/>
      <c r="S122" s="50" t="b">
        <f t="shared" si="15"/>
        <v>1</v>
      </c>
      <c r="T122" s="5"/>
      <c r="U122" s="50">
        <f t="shared" si="12"/>
        <v>-23137</v>
      </c>
      <c r="V122" s="50">
        <f t="shared" si="13"/>
        <v>-11316</v>
      </c>
      <c r="W122" s="50">
        <f t="shared" si="14"/>
        <v>-35329</v>
      </c>
      <c r="Y122" s="51">
        <f t="shared" si="9"/>
        <v>1</v>
      </c>
      <c r="Z122" s="51">
        <f t="shared" si="10"/>
        <v>2017</v>
      </c>
    </row>
    <row r="123" spans="1:26" x14ac:dyDescent="0.25">
      <c r="A123" s="52">
        <v>42767</v>
      </c>
      <c r="B123" s="53">
        <v>1880</v>
      </c>
      <c r="C123" s="53">
        <v>-59</v>
      </c>
      <c r="D123" s="53">
        <v>8996</v>
      </c>
      <c r="E123" s="53">
        <v>-172</v>
      </c>
      <c r="F123" s="53">
        <v>33</v>
      </c>
      <c r="G123" s="53">
        <v>-692</v>
      </c>
      <c r="H123" s="53">
        <v>1354</v>
      </c>
      <c r="I123" s="53">
        <v>0</v>
      </c>
      <c r="J123" s="53">
        <f t="shared" si="8"/>
        <v>11340</v>
      </c>
      <c r="P123" s="53">
        <f t="shared" si="11"/>
        <v>-48076</v>
      </c>
      <c r="Q123" s="53"/>
      <c r="R123" s="53"/>
      <c r="S123" s="53" t="b">
        <f t="shared" si="15"/>
        <v>1</v>
      </c>
      <c r="T123" s="5"/>
      <c r="U123" s="53">
        <f t="shared" si="12"/>
        <v>-19793</v>
      </c>
      <c r="V123" s="53">
        <f t="shared" si="13"/>
        <v>-11001</v>
      </c>
      <c r="W123" s="53">
        <f t="shared" si="14"/>
        <v>-31956</v>
      </c>
      <c r="Y123" s="51">
        <f t="shared" si="9"/>
        <v>2</v>
      </c>
      <c r="Z123" s="51">
        <f t="shared" si="10"/>
        <v>2017</v>
      </c>
    </row>
    <row r="124" spans="1:26" x14ac:dyDescent="0.25">
      <c r="A124" s="49">
        <v>42795</v>
      </c>
      <c r="B124" s="50">
        <v>-898</v>
      </c>
      <c r="C124" s="50">
        <v>-9</v>
      </c>
      <c r="D124" s="50">
        <v>5568</v>
      </c>
      <c r="E124" s="50">
        <v>-124</v>
      </c>
      <c r="F124" s="50">
        <v>-644</v>
      </c>
      <c r="G124" s="50">
        <v>1188</v>
      </c>
      <c r="H124" s="50">
        <v>587</v>
      </c>
      <c r="I124" s="50">
        <v>0</v>
      </c>
      <c r="J124" s="50">
        <f t="shared" si="8"/>
        <v>5668</v>
      </c>
      <c r="P124" s="50">
        <f t="shared" si="11"/>
        <v>-47591</v>
      </c>
      <c r="Q124" s="50"/>
      <c r="R124" s="50"/>
      <c r="S124" s="50" t="b">
        <f t="shared" si="15"/>
        <v>1</v>
      </c>
      <c r="T124" s="5"/>
      <c r="U124" s="50">
        <f t="shared" si="12"/>
        <v>-19960</v>
      </c>
      <c r="V124" s="50">
        <f t="shared" si="13"/>
        <v>-10781</v>
      </c>
      <c r="W124" s="50">
        <f t="shared" si="14"/>
        <v>-32155</v>
      </c>
      <c r="Y124" s="51">
        <f t="shared" si="9"/>
        <v>3</v>
      </c>
      <c r="Z124" s="51">
        <f t="shared" si="10"/>
        <v>2017</v>
      </c>
    </row>
    <row r="125" spans="1:26" x14ac:dyDescent="0.25">
      <c r="A125" s="52">
        <v>42826</v>
      </c>
      <c r="B125" s="53">
        <v>-2872</v>
      </c>
      <c r="C125" s="53">
        <v>15</v>
      </c>
      <c r="D125" s="53">
        <v>1094</v>
      </c>
      <c r="E125" s="53">
        <v>-109</v>
      </c>
      <c r="F125" s="53">
        <v>178</v>
      </c>
      <c r="G125" s="53">
        <v>-1798</v>
      </c>
      <c r="H125" s="53">
        <v>379</v>
      </c>
      <c r="I125" s="53">
        <v>0</v>
      </c>
      <c r="J125" s="53">
        <f t="shared" si="8"/>
        <v>-3113</v>
      </c>
      <c r="P125" s="53">
        <f t="shared" si="11"/>
        <v>-43911</v>
      </c>
      <c r="Q125" s="53"/>
      <c r="R125" s="53"/>
      <c r="S125" s="53" t="b">
        <f t="shared" si="15"/>
        <v>1</v>
      </c>
      <c r="T125" s="5"/>
      <c r="U125" s="53">
        <f t="shared" si="12"/>
        <v>-16123</v>
      </c>
      <c r="V125" s="53">
        <f t="shared" si="13"/>
        <v>-10720</v>
      </c>
      <c r="W125" s="53">
        <f t="shared" si="14"/>
        <v>-28287</v>
      </c>
      <c r="Y125" s="51">
        <f t="shared" si="9"/>
        <v>4</v>
      </c>
      <c r="Z125" s="51">
        <f t="shared" si="10"/>
        <v>2017</v>
      </c>
    </row>
    <row r="126" spans="1:26" x14ac:dyDescent="0.25">
      <c r="A126" s="49">
        <v>42856</v>
      </c>
      <c r="B126" s="50">
        <v>-3374</v>
      </c>
      <c r="C126" s="50">
        <v>-35</v>
      </c>
      <c r="D126" s="50">
        <v>-4391</v>
      </c>
      <c r="E126" s="50">
        <v>-224</v>
      </c>
      <c r="F126" s="50">
        <v>-759</v>
      </c>
      <c r="G126" s="50">
        <v>-2277</v>
      </c>
      <c r="H126" s="50">
        <v>-1290</v>
      </c>
      <c r="I126" s="50">
        <v>0</v>
      </c>
      <c r="J126" s="50">
        <f t="shared" si="8"/>
        <v>-12350</v>
      </c>
      <c r="P126" s="50">
        <f t="shared" si="11"/>
        <v>-40826</v>
      </c>
      <c r="Q126" s="50"/>
      <c r="R126" s="50"/>
      <c r="S126" s="50" t="b">
        <f t="shared" si="15"/>
        <v>1</v>
      </c>
      <c r="T126" s="5"/>
      <c r="U126" s="50">
        <f t="shared" si="12"/>
        <v>-15012</v>
      </c>
      <c r="V126" s="50">
        <f t="shared" si="13"/>
        <v>-10704</v>
      </c>
      <c r="W126" s="50">
        <f t="shared" si="14"/>
        <v>-27284</v>
      </c>
      <c r="Y126" s="51">
        <f t="shared" si="9"/>
        <v>5</v>
      </c>
      <c r="Z126" s="51">
        <f t="shared" si="10"/>
        <v>2017</v>
      </c>
    </row>
    <row r="127" spans="1:26" x14ac:dyDescent="0.25">
      <c r="A127" s="52">
        <v>42887</v>
      </c>
      <c r="B127" s="53">
        <v>-2460</v>
      </c>
      <c r="C127" s="53">
        <v>-41</v>
      </c>
      <c r="D127" s="53">
        <v>-2974</v>
      </c>
      <c r="E127" s="53">
        <v>-243</v>
      </c>
      <c r="F127" s="53">
        <v>-746</v>
      </c>
      <c r="G127" s="53">
        <v>-1960</v>
      </c>
      <c r="H127" s="53">
        <v>-733</v>
      </c>
      <c r="I127" s="53">
        <v>0</v>
      </c>
      <c r="J127" s="53">
        <f t="shared" si="8"/>
        <v>-9157</v>
      </c>
      <c r="P127" s="53">
        <f t="shared" si="11"/>
        <v>-39872</v>
      </c>
      <c r="Q127" s="53"/>
      <c r="R127" s="53"/>
      <c r="S127" s="53" t="b">
        <f t="shared" si="15"/>
        <v>1</v>
      </c>
      <c r="T127" s="5"/>
      <c r="U127" s="53">
        <f t="shared" si="12"/>
        <v>-14547</v>
      </c>
      <c r="V127" s="53">
        <f t="shared" si="13"/>
        <v>-11013</v>
      </c>
      <c r="W127" s="53">
        <f t="shared" si="14"/>
        <v>-27226</v>
      </c>
      <c r="Y127" s="51">
        <f t="shared" si="9"/>
        <v>6</v>
      </c>
      <c r="Z127" s="51">
        <f t="shared" si="10"/>
        <v>2017</v>
      </c>
    </row>
    <row r="128" spans="1:26" x14ac:dyDescent="0.25">
      <c r="A128" s="49">
        <v>42917</v>
      </c>
      <c r="B128" s="50">
        <v>451</v>
      </c>
      <c r="C128" s="50">
        <v>-27</v>
      </c>
      <c r="D128" s="50">
        <v>-1391</v>
      </c>
      <c r="E128" s="50">
        <v>-238</v>
      </c>
      <c r="F128" s="50">
        <v>395</v>
      </c>
      <c r="G128" s="50">
        <v>-281</v>
      </c>
      <c r="H128" s="50">
        <v>211</v>
      </c>
      <c r="I128" s="50">
        <v>0</v>
      </c>
      <c r="J128" s="50">
        <f t="shared" si="8"/>
        <v>-880</v>
      </c>
      <c r="P128" s="50">
        <f t="shared" si="11"/>
        <v>-29162</v>
      </c>
      <c r="Q128" s="50"/>
      <c r="R128" s="50"/>
      <c r="S128" s="50" t="b">
        <f t="shared" si="15"/>
        <v>1</v>
      </c>
      <c r="T128" s="5"/>
      <c r="U128" s="50">
        <f t="shared" si="12"/>
        <v>-12192</v>
      </c>
      <c r="V128" s="50">
        <f t="shared" si="13"/>
        <v>-8927</v>
      </c>
      <c r="W128" s="50">
        <f t="shared" si="14"/>
        <v>-22605</v>
      </c>
      <c r="Y128" s="51">
        <f t="shared" si="9"/>
        <v>7</v>
      </c>
      <c r="Z128" s="51">
        <f t="shared" si="10"/>
        <v>2017</v>
      </c>
    </row>
    <row r="129" spans="1:26" x14ac:dyDescent="0.25">
      <c r="A129" s="52">
        <v>42948</v>
      </c>
      <c r="B129" s="53">
        <v>-82</v>
      </c>
      <c r="C129" s="53">
        <v>-47</v>
      </c>
      <c r="D129" s="53">
        <v>-2192</v>
      </c>
      <c r="E129" s="53">
        <v>-215</v>
      </c>
      <c r="F129" s="53">
        <v>974</v>
      </c>
      <c r="G129" s="53">
        <v>-49</v>
      </c>
      <c r="H129" s="53">
        <v>248</v>
      </c>
      <c r="I129" s="53">
        <v>0</v>
      </c>
      <c r="J129" s="53">
        <f t="shared" si="8"/>
        <v>-1363</v>
      </c>
      <c r="P129" s="53">
        <f t="shared" si="11"/>
        <v>-28897</v>
      </c>
      <c r="Q129" s="53"/>
      <c r="R129" s="53"/>
      <c r="S129" s="53" t="b">
        <f t="shared" si="15"/>
        <v>1</v>
      </c>
      <c r="T129" s="5"/>
      <c r="U129" s="53">
        <f t="shared" si="12"/>
        <v>-11139</v>
      </c>
      <c r="V129" s="53">
        <f t="shared" si="13"/>
        <v>-7187</v>
      </c>
      <c r="W129" s="53">
        <f t="shared" si="14"/>
        <v>-20115</v>
      </c>
      <c r="Y129" s="51">
        <f t="shared" si="9"/>
        <v>8</v>
      </c>
      <c r="Z129" s="51">
        <f t="shared" si="10"/>
        <v>2017</v>
      </c>
    </row>
    <row r="130" spans="1:26" x14ac:dyDescent="0.25">
      <c r="A130" s="49">
        <v>42979</v>
      </c>
      <c r="B130" s="50">
        <v>276</v>
      </c>
      <c r="C130" s="50">
        <v>-27</v>
      </c>
      <c r="D130" s="50">
        <v>-3059</v>
      </c>
      <c r="E130" s="50">
        <v>-14</v>
      </c>
      <c r="F130" s="50">
        <v>389</v>
      </c>
      <c r="G130" s="50">
        <v>1858</v>
      </c>
      <c r="H130" s="50">
        <v>571</v>
      </c>
      <c r="I130" s="50">
        <v>0</v>
      </c>
      <c r="J130" s="50">
        <f t="shared" si="8"/>
        <v>-6</v>
      </c>
      <c r="P130" s="50">
        <f t="shared" si="11"/>
        <v>-26450</v>
      </c>
      <c r="Q130" s="50"/>
      <c r="R130" s="50"/>
      <c r="S130" s="50" t="b">
        <f t="shared" si="15"/>
        <v>1</v>
      </c>
      <c r="T130" s="5"/>
      <c r="U130" s="50">
        <f t="shared" si="12"/>
        <v>-11632</v>
      </c>
      <c r="V130" s="50">
        <f t="shared" si="13"/>
        <v>-5877</v>
      </c>
      <c r="W130" s="50">
        <f t="shared" si="14"/>
        <v>-19548</v>
      </c>
      <c r="Y130" s="51">
        <f t="shared" si="9"/>
        <v>9</v>
      </c>
      <c r="Z130" s="51">
        <f t="shared" si="10"/>
        <v>2017</v>
      </c>
    </row>
    <row r="131" spans="1:26" x14ac:dyDescent="0.25">
      <c r="A131" s="52">
        <v>43009</v>
      </c>
      <c r="B131" s="53">
        <v>1018</v>
      </c>
      <c r="C131" s="53">
        <v>-34</v>
      </c>
      <c r="D131" s="53">
        <v>1960</v>
      </c>
      <c r="E131" s="53">
        <v>-119</v>
      </c>
      <c r="F131" s="53">
        <v>-921</v>
      </c>
      <c r="G131" s="53">
        <v>4932</v>
      </c>
      <c r="H131" s="53">
        <v>1847</v>
      </c>
      <c r="I131" s="53">
        <v>0</v>
      </c>
      <c r="J131" s="53">
        <f t="shared" ref="J131:J190" si="16">SUM(B131:I131)</f>
        <v>8683</v>
      </c>
      <c r="P131" s="53">
        <f t="shared" si="11"/>
        <v>-20209</v>
      </c>
      <c r="Q131" s="53"/>
      <c r="R131" s="53"/>
      <c r="S131" s="53" t="b">
        <f t="shared" si="15"/>
        <v>1</v>
      </c>
      <c r="T131" s="5"/>
      <c r="U131" s="53">
        <f t="shared" si="12"/>
        <v>-9871</v>
      </c>
      <c r="V131" s="53">
        <f t="shared" si="13"/>
        <v>-5718</v>
      </c>
      <c r="W131" s="53">
        <f t="shared" si="14"/>
        <v>-17706</v>
      </c>
      <c r="Y131" s="51">
        <f t="shared" ref="Y131:Y193" si="17">IF(A131=0,"",MONTH(A131))</f>
        <v>10</v>
      </c>
      <c r="Z131" s="51">
        <f t="shared" ref="Z131:Z193" si="18">IF(A131=0,"",YEAR(A131))</f>
        <v>2017</v>
      </c>
    </row>
    <row r="132" spans="1:26" x14ac:dyDescent="0.25">
      <c r="A132" s="49">
        <v>43040</v>
      </c>
      <c r="B132" s="50">
        <v>4014</v>
      </c>
      <c r="C132" s="50">
        <v>-64</v>
      </c>
      <c r="D132" s="50">
        <v>-775</v>
      </c>
      <c r="E132" s="50">
        <v>-161</v>
      </c>
      <c r="F132" s="50">
        <v>-719</v>
      </c>
      <c r="G132" s="50">
        <v>4866</v>
      </c>
      <c r="H132" s="50">
        <v>2205</v>
      </c>
      <c r="I132" s="50">
        <v>0</v>
      </c>
      <c r="J132" s="50">
        <f t="shared" si="16"/>
        <v>9366</v>
      </c>
      <c r="P132" s="50">
        <f t="shared" si="11"/>
        <v>-11952</v>
      </c>
      <c r="Q132" s="50"/>
      <c r="R132" s="50"/>
      <c r="S132" s="50" t="b">
        <f t="shared" si="15"/>
        <v>1</v>
      </c>
      <c r="T132" s="5"/>
      <c r="U132" s="50">
        <f t="shared" si="12"/>
        <v>-8945</v>
      </c>
      <c r="V132" s="50">
        <f t="shared" si="13"/>
        <v>-4161</v>
      </c>
      <c r="W132" s="50">
        <f t="shared" si="14"/>
        <v>-15091</v>
      </c>
      <c r="Y132" s="51">
        <f t="shared" si="17"/>
        <v>11</v>
      </c>
      <c r="Z132" s="51">
        <f t="shared" si="18"/>
        <v>2017</v>
      </c>
    </row>
    <row r="133" spans="1:26" x14ac:dyDescent="0.25">
      <c r="A133" s="52">
        <v>43070</v>
      </c>
      <c r="B133" s="53">
        <v>-4766</v>
      </c>
      <c r="C133" s="53">
        <v>-41</v>
      </c>
      <c r="D133" s="53">
        <v>-13180</v>
      </c>
      <c r="E133" s="53">
        <v>-386</v>
      </c>
      <c r="F133" s="53">
        <v>-2962</v>
      </c>
      <c r="G133" s="53">
        <v>1644</v>
      </c>
      <c r="H133" s="53">
        <v>-5239</v>
      </c>
      <c r="I133" s="53">
        <v>0</v>
      </c>
      <c r="J133" s="53">
        <f t="shared" si="16"/>
        <v>-24930</v>
      </c>
      <c r="P133" s="53">
        <f t="shared" si="11"/>
        <v>-8268</v>
      </c>
      <c r="Q133" s="53"/>
      <c r="R133" s="53"/>
      <c r="S133" s="53" t="b">
        <f t="shared" si="15"/>
        <v>1</v>
      </c>
      <c r="T133" s="5"/>
      <c r="U133" s="53">
        <f t="shared" si="12"/>
        <v>-5920</v>
      </c>
      <c r="V133" s="53">
        <f t="shared" si="13"/>
        <v>-3936</v>
      </c>
      <c r="W133" s="53">
        <f t="shared" si="14"/>
        <v>-12142</v>
      </c>
      <c r="Y133" s="51">
        <f t="shared" si="17"/>
        <v>12</v>
      </c>
      <c r="Z133" s="51">
        <f t="shared" si="18"/>
        <v>2017</v>
      </c>
    </row>
    <row r="134" spans="1:26" x14ac:dyDescent="0.25">
      <c r="A134" s="49">
        <v>43101</v>
      </c>
      <c r="B134" s="50">
        <v>7460</v>
      </c>
      <c r="C134" s="50">
        <v>-23</v>
      </c>
      <c r="D134" s="50">
        <v>7318</v>
      </c>
      <c r="E134" s="50">
        <v>150</v>
      </c>
      <c r="F134" s="50">
        <v>1598</v>
      </c>
      <c r="G134" s="50">
        <v>-634</v>
      </c>
      <c r="H134" s="50">
        <v>2353</v>
      </c>
      <c r="I134" s="50">
        <v>0</v>
      </c>
      <c r="J134" s="50">
        <f t="shared" si="16"/>
        <v>18222</v>
      </c>
      <c r="O134" s="11">
        <v>43101</v>
      </c>
      <c r="P134" s="50">
        <f t="shared" si="11"/>
        <v>1480</v>
      </c>
      <c r="Q134" s="50">
        <f t="shared" ref="Q134:Q189" si="19">P134/1000</f>
        <v>1.48</v>
      </c>
      <c r="R134" s="50"/>
      <c r="S134" s="50" t="b">
        <f t="shared" si="15"/>
        <v>1</v>
      </c>
      <c r="T134" s="5"/>
      <c r="U134" s="50">
        <f t="shared" si="12"/>
        <v>-3026</v>
      </c>
      <c r="V134" s="50">
        <f t="shared" si="13"/>
        <v>-3184</v>
      </c>
      <c r="W134" s="50">
        <f t="shared" si="14"/>
        <v>-8457</v>
      </c>
      <c r="Y134" s="51">
        <f t="shared" si="17"/>
        <v>1</v>
      </c>
      <c r="Z134" s="51">
        <f t="shared" si="18"/>
        <v>2018</v>
      </c>
    </row>
    <row r="135" spans="1:26" x14ac:dyDescent="0.25">
      <c r="A135" s="52">
        <v>43132</v>
      </c>
      <c r="B135" s="53">
        <v>1746</v>
      </c>
      <c r="C135" s="53">
        <v>-24</v>
      </c>
      <c r="D135" s="53">
        <v>9808</v>
      </c>
      <c r="E135" s="53">
        <v>77</v>
      </c>
      <c r="F135" s="53">
        <v>1053</v>
      </c>
      <c r="G135" s="53">
        <v>-2400</v>
      </c>
      <c r="H135" s="53">
        <v>3163</v>
      </c>
      <c r="I135" s="53">
        <v>0</v>
      </c>
      <c r="J135" s="53">
        <f t="shared" si="16"/>
        <v>13423</v>
      </c>
      <c r="O135" s="11">
        <v>43132</v>
      </c>
      <c r="P135" s="53">
        <f t="shared" si="11"/>
        <v>3563</v>
      </c>
      <c r="Q135" s="50">
        <f t="shared" si="19"/>
        <v>3.5630000000000002</v>
      </c>
      <c r="R135" s="53"/>
      <c r="S135" s="53" t="b">
        <f t="shared" si="15"/>
        <v>1</v>
      </c>
      <c r="T135" s="5"/>
      <c r="U135" s="53">
        <f t="shared" si="12"/>
        <v>-2214</v>
      </c>
      <c r="V135" s="53">
        <f t="shared" si="13"/>
        <v>-2164</v>
      </c>
      <c r="W135" s="53">
        <f t="shared" si="14"/>
        <v>-6341</v>
      </c>
      <c r="Y135" s="51">
        <f t="shared" si="17"/>
        <v>2</v>
      </c>
      <c r="Z135" s="51">
        <f t="shared" si="18"/>
        <v>2018</v>
      </c>
    </row>
    <row r="136" spans="1:26" x14ac:dyDescent="0.25">
      <c r="A136" s="49">
        <v>43160</v>
      </c>
      <c r="B136" s="50">
        <v>-3201</v>
      </c>
      <c r="C136" s="50">
        <v>24</v>
      </c>
      <c r="D136" s="50">
        <v>7690</v>
      </c>
      <c r="E136" s="50">
        <v>17</v>
      </c>
      <c r="F136" s="50">
        <v>1382</v>
      </c>
      <c r="G136" s="50">
        <v>2219</v>
      </c>
      <c r="H136" s="50">
        <v>5053</v>
      </c>
      <c r="I136" s="50">
        <v>0</v>
      </c>
      <c r="J136" s="50">
        <f t="shared" si="16"/>
        <v>13184</v>
      </c>
      <c r="O136" s="11">
        <v>43160</v>
      </c>
      <c r="P136" s="50">
        <f t="shared" si="11"/>
        <v>11079</v>
      </c>
      <c r="Q136" s="50">
        <f t="shared" si="19"/>
        <v>11.079000000000001</v>
      </c>
      <c r="R136" s="50"/>
      <c r="S136" s="50" t="b">
        <f t="shared" si="15"/>
        <v>1</v>
      </c>
      <c r="T136" s="5"/>
      <c r="U136" s="50">
        <f t="shared" si="12"/>
        <v>-92</v>
      </c>
      <c r="V136" s="50">
        <f t="shared" si="13"/>
        <v>-138</v>
      </c>
      <c r="W136" s="50">
        <f t="shared" si="14"/>
        <v>-2019</v>
      </c>
      <c r="Y136" s="51">
        <f t="shared" si="17"/>
        <v>3</v>
      </c>
      <c r="Z136" s="51">
        <f t="shared" si="18"/>
        <v>2018</v>
      </c>
    </row>
    <row r="137" spans="1:26" x14ac:dyDescent="0.25">
      <c r="A137" s="52">
        <v>43191</v>
      </c>
      <c r="B137" s="53">
        <v>-3255</v>
      </c>
      <c r="C137" s="53">
        <v>-5</v>
      </c>
      <c r="D137" s="53">
        <v>1654</v>
      </c>
      <c r="E137" s="53">
        <v>61</v>
      </c>
      <c r="F137" s="53">
        <v>942</v>
      </c>
      <c r="G137" s="53">
        <v>-2187</v>
      </c>
      <c r="H137" s="53">
        <v>1796</v>
      </c>
      <c r="I137" s="53">
        <v>0</v>
      </c>
      <c r="J137" s="53">
        <f t="shared" si="16"/>
        <v>-994</v>
      </c>
      <c r="O137" s="11">
        <v>43191</v>
      </c>
      <c r="P137" s="53">
        <f t="shared" si="11"/>
        <v>13198</v>
      </c>
      <c r="Q137" s="50">
        <f t="shared" si="19"/>
        <v>13.198</v>
      </c>
      <c r="R137" s="53"/>
      <c r="S137" s="53" t="b">
        <f t="shared" si="15"/>
        <v>1</v>
      </c>
      <c r="T137" s="5"/>
      <c r="U137" s="53">
        <f t="shared" si="12"/>
        <v>468</v>
      </c>
      <c r="V137" s="53">
        <f t="shared" si="13"/>
        <v>626</v>
      </c>
      <c r="W137" s="53">
        <f t="shared" si="14"/>
        <v>-545</v>
      </c>
      <c r="Y137" s="51">
        <f t="shared" si="17"/>
        <v>4</v>
      </c>
      <c r="Z137" s="51">
        <f t="shared" si="18"/>
        <v>2018</v>
      </c>
    </row>
    <row r="138" spans="1:26" x14ac:dyDescent="0.25">
      <c r="A138" s="49">
        <v>43221</v>
      </c>
      <c r="B138" s="50">
        <v>-3909</v>
      </c>
      <c r="C138" s="50">
        <v>-56</v>
      </c>
      <c r="D138" s="50">
        <v>-2716</v>
      </c>
      <c r="E138" s="50">
        <v>-91</v>
      </c>
      <c r="F138" s="50">
        <v>39</v>
      </c>
      <c r="G138" s="50">
        <v>-2847</v>
      </c>
      <c r="H138" s="50">
        <v>-871</v>
      </c>
      <c r="I138" s="50">
        <v>0</v>
      </c>
      <c r="J138" s="50">
        <f t="shared" si="16"/>
        <v>-10451</v>
      </c>
      <c r="O138" s="11">
        <v>43221</v>
      </c>
      <c r="P138" s="50">
        <f t="shared" si="11"/>
        <v>15097</v>
      </c>
      <c r="Q138" s="50">
        <f t="shared" si="19"/>
        <v>15.097</v>
      </c>
      <c r="R138" s="50"/>
      <c r="S138" s="50" t="b">
        <f t="shared" si="15"/>
        <v>1</v>
      </c>
      <c r="T138" s="5"/>
      <c r="U138" s="50">
        <f t="shared" si="12"/>
        <v>2143</v>
      </c>
      <c r="V138" s="50">
        <f t="shared" si="13"/>
        <v>1424</v>
      </c>
      <c r="W138" s="50">
        <f t="shared" si="14"/>
        <v>2040</v>
      </c>
      <c r="Y138" s="51">
        <f t="shared" si="17"/>
        <v>5</v>
      </c>
      <c r="Z138" s="51">
        <f t="shared" si="18"/>
        <v>2018</v>
      </c>
    </row>
    <row r="139" spans="1:26" x14ac:dyDescent="0.25">
      <c r="A139" s="52">
        <v>43252</v>
      </c>
      <c r="B139" s="53">
        <v>-1861</v>
      </c>
      <c r="C139" s="53">
        <v>-33</v>
      </c>
      <c r="D139" s="53">
        <v>-1575</v>
      </c>
      <c r="E139" s="53">
        <v>48</v>
      </c>
      <c r="F139" s="53">
        <v>-1415</v>
      </c>
      <c r="G139" s="53">
        <v>-2164</v>
      </c>
      <c r="H139" s="53">
        <v>627</v>
      </c>
      <c r="I139" s="53">
        <v>0</v>
      </c>
      <c r="J139" s="53">
        <f t="shared" si="16"/>
        <v>-6373</v>
      </c>
      <c r="O139" s="11">
        <v>43252</v>
      </c>
      <c r="P139" s="53">
        <f t="shared" si="11"/>
        <v>17881</v>
      </c>
      <c r="Q139" s="50">
        <f t="shared" si="19"/>
        <v>17.881</v>
      </c>
      <c r="R139" s="53"/>
      <c r="S139" s="53" t="b">
        <f t="shared" si="15"/>
        <v>1</v>
      </c>
      <c r="T139" s="5"/>
      <c r="U139" s="53">
        <f t="shared" si="12"/>
        <v>3542</v>
      </c>
      <c r="V139" s="53">
        <f t="shared" si="13"/>
        <v>755</v>
      </c>
      <c r="W139" s="53">
        <f t="shared" si="14"/>
        <v>3069</v>
      </c>
      <c r="Y139" s="51">
        <f t="shared" si="17"/>
        <v>6</v>
      </c>
      <c r="Z139" s="51">
        <f t="shared" si="18"/>
        <v>2018</v>
      </c>
    </row>
    <row r="140" spans="1:26" x14ac:dyDescent="0.25">
      <c r="A140" s="49">
        <v>43282</v>
      </c>
      <c r="B140" s="50">
        <v>-175</v>
      </c>
      <c r="C140" s="50">
        <v>5</v>
      </c>
      <c r="D140" s="50">
        <v>-426</v>
      </c>
      <c r="E140" s="50">
        <v>-116</v>
      </c>
      <c r="F140" s="50">
        <v>4</v>
      </c>
      <c r="G140" s="50">
        <v>-1245</v>
      </c>
      <c r="H140" s="50">
        <v>-301</v>
      </c>
      <c r="I140" s="50">
        <v>0</v>
      </c>
      <c r="J140" s="50">
        <f t="shared" si="16"/>
        <v>-2254</v>
      </c>
      <c r="O140" s="11">
        <v>43282</v>
      </c>
      <c r="P140" s="50">
        <f t="shared" si="11"/>
        <v>16507</v>
      </c>
      <c r="Q140" s="50">
        <f t="shared" si="19"/>
        <v>16.507000000000001</v>
      </c>
      <c r="R140" s="50"/>
      <c r="S140" s="50" t="b">
        <f t="shared" si="15"/>
        <v>0</v>
      </c>
      <c r="T140" s="5"/>
      <c r="U140" s="50">
        <f t="shared" si="12"/>
        <v>4507</v>
      </c>
      <c r="V140" s="50">
        <f t="shared" si="13"/>
        <v>364</v>
      </c>
      <c r="W140" s="50">
        <f t="shared" si="14"/>
        <v>3797</v>
      </c>
      <c r="Y140" s="51">
        <f t="shared" si="17"/>
        <v>7</v>
      </c>
      <c r="Z140" s="51">
        <f t="shared" si="18"/>
        <v>2018</v>
      </c>
    </row>
    <row r="141" spans="1:26" x14ac:dyDescent="0.25">
      <c r="A141" s="52">
        <v>43313</v>
      </c>
      <c r="B141" s="53">
        <v>264</v>
      </c>
      <c r="C141" s="53">
        <v>-10</v>
      </c>
      <c r="D141" s="53">
        <v>-5209</v>
      </c>
      <c r="E141" s="53">
        <v>-37</v>
      </c>
      <c r="F141" s="53">
        <v>-38</v>
      </c>
      <c r="G141" s="53">
        <v>-512</v>
      </c>
      <c r="H141" s="53">
        <v>1944</v>
      </c>
      <c r="I141" s="53">
        <v>0</v>
      </c>
      <c r="J141" s="53">
        <f t="shared" si="16"/>
        <v>-3598</v>
      </c>
      <c r="O141" s="11">
        <v>43313</v>
      </c>
      <c r="P141" s="53">
        <f t="shared" si="11"/>
        <v>14272</v>
      </c>
      <c r="Q141" s="50">
        <f t="shared" si="19"/>
        <v>14.272</v>
      </c>
      <c r="R141" s="53"/>
      <c r="S141" s="53" t="b">
        <f t="shared" si="15"/>
        <v>0</v>
      </c>
      <c r="T141" s="5"/>
      <c r="U141" s="53">
        <f t="shared" si="12"/>
        <v>1490</v>
      </c>
      <c r="V141" s="53">
        <f t="shared" si="13"/>
        <v>-648</v>
      </c>
      <c r="W141" s="53">
        <f t="shared" si="14"/>
        <v>-17</v>
      </c>
      <c r="Y141" s="51">
        <f t="shared" si="17"/>
        <v>8</v>
      </c>
      <c r="Z141" s="51">
        <f t="shared" si="18"/>
        <v>2018</v>
      </c>
    </row>
    <row r="142" spans="1:26" x14ac:dyDescent="0.25">
      <c r="A142" s="49">
        <v>43344</v>
      </c>
      <c r="B142" s="50">
        <v>549</v>
      </c>
      <c r="C142" s="50">
        <v>12</v>
      </c>
      <c r="D142" s="50">
        <v>-2970</v>
      </c>
      <c r="E142" s="50">
        <v>-3</v>
      </c>
      <c r="F142" s="50">
        <v>-381</v>
      </c>
      <c r="G142" s="50">
        <v>1827</v>
      </c>
      <c r="H142" s="50">
        <v>2611</v>
      </c>
      <c r="I142" s="50">
        <v>0</v>
      </c>
      <c r="J142" s="50">
        <f t="shared" si="16"/>
        <v>1645</v>
      </c>
      <c r="O142" s="11">
        <v>43344</v>
      </c>
      <c r="P142" s="50">
        <f t="shared" ref="P142:P188" si="20">IF(J142=0,"",SUM(J131:J142))</f>
        <v>15923</v>
      </c>
      <c r="Q142" s="50">
        <f t="shared" si="19"/>
        <v>15.923</v>
      </c>
      <c r="R142" s="50"/>
      <c r="S142" s="50" t="b">
        <f t="shared" si="15"/>
        <v>1</v>
      </c>
      <c r="T142" s="5"/>
      <c r="U142" s="50">
        <f t="shared" ref="U142:U193" si="21">IF(J142=0,"",SUM(D131:D142))</f>
        <v>1579</v>
      </c>
      <c r="V142" s="50">
        <f t="shared" ref="V142:V193" si="22">IF(J142=0,"",SUM(F131:F142))</f>
        <v>-1418</v>
      </c>
      <c r="W142" s="50">
        <f t="shared" ref="W142:W193" si="23">IF(J142=0,"",SUM(C131:F142))</f>
        <v>-648</v>
      </c>
      <c r="Y142" s="51">
        <f t="shared" si="17"/>
        <v>9</v>
      </c>
      <c r="Z142" s="51">
        <f t="shared" si="18"/>
        <v>2018</v>
      </c>
    </row>
    <row r="143" spans="1:26" x14ac:dyDescent="0.25">
      <c r="A143" s="52">
        <v>43374</v>
      </c>
      <c r="B143" s="53">
        <v>832</v>
      </c>
      <c r="C143" s="53">
        <v>-44</v>
      </c>
      <c r="D143" s="53">
        <v>870</v>
      </c>
      <c r="E143" s="53">
        <v>13</v>
      </c>
      <c r="F143" s="53">
        <v>254</v>
      </c>
      <c r="G143" s="53">
        <v>4433</v>
      </c>
      <c r="H143" s="53">
        <v>3249</v>
      </c>
      <c r="I143" s="53">
        <v>0</v>
      </c>
      <c r="J143" s="53">
        <f t="shared" si="16"/>
        <v>9607</v>
      </c>
      <c r="O143" s="11">
        <v>43374</v>
      </c>
      <c r="P143" s="53">
        <f t="shared" si="20"/>
        <v>16847</v>
      </c>
      <c r="Q143" s="50">
        <f t="shared" si="19"/>
        <v>16.847000000000001</v>
      </c>
      <c r="R143" s="53"/>
      <c r="S143" s="53" t="b">
        <f t="shared" ref="S143:S193" si="24">IF(J143=0,"",J143&gt;J131)</f>
        <v>1</v>
      </c>
      <c r="T143" s="5"/>
      <c r="U143" s="53">
        <f t="shared" si="21"/>
        <v>489</v>
      </c>
      <c r="V143" s="53">
        <f t="shared" si="22"/>
        <v>-243</v>
      </c>
      <c r="W143" s="53">
        <f t="shared" si="23"/>
        <v>-441</v>
      </c>
      <c r="Y143" s="51">
        <f t="shared" si="17"/>
        <v>10</v>
      </c>
      <c r="Z143" s="51">
        <f t="shared" si="18"/>
        <v>2018</v>
      </c>
    </row>
    <row r="144" spans="1:26" x14ac:dyDescent="0.25">
      <c r="A144" s="49">
        <v>43405</v>
      </c>
      <c r="B144" s="50">
        <v>3844</v>
      </c>
      <c r="C144" s="50">
        <v>-40</v>
      </c>
      <c r="D144" s="50">
        <v>-978</v>
      </c>
      <c r="E144" s="50">
        <v>-71</v>
      </c>
      <c r="F144" s="50">
        <v>-530</v>
      </c>
      <c r="G144" s="50">
        <v>5289</v>
      </c>
      <c r="H144" s="50">
        <v>3135</v>
      </c>
      <c r="I144" s="50">
        <v>0</v>
      </c>
      <c r="J144" s="50">
        <f t="shared" si="16"/>
        <v>10649</v>
      </c>
      <c r="O144" s="11">
        <v>43405</v>
      </c>
      <c r="P144" s="50">
        <f t="shared" si="20"/>
        <v>18130</v>
      </c>
      <c r="Q144" s="50">
        <f t="shared" si="19"/>
        <v>18.13</v>
      </c>
      <c r="R144" s="50"/>
      <c r="S144" s="50" t="b">
        <f t="shared" si="24"/>
        <v>1</v>
      </c>
      <c r="T144" s="5"/>
      <c r="U144" s="50">
        <f t="shared" si="21"/>
        <v>286</v>
      </c>
      <c r="V144" s="50">
        <f t="shared" si="22"/>
        <v>-54</v>
      </c>
      <c r="W144" s="50">
        <f t="shared" si="23"/>
        <v>-341</v>
      </c>
      <c r="Y144" s="51">
        <f t="shared" si="17"/>
        <v>11</v>
      </c>
      <c r="Z144" s="51">
        <f t="shared" si="18"/>
        <v>2018</v>
      </c>
    </row>
    <row r="145" spans="1:26" x14ac:dyDescent="0.25">
      <c r="A145" s="52">
        <v>43435</v>
      </c>
      <c r="B145" s="53">
        <v>-3700</v>
      </c>
      <c r="C145" s="53">
        <v>-47</v>
      </c>
      <c r="D145" s="53">
        <v>-12616</v>
      </c>
      <c r="E145" s="53">
        <v>-51</v>
      </c>
      <c r="F145" s="53">
        <v>-1987</v>
      </c>
      <c r="G145" s="53">
        <v>896</v>
      </c>
      <c r="H145" s="53">
        <v>-5044</v>
      </c>
      <c r="I145" s="53">
        <v>0</v>
      </c>
      <c r="J145" s="53">
        <f t="shared" si="16"/>
        <v>-22549</v>
      </c>
      <c r="O145" s="11">
        <v>43435</v>
      </c>
      <c r="P145" s="53">
        <f t="shared" si="20"/>
        <v>20511</v>
      </c>
      <c r="Q145" s="50">
        <f t="shared" si="19"/>
        <v>20.510999999999999</v>
      </c>
      <c r="R145" s="53"/>
      <c r="S145" s="53" t="b">
        <f t="shared" si="24"/>
        <v>1</v>
      </c>
      <c r="T145" s="5"/>
      <c r="U145" s="53">
        <f t="shared" si="21"/>
        <v>850</v>
      </c>
      <c r="V145" s="53">
        <f t="shared" si="22"/>
        <v>921</v>
      </c>
      <c r="W145" s="53">
        <f t="shared" si="23"/>
        <v>1527</v>
      </c>
      <c r="Y145" s="51">
        <f t="shared" si="17"/>
        <v>12</v>
      </c>
      <c r="Z145" s="51">
        <f t="shared" si="18"/>
        <v>2018</v>
      </c>
    </row>
    <row r="146" spans="1:26" x14ac:dyDescent="0.25">
      <c r="A146" s="49">
        <v>43466</v>
      </c>
      <c r="B146" s="50">
        <v>6802</v>
      </c>
      <c r="C146" s="50">
        <v>-40</v>
      </c>
      <c r="D146" s="50">
        <v>6251</v>
      </c>
      <c r="E146" s="50">
        <v>53</v>
      </c>
      <c r="F146" s="50">
        <v>676</v>
      </c>
      <c r="G146" s="50">
        <v>-2094</v>
      </c>
      <c r="H146" s="50">
        <v>1545</v>
      </c>
      <c r="I146" s="50">
        <v>0</v>
      </c>
      <c r="J146" s="50">
        <f t="shared" si="16"/>
        <v>13193</v>
      </c>
      <c r="O146" s="11">
        <v>43466</v>
      </c>
      <c r="P146" s="50">
        <f t="shared" si="20"/>
        <v>15482</v>
      </c>
      <c r="Q146" s="50">
        <f t="shared" si="19"/>
        <v>15.481999999999999</v>
      </c>
      <c r="R146" s="50"/>
      <c r="S146" s="50" t="b">
        <f t="shared" si="24"/>
        <v>0</v>
      </c>
      <c r="T146" s="5"/>
      <c r="U146" s="50">
        <f t="shared" si="21"/>
        <v>-217</v>
      </c>
      <c r="V146" s="50">
        <f t="shared" si="22"/>
        <v>-1</v>
      </c>
      <c r="W146" s="50">
        <f t="shared" si="23"/>
        <v>-576</v>
      </c>
      <c r="Y146" s="51">
        <f t="shared" si="17"/>
        <v>1</v>
      </c>
      <c r="Z146" s="51">
        <f t="shared" si="18"/>
        <v>2019</v>
      </c>
    </row>
    <row r="147" spans="1:26" x14ac:dyDescent="0.25">
      <c r="A147" s="52">
        <v>43497</v>
      </c>
      <c r="B147" s="53">
        <v>4865</v>
      </c>
      <c r="C147" s="53">
        <v>52</v>
      </c>
      <c r="D147" s="53">
        <v>11398</v>
      </c>
      <c r="E147" s="53">
        <v>75</v>
      </c>
      <c r="F147" s="53">
        <v>477</v>
      </c>
      <c r="G147" s="53">
        <v>87</v>
      </c>
      <c r="H147" s="53">
        <v>6531</v>
      </c>
      <c r="I147" s="53">
        <v>0</v>
      </c>
      <c r="J147" s="53">
        <f t="shared" si="16"/>
        <v>23485</v>
      </c>
      <c r="O147" s="11">
        <v>43497</v>
      </c>
      <c r="P147" s="53">
        <f t="shared" si="20"/>
        <v>25544</v>
      </c>
      <c r="Q147" s="50">
        <f t="shared" si="19"/>
        <v>25.544</v>
      </c>
      <c r="R147" s="53"/>
      <c r="S147" s="53" t="b">
        <f t="shared" si="24"/>
        <v>1</v>
      </c>
      <c r="T147" s="5"/>
      <c r="U147" s="53">
        <f t="shared" si="21"/>
        <v>1373</v>
      </c>
      <c r="V147" s="53">
        <f t="shared" si="22"/>
        <v>-577</v>
      </c>
      <c r="W147" s="53">
        <f t="shared" si="23"/>
        <v>512</v>
      </c>
      <c r="Y147" s="51">
        <f t="shared" si="17"/>
        <v>2</v>
      </c>
      <c r="Z147" s="51">
        <f t="shared" si="18"/>
        <v>2019</v>
      </c>
    </row>
    <row r="148" spans="1:26" x14ac:dyDescent="0.25">
      <c r="A148" s="49">
        <v>43525</v>
      </c>
      <c r="B148" s="50">
        <v>-3081</v>
      </c>
      <c r="C148" s="50">
        <v>50</v>
      </c>
      <c r="D148" s="50">
        <v>6183</v>
      </c>
      <c r="E148" s="50">
        <v>-126</v>
      </c>
      <c r="F148" s="50">
        <v>-1778</v>
      </c>
      <c r="G148" s="50">
        <v>1453</v>
      </c>
      <c r="H148" s="50">
        <v>375</v>
      </c>
      <c r="I148" s="50">
        <v>0</v>
      </c>
      <c r="J148" s="50">
        <f t="shared" si="16"/>
        <v>3076</v>
      </c>
      <c r="O148" s="11">
        <v>43525</v>
      </c>
      <c r="P148" s="50">
        <f t="shared" si="20"/>
        <v>15436</v>
      </c>
      <c r="Q148" s="50">
        <f t="shared" si="19"/>
        <v>15.436</v>
      </c>
      <c r="R148" s="50"/>
      <c r="S148" s="50" t="b">
        <f t="shared" si="24"/>
        <v>0</v>
      </c>
      <c r="T148" s="5"/>
      <c r="U148" s="50">
        <f t="shared" si="21"/>
        <v>-134</v>
      </c>
      <c r="V148" s="50">
        <f t="shared" si="22"/>
        <v>-3737</v>
      </c>
      <c r="W148" s="50">
        <f t="shared" si="23"/>
        <v>-4272</v>
      </c>
      <c r="Y148" s="51">
        <f t="shared" si="17"/>
        <v>3</v>
      </c>
      <c r="Z148" s="51">
        <f t="shared" si="18"/>
        <v>2019</v>
      </c>
    </row>
    <row r="149" spans="1:26" x14ac:dyDescent="0.25">
      <c r="A149" s="52">
        <v>43556</v>
      </c>
      <c r="B149" s="53">
        <v>-4025</v>
      </c>
      <c r="C149" s="53">
        <v>47</v>
      </c>
      <c r="D149" s="53">
        <v>1194</v>
      </c>
      <c r="E149" s="53">
        <v>-81</v>
      </c>
      <c r="F149" s="53">
        <v>-587</v>
      </c>
      <c r="G149" s="53">
        <v>-720</v>
      </c>
      <c r="H149" s="53">
        <v>1460</v>
      </c>
      <c r="I149" s="53">
        <v>0</v>
      </c>
      <c r="J149" s="53">
        <f t="shared" si="16"/>
        <v>-2712</v>
      </c>
      <c r="O149" s="11">
        <v>43556</v>
      </c>
      <c r="P149" s="53">
        <f t="shared" si="20"/>
        <v>13718</v>
      </c>
      <c r="Q149" s="50">
        <f t="shared" si="19"/>
        <v>13.718</v>
      </c>
      <c r="R149" s="53"/>
      <c r="S149" s="53" t="b">
        <f t="shared" si="24"/>
        <v>0</v>
      </c>
      <c r="T149" s="5"/>
      <c r="U149" s="53">
        <f t="shared" si="21"/>
        <v>-594</v>
      </c>
      <c r="V149" s="53">
        <f t="shared" si="22"/>
        <v>-5266</v>
      </c>
      <c r="W149" s="53">
        <f t="shared" si="23"/>
        <v>-6351</v>
      </c>
      <c r="Y149" s="51">
        <f t="shared" si="17"/>
        <v>4</v>
      </c>
      <c r="Z149" s="51">
        <f t="shared" si="18"/>
        <v>2019</v>
      </c>
    </row>
    <row r="150" spans="1:26" x14ac:dyDescent="0.25">
      <c r="A150" s="49">
        <v>43586</v>
      </c>
      <c r="B150" s="50">
        <v>-4273</v>
      </c>
      <c r="C150" s="50">
        <v>52</v>
      </c>
      <c r="D150" s="50">
        <v>-3939</v>
      </c>
      <c r="E150" s="50">
        <v>-4</v>
      </c>
      <c r="F150" s="50">
        <v>-218</v>
      </c>
      <c r="G150" s="50">
        <v>-2826</v>
      </c>
      <c r="H150" s="50">
        <v>-52</v>
      </c>
      <c r="I150" s="50">
        <v>0</v>
      </c>
      <c r="J150" s="50">
        <f t="shared" si="16"/>
        <v>-11260</v>
      </c>
      <c r="O150" s="11">
        <v>43586</v>
      </c>
      <c r="P150" s="50">
        <f t="shared" si="20"/>
        <v>12909</v>
      </c>
      <c r="Q150" s="50">
        <f t="shared" si="19"/>
        <v>12.909000000000001</v>
      </c>
      <c r="R150" s="50"/>
      <c r="S150" s="50" t="b">
        <f t="shared" si="24"/>
        <v>0</v>
      </c>
      <c r="T150" s="5"/>
      <c r="U150" s="50">
        <f t="shared" si="21"/>
        <v>-1817</v>
      </c>
      <c r="V150" s="50">
        <f t="shared" si="22"/>
        <v>-5523</v>
      </c>
      <c r="W150" s="50">
        <f t="shared" si="23"/>
        <v>-7636</v>
      </c>
      <c r="Y150" s="51">
        <f t="shared" si="17"/>
        <v>5</v>
      </c>
      <c r="Z150" s="51">
        <f t="shared" si="18"/>
        <v>2019</v>
      </c>
    </row>
    <row r="151" spans="1:26" x14ac:dyDescent="0.25">
      <c r="A151" s="52">
        <v>43617</v>
      </c>
      <c r="B151" s="53">
        <v>-1214</v>
      </c>
      <c r="C151" s="53">
        <v>40</v>
      </c>
      <c r="D151" s="53">
        <v>-2019</v>
      </c>
      <c r="E151" s="53">
        <v>-119</v>
      </c>
      <c r="F151" s="53">
        <v>-201</v>
      </c>
      <c r="G151" s="53">
        <v>-2409</v>
      </c>
      <c r="H151" s="53">
        <v>2230</v>
      </c>
      <c r="I151" s="53">
        <v>0</v>
      </c>
      <c r="J151" s="53">
        <f t="shared" si="16"/>
        <v>-3692</v>
      </c>
      <c r="O151" s="11">
        <v>43617</v>
      </c>
      <c r="P151" s="53">
        <f t="shared" si="20"/>
        <v>15590</v>
      </c>
      <c r="Q151" s="50">
        <f t="shared" si="19"/>
        <v>15.59</v>
      </c>
      <c r="R151" s="53"/>
      <c r="S151" s="53" t="b">
        <f t="shared" si="24"/>
        <v>1</v>
      </c>
      <c r="T151" s="5"/>
      <c r="U151" s="53">
        <f t="shared" si="21"/>
        <v>-2261</v>
      </c>
      <c r="V151" s="53">
        <f t="shared" si="22"/>
        <v>-4309</v>
      </c>
      <c r="W151" s="53">
        <f t="shared" si="23"/>
        <v>-6960</v>
      </c>
      <c r="Y151" s="51">
        <f t="shared" si="17"/>
        <v>6</v>
      </c>
      <c r="Z151" s="51">
        <f t="shared" si="18"/>
        <v>2019</v>
      </c>
    </row>
    <row r="152" spans="1:26" x14ac:dyDescent="0.25">
      <c r="A152" s="49">
        <v>43647</v>
      </c>
      <c r="B152" s="50">
        <v>-26</v>
      </c>
      <c r="C152" s="50">
        <v>-35</v>
      </c>
      <c r="D152" s="50">
        <v>-2671</v>
      </c>
      <c r="E152" s="50">
        <v>1</v>
      </c>
      <c r="F152" s="50">
        <v>-77</v>
      </c>
      <c r="G152" s="50">
        <v>-509</v>
      </c>
      <c r="H152" s="50">
        <v>-353</v>
      </c>
      <c r="I152" s="50">
        <v>0</v>
      </c>
      <c r="J152" s="50">
        <f t="shared" si="16"/>
        <v>-3670</v>
      </c>
      <c r="O152" s="11">
        <v>43647</v>
      </c>
      <c r="P152" s="50">
        <f t="shared" si="20"/>
        <v>14174</v>
      </c>
      <c r="Q152" s="50">
        <f t="shared" si="19"/>
        <v>14.173999999999999</v>
      </c>
      <c r="R152" s="50"/>
      <c r="S152" s="50" t="b">
        <f t="shared" si="24"/>
        <v>0</v>
      </c>
      <c r="T152" s="5"/>
      <c r="U152" s="50">
        <f t="shared" si="21"/>
        <v>-4506</v>
      </c>
      <c r="V152" s="50">
        <f t="shared" si="22"/>
        <v>-4390</v>
      </c>
      <c r="W152" s="50">
        <f t="shared" si="23"/>
        <v>-9209</v>
      </c>
      <c r="Y152" s="51">
        <f t="shared" si="17"/>
        <v>7</v>
      </c>
      <c r="Z152" s="51">
        <f t="shared" si="18"/>
        <v>2019</v>
      </c>
    </row>
    <row r="153" spans="1:26" x14ac:dyDescent="0.25">
      <c r="A153" s="52">
        <v>43678</v>
      </c>
      <c r="B153" s="53">
        <v>-197</v>
      </c>
      <c r="C153" s="53">
        <v>26</v>
      </c>
      <c r="D153" s="53">
        <v>-4491</v>
      </c>
      <c r="E153" s="53">
        <v>79</v>
      </c>
      <c r="F153" s="53">
        <v>-435</v>
      </c>
      <c r="G153" s="53">
        <v>322</v>
      </c>
      <c r="H153" s="53">
        <v>2842</v>
      </c>
      <c r="I153" s="53">
        <v>0</v>
      </c>
      <c r="J153" s="53">
        <f t="shared" si="16"/>
        <v>-1854</v>
      </c>
      <c r="O153" s="11">
        <v>43678</v>
      </c>
      <c r="P153" s="53">
        <f t="shared" si="20"/>
        <v>15918</v>
      </c>
      <c r="Q153" s="50">
        <f t="shared" si="19"/>
        <v>15.917999999999999</v>
      </c>
      <c r="R153" s="53"/>
      <c r="S153" s="53" t="b">
        <f t="shared" si="24"/>
        <v>1</v>
      </c>
      <c r="T153" s="5"/>
      <c r="U153" s="53">
        <f t="shared" si="21"/>
        <v>-3788</v>
      </c>
      <c r="V153" s="53">
        <f t="shared" si="22"/>
        <v>-4787</v>
      </c>
      <c r="W153" s="53">
        <f t="shared" si="23"/>
        <v>-8736</v>
      </c>
      <c r="Y153" s="51">
        <f t="shared" si="17"/>
        <v>8</v>
      </c>
      <c r="Z153" s="51">
        <f t="shared" si="18"/>
        <v>2019</v>
      </c>
    </row>
    <row r="154" spans="1:26" x14ac:dyDescent="0.25">
      <c r="A154" s="49">
        <v>43709</v>
      </c>
      <c r="B154" s="50">
        <v>574</v>
      </c>
      <c r="C154" s="50">
        <v>-2</v>
      </c>
      <c r="D154" s="50">
        <v>-2924</v>
      </c>
      <c r="E154" s="50">
        <v>-56</v>
      </c>
      <c r="F154" s="50">
        <v>515</v>
      </c>
      <c r="G154" s="50">
        <v>1684</v>
      </c>
      <c r="H154" s="50">
        <v>1670</v>
      </c>
      <c r="I154" s="50">
        <v>0</v>
      </c>
      <c r="J154" s="50">
        <f t="shared" si="16"/>
        <v>1461</v>
      </c>
      <c r="O154" s="11">
        <v>43709</v>
      </c>
      <c r="P154" s="50">
        <f t="shared" si="20"/>
        <v>15734</v>
      </c>
      <c r="Q154" s="50">
        <f t="shared" si="19"/>
        <v>15.734</v>
      </c>
      <c r="R154" s="50"/>
      <c r="S154" s="50" t="b">
        <f t="shared" si="24"/>
        <v>0</v>
      </c>
      <c r="T154" s="5"/>
      <c r="U154" s="50">
        <f t="shared" si="21"/>
        <v>-3742</v>
      </c>
      <c r="V154" s="50">
        <f t="shared" si="22"/>
        <v>-3891</v>
      </c>
      <c r="W154" s="50">
        <f t="shared" si="23"/>
        <v>-7861</v>
      </c>
      <c r="Y154" s="51">
        <f t="shared" si="17"/>
        <v>9</v>
      </c>
      <c r="Z154" s="51">
        <f t="shared" si="18"/>
        <v>2019</v>
      </c>
    </row>
    <row r="155" spans="1:26" x14ac:dyDescent="0.25">
      <c r="A155" s="52">
        <v>43739</v>
      </c>
      <c r="B155" s="53">
        <v>1349</v>
      </c>
      <c r="C155" s="53">
        <v>-12</v>
      </c>
      <c r="D155" s="53">
        <v>1052</v>
      </c>
      <c r="E155" s="53">
        <v>-18</v>
      </c>
      <c r="F155" s="53">
        <v>27</v>
      </c>
      <c r="G155" s="53">
        <v>4537</v>
      </c>
      <c r="H155" s="53">
        <v>1576</v>
      </c>
      <c r="I155" s="53">
        <v>0</v>
      </c>
      <c r="J155" s="53">
        <f t="shared" si="16"/>
        <v>8511</v>
      </c>
      <c r="O155" s="11">
        <v>43739</v>
      </c>
      <c r="P155" s="53">
        <f t="shared" si="20"/>
        <v>14638</v>
      </c>
      <c r="Q155" s="50">
        <f t="shared" si="19"/>
        <v>14.638</v>
      </c>
      <c r="R155" s="53"/>
      <c r="S155" s="53" t="b">
        <f t="shared" si="24"/>
        <v>0</v>
      </c>
      <c r="T155" s="5"/>
      <c r="U155" s="53">
        <f t="shared" si="21"/>
        <v>-3560</v>
      </c>
      <c r="V155" s="53">
        <f t="shared" si="22"/>
        <v>-4118</v>
      </c>
      <c r="W155" s="53">
        <f t="shared" si="23"/>
        <v>-7905</v>
      </c>
      <c r="Y155" s="51">
        <f t="shared" si="17"/>
        <v>10</v>
      </c>
      <c r="Z155" s="51">
        <f t="shared" si="18"/>
        <v>2019</v>
      </c>
    </row>
    <row r="156" spans="1:26" x14ac:dyDescent="0.25">
      <c r="A156" s="49">
        <v>43770</v>
      </c>
      <c r="B156" s="50">
        <v>3963</v>
      </c>
      <c r="C156" s="50">
        <v>-38</v>
      </c>
      <c r="D156" s="50">
        <v>-744</v>
      </c>
      <c r="E156" s="50">
        <v>70</v>
      </c>
      <c r="F156" s="50">
        <v>-197</v>
      </c>
      <c r="G156" s="50">
        <v>6218</v>
      </c>
      <c r="H156" s="50">
        <v>3304</v>
      </c>
      <c r="I156" s="50">
        <v>0</v>
      </c>
      <c r="J156" s="50">
        <f t="shared" si="16"/>
        <v>12576</v>
      </c>
      <c r="O156" s="11">
        <v>43770</v>
      </c>
      <c r="P156" s="50">
        <f t="shared" si="20"/>
        <v>16565</v>
      </c>
      <c r="Q156" s="50">
        <f t="shared" si="19"/>
        <v>16.565000000000001</v>
      </c>
      <c r="R156" s="50"/>
      <c r="S156" s="50" t="b">
        <f t="shared" si="24"/>
        <v>1</v>
      </c>
      <c r="T156" s="5"/>
      <c r="U156" s="50">
        <f t="shared" si="21"/>
        <v>-3326</v>
      </c>
      <c r="V156" s="50">
        <f t="shared" si="22"/>
        <v>-3785</v>
      </c>
      <c r="W156" s="50">
        <f t="shared" si="23"/>
        <v>-7195</v>
      </c>
      <c r="Y156" s="51">
        <f t="shared" si="17"/>
        <v>11</v>
      </c>
      <c r="Z156" s="51">
        <f t="shared" si="18"/>
        <v>2019</v>
      </c>
    </row>
    <row r="157" spans="1:26" x14ac:dyDescent="0.25">
      <c r="A157" s="52">
        <v>43800</v>
      </c>
      <c r="B157" s="53">
        <v>-4791</v>
      </c>
      <c r="C157" s="53">
        <v>-38</v>
      </c>
      <c r="D157" s="53">
        <v>-10837</v>
      </c>
      <c r="E157" s="53">
        <v>61</v>
      </c>
      <c r="F157" s="53">
        <v>-2194</v>
      </c>
      <c r="G157" s="53">
        <v>2643</v>
      </c>
      <c r="H157" s="53">
        <v>-3532</v>
      </c>
      <c r="I157" s="53">
        <v>0</v>
      </c>
      <c r="J157" s="53">
        <f t="shared" si="16"/>
        <v>-18688</v>
      </c>
      <c r="O157" s="11">
        <v>43800</v>
      </c>
      <c r="P157" s="53">
        <f t="shared" si="20"/>
        <v>20426</v>
      </c>
      <c r="Q157" s="50">
        <f t="shared" si="19"/>
        <v>20.425999999999998</v>
      </c>
      <c r="R157" s="53"/>
      <c r="S157" s="53" t="b">
        <f t="shared" si="24"/>
        <v>1</v>
      </c>
      <c r="T157" s="5"/>
      <c r="U157" s="53">
        <f t="shared" si="21"/>
        <v>-1547</v>
      </c>
      <c r="V157" s="53">
        <f t="shared" si="22"/>
        <v>-3992</v>
      </c>
      <c r="W157" s="53">
        <f t="shared" si="23"/>
        <v>-5502</v>
      </c>
      <c r="Y157" s="51">
        <f t="shared" si="17"/>
        <v>12</v>
      </c>
      <c r="Z157" s="51">
        <f t="shared" si="18"/>
        <v>2019</v>
      </c>
    </row>
    <row r="158" spans="1:26" x14ac:dyDescent="0.25">
      <c r="A158" s="49">
        <v>43831</v>
      </c>
      <c r="B158" s="50">
        <v>3881</v>
      </c>
      <c r="C158" s="50">
        <v>-6</v>
      </c>
      <c r="D158" s="50">
        <v>7302</v>
      </c>
      <c r="E158" s="50">
        <v>84</v>
      </c>
      <c r="F158" s="50">
        <v>863</v>
      </c>
      <c r="G158" s="50">
        <v>-1775</v>
      </c>
      <c r="H158" s="50">
        <v>2532</v>
      </c>
      <c r="I158" s="50">
        <v>0</v>
      </c>
      <c r="J158" s="50">
        <f t="shared" si="16"/>
        <v>12881</v>
      </c>
      <c r="O158" s="11">
        <v>43831</v>
      </c>
      <c r="P158" s="50">
        <f t="shared" si="20"/>
        <v>20114</v>
      </c>
      <c r="Q158" s="50">
        <f t="shared" si="19"/>
        <v>20.114000000000001</v>
      </c>
      <c r="R158" s="50"/>
      <c r="S158" s="50" t="b">
        <f t="shared" si="24"/>
        <v>0</v>
      </c>
      <c r="T158" s="5"/>
      <c r="U158" s="50">
        <f t="shared" si="21"/>
        <v>-496</v>
      </c>
      <c r="V158" s="50">
        <f t="shared" si="22"/>
        <v>-3805</v>
      </c>
      <c r="W158" s="50">
        <f t="shared" si="23"/>
        <v>-4199</v>
      </c>
      <c r="Y158" s="51">
        <f t="shared" si="17"/>
        <v>1</v>
      </c>
      <c r="Z158" s="51">
        <f t="shared" si="18"/>
        <v>2020</v>
      </c>
    </row>
    <row r="159" spans="1:26" x14ac:dyDescent="0.25">
      <c r="A159" s="52">
        <v>43862</v>
      </c>
      <c r="B159" s="53">
        <v>2970</v>
      </c>
      <c r="C159" s="53">
        <v>23</v>
      </c>
      <c r="D159" s="53">
        <v>13645</v>
      </c>
      <c r="E159" s="53">
        <v>58</v>
      </c>
      <c r="F159" s="53">
        <v>1045</v>
      </c>
      <c r="G159" s="53">
        <v>-402</v>
      </c>
      <c r="H159" s="53">
        <v>5070</v>
      </c>
      <c r="I159" s="53">
        <v>0</v>
      </c>
      <c r="J159" s="53">
        <f t="shared" si="16"/>
        <v>22409</v>
      </c>
      <c r="O159" s="11">
        <v>43862</v>
      </c>
      <c r="P159" s="53">
        <f t="shared" si="20"/>
        <v>19038</v>
      </c>
      <c r="Q159" s="50">
        <f t="shared" si="19"/>
        <v>19.038</v>
      </c>
      <c r="R159" s="53"/>
      <c r="S159" s="53" t="b">
        <f t="shared" si="24"/>
        <v>0</v>
      </c>
      <c r="T159" s="5"/>
      <c r="U159" s="53">
        <f t="shared" si="21"/>
        <v>1751</v>
      </c>
      <c r="V159" s="53">
        <f t="shared" si="22"/>
        <v>-3237</v>
      </c>
      <c r="W159" s="53">
        <f t="shared" si="23"/>
        <v>-1430</v>
      </c>
      <c r="Y159" s="51">
        <f t="shared" si="17"/>
        <v>2</v>
      </c>
      <c r="Z159" s="51">
        <f t="shared" si="18"/>
        <v>2020</v>
      </c>
    </row>
    <row r="160" spans="1:26" x14ac:dyDescent="0.25">
      <c r="A160" s="49">
        <v>43891</v>
      </c>
      <c r="B160" s="50">
        <v>-3222</v>
      </c>
      <c r="C160" s="50">
        <v>24</v>
      </c>
      <c r="D160" s="50">
        <v>-2024</v>
      </c>
      <c r="E160" s="50">
        <v>-92</v>
      </c>
      <c r="F160" s="50">
        <v>-1055</v>
      </c>
      <c r="G160" s="50">
        <v>-3867</v>
      </c>
      <c r="H160" s="50">
        <v>-5924</v>
      </c>
      <c r="I160" s="50">
        <v>0</v>
      </c>
      <c r="J160" s="50">
        <f t="shared" si="16"/>
        <v>-16160</v>
      </c>
      <c r="O160" s="11">
        <v>43891</v>
      </c>
      <c r="P160" s="50">
        <f t="shared" si="20"/>
        <v>-198</v>
      </c>
      <c r="Q160" s="50">
        <f t="shared" si="19"/>
        <v>-0.19800000000000001</v>
      </c>
      <c r="R160" s="50"/>
      <c r="S160" s="50" t="b">
        <f t="shared" si="24"/>
        <v>0</v>
      </c>
      <c r="T160" s="5"/>
      <c r="U160" s="50">
        <f t="shared" si="21"/>
        <v>-6456</v>
      </c>
      <c r="V160" s="50">
        <f t="shared" si="22"/>
        <v>-2514</v>
      </c>
      <c r="W160" s="50">
        <f t="shared" si="23"/>
        <v>-8906</v>
      </c>
      <c r="Y160" s="51">
        <f t="shared" si="17"/>
        <v>3</v>
      </c>
      <c r="Z160" s="51">
        <f t="shared" si="18"/>
        <v>2020</v>
      </c>
    </row>
    <row r="161" spans="1:26" x14ac:dyDescent="0.25">
      <c r="A161" s="52">
        <v>43922</v>
      </c>
      <c r="B161" s="53">
        <v>-2188</v>
      </c>
      <c r="C161" s="53">
        <v>-72</v>
      </c>
      <c r="D161" s="53">
        <v>-26931</v>
      </c>
      <c r="E161" s="53">
        <v>-130</v>
      </c>
      <c r="F161" s="53">
        <v>-4212</v>
      </c>
      <c r="G161" s="53">
        <v>-21908</v>
      </c>
      <c r="H161" s="53">
        <v>-27059</v>
      </c>
      <c r="I161" s="53">
        <v>0</v>
      </c>
      <c r="J161" s="53">
        <f t="shared" si="16"/>
        <v>-82500</v>
      </c>
      <c r="O161" s="11">
        <v>43922</v>
      </c>
      <c r="P161" s="53">
        <f t="shared" si="20"/>
        <v>-79986</v>
      </c>
      <c r="Q161" s="50">
        <f t="shared" si="19"/>
        <v>-79.986000000000004</v>
      </c>
      <c r="R161" s="53"/>
      <c r="S161" s="53" t="b">
        <f t="shared" si="24"/>
        <v>0</v>
      </c>
      <c r="T161" s="5"/>
      <c r="U161" s="53">
        <f t="shared" si="21"/>
        <v>-34581</v>
      </c>
      <c r="V161" s="53">
        <f t="shared" si="22"/>
        <v>-6139</v>
      </c>
      <c r="W161" s="53">
        <f t="shared" si="23"/>
        <v>-40824</v>
      </c>
      <c r="Y161" s="51">
        <f t="shared" si="17"/>
        <v>4</v>
      </c>
      <c r="Z161" s="51">
        <f t="shared" si="18"/>
        <v>2020</v>
      </c>
    </row>
    <row r="162" spans="1:26" x14ac:dyDescent="0.25">
      <c r="A162" s="49">
        <v>43952</v>
      </c>
      <c r="B162" s="50">
        <v>-1817</v>
      </c>
      <c r="C162" s="50">
        <v>21</v>
      </c>
      <c r="D162" s="50">
        <v>-14036</v>
      </c>
      <c r="E162" s="50">
        <v>-165</v>
      </c>
      <c r="F162" s="50">
        <v>-1266</v>
      </c>
      <c r="G162" s="50">
        <v>-9078</v>
      </c>
      <c r="H162" s="50">
        <v>-10956</v>
      </c>
      <c r="I162" s="50">
        <v>0</v>
      </c>
      <c r="J162" s="50">
        <f t="shared" si="16"/>
        <v>-37297</v>
      </c>
      <c r="O162" s="11">
        <v>43952</v>
      </c>
      <c r="P162" s="50">
        <f t="shared" si="20"/>
        <v>-106023</v>
      </c>
      <c r="Q162" s="50">
        <f t="shared" si="19"/>
        <v>-106.023</v>
      </c>
      <c r="R162" s="50"/>
      <c r="S162" s="50" t="b">
        <f t="shared" si="24"/>
        <v>0</v>
      </c>
      <c r="T162" s="5"/>
      <c r="U162" s="50">
        <f t="shared" si="21"/>
        <v>-44678</v>
      </c>
      <c r="V162" s="50">
        <f t="shared" si="22"/>
        <v>-7187</v>
      </c>
      <c r="W162" s="50">
        <f t="shared" si="23"/>
        <v>-52161</v>
      </c>
      <c r="Y162" s="51">
        <f t="shared" si="17"/>
        <v>5</v>
      </c>
      <c r="Z162" s="51">
        <f t="shared" si="18"/>
        <v>2020</v>
      </c>
    </row>
    <row r="163" spans="1:26" x14ac:dyDescent="0.25">
      <c r="A163" s="52">
        <v>43983</v>
      </c>
      <c r="B163" s="53">
        <v>107</v>
      </c>
      <c r="C163" s="53">
        <v>-5</v>
      </c>
      <c r="D163" s="53">
        <v>-1883</v>
      </c>
      <c r="E163" s="53">
        <v>-60</v>
      </c>
      <c r="F163" s="53">
        <v>252</v>
      </c>
      <c r="G163" s="53">
        <v>-1860</v>
      </c>
      <c r="H163" s="53">
        <v>-5114</v>
      </c>
      <c r="I163" s="53">
        <v>0</v>
      </c>
      <c r="J163" s="53">
        <f t="shared" si="16"/>
        <v>-8563</v>
      </c>
      <c r="O163" s="11">
        <v>43983</v>
      </c>
      <c r="P163" s="53">
        <f t="shared" si="20"/>
        <v>-110894</v>
      </c>
      <c r="Q163" s="50">
        <f t="shared" si="19"/>
        <v>-110.89400000000001</v>
      </c>
      <c r="R163" s="53"/>
      <c r="S163" s="53" t="b">
        <f t="shared" si="24"/>
        <v>0</v>
      </c>
      <c r="T163" s="5"/>
      <c r="U163" s="53">
        <f t="shared" si="21"/>
        <v>-44542</v>
      </c>
      <c r="V163" s="53">
        <f t="shared" si="22"/>
        <v>-6734</v>
      </c>
      <c r="W163" s="53">
        <f t="shared" si="23"/>
        <v>-51558</v>
      </c>
      <c r="Y163" s="51">
        <f t="shared" si="17"/>
        <v>6</v>
      </c>
      <c r="Z163" s="51">
        <f t="shared" si="18"/>
        <v>2020</v>
      </c>
    </row>
    <row r="164" spans="1:26" x14ac:dyDescent="0.25">
      <c r="A164" s="49">
        <v>44013</v>
      </c>
      <c r="B164" s="50">
        <v>36</v>
      </c>
      <c r="C164" s="50">
        <v>-15</v>
      </c>
      <c r="D164" s="50">
        <v>3402</v>
      </c>
      <c r="E164" s="50">
        <v>7</v>
      </c>
      <c r="F164" s="50">
        <v>866</v>
      </c>
      <c r="G164" s="50">
        <v>-594</v>
      </c>
      <c r="H164" s="50">
        <v>-3852</v>
      </c>
      <c r="I164" s="50">
        <v>0</v>
      </c>
      <c r="J164" s="50">
        <f t="shared" si="16"/>
        <v>-150</v>
      </c>
      <c r="O164" s="11">
        <v>44013</v>
      </c>
      <c r="P164" s="50">
        <f t="shared" si="20"/>
        <v>-107374</v>
      </c>
      <c r="Q164" s="50">
        <f t="shared" si="19"/>
        <v>-107.374</v>
      </c>
      <c r="R164" s="50"/>
      <c r="S164" s="50" t="b">
        <f t="shared" si="24"/>
        <v>1</v>
      </c>
      <c r="T164" s="5"/>
      <c r="U164" s="50">
        <f t="shared" si="21"/>
        <v>-38469</v>
      </c>
      <c r="V164" s="50">
        <f t="shared" si="22"/>
        <v>-5791</v>
      </c>
      <c r="W164" s="50">
        <f t="shared" si="23"/>
        <v>-44516</v>
      </c>
      <c r="Y164" s="51">
        <f t="shared" si="17"/>
        <v>7</v>
      </c>
      <c r="Z164" s="51">
        <f t="shared" si="18"/>
        <v>2020</v>
      </c>
    </row>
    <row r="165" spans="1:26" x14ac:dyDescent="0.25">
      <c r="A165" s="52">
        <v>44044</v>
      </c>
      <c r="B165" s="53">
        <v>255</v>
      </c>
      <c r="C165" s="53">
        <v>-14</v>
      </c>
      <c r="D165" s="53">
        <v>3368</v>
      </c>
      <c r="E165" s="53">
        <v>-70</v>
      </c>
      <c r="F165" s="53">
        <v>1272</v>
      </c>
      <c r="G165" s="53">
        <v>1599</v>
      </c>
      <c r="H165" s="53">
        <v>-1320</v>
      </c>
      <c r="I165" s="53">
        <v>0</v>
      </c>
      <c r="J165" s="53">
        <f t="shared" si="16"/>
        <v>5090</v>
      </c>
      <c r="O165" s="11">
        <v>44044</v>
      </c>
      <c r="P165" s="53">
        <f t="shared" si="20"/>
        <v>-100430</v>
      </c>
      <c r="Q165" s="50">
        <f t="shared" si="19"/>
        <v>-100.43</v>
      </c>
      <c r="R165" s="53"/>
      <c r="S165" s="53" t="b">
        <f t="shared" si="24"/>
        <v>1</v>
      </c>
      <c r="T165" s="5"/>
      <c r="U165" s="53">
        <f t="shared" si="21"/>
        <v>-30610</v>
      </c>
      <c r="V165" s="53">
        <f t="shared" si="22"/>
        <v>-4084</v>
      </c>
      <c r="W165" s="53">
        <f t="shared" si="23"/>
        <v>-35139</v>
      </c>
      <c r="Y165" s="51">
        <f t="shared" si="17"/>
        <v>8</v>
      </c>
      <c r="Z165" s="51">
        <f t="shared" si="18"/>
        <v>2020</v>
      </c>
    </row>
    <row r="166" spans="1:26" x14ac:dyDescent="0.25">
      <c r="A166" s="49">
        <v>44075</v>
      </c>
      <c r="B166" s="50">
        <v>-190</v>
      </c>
      <c r="C166" s="50">
        <v>1</v>
      </c>
      <c r="D166" s="50">
        <v>7059</v>
      </c>
      <c r="E166" s="50">
        <v>108</v>
      </c>
      <c r="F166" s="50">
        <v>1546</v>
      </c>
      <c r="G166" s="50">
        <v>4156</v>
      </c>
      <c r="H166" s="50">
        <v>1685</v>
      </c>
      <c r="I166" s="50">
        <v>0</v>
      </c>
      <c r="J166" s="50">
        <f t="shared" si="16"/>
        <v>14365</v>
      </c>
      <c r="O166" s="11">
        <v>44075</v>
      </c>
      <c r="P166" s="50">
        <f t="shared" si="20"/>
        <v>-87526</v>
      </c>
      <c r="Q166" s="50">
        <f t="shared" si="19"/>
        <v>-87.525999999999996</v>
      </c>
      <c r="R166" s="50"/>
      <c r="S166" s="50" t="b">
        <f t="shared" si="24"/>
        <v>1</v>
      </c>
      <c r="T166" s="5"/>
      <c r="U166" s="50">
        <f t="shared" si="21"/>
        <v>-20627</v>
      </c>
      <c r="V166" s="50">
        <f t="shared" si="22"/>
        <v>-3053</v>
      </c>
      <c r="W166" s="50">
        <f t="shared" si="23"/>
        <v>-23958</v>
      </c>
      <c r="Y166" s="51">
        <f t="shared" si="17"/>
        <v>9</v>
      </c>
      <c r="Z166" s="51">
        <f t="shared" si="18"/>
        <v>2020</v>
      </c>
    </row>
    <row r="167" spans="1:26" x14ac:dyDescent="0.25">
      <c r="A167" s="52">
        <v>44105</v>
      </c>
      <c r="B167" s="53">
        <v>442</v>
      </c>
      <c r="C167" s="53">
        <v>17</v>
      </c>
      <c r="D167" s="53">
        <v>7807</v>
      </c>
      <c r="E167" s="53">
        <v>-61</v>
      </c>
      <c r="F167" s="53">
        <v>1645</v>
      </c>
      <c r="G167" s="53">
        <v>8399</v>
      </c>
      <c r="H167" s="53">
        <v>6314</v>
      </c>
      <c r="I167" s="53">
        <v>0</v>
      </c>
      <c r="J167" s="53">
        <f t="shared" si="16"/>
        <v>24563</v>
      </c>
      <c r="O167" s="11">
        <v>44105</v>
      </c>
      <c r="P167" s="53">
        <f t="shared" si="20"/>
        <v>-71474</v>
      </c>
      <c r="Q167" s="50">
        <f t="shared" si="19"/>
        <v>-71.474000000000004</v>
      </c>
      <c r="R167" s="53"/>
      <c r="S167" s="53" t="b">
        <f t="shared" si="24"/>
        <v>1</v>
      </c>
      <c r="T167" s="5"/>
      <c r="U167" s="53">
        <f t="shared" si="21"/>
        <v>-13872</v>
      </c>
      <c r="V167" s="53">
        <f t="shared" si="22"/>
        <v>-1435</v>
      </c>
      <c r="W167" s="53">
        <f t="shared" si="23"/>
        <v>-15599</v>
      </c>
      <c r="Y167" s="51">
        <f t="shared" si="17"/>
        <v>10</v>
      </c>
      <c r="Z167" s="51">
        <f t="shared" si="18"/>
        <v>2020</v>
      </c>
    </row>
    <row r="168" spans="1:26" x14ac:dyDescent="0.25">
      <c r="A168" s="49">
        <v>44136</v>
      </c>
      <c r="B168" s="50">
        <v>1320</v>
      </c>
      <c r="C168" s="50">
        <v>8</v>
      </c>
      <c r="D168" s="50">
        <v>7739</v>
      </c>
      <c r="E168" s="50">
        <v>150</v>
      </c>
      <c r="F168" s="50">
        <v>761</v>
      </c>
      <c r="G168" s="50">
        <v>10771</v>
      </c>
      <c r="H168" s="50">
        <v>6797</v>
      </c>
      <c r="I168" s="50">
        <v>0</v>
      </c>
      <c r="J168" s="50">
        <f t="shared" si="16"/>
        <v>27546</v>
      </c>
      <c r="O168" s="11">
        <v>44136</v>
      </c>
      <c r="P168" s="50">
        <f t="shared" si="20"/>
        <v>-56504</v>
      </c>
      <c r="Q168" s="50">
        <f t="shared" si="19"/>
        <v>-56.503999999999998</v>
      </c>
      <c r="R168" s="50"/>
      <c r="S168" s="50" t="b">
        <f t="shared" si="24"/>
        <v>1</v>
      </c>
      <c r="T168" s="5"/>
      <c r="U168" s="50">
        <f t="shared" si="21"/>
        <v>-5389</v>
      </c>
      <c r="V168" s="50">
        <f t="shared" si="22"/>
        <v>-477</v>
      </c>
      <c r="W168" s="50">
        <f t="shared" si="23"/>
        <v>-6032</v>
      </c>
      <c r="Y168" s="51">
        <f t="shared" si="17"/>
        <v>11</v>
      </c>
      <c r="Z168" s="51">
        <f t="shared" si="18"/>
        <v>2020</v>
      </c>
    </row>
    <row r="169" spans="1:26" x14ac:dyDescent="0.25">
      <c r="A169" s="52">
        <v>44166</v>
      </c>
      <c r="B169" s="53">
        <v>-1053</v>
      </c>
      <c r="C169" s="53">
        <v>-22</v>
      </c>
      <c r="D169" s="53">
        <v>-5371</v>
      </c>
      <c r="E169" s="53">
        <v>220</v>
      </c>
      <c r="F169" s="53">
        <v>-2002</v>
      </c>
      <c r="G169" s="53">
        <v>4199</v>
      </c>
      <c r="H169" s="53">
        <v>-708</v>
      </c>
      <c r="I169" s="53">
        <v>0</v>
      </c>
      <c r="J169" s="53">
        <f t="shared" si="16"/>
        <v>-4737</v>
      </c>
      <c r="N169" s="4">
        <f>P169/1000</f>
        <v>-42.552999999999997</v>
      </c>
      <c r="O169" s="11">
        <v>44166</v>
      </c>
      <c r="P169" s="53">
        <f t="shared" si="20"/>
        <v>-42553</v>
      </c>
      <c r="Q169" s="50">
        <f t="shared" si="19"/>
        <v>-42.552999999999997</v>
      </c>
      <c r="R169" s="53"/>
      <c r="S169" s="53" t="b">
        <f t="shared" si="24"/>
        <v>1</v>
      </c>
      <c r="T169" s="5"/>
      <c r="U169" s="53">
        <f t="shared" si="21"/>
        <v>77</v>
      </c>
      <c r="V169" s="53">
        <f t="shared" si="22"/>
        <v>-285</v>
      </c>
      <c r="W169" s="53">
        <f t="shared" si="23"/>
        <v>-199</v>
      </c>
      <c r="Y169" s="51">
        <f t="shared" si="17"/>
        <v>12</v>
      </c>
      <c r="Z169" s="51">
        <f t="shared" si="18"/>
        <v>2020</v>
      </c>
    </row>
    <row r="170" spans="1:26" x14ac:dyDescent="0.25">
      <c r="A170" s="49">
        <v>44197</v>
      </c>
      <c r="B170" s="50">
        <v>6688</v>
      </c>
      <c r="C170" s="50">
        <v>17</v>
      </c>
      <c r="D170" s="50">
        <v>12066</v>
      </c>
      <c r="E170" s="50">
        <v>76</v>
      </c>
      <c r="F170" s="50">
        <v>1109</v>
      </c>
      <c r="G170" s="50">
        <v>1554</v>
      </c>
      <c r="H170" s="50">
        <v>4736</v>
      </c>
      <c r="I170" s="50">
        <v>0</v>
      </c>
      <c r="J170" s="50">
        <f t="shared" si="16"/>
        <v>26246</v>
      </c>
      <c r="O170" s="11">
        <v>44197</v>
      </c>
      <c r="P170" s="50">
        <f t="shared" si="20"/>
        <v>-29188</v>
      </c>
      <c r="Q170" s="50">
        <f t="shared" si="19"/>
        <v>-29.187999999999999</v>
      </c>
      <c r="R170" s="50"/>
      <c r="S170" s="50" t="b">
        <f t="shared" si="24"/>
        <v>1</v>
      </c>
      <c r="T170" s="5"/>
      <c r="U170" s="50">
        <f t="shared" si="21"/>
        <v>4841</v>
      </c>
      <c r="V170" s="50">
        <f t="shared" si="22"/>
        <v>-39</v>
      </c>
      <c r="W170" s="50">
        <f t="shared" si="23"/>
        <v>4826</v>
      </c>
      <c r="Y170" s="51">
        <f t="shared" si="17"/>
        <v>1</v>
      </c>
      <c r="Z170" s="51">
        <f t="shared" si="18"/>
        <v>2021</v>
      </c>
    </row>
    <row r="171" spans="1:26" x14ac:dyDescent="0.25">
      <c r="A171" s="52">
        <v>44228</v>
      </c>
      <c r="B171" s="53">
        <v>513</v>
      </c>
      <c r="C171" s="53">
        <v>52</v>
      </c>
      <c r="D171" s="53">
        <v>16204</v>
      </c>
      <c r="E171" s="53">
        <v>192</v>
      </c>
      <c r="F171" s="53">
        <v>1613</v>
      </c>
      <c r="G171" s="53">
        <v>2224</v>
      </c>
      <c r="H171" s="53">
        <v>6366</v>
      </c>
      <c r="I171" s="53">
        <v>0</v>
      </c>
      <c r="J171" s="53">
        <f t="shared" si="16"/>
        <v>27164</v>
      </c>
      <c r="O171" s="11">
        <v>44228</v>
      </c>
      <c r="P171" s="53">
        <f t="shared" si="20"/>
        <v>-24433</v>
      </c>
      <c r="Q171" s="50">
        <f t="shared" si="19"/>
        <v>-24.433</v>
      </c>
      <c r="R171" s="53"/>
      <c r="S171" s="53" t="b">
        <f t="shared" si="24"/>
        <v>1</v>
      </c>
      <c r="T171" s="5"/>
      <c r="U171" s="53">
        <f t="shared" si="21"/>
        <v>7400</v>
      </c>
      <c r="V171" s="53">
        <f t="shared" si="22"/>
        <v>529</v>
      </c>
      <c r="W171" s="53">
        <f t="shared" si="23"/>
        <v>8116</v>
      </c>
      <c r="Y171" s="51">
        <f t="shared" si="17"/>
        <v>2</v>
      </c>
      <c r="Z171" s="51">
        <f t="shared" si="18"/>
        <v>2021</v>
      </c>
    </row>
    <row r="172" spans="1:26" x14ac:dyDescent="0.25">
      <c r="A172" s="49">
        <v>44256</v>
      </c>
      <c r="B172" s="50">
        <v>-1435</v>
      </c>
      <c r="C172" s="50">
        <v>58</v>
      </c>
      <c r="D172" s="50">
        <v>8621</v>
      </c>
      <c r="E172" s="50">
        <v>135</v>
      </c>
      <c r="F172" s="50">
        <v>576</v>
      </c>
      <c r="G172" s="50">
        <v>1802</v>
      </c>
      <c r="H172" s="50">
        <v>4158</v>
      </c>
      <c r="I172" s="50">
        <v>0</v>
      </c>
      <c r="J172" s="50">
        <f t="shared" si="16"/>
        <v>13915</v>
      </c>
      <c r="O172" s="11">
        <v>44256</v>
      </c>
      <c r="P172" s="50">
        <f t="shared" si="20"/>
        <v>5642</v>
      </c>
      <c r="Q172" s="50">
        <f t="shared" si="19"/>
        <v>5.6420000000000003</v>
      </c>
      <c r="R172" s="50"/>
      <c r="S172" s="50" t="b">
        <f t="shared" si="24"/>
        <v>1</v>
      </c>
      <c r="T172" s="5"/>
      <c r="U172" s="50">
        <f t="shared" si="21"/>
        <v>18045</v>
      </c>
      <c r="V172" s="50">
        <f t="shared" si="22"/>
        <v>2160</v>
      </c>
      <c r="W172" s="50">
        <f t="shared" si="23"/>
        <v>20653</v>
      </c>
      <c r="Y172" s="51">
        <f t="shared" si="17"/>
        <v>3</v>
      </c>
      <c r="Z172" s="51">
        <f t="shared" si="18"/>
        <v>2021</v>
      </c>
    </row>
    <row r="173" spans="1:26" x14ac:dyDescent="0.25">
      <c r="A173" s="52">
        <v>44287</v>
      </c>
      <c r="B173" s="53">
        <v>-1326</v>
      </c>
      <c r="C173" s="53">
        <v>6</v>
      </c>
      <c r="D173" s="53">
        <v>885</v>
      </c>
      <c r="E173" s="53">
        <v>-325</v>
      </c>
      <c r="F173" s="53">
        <v>31</v>
      </c>
      <c r="G173" s="53">
        <v>40</v>
      </c>
      <c r="H173" s="53">
        <v>-1719</v>
      </c>
      <c r="I173" s="53">
        <v>0</v>
      </c>
      <c r="J173" s="53">
        <f t="shared" si="16"/>
        <v>-2408</v>
      </c>
      <c r="O173" s="11">
        <v>44287</v>
      </c>
      <c r="P173" s="53">
        <f t="shared" si="20"/>
        <v>85734</v>
      </c>
      <c r="Q173" s="50">
        <f t="shared" si="19"/>
        <v>85.733999999999995</v>
      </c>
      <c r="R173" s="53"/>
      <c r="S173" s="53" t="b">
        <f t="shared" si="24"/>
        <v>1</v>
      </c>
      <c r="T173" s="5"/>
      <c r="U173" s="53">
        <f t="shared" si="21"/>
        <v>45861</v>
      </c>
      <c r="V173" s="53">
        <f t="shared" si="22"/>
        <v>6403</v>
      </c>
      <c r="W173" s="53">
        <f t="shared" si="23"/>
        <v>52595</v>
      </c>
      <c r="Y173" s="51">
        <f t="shared" si="17"/>
        <v>4</v>
      </c>
      <c r="Z173" s="51">
        <f t="shared" si="18"/>
        <v>2021</v>
      </c>
    </row>
    <row r="174" spans="1:26" x14ac:dyDescent="0.25">
      <c r="A174" s="49">
        <v>44317</v>
      </c>
      <c r="B174" s="50">
        <v>-1169</v>
      </c>
      <c r="C174" s="50">
        <v>37</v>
      </c>
      <c r="D174" s="50">
        <v>1071</v>
      </c>
      <c r="E174" s="50">
        <v>48</v>
      </c>
      <c r="F174" s="50">
        <v>-867</v>
      </c>
      <c r="G174" s="50">
        <v>1841</v>
      </c>
      <c r="H174" s="50">
        <v>5502</v>
      </c>
      <c r="I174" s="50">
        <v>0</v>
      </c>
      <c r="J174" s="50">
        <f t="shared" si="16"/>
        <v>6463</v>
      </c>
      <c r="O174" s="11">
        <v>44317</v>
      </c>
      <c r="P174" s="50">
        <f t="shared" si="20"/>
        <v>129494</v>
      </c>
      <c r="Q174" s="50">
        <f t="shared" si="19"/>
        <v>129.494</v>
      </c>
      <c r="R174" s="50"/>
      <c r="S174" s="50" t="b">
        <f t="shared" si="24"/>
        <v>1</v>
      </c>
      <c r="T174" s="5"/>
      <c r="U174" s="50">
        <f t="shared" si="21"/>
        <v>60968</v>
      </c>
      <c r="V174" s="50">
        <f t="shared" si="22"/>
        <v>6802</v>
      </c>
      <c r="W174" s="50">
        <f t="shared" si="23"/>
        <v>68330</v>
      </c>
      <c r="Y174" s="51">
        <f t="shared" si="17"/>
        <v>5</v>
      </c>
      <c r="Z174" s="51">
        <f t="shared" si="18"/>
        <v>2021</v>
      </c>
    </row>
    <row r="175" spans="1:26" x14ac:dyDescent="0.25">
      <c r="A175" s="52">
        <v>44348</v>
      </c>
      <c r="B175" s="53">
        <v>-1413</v>
      </c>
      <c r="C175" s="53">
        <v>63</v>
      </c>
      <c r="D175" s="53">
        <v>2035</v>
      </c>
      <c r="E175" s="53">
        <v>-314</v>
      </c>
      <c r="F175" s="53">
        <v>-186</v>
      </c>
      <c r="G175" s="53">
        <v>4206</v>
      </c>
      <c r="H175" s="53">
        <v>7161</v>
      </c>
      <c r="I175" s="53">
        <v>0</v>
      </c>
      <c r="J175" s="53">
        <f t="shared" si="16"/>
        <v>11552</v>
      </c>
      <c r="O175" s="11">
        <v>44348</v>
      </c>
      <c r="P175" s="53">
        <f t="shared" si="20"/>
        <v>149609</v>
      </c>
      <c r="Q175" s="50">
        <f t="shared" si="19"/>
        <v>149.60900000000001</v>
      </c>
      <c r="R175" s="53"/>
      <c r="S175" s="53" t="b">
        <f t="shared" si="24"/>
        <v>1</v>
      </c>
      <c r="T175" s="5"/>
      <c r="U175" s="53">
        <f t="shared" si="21"/>
        <v>64886</v>
      </c>
      <c r="V175" s="53">
        <f t="shared" si="22"/>
        <v>6364</v>
      </c>
      <c r="W175" s="53">
        <f t="shared" si="23"/>
        <v>71624</v>
      </c>
      <c r="Y175" s="51">
        <f t="shared" si="17"/>
        <v>6</v>
      </c>
      <c r="Z175" s="51">
        <f t="shared" si="18"/>
        <v>2021</v>
      </c>
    </row>
    <row r="176" spans="1:26" x14ac:dyDescent="0.25">
      <c r="A176" s="49">
        <v>44378</v>
      </c>
      <c r="B176" s="50">
        <v>842</v>
      </c>
      <c r="C176" s="50">
        <v>16</v>
      </c>
      <c r="D176" s="50">
        <v>3817</v>
      </c>
      <c r="E176" s="50">
        <v>5</v>
      </c>
      <c r="F176" s="50">
        <v>867</v>
      </c>
      <c r="G176" s="50">
        <v>3040</v>
      </c>
      <c r="H176" s="50">
        <v>5224</v>
      </c>
      <c r="I176" s="50">
        <v>0</v>
      </c>
      <c r="J176" s="50">
        <f t="shared" si="16"/>
        <v>13811</v>
      </c>
      <c r="O176" s="11">
        <v>44378</v>
      </c>
      <c r="P176" s="50">
        <f t="shared" si="20"/>
        <v>163570</v>
      </c>
      <c r="Q176" s="50">
        <f t="shared" si="19"/>
        <v>163.57</v>
      </c>
      <c r="R176" s="50"/>
      <c r="S176" s="50" t="b">
        <f t="shared" si="24"/>
        <v>1</v>
      </c>
      <c r="T176" s="5"/>
      <c r="U176" s="50">
        <f t="shared" si="21"/>
        <v>65301</v>
      </c>
      <c r="V176" s="50">
        <f t="shared" si="22"/>
        <v>6365</v>
      </c>
      <c r="W176" s="50">
        <f t="shared" si="23"/>
        <v>72069</v>
      </c>
      <c r="Y176" s="51">
        <f t="shared" si="17"/>
        <v>7</v>
      </c>
      <c r="Z176" s="51">
        <f t="shared" si="18"/>
        <v>2021</v>
      </c>
    </row>
    <row r="177" spans="1:26" x14ac:dyDescent="0.25">
      <c r="A177" s="52">
        <v>44409</v>
      </c>
      <c r="B177" s="53">
        <v>318</v>
      </c>
      <c r="C177" s="53">
        <v>17</v>
      </c>
      <c r="D177" s="53">
        <v>-422</v>
      </c>
      <c r="E177" s="53">
        <v>141</v>
      </c>
      <c r="F177" s="53">
        <v>1769</v>
      </c>
      <c r="G177" s="53">
        <v>2827</v>
      </c>
      <c r="H177" s="53">
        <v>7496</v>
      </c>
      <c r="I177" s="53">
        <v>0</v>
      </c>
      <c r="J177" s="53">
        <f t="shared" si="16"/>
        <v>12146</v>
      </c>
      <c r="O177" s="11">
        <v>44409</v>
      </c>
      <c r="P177" s="53">
        <f t="shared" si="20"/>
        <v>170626</v>
      </c>
      <c r="Q177" s="50">
        <f t="shared" si="19"/>
        <v>170.626</v>
      </c>
      <c r="R177" s="53"/>
      <c r="S177" s="53" t="b">
        <f t="shared" si="24"/>
        <v>1</v>
      </c>
      <c r="T177" s="5"/>
      <c r="U177" s="53">
        <f t="shared" si="21"/>
        <v>61511</v>
      </c>
      <c r="V177" s="53">
        <f t="shared" si="22"/>
        <v>6862</v>
      </c>
      <c r="W177" s="53">
        <f t="shared" si="23"/>
        <v>69018</v>
      </c>
      <c r="Y177" s="51">
        <f t="shared" si="17"/>
        <v>8</v>
      </c>
      <c r="Z177" s="51">
        <f t="shared" si="18"/>
        <v>2021</v>
      </c>
    </row>
    <row r="178" spans="1:26" x14ac:dyDescent="0.25">
      <c r="A178" s="49">
        <v>44440</v>
      </c>
      <c r="B178" s="50">
        <v>-55</v>
      </c>
      <c r="C178" s="50">
        <v>49</v>
      </c>
      <c r="D178" s="50">
        <v>4144</v>
      </c>
      <c r="E178" s="50">
        <v>-29</v>
      </c>
      <c r="F178" s="50">
        <v>522</v>
      </c>
      <c r="G178" s="50">
        <v>3582</v>
      </c>
      <c r="H178" s="50">
        <v>5923</v>
      </c>
      <c r="I178" s="50">
        <v>0</v>
      </c>
      <c r="J178" s="50">
        <f t="shared" si="16"/>
        <v>14136</v>
      </c>
      <c r="O178" s="11">
        <v>44440</v>
      </c>
      <c r="P178" s="50">
        <f t="shared" si="20"/>
        <v>170397</v>
      </c>
      <c r="Q178" s="50">
        <f t="shared" si="19"/>
        <v>170.39699999999999</v>
      </c>
      <c r="R178" s="50"/>
      <c r="S178" s="50" t="b">
        <f t="shared" si="24"/>
        <v>0</v>
      </c>
      <c r="T178" s="5"/>
      <c r="U178" s="50">
        <f t="shared" si="21"/>
        <v>58596</v>
      </c>
      <c r="V178" s="50">
        <f t="shared" si="22"/>
        <v>5838</v>
      </c>
      <c r="W178" s="50">
        <f t="shared" si="23"/>
        <v>64990</v>
      </c>
      <c r="Y178" s="51">
        <f t="shared" si="17"/>
        <v>9</v>
      </c>
      <c r="Z178" s="51">
        <f t="shared" si="18"/>
        <v>2021</v>
      </c>
    </row>
    <row r="179" spans="1:26" x14ac:dyDescent="0.25">
      <c r="A179" s="52">
        <v>44470</v>
      </c>
      <c r="B179" s="53">
        <v>1070</v>
      </c>
      <c r="C179" s="53">
        <v>59</v>
      </c>
      <c r="D179" s="53">
        <v>4855</v>
      </c>
      <c r="E179" s="53">
        <v>-351</v>
      </c>
      <c r="F179" s="53">
        <v>1128</v>
      </c>
      <c r="G179" s="53">
        <v>6483</v>
      </c>
      <c r="H179" s="53">
        <v>5889</v>
      </c>
      <c r="I179" s="53">
        <v>0</v>
      </c>
      <c r="J179" s="53">
        <f t="shared" si="16"/>
        <v>19133</v>
      </c>
      <c r="O179" s="11">
        <v>44470</v>
      </c>
      <c r="P179" s="53">
        <f t="shared" si="20"/>
        <v>164967</v>
      </c>
      <c r="Q179" s="50">
        <f t="shared" si="19"/>
        <v>164.96700000000001</v>
      </c>
      <c r="R179" s="53"/>
      <c r="S179" s="53" t="b">
        <f t="shared" si="24"/>
        <v>0</v>
      </c>
      <c r="T179" s="5"/>
      <c r="U179" s="53">
        <f t="shared" si="21"/>
        <v>55644</v>
      </c>
      <c r="V179" s="53">
        <f t="shared" si="22"/>
        <v>5321</v>
      </c>
      <c r="W179" s="53">
        <f t="shared" si="23"/>
        <v>61273</v>
      </c>
      <c r="Y179" s="51">
        <f t="shared" si="17"/>
        <v>10</v>
      </c>
      <c r="Z179" s="51">
        <f t="shared" si="18"/>
        <v>2021</v>
      </c>
    </row>
    <row r="180" spans="1:26" x14ac:dyDescent="0.25">
      <c r="A180" s="49">
        <v>44501</v>
      </c>
      <c r="B180" s="50">
        <v>708</v>
      </c>
      <c r="C180" s="50">
        <v>-14</v>
      </c>
      <c r="D180" s="50">
        <v>2319</v>
      </c>
      <c r="E180" s="50">
        <v>-354</v>
      </c>
      <c r="F180" s="50">
        <v>689</v>
      </c>
      <c r="G180" s="50">
        <v>6752</v>
      </c>
      <c r="H180" s="50">
        <v>7839</v>
      </c>
      <c r="I180" s="50">
        <v>0</v>
      </c>
      <c r="J180" s="50">
        <f t="shared" si="16"/>
        <v>17939</v>
      </c>
      <c r="O180" s="11">
        <v>44501</v>
      </c>
      <c r="P180" s="50">
        <f t="shared" si="20"/>
        <v>155360</v>
      </c>
      <c r="Q180" s="50">
        <f t="shared" si="19"/>
        <v>155.36000000000001</v>
      </c>
      <c r="R180" s="50"/>
      <c r="S180" s="50" t="b">
        <f t="shared" si="24"/>
        <v>0</v>
      </c>
      <c r="T180" s="5"/>
      <c r="U180" s="50">
        <f t="shared" si="21"/>
        <v>50224</v>
      </c>
      <c r="V180" s="50">
        <f t="shared" si="22"/>
        <v>5249</v>
      </c>
      <c r="W180" s="50">
        <f t="shared" si="23"/>
        <v>55255</v>
      </c>
      <c r="Y180" s="51">
        <f t="shared" si="17"/>
        <v>11</v>
      </c>
      <c r="Z180" s="51">
        <f t="shared" si="18"/>
        <v>2021</v>
      </c>
    </row>
    <row r="181" spans="1:26" x14ac:dyDescent="0.25">
      <c r="A181" s="52">
        <v>44531</v>
      </c>
      <c r="B181" s="53">
        <v>-989</v>
      </c>
      <c r="C181" s="53">
        <v>-27</v>
      </c>
      <c r="D181" s="53">
        <v>-12734</v>
      </c>
      <c r="E181" s="53">
        <v>-199</v>
      </c>
      <c r="F181" s="53">
        <v>-1945</v>
      </c>
      <c r="G181" s="53">
        <v>645</v>
      </c>
      <c r="H181" s="53">
        <v>-3914</v>
      </c>
      <c r="I181" s="53">
        <v>0</v>
      </c>
      <c r="J181" s="53">
        <f t="shared" si="16"/>
        <v>-19163</v>
      </c>
      <c r="N181" s="4">
        <f>P181/1000</f>
        <v>140.934</v>
      </c>
      <c r="O181" s="11">
        <v>44531</v>
      </c>
      <c r="P181" s="53">
        <f t="shared" si="20"/>
        <v>140934</v>
      </c>
      <c r="Q181" s="50">
        <f t="shared" si="19"/>
        <v>140.934</v>
      </c>
      <c r="R181" s="53"/>
      <c r="S181" s="53" t="b">
        <f t="shared" si="24"/>
        <v>0</v>
      </c>
      <c r="T181" s="5"/>
      <c r="U181" s="53">
        <f t="shared" si="21"/>
        <v>42861</v>
      </c>
      <c r="V181" s="53">
        <f t="shared" si="22"/>
        <v>5306</v>
      </c>
      <c r="W181" s="53">
        <f t="shared" si="23"/>
        <v>47525</v>
      </c>
      <c r="Y181" s="51">
        <f t="shared" si="17"/>
        <v>12</v>
      </c>
      <c r="Z181" s="51">
        <f t="shared" si="18"/>
        <v>2021</v>
      </c>
    </row>
    <row r="182" spans="1:26" x14ac:dyDescent="0.25">
      <c r="A182" s="49">
        <v>44562</v>
      </c>
      <c r="B182" s="50">
        <v>6412</v>
      </c>
      <c r="C182" s="50">
        <v>1</v>
      </c>
      <c r="D182" s="50">
        <v>7579</v>
      </c>
      <c r="E182" s="50">
        <v>10</v>
      </c>
      <c r="F182" s="50">
        <v>685</v>
      </c>
      <c r="G182" s="50">
        <v>-2789</v>
      </c>
      <c r="H182" s="50">
        <v>5124</v>
      </c>
      <c r="I182" s="50">
        <v>0</v>
      </c>
      <c r="J182" s="50">
        <f t="shared" si="16"/>
        <v>17022</v>
      </c>
      <c r="K182" s="59">
        <f t="shared" ref="K182:K189" si="25">J182/J170-1</f>
        <v>-0.35144402956641008</v>
      </c>
      <c r="O182" s="11">
        <v>44562</v>
      </c>
      <c r="P182" s="50">
        <f t="shared" si="20"/>
        <v>131710</v>
      </c>
      <c r="Q182" s="50">
        <f t="shared" si="19"/>
        <v>131.71</v>
      </c>
      <c r="R182" s="50"/>
      <c r="S182" s="50" t="b">
        <f t="shared" si="24"/>
        <v>0</v>
      </c>
      <c r="T182" s="5"/>
      <c r="U182" s="50">
        <f t="shared" si="21"/>
        <v>38374</v>
      </c>
      <c r="V182" s="50">
        <f t="shared" si="22"/>
        <v>4882</v>
      </c>
      <c r="W182" s="50">
        <f t="shared" si="23"/>
        <v>42532</v>
      </c>
      <c r="Y182" s="51">
        <f t="shared" si="17"/>
        <v>1</v>
      </c>
      <c r="Z182" s="51">
        <f t="shared" si="18"/>
        <v>2022</v>
      </c>
    </row>
    <row r="183" spans="1:26" x14ac:dyDescent="0.25">
      <c r="A183" s="52">
        <v>44593</v>
      </c>
      <c r="B183" s="53">
        <v>2025</v>
      </c>
      <c r="C183" s="53">
        <v>53</v>
      </c>
      <c r="D183" s="53">
        <v>12945</v>
      </c>
      <c r="E183" s="53">
        <v>56</v>
      </c>
      <c r="F183" s="53">
        <v>1355</v>
      </c>
      <c r="G183" s="53">
        <v>-1096</v>
      </c>
      <c r="H183" s="53">
        <v>10844</v>
      </c>
      <c r="I183" s="53">
        <v>0</v>
      </c>
      <c r="J183" s="53">
        <f t="shared" si="16"/>
        <v>26182</v>
      </c>
      <c r="K183" s="59">
        <f t="shared" si="25"/>
        <v>-3.6150787807392115E-2</v>
      </c>
      <c r="O183" s="11">
        <v>44593</v>
      </c>
      <c r="P183" s="53">
        <f t="shared" si="20"/>
        <v>130728</v>
      </c>
      <c r="Q183" s="50">
        <f t="shared" si="19"/>
        <v>130.72800000000001</v>
      </c>
      <c r="R183" s="53"/>
      <c r="S183" s="53" t="b">
        <f t="shared" si="24"/>
        <v>0</v>
      </c>
      <c r="T183" s="5"/>
      <c r="U183" s="53">
        <f t="shared" si="21"/>
        <v>35115</v>
      </c>
      <c r="V183" s="53">
        <f t="shared" si="22"/>
        <v>4624</v>
      </c>
      <c r="W183" s="53">
        <f t="shared" si="23"/>
        <v>38880</v>
      </c>
      <c r="Y183" s="51">
        <f t="shared" si="17"/>
        <v>2</v>
      </c>
      <c r="Z183" s="51">
        <f t="shared" si="18"/>
        <v>2022</v>
      </c>
    </row>
    <row r="184" spans="1:26" x14ac:dyDescent="0.25">
      <c r="A184" s="49">
        <v>44621</v>
      </c>
      <c r="B184" s="50">
        <v>-2858</v>
      </c>
      <c r="C184" s="50">
        <v>18</v>
      </c>
      <c r="D184" s="50">
        <v>8016</v>
      </c>
      <c r="E184" s="50">
        <v>-7</v>
      </c>
      <c r="F184" s="50">
        <v>316</v>
      </c>
      <c r="G184" s="50">
        <v>-59</v>
      </c>
      <c r="H184" s="50">
        <v>5377</v>
      </c>
      <c r="I184" s="50">
        <v>0</v>
      </c>
      <c r="J184" s="50">
        <f t="shared" si="16"/>
        <v>10803</v>
      </c>
      <c r="K184" s="59">
        <f t="shared" si="25"/>
        <v>-0.22364355012576353</v>
      </c>
      <c r="O184" s="11">
        <v>44621</v>
      </c>
      <c r="P184" s="50">
        <f t="shared" si="20"/>
        <v>127616</v>
      </c>
      <c r="Q184" s="50">
        <f t="shared" si="19"/>
        <v>127.616</v>
      </c>
      <c r="R184" s="50"/>
      <c r="S184" s="50" t="b">
        <f t="shared" si="24"/>
        <v>0</v>
      </c>
      <c r="T184" s="5"/>
      <c r="U184" s="50">
        <f t="shared" si="21"/>
        <v>34510</v>
      </c>
      <c r="V184" s="50">
        <f t="shared" si="22"/>
        <v>4364</v>
      </c>
      <c r="W184" s="50">
        <f t="shared" si="23"/>
        <v>37833</v>
      </c>
      <c r="Y184" s="51">
        <f t="shared" si="17"/>
        <v>3</v>
      </c>
      <c r="Z184" s="51">
        <f t="shared" si="18"/>
        <v>2022</v>
      </c>
    </row>
    <row r="185" spans="1:26" x14ac:dyDescent="0.25">
      <c r="A185" s="52">
        <v>44652</v>
      </c>
      <c r="B185" s="53">
        <v>-1881</v>
      </c>
      <c r="C185" s="53">
        <v>36</v>
      </c>
      <c r="D185" s="53">
        <v>1949</v>
      </c>
      <c r="E185" s="53">
        <v>-107</v>
      </c>
      <c r="F185" s="53">
        <v>1905</v>
      </c>
      <c r="G185" s="53">
        <v>1830</v>
      </c>
      <c r="H185" s="53">
        <v>5156</v>
      </c>
      <c r="I185" s="53">
        <v>0</v>
      </c>
      <c r="J185" s="53">
        <f t="shared" si="16"/>
        <v>8888</v>
      </c>
      <c r="K185" s="59">
        <f t="shared" si="25"/>
        <v>-4.691029900332226</v>
      </c>
      <c r="O185" s="11">
        <v>44652</v>
      </c>
      <c r="P185" s="53">
        <f t="shared" si="20"/>
        <v>138912</v>
      </c>
      <c r="Q185" s="50">
        <f t="shared" si="19"/>
        <v>138.91200000000001</v>
      </c>
      <c r="R185" s="53"/>
      <c r="S185" s="53" t="b">
        <f t="shared" si="24"/>
        <v>1</v>
      </c>
      <c r="T185" s="5"/>
      <c r="U185" s="53">
        <f t="shared" si="21"/>
        <v>35574</v>
      </c>
      <c r="V185" s="53">
        <f t="shared" si="22"/>
        <v>6238</v>
      </c>
      <c r="W185" s="53">
        <f t="shared" si="23"/>
        <v>41019</v>
      </c>
      <c r="Y185" s="51">
        <f t="shared" si="17"/>
        <v>4</v>
      </c>
      <c r="Z185" s="51">
        <f t="shared" si="18"/>
        <v>2022</v>
      </c>
    </row>
    <row r="186" spans="1:26" x14ac:dyDescent="0.25">
      <c r="A186" s="49">
        <v>44682</v>
      </c>
      <c r="B186" s="50">
        <v>-2113</v>
      </c>
      <c r="C186" s="50">
        <v>-61</v>
      </c>
      <c r="D186" s="50">
        <v>438</v>
      </c>
      <c r="E186" s="50">
        <v>9</v>
      </c>
      <c r="F186" s="50">
        <v>1258</v>
      </c>
      <c r="G186" s="50">
        <v>1678</v>
      </c>
      <c r="H186" s="50">
        <v>2609</v>
      </c>
      <c r="I186" s="50">
        <v>0</v>
      </c>
      <c r="J186" s="50">
        <f t="shared" si="16"/>
        <v>3818</v>
      </c>
      <c r="K186" s="59">
        <f t="shared" si="25"/>
        <v>-0.40925266903914592</v>
      </c>
      <c r="O186" s="11">
        <v>44682</v>
      </c>
      <c r="P186" s="50">
        <f t="shared" si="20"/>
        <v>136267</v>
      </c>
      <c r="Q186" s="50">
        <f t="shared" si="19"/>
        <v>136.267</v>
      </c>
      <c r="R186" s="50"/>
      <c r="S186" s="50" t="b">
        <f t="shared" si="24"/>
        <v>0</v>
      </c>
      <c r="T186" s="5"/>
      <c r="U186" s="50">
        <f t="shared" si="21"/>
        <v>34941</v>
      </c>
      <c r="V186" s="50">
        <f t="shared" si="22"/>
        <v>8363</v>
      </c>
      <c r="W186" s="50">
        <f t="shared" si="23"/>
        <v>42374</v>
      </c>
      <c r="Y186" s="51">
        <f t="shared" si="17"/>
        <v>5</v>
      </c>
      <c r="Z186" s="51">
        <f t="shared" si="18"/>
        <v>2022</v>
      </c>
    </row>
    <row r="187" spans="1:26" x14ac:dyDescent="0.25">
      <c r="A187" s="52">
        <v>44713</v>
      </c>
      <c r="B187" s="53">
        <v>-987</v>
      </c>
      <c r="C187" s="53">
        <v>36</v>
      </c>
      <c r="D187" s="53">
        <v>2330</v>
      </c>
      <c r="E187" s="53">
        <v>83</v>
      </c>
      <c r="F187" s="53">
        <v>909</v>
      </c>
      <c r="G187" s="53">
        <v>2155</v>
      </c>
      <c r="H187" s="53">
        <v>3537</v>
      </c>
      <c r="I187" s="53">
        <v>0</v>
      </c>
      <c r="J187" s="53">
        <f t="shared" si="16"/>
        <v>8063</v>
      </c>
      <c r="K187" s="59">
        <f t="shared" si="25"/>
        <v>-0.30202562326869808</v>
      </c>
      <c r="O187" s="11">
        <v>44713</v>
      </c>
      <c r="P187" s="53">
        <f t="shared" si="20"/>
        <v>132778</v>
      </c>
      <c r="Q187" s="50">
        <f t="shared" si="19"/>
        <v>132.77799999999999</v>
      </c>
      <c r="R187" s="53"/>
      <c r="S187" s="53" t="b">
        <f t="shared" si="24"/>
        <v>0</v>
      </c>
      <c r="T187" s="5"/>
      <c r="U187" s="53">
        <f t="shared" si="21"/>
        <v>35236</v>
      </c>
      <c r="V187" s="53">
        <f t="shared" si="22"/>
        <v>9458</v>
      </c>
      <c r="W187" s="53">
        <f t="shared" si="23"/>
        <v>44134</v>
      </c>
      <c r="Y187" s="51">
        <f t="shared" si="17"/>
        <v>6</v>
      </c>
      <c r="Z187" s="51">
        <f t="shared" si="18"/>
        <v>2022</v>
      </c>
    </row>
    <row r="188" spans="1:26" x14ac:dyDescent="0.25">
      <c r="A188" s="49">
        <v>44743</v>
      </c>
      <c r="B188" s="50">
        <v>-6</v>
      </c>
      <c r="C188" s="50">
        <v>-16</v>
      </c>
      <c r="D188" s="50">
        <v>1719</v>
      </c>
      <c r="E188" s="50">
        <v>619</v>
      </c>
      <c r="F188" s="50">
        <v>891</v>
      </c>
      <c r="G188" s="50">
        <v>1870</v>
      </c>
      <c r="H188" s="50">
        <v>2593</v>
      </c>
      <c r="I188" s="50">
        <v>0</v>
      </c>
      <c r="J188" s="50">
        <f t="shared" si="16"/>
        <v>7670</v>
      </c>
      <c r="K188" s="59">
        <f t="shared" si="25"/>
        <v>-0.44464557236985014</v>
      </c>
      <c r="O188" s="11">
        <v>44743</v>
      </c>
      <c r="P188" s="50">
        <f t="shared" si="20"/>
        <v>126637</v>
      </c>
      <c r="Q188" s="50">
        <f t="shared" si="19"/>
        <v>126.637</v>
      </c>
      <c r="R188" s="50"/>
      <c r="S188" s="50" t="b">
        <f t="shared" si="24"/>
        <v>0</v>
      </c>
      <c r="T188" s="5"/>
      <c r="U188" s="50">
        <f t="shared" si="21"/>
        <v>33138</v>
      </c>
      <c r="V188" s="50">
        <f t="shared" si="22"/>
        <v>9482</v>
      </c>
      <c r="W188" s="50">
        <f t="shared" si="23"/>
        <v>42642</v>
      </c>
      <c r="Y188" s="51">
        <f t="shared" si="17"/>
        <v>7</v>
      </c>
      <c r="Z188" s="51">
        <f t="shared" si="18"/>
        <v>2022</v>
      </c>
    </row>
    <row r="189" spans="1:26" x14ac:dyDescent="0.25">
      <c r="A189" s="52">
        <v>44774</v>
      </c>
      <c r="B189" s="53">
        <v>364</v>
      </c>
      <c r="C189" s="53">
        <v>-25</v>
      </c>
      <c r="D189" s="53">
        <v>1334</v>
      </c>
      <c r="E189" s="53">
        <v>-38</v>
      </c>
      <c r="F189" s="53">
        <v>615</v>
      </c>
      <c r="G189" s="53">
        <v>1946</v>
      </c>
      <c r="H189" s="53">
        <v>5625</v>
      </c>
      <c r="I189" s="53">
        <v>0</v>
      </c>
      <c r="J189" s="53">
        <f t="shared" si="16"/>
        <v>9821</v>
      </c>
      <c r="K189" s="59">
        <f t="shared" si="25"/>
        <v>-0.19142104396509141</v>
      </c>
      <c r="O189" s="11">
        <v>44774</v>
      </c>
      <c r="P189" s="53">
        <f>IF(J189=0,"",SUM(J178:J189))</f>
        <v>124312</v>
      </c>
      <c r="Q189" s="50">
        <f t="shared" si="19"/>
        <v>124.312</v>
      </c>
      <c r="R189" s="53"/>
      <c r="S189" s="53" t="b">
        <f t="shared" si="24"/>
        <v>0</v>
      </c>
      <c r="T189" s="5"/>
      <c r="U189" s="53">
        <f t="shared" si="21"/>
        <v>34894</v>
      </c>
      <c r="V189" s="53">
        <f t="shared" si="22"/>
        <v>8328</v>
      </c>
      <c r="W189" s="53">
        <f t="shared" si="23"/>
        <v>43023</v>
      </c>
      <c r="Y189" s="51">
        <f t="shared" si="17"/>
        <v>8</v>
      </c>
      <c r="Z189" s="51">
        <f t="shared" si="18"/>
        <v>2022</v>
      </c>
    </row>
    <row r="190" spans="1:26" x14ac:dyDescent="0.25">
      <c r="A190" s="49">
        <v>44805</v>
      </c>
      <c r="B190" s="50">
        <v>37</v>
      </c>
      <c r="C190" s="50">
        <v>-1</v>
      </c>
      <c r="D190" s="50">
        <v>284</v>
      </c>
      <c r="E190" s="50">
        <v>126</v>
      </c>
      <c r="F190" s="50">
        <v>1300</v>
      </c>
      <c r="G190" s="50">
        <v>2557</v>
      </c>
      <c r="H190" s="50">
        <v>5951</v>
      </c>
      <c r="I190" s="50">
        <v>0</v>
      </c>
      <c r="J190" s="50">
        <f t="shared" si="16"/>
        <v>10254</v>
      </c>
      <c r="K190" s="59">
        <f>J190/J178-1</f>
        <v>-0.27461799660441422</v>
      </c>
      <c r="O190" s="11">
        <v>44805</v>
      </c>
      <c r="P190" s="50">
        <f>IF(J190=0,"",SUM(J179:J190))</f>
        <v>120430</v>
      </c>
      <c r="Q190" s="50">
        <f>P190/1000</f>
        <v>120.43</v>
      </c>
      <c r="R190" s="50">
        <f>Q190</f>
        <v>120.43</v>
      </c>
      <c r="S190" s="50" t="b">
        <f t="shared" si="24"/>
        <v>0</v>
      </c>
      <c r="T190" s="5"/>
      <c r="U190" s="50">
        <f t="shared" si="21"/>
        <v>31034</v>
      </c>
      <c r="V190" s="50">
        <f t="shared" si="22"/>
        <v>9106</v>
      </c>
      <c r="W190" s="50">
        <f t="shared" si="23"/>
        <v>40046</v>
      </c>
      <c r="Y190" s="51">
        <f t="shared" si="17"/>
        <v>9</v>
      </c>
      <c r="Z190" s="51">
        <f t="shared" si="18"/>
        <v>2022</v>
      </c>
    </row>
    <row r="191" spans="1:26" x14ac:dyDescent="0.25">
      <c r="A191" s="52">
        <v>44835</v>
      </c>
      <c r="B191" s="53"/>
      <c r="C191" s="53"/>
      <c r="D191" s="53"/>
      <c r="E191" s="53"/>
      <c r="F191" s="53"/>
      <c r="G191" s="53"/>
      <c r="H191" s="53"/>
      <c r="I191" s="53"/>
      <c r="J191" s="53">
        <f>J179*(1+L191)</f>
        <v>14349.75</v>
      </c>
      <c r="L191" s="141">
        <v>-0.25</v>
      </c>
      <c r="O191" s="11">
        <v>44835</v>
      </c>
      <c r="P191" s="53">
        <f>IF(J191=0,"",SUM(J180:J191))</f>
        <v>115646.75</v>
      </c>
      <c r="Q191" s="53"/>
      <c r="R191" s="53">
        <f>P191/1000</f>
        <v>115.64675</v>
      </c>
      <c r="S191" s="53" t="b">
        <f t="shared" si="24"/>
        <v>0</v>
      </c>
      <c r="T191" s="5"/>
      <c r="U191" s="53">
        <f t="shared" si="21"/>
        <v>26179</v>
      </c>
      <c r="V191" s="53">
        <f t="shared" si="22"/>
        <v>7978</v>
      </c>
      <c r="W191" s="53">
        <f t="shared" si="23"/>
        <v>34355</v>
      </c>
      <c r="Y191" s="51">
        <f t="shared" si="17"/>
        <v>10</v>
      </c>
      <c r="Z191" s="51">
        <f t="shared" si="18"/>
        <v>2022</v>
      </c>
    </row>
    <row r="192" spans="1:26" x14ac:dyDescent="0.25">
      <c r="A192" s="49">
        <v>44866</v>
      </c>
      <c r="B192" s="50"/>
      <c r="C192" s="50"/>
      <c r="D192" s="50"/>
      <c r="E192" s="50"/>
      <c r="F192" s="50"/>
      <c r="G192" s="50"/>
      <c r="H192" s="50"/>
      <c r="I192" s="50"/>
      <c r="J192" s="53">
        <f>J180*(1+L192)</f>
        <v>13454.25</v>
      </c>
      <c r="L192" s="141">
        <v>-0.25</v>
      </c>
      <c r="O192" s="11">
        <v>44866</v>
      </c>
      <c r="P192" s="50">
        <f>IF(J192=0,"",SUM(J181:J192))</f>
        <v>111162</v>
      </c>
      <c r="Q192" s="50"/>
      <c r="R192" s="53">
        <f t="shared" ref="R192:R193" si="26">P192/1000</f>
        <v>111.16200000000001</v>
      </c>
      <c r="S192" s="50" t="b">
        <f t="shared" si="24"/>
        <v>0</v>
      </c>
      <c r="T192" s="5"/>
      <c r="U192" s="50">
        <f t="shared" si="21"/>
        <v>23860</v>
      </c>
      <c r="V192" s="50">
        <f t="shared" si="22"/>
        <v>7289</v>
      </c>
      <c r="W192" s="50">
        <f t="shared" si="23"/>
        <v>31715</v>
      </c>
      <c r="Y192" s="51">
        <f t="shared" si="17"/>
        <v>11</v>
      </c>
      <c r="Z192" s="51">
        <f t="shared" si="18"/>
        <v>2022</v>
      </c>
    </row>
    <row r="193" spans="1:37" x14ac:dyDescent="0.25">
      <c r="A193" s="52">
        <v>44896</v>
      </c>
      <c r="B193" s="53"/>
      <c r="C193" s="53"/>
      <c r="D193" s="53"/>
      <c r="E193" s="53"/>
      <c r="F193" s="53"/>
      <c r="G193" s="53"/>
      <c r="H193" s="53"/>
      <c r="I193" s="53"/>
      <c r="J193" s="53">
        <f>J181*(1+L193)</f>
        <v>-23953.75</v>
      </c>
      <c r="L193" s="141">
        <v>0.25</v>
      </c>
      <c r="M193" s="146" t="s">
        <v>119</v>
      </c>
      <c r="O193" s="11">
        <v>44896</v>
      </c>
      <c r="P193" s="53">
        <f>IF(J193=0,"",SUM(J182:J193))</f>
        <v>106371.25</v>
      </c>
      <c r="Q193" s="53"/>
      <c r="R193" s="53">
        <f t="shared" si="26"/>
        <v>106.37125</v>
      </c>
      <c r="S193" s="53" t="b">
        <f t="shared" si="24"/>
        <v>0</v>
      </c>
      <c r="T193" s="5"/>
      <c r="U193" s="53">
        <f t="shared" si="21"/>
        <v>36594</v>
      </c>
      <c r="V193" s="53">
        <f t="shared" si="22"/>
        <v>9234</v>
      </c>
      <c r="W193" s="53">
        <f t="shared" si="23"/>
        <v>46620</v>
      </c>
      <c r="Y193" s="51">
        <f t="shared" si="17"/>
        <v>12</v>
      </c>
      <c r="Z193" s="51">
        <f t="shared" si="18"/>
        <v>2022</v>
      </c>
    </row>
    <row r="196" spans="1:37" x14ac:dyDescent="0.25">
      <c r="A196" s="4">
        <v>2018</v>
      </c>
      <c r="B196" s="5">
        <f>SUM(B134:B145)</f>
        <v>-1406</v>
      </c>
      <c r="C196" s="5">
        <f t="shared" ref="C196:J196" si="27">SUM(C134:C145)</f>
        <v>-241</v>
      </c>
      <c r="D196" s="5">
        <f t="shared" si="27"/>
        <v>850</v>
      </c>
      <c r="E196" s="5">
        <f t="shared" si="27"/>
        <v>-3</v>
      </c>
      <c r="F196" s="5">
        <f t="shared" si="27"/>
        <v>921</v>
      </c>
      <c r="G196" s="5">
        <f t="shared" si="27"/>
        <v>2675</v>
      </c>
      <c r="H196" s="5">
        <f t="shared" si="27"/>
        <v>17715</v>
      </c>
      <c r="I196" s="5">
        <f t="shared" si="27"/>
        <v>0</v>
      </c>
      <c r="J196" s="5">
        <f t="shared" si="27"/>
        <v>20511</v>
      </c>
    </row>
    <row r="197" spans="1:37" x14ac:dyDescent="0.25">
      <c r="A197" s="4">
        <v>2019</v>
      </c>
      <c r="B197" s="5">
        <f>SUM(B146:B157)</f>
        <v>-54</v>
      </c>
      <c r="C197" s="5">
        <f t="shared" ref="C197:J197" si="28">SUM(C146:C157)</f>
        <v>102</v>
      </c>
      <c r="D197" s="5">
        <f t="shared" si="28"/>
        <v>-1547</v>
      </c>
      <c r="E197" s="5">
        <f t="shared" si="28"/>
        <v>-65</v>
      </c>
      <c r="F197" s="5">
        <f t="shared" si="28"/>
        <v>-3992</v>
      </c>
      <c r="G197" s="5">
        <f t="shared" si="28"/>
        <v>8386</v>
      </c>
      <c r="H197" s="5">
        <f t="shared" si="28"/>
        <v>17596</v>
      </c>
      <c r="I197" s="5">
        <f t="shared" si="28"/>
        <v>0</v>
      </c>
      <c r="J197" s="5">
        <f t="shared" si="28"/>
        <v>20426</v>
      </c>
      <c r="L197" s="142"/>
      <c r="M197" s="54" t="s">
        <v>105</v>
      </c>
      <c r="O197" s="54" t="s">
        <v>106</v>
      </c>
    </row>
    <row r="198" spans="1:37" x14ac:dyDescent="0.25">
      <c r="A198" s="4">
        <v>2020</v>
      </c>
      <c r="B198" s="5">
        <f>SUM(B158:B169)</f>
        <v>541</v>
      </c>
      <c r="C198" s="5">
        <f t="shared" ref="C198:J198" si="29">SUM(C158:C169)</f>
        <v>-40</v>
      </c>
      <c r="D198" s="5">
        <f t="shared" si="29"/>
        <v>77</v>
      </c>
      <c r="E198" s="5">
        <f t="shared" si="29"/>
        <v>49</v>
      </c>
      <c r="F198" s="5">
        <f t="shared" si="29"/>
        <v>-285</v>
      </c>
      <c r="G198" s="5">
        <f t="shared" si="29"/>
        <v>-10360</v>
      </c>
      <c r="H198" s="5">
        <f t="shared" si="29"/>
        <v>-32535</v>
      </c>
      <c r="I198" s="5">
        <f t="shared" si="29"/>
        <v>0</v>
      </c>
      <c r="J198" s="5">
        <f t="shared" si="29"/>
        <v>-42553</v>
      </c>
      <c r="L198" s="142" t="s">
        <v>107</v>
      </c>
      <c r="M198" s="54" t="s">
        <v>108</v>
      </c>
      <c r="O198" s="54" t="s">
        <v>108</v>
      </c>
    </row>
    <row r="199" spans="1:37" x14ac:dyDescent="0.25">
      <c r="A199" s="4">
        <v>2021</v>
      </c>
      <c r="B199" s="5">
        <f>SUM(B170:B181)</f>
        <v>3752</v>
      </c>
      <c r="C199" s="5">
        <f t="shared" ref="C199:J199" si="30">SUM(C170:C181)</f>
        <v>333</v>
      </c>
      <c r="D199" s="5">
        <f t="shared" si="30"/>
        <v>42861</v>
      </c>
      <c r="E199" s="5">
        <f t="shared" si="30"/>
        <v>-975</v>
      </c>
      <c r="F199" s="5">
        <f t="shared" si="30"/>
        <v>5306</v>
      </c>
      <c r="G199" s="5">
        <f t="shared" si="30"/>
        <v>34996</v>
      </c>
      <c r="H199" s="5">
        <f t="shared" si="30"/>
        <v>54661</v>
      </c>
      <c r="I199" s="5">
        <f t="shared" si="30"/>
        <v>0</v>
      </c>
      <c r="J199" s="5">
        <f t="shared" si="30"/>
        <v>140934</v>
      </c>
      <c r="L199" s="4" t="s">
        <v>89</v>
      </c>
      <c r="M199" s="10">
        <f>SUM(B179:B190)/1000</f>
        <v>1.782</v>
      </c>
      <c r="N199" s="59">
        <f t="shared" ref="N199:N205" si="31">M199/$M$205</f>
        <v>1.4796977497301337E-2</v>
      </c>
      <c r="O199" s="10">
        <f>N199*$P$193/1000</f>
        <v>1.5739729926098147</v>
      </c>
    </row>
    <row r="200" spans="1:37" x14ac:dyDescent="0.25">
      <c r="A200" s="4" t="s">
        <v>109</v>
      </c>
      <c r="B200" s="5">
        <f>SUM(B179:B190)</f>
        <v>1782</v>
      </c>
      <c r="C200" s="5">
        <f t="shared" ref="C200:J200" si="32">SUM(C179:C190)</f>
        <v>59</v>
      </c>
      <c r="D200" s="5">
        <f t="shared" si="32"/>
        <v>31034</v>
      </c>
      <c r="E200" s="5">
        <f t="shared" si="32"/>
        <v>-153</v>
      </c>
      <c r="F200" s="5">
        <f t="shared" si="32"/>
        <v>9106</v>
      </c>
      <c r="G200" s="5">
        <f t="shared" si="32"/>
        <v>21972</v>
      </c>
      <c r="H200" s="5">
        <f t="shared" si="32"/>
        <v>56630</v>
      </c>
      <c r="I200" s="5">
        <f t="shared" si="32"/>
        <v>0</v>
      </c>
      <c r="J200" s="5">
        <f t="shared" si="32"/>
        <v>120430</v>
      </c>
      <c r="L200" s="4" t="s">
        <v>110</v>
      </c>
      <c r="M200" s="10">
        <f>SUM(M201:M203)</f>
        <v>40.045999999999999</v>
      </c>
      <c r="N200" s="59">
        <f t="shared" si="31"/>
        <v>0.33252511832599846</v>
      </c>
      <c r="O200" s="10">
        <f t="shared" ref="O200:O205" si="33">N200*$P$193/1000</f>
        <v>35.371112492734362</v>
      </c>
    </row>
    <row r="201" spans="1:37" x14ac:dyDescent="0.25">
      <c r="L201" s="143" t="s">
        <v>91</v>
      </c>
      <c r="M201" s="10">
        <f>SUM(D179:D190)/1000</f>
        <v>31.033999999999999</v>
      </c>
      <c r="N201" s="59">
        <f t="shared" si="31"/>
        <v>0.25769326579755875</v>
      </c>
      <c r="O201" s="10">
        <f t="shared" si="33"/>
        <v>27.411154799468573</v>
      </c>
    </row>
    <row r="202" spans="1:37" x14ac:dyDescent="0.25">
      <c r="A202" s="17" t="s">
        <v>111</v>
      </c>
      <c r="D202" s="11"/>
      <c r="L202" s="143" t="s">
        <v>93</v>
      </c>
      <c r="M202" s="10">
        <f>SUM(F179:F190)/1000</f>
        <v>9.1059999999999999</v>
      </c>
      <c r="N202" s="59">
        <f t="shared" si="31"/>
        <v>7.5612388939632971E-2</v>
      </c>
      <c r="O202" s="10">
        <f t="shared" si="33"/>
        <v>8.042984326994933</v>
      </c>
    </row>
    <row r="203" spans="1:37" x14ac:dyDescent="0.25">
      <c r="A203" s="4">
        <v>2018</v>
      </c>
      <c r="B203" s="4">
        <f>B196/1000</f>
        <v>-1.4059999999999999</v>
      </c>
      <c r="C203" s="4">
        <f t="shared" ref="C203:J203" si="34">C196/1000</f>
        <v>-0.24099999999999999</v>
      </c>
      <c r="D203" s="4">
        <f t="shared" si="34"/>
        <v>0.85</v>
      </c>
      <c r="E203" s="4">
        <f t="shared" si="34"/>
        <v>-3.0000000000000001E-3</v>
      </c>
      <c r="F203" s="4">
        <f t="shared" si="34"/>
        <v>0.92100000000000004</v>
      </c>
      <c r="G203" s="4">
        <f t="shared" si="34"/>
        <v>2.6749999999999998</v>
      </c>
      <c r="H203" s="4">
        <f t="shared" si="34"/>
        <v>17.715</v>
      </c>
      <c r="I203" s="4">
        <f t="shared" si="34"/>
        <v>0</v>
      </c>
      <c r="J203" s="4">
        <f t="shared" si="34"/>
        <v>20.510999999999999</v>
      </c>
      <c r="L203" s="143" t="s">
        <v>112</v>
      </c>
      <c r="M203" s="10">
        <f>SUM(C179:C190,E179:E190)/1000</f>
        <v>-9.4E-2</v>
      </c>
      <c r="N203" s="59">
        <f t="shared" si="31"/>
        <v>-7.8053641119322419E-4</v>
      </c>
      <c r="O203" s="10">
        <f t="shared" si="33"/>
        <v>-8.3026633729137239E-2</v>
      </c>
    </row>
    <row r="204" spans="1:37" x14ac:dyDescent="0.25">
      <c r="A204" s="4">
        <v>2019</v>
      </c>
      <c r="B204" s="4">
        <f t="shared" ref="B204:J207" si="35">B197/1000</f>
        <v>-5.3999999999999999E-2</v>
      </c>
      <c r="C204" s="4">
        <f t="shared" si="35"/>
        <v>0.10199999999999999</v>
      </c>
      <c r="D204" s="4">
        <f t="shared" si="35"/>
        <v>-1.5469999999999999</v>
      </c>
      <c r="E204" s="4">
        <f t="shared" si="35"/>
        <v>-6.5000000000000002E-2</v>
      </c>
      <c r="F204" s="4">
        <f t="shared" si="35"/>
        <v>-3.992</v>
      </c>
      <c r="G204" s="4">
        <f t="shared" si="35"/>
        <v>8.3859999999999992</v>
      </c>
      <c r="H204" s="4">
        <f t="shared" si="35"/>
        <v>17.596</v>
      </c>
      <c r="I204" s="4">
        <f t="shared" si="35"/>
        <v>0</v>
      </c>
      <c r="J204" s="4">
        <f t="shared" si="35"/>
        <v>20.425999999999998</v>
      </c>
      <c r="L204" s="4" t="s">
        <v>95</v>
      </c>
      <c r="M204" s="10">
        <f>SUM(G179:H190)/1000</f>
        <v>78.602000000000004</v>
      </c>
      <c r="N204" s="59">
        <f t="shared" si="31"/>
        <v>0.65267790417670013</v>
      </c>
      <c r="O204" s="10">
        <f t="shared" si="33"/>
        <v>69.42616451465581</v>
      </c>
    </row>
    <row r="205" spans="1:37" x14ac:dyDescent="0.25">
      <c r="A205" s="4">
        <v>2020</v>
      </c>
      <c r="B205" s="4">
        <f t="shared" si="35"/>
        <v>0.54100000000000004</v>
      </c>
      <c r="C205" s="4">
        <f t="shared" si="35"/>
        <v>-0.04</v>
      </c>
      <c r="D205" s="4">
        <f t="shared" si="35"/>
        <v>7.6999999999999999E-2</v>
      </c>
      <c r="E205" s="4">
        <f t="shared" si="35"/>
        <v>4.9000000000000002E-2</v>
      </c>
      <c r="F205" s="4">
        <f t="shared" si="35"/>
        <v>-0.28499999999999998</v>
      </c>
      <c r="G205" s="4">
        <f t="shared" si="35"/>
        <v>-10.36</v>
      </c>
      <c r="H205" s="4">
        <f t="shared" si="35"/>
        <v>-32.534999999999997</v>
      </c>
      <c r="I205" s="4">
        <f t="shared" si="35"/>
        <v>0</v>
      </c>
      <c r="J205" s="4">
        <f t="shared" si="35"/>
        <v>-42.552999999999997</v>
      </c>
      <c r="L205" s="142" t="s">
        <v>97</v>
      </c>
      <c r="M205" s="145">
        <f>SUM(M199,M200,M204)</f>
        <v>120.43</v>
      </c>
      <c r="N205" s="59">
        <f t="shared" si="31"/>
        <v>1</v>
      </c>
      <c r="O205" s="145">
        <f t="shared" si="33"/>
        <v>106.37125</v>
      </c>
    </row>
    <row r="206" spans="1:37" x14ac:dyDescent="0.25">
      <c r="A206" s="4">
        <v>2021</v>
      </c>
      <c r="B206" s="4">
        <f t="shared" si="35"/>
        <v>3.7519999999999998</v>
      </c>
      <c r="C206" s="4">
        <f t="shared" si="35"/>
        <v>0.33300000000000002</v>
      </c>
      <c r="D206" s="4">
        <f t="shared" si="35"/>
        <v>42.860999999999997</v>
      </c>
      <c r="E206" s="4">
        <f t="shared" si="35"/>
        <v>-0.97499999999999998</v>
      </c>
      <c r="F206" s="4">
        <f t="shared" si="35"/>
        <v>5.306</v>
      </c>
      <c r="G206" s="4">
        <f t="shared" si="35"/>
        <v>34.996000000000002</v>
      </c>
      <c r="H206" s="4">
        <f t="shared" si="35"/>
        <v>54.661000000000001</v>
      </c>
      <c r="I206" s="4">
        <f t="shared" si="35"/>
        <v>0</v>
      </c>
      <c r="J206" s="4">
        <f t="shared" si="35"/>
        <v>140.934</v>
      </c>
    </row>
    <row r="207" spans="1:37" ht="45" customHeight="1" x14ac:dyDescent="0.25">
      <c r="A207" s="4" t="s">
        <v>109</v>
      </c>
      <c r="B207" s="4">
        <f t="shared" si="35"/>
        <v>1.782</v>
      </c>
      <c r="C207" s="4">
        <f t="shared" si="35"/>
        <v>5.8999999999999997E-2</v>
      </c>
      <c r="D207" s="4">
        <f t="shared" si="35"/>
        <v>31.033999999999999</v>
      </c>
      <c r="E207" s="4">
        <f t="shared" si="35"/>
        <v>-0.153</v>
      </c>
      <c r="F207" s="4">
        <f t="shared" si="35"/>
        <v>9.1059999999999999</v>
      </c>
      <c r="G207" s="4">
        <f t="shared" si="35"/>
        <v>21.972000000000001</v>
      </c>
      <c r="H207" s="4">
        <f t="shared" si="35"/>
        <v>56.63</v>
      </c>
      <c r="I207" s="4">
        <f t="shared" si="35"/>
        <v>0</v>
      </c>
      <c r="J207" s="4">
        <f t="shared" si="35"/>
        <v>120.43</v>
      </c>
      <c r="AD207" s="55"/>
      <c r="AE207" s="56">
        <v>2021</v>
      </c>
      <c r="AF207" s="56" t="s">
        <v>113</v>
      </c>
      <c r="AG207" s="56" t="s">
        <v>114</v>
      </c>
      <c r="AH207" s="56" t="s">
        <v>115</v>
      </c>
    </row>
    <row r="208" spans="1:37" ht="15" customHeight="1" x14ac:dyDescent="0.25">
      <c r="AD208" s="57" t="s">
        <v>89</v>
      </c>
      <c r="AE208" s="3">
        <v>3.7519999999999998</v>
      </c>
      <c r="AF208" s="3">
        <v>1.782</v>
      </c>
      <c r="AG208" s="58">
        <v>1.5739729926098147</v>
      </c>
      <c r="AH208" s="58">
        <v>1.4826331630289347</v>
      </c>
      <c r="AJ208" s="186">
        <f>AH208/$AH$214</f>
        <v>3.9016662184971962E-2</v>
      </c>
      <c r="AK208" s="15">
        <f>AJ208*$AL$214</f>
        <v>1.4826331630289347</v>
      </c>
    </row>
    <row r="209" spans="5:38" ht="15" customHeight="1" x14ac:dyDescent="0.25">
      <c r="E209" s="4">
        <f>SUM(C203,E203)</f>
        <v>-0.24399999999999999</v>
      </c>
      <c r="H209" s="4">
        <f>SUM(G203:H203)</f>
        <v>20.39</v>
      </c>
      <c r="AD209" s="60" t="s">
        <v>110</v>
      </c>
      <c r="AE209" s="1">
        <v>47.524999999999991</v>
      </c>
      <c r="AF209" s="1">
        <v>40.045999999999999</v>
      </c>
      <c r="AG209" s="61">
        <v>35.371112492734362</v>
      </c>
      <c r="AH209" s="61">
        <v>12.325319199256148</v>
      </c>
      <c r="AJ209" s="186">
        <f t="shared" ref="AJ209:AJ214" si="36">AH209/$AH$214</f>
        <v>0.32435050524358283</v>
      </c>
      <c r="AK209" s="15">
        <f t="shared" ref="AK209:AK214" si="37">AJ209*$AL$214</f>
        <v>12.325319199256148</v>
      </c>
    </row>
    <row r="210" spans="5:38" ht="15" customHeight="1" x14ac:dyDescent="0.25">
      <c r="E210" s="4">
        <f t="shared" ref="E210:E213" si="38">SUM(C204,E204)</f>
        <v>3.6999999999999991E-2</v>
      </c>
      <c r="H210" s="4">
        <f t="shared" ref="H210:H213" si="39">SUM(G204:H204)</f>
        <v>25.981999999999999</v>
      </c>
      <c r="AD210" s="183" t="s">
        <v>116</v>
      </c>
      <c r="AE210" s="2">
        <v>42.860999999999997</v>
      </c>
      <c r="AF210" s="2">
        <v>31.033999999999999</v>
      </c>
      <c r="AG210" s="184">
        <v>27.411154799468573</v>
      </c>
      <c r="AH210" s="61">
        <v>9.5516145440172622</v>
      </c>
      <c r="AJ210" s="186">
        <f t="shared" si="36"/>
        <v>0.25135827747413847</v>
      </c>
      <c r="AK210" s="15">
        <f t="shared" si="37"/>
        <v>9.5516145440172622</v>
      </c>
    </row>
    <row r="211" spans="5:38" ht="15" customHeight="1" x14ac:dyDescent="0.25">
      <c r="E211" s="4">
        <f t="shared" si="38"/>
        <v>9.0000000000000011E-3</v>
      </c>
      <c r="H211" s="4">
        <f t="shared" si="39"/>
        <v>-42.894999999999996</v>
      </c>
      <c r="AD211" s="183" t="s">
        <v>93</v>
      </c>
      <c r="AE211" s="2">
        <v>5.306</v>
      </c>
      <c r="AF211" s="2">
        <v>9.1059999999999999</v>
      </c>
      <c r="AG211" s="184">
        <v>8.042984326994933</v>
      </c>
      <c r="AH211" s="184">
        <v>2.8026358844435513</v>
      </c>
      <c r="AJ211" s="186">
        <f t="shared" si="36"/>
        <v>7.3753575906409241E-2</v>
      </c>
      <c r="AK211" s="15">
        <f t="shared" si="37"/>
        <v>2.8026358844435513</v>
      </c>
    </row>
    <row r="212" spans="5:38" ht="15" customHeight="1" x14ac:dyDescent="0.25">
      <c r="E212" s="4">
        <f t="shared" si="38"/>
        <v>-0.6419999999999999</v>
      </c>
      <c r="H212" s="4">
        <f t="shared" si="39"/>
        <v>89.657000000000011</v>
      </c>
      <c r="AD212" s="183" t="s">
        <v>117</v>
      </c>
      <c r="AE212" s="2">
        <v>-0.6419999999999999</v>
      </c>
      <c r="AF212" s="2">
        <v>-9.4E-2</v>
      </c>
      <c r="AG212" s="184">
        <v>-8.3026633729137239E-2</v>
      </c>
      <c r="AH212" s="184">
        <v>-2.8931229204666578E-2</v>
      </c>
      <c r="AJ212" s="186">
        <f t="shared" si="36"/>
        <v>-7.6134813696490992E-4</v>
      </c>
      <c r="AK212" s="15">
        <f t="shared" si="37"/>
        <v>-2.8931229204666578E-2</v>
      </c>
    </row>
    <row r="213" spans="5:38" ht="15" customHeight="1" x14ac:dyDescent="0.25">
      <c r="E213" s="4">
        <f t="shared" si="38"/>
        <v>-9.4E-2</v>
      </c>
      <c r="H213" s="4">
        <f t="shared" si="39"/>
        <v>78.602000000000004</v>
      </c>
      <c r="AD213" s="57" t="s">
        <v>95</v>
      </c>
      <c r="AE213" s="3">
        <v>89.657000000000011</v>
      </c>
      <c r="AF213" s="3">
        <v>78.602000000000004</v>
      </c>
      <c r="AG213" s="58">
        <v>69.42616451465581</v>
      </c>
      <c r="AH213" s="58">
        <v>24.192047637714918</v>
      </c>
      <c r="AJ213" s="186">
        <f t="shared" si="36"/>
        <v>0.63663283257144521</v>
      </c>
      <c r="AK213" s="15">
        <f t="shared" si="37"/>
        <v>24.192047637714918</v>
      </c>
    </row>
    <row r="214" spans="5:38" ht="15" customHeight="1" x14ac:dyDescent="0.25">
      <c r="AD214" s="62" t="s">
        <v>118</v>
      </c>
      <c r="AE214" s="63">
        <v>140.934</v>
      </c>
      <c r="AF214" s="63">
        <v>120.43</v>
      </c>
      <c r="AG214" s="64">
        <v>106.37125</v>
      </c>
      <c r="AH214" s="64">
        <v>38</v>
      </c>
      <c r="AJ214" s="186">
        <f t="shared" si="36"/>
        <v>1</v>
      </c>
      <c r="AK214" s="15">
        <f t="shared" si="37"/>
        <v>38</v>
      </c>
      <c r="AL214" s="4"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78960618B7BE469D38D7868DD16947" ma:contentTypeVersion="19" ma:contentTypeDescription="Crie um novo documento." ma:contentTypeScope="" ma:versionID="d64ad98a179d90cfb79d93a36b0ba6f1">
  <xsd:schema xmlns:xsd="http://www.w3.org/2001/XMLSchema" xmlns:xs="http://www.w3.org/2001/XMLSchema" xmlns:p="http://schemas.microsoft.com/office/2006/metadata/properties" xmlns:ns2="ee36cee3-c53f-4c35-9944-9258ac9d330b" xmlns:ns3="670203bc-d762-45b2-85d4-94df8f25fa94" targetNamespace="http://schemas.microsoft.com/office/2006/metadata/properties" ma:root="true" ma:fieldsID="bca0f5b07652096c77ca6c66097f3406" ns2:_="" ns3:_="">
    <xsd:import namespace="ee36cee3-c53f-4c35-9944-9258ac9d330b"/>
    <xsd:import namespace="670203bc-d762-45b2-85d4-94df8f25fa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6cee3-c53f-4c35-9944-9258ac9d3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fda5025-0764-4a31-aac0-71319eaca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203bc-d762-45b2-85d4-94df8f25fa9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aca029e-236c-4127-9ff7-d16e1232608c}" ma:internalName="TaxCatchAll" ma:showField="CatchAllData" ma:web="670203bc-d762-45b2-85d4-94df8f25fa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0203bc-d762-45b2-85d4-94df8f25fa94" xsi:nil="true"/>
    <lcf76f155ced4ddcb4097134ff3c332f xmlns="ee36cee3-c53f-4c35-9944-9258ac9d3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155B15-7347-4363-BE13-DF8A083133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36cee3-c53f-4c35-9944-9258ac9d330b"/>
    <ds:schemaRef ds:uri="670203bc-d762-45b2-85d4-94df8f25fa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775C4C-64D2-4E1B-BD1D-533271A679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4B4DC9-3D72-43F4-9444-BD9E9DB690D0}">
  <ds:schemaRefs>
    <ds:schemaRef ds:uri="http://schemas.microsoft.com/office/2006/metadata/properties"/>
    <ds:schemaRef ds:uri="http://schemas.microsoft.com/office/infopath/2007/PartnerControls"/>
    <ds:schemaRef ds:uri="670203bc-d762-45b2-85d4-94df8f25fa94"/>
    <ds:schemaRef ds:uri="ee36cee3-c53f-4c35-9944-9258ac9d33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 4.1 - G 4.2 (set)</vt:lpstr>
      <vt:lpstr>G 4.3 - G 4.4 (set)</vt:lpstr>
      <vt:lpstr>LINK escrita </vt:lpstr>
      <vt:lpstr>Emprego</vt:lpstr>
      <vt:lpstr>Renda</vt:lpstr>
      <vt:lpstr>População</vt:lpstr>
      <vt:lpstr>Planilha1</vt:lpstr>
      <vt:lpstr>Pessoas de 14 anos ou mais d...</vt:lpstr>
      <vt:lpstr>Tabela</vt:lpstr>
      <vt:lpstr>G 4.5 - G 4.6 (set)</vt:lpstr>
      <vt:lpstr>G 4.7 - T 4.1 (set)</vt:lpstr>
      <vt:lpstr>T 4.2 (set)</vt:lpstr>
    </vt:vector>
  </TitlesOfParts>
  <Manager/>
  <Company>IBGE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alessandra.brito</dc:creator>
  <cp:keywords/>
  <dc:description/>
  <cp:lastModifiedBy>Pedro Papini Almeida</cp:lastModifiedBy>
  <cp:revision/>
  <dcterms:created xsi:type="dcterms:W3CDTF">2015-02-09T18:39:11Z</dcterms:created>
  <dcterms:modified xsi:type="dcterms:W3CDTF">2026-04-29T18:35:31Z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0x010100AB78960618B7BE469D38D7868DD16947</vt:lpwstr>
  </property>
  <property fmtid="{D5CDD505-2E9C-101B-9397-08002B2CF9AE}" pid="3" name="MediaServiceImageTags">
    <vt:lpwstr/>
  </property>
</Properties>
</file>